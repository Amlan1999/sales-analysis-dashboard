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7.xml" ContentType="application/vnd.openxmlformats-officedocument.spreadsheetml.pivotTable+xml"/>
  <Override PartName="/xl/drawings/drawing5.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8.xml" ContentType="application/vnd.openxmlformats-officedocument.spreadsheetml.pivotTable+xml"/>
  <Override PartName="/xl/drawings/drawing6.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22.xml" ContentType="application/vnd.openxmlformats-officedocument.drawingml.chart+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8.xml" ContentType="application/vnd.openxmlformats-officedocument.drawing+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E:\FunctionUp Excel NOTES &amp; ASSIGNMENTS\"/>
    </mc:Choice>
  </mc:AlternateContent>
  <xr:revisionPtr revIDLastSave="0" documentId="13_ncr:1_{D82F49AA-2958-47C0-B48B-891A46DEC0D9}" xr6:coauthVersionLast="41" xr6:coauthVersionMax="41" xr10:uidLastSave="{00000000-0000-0000-0000-000000000000}"/>
  <bookViews>
    <workbookView xWindow="-108" yWindow="-108" windowWidth="23256" windowHeight="12456" tabRatio="903" activeTab="2" xr2:uid="{00000000-000D-0000-FFFF-FFFF00000000}"/>
  </bookViews>
  <sheets>
    <sheet name="Dashboard Project" sheetId="2" r:id="rId1"/>
    <sheet name="Input Data" sheetId="1" r:id="rId2"/>
    <sheet name="DASHBOARD" sheetId="16" r:id="rId3"/>
    <sheet name="Monthly Sales" sheetId="11" r:id="rId4"/>
    <sheet name="KPI" sheetId="13" r:id="rId5"/>
    <sheet name="TOP 10 Customer" sheetId="15" r:id="rId6"/>
    <sheet name="Top 10 PRODUCT" sheetId="4" r:id="rId7"/>
    <sheet name="Most 5 Sold" sheetId="5" r:id="rId8"/>
    <sheet name="Territory With Highest Sales" sheetId="6" r:id="rId9"/>
    <sheet name=" Top 10 Country " sheetId="7" r:id="rId10"/>
  </sheets>
  <definedNames>
    <definedName name="_xlnm._FilterDatabase" localSheetId="1" hidden="1">'Input Data'!$A$1:$Z$2824</definedName>
    <definedName name="Slicer_CITY">#N/A</definedName>
    <definedName name="Slicer_COUNTRY">#N/A</definedName>
    <definedName name="Slicer_DEALSIZE1">#N/A</definedName>
    <definedName name="Slicer_PRODUCTLINE">#N/A</definedName>
    <definedName name="Slicer_TERRITORY">#N/A</definedName>
  </definedNames>
  <calcPr calcId="191028"/>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G17" i="13"/>
  <c r="P15" i="7"/>
  <c r="T17" i="13"/>
  <c r="M16" i="13"/>
  <c r="Y5" i="13"/>
  <c r="R5" i="13"/>
  <c r="L5" i="13"/>
  <c r="F5" i="13"/>
  <c r="A16" i="13"/>
  <c r="O7" i="7"/>
</calcChain>
</file>

<file path=xl/sharedStrings.xml><?xml version="1.0" encoding="utf-8"?>
<sst xmlns="http://schemas.openxmlformats.org/spreadsheetml/2006/main" count="35283" uniqueCount="724">
  <si>
    <t>Create a dashboard with the following metrics</t>
  </si>
  <si>
    <t>Major KPIs of the dashboard</t>
  </si>
  <si>
    <t>Monthly sales</t>
  </si>
  <si>
    <t>Which product has been sold the most</t>
  </si>
  <si>
    <t>Top 10 Products generating the highest revenue</t>
  </si>
  <si>
    <t>Which region has the hightest sales</t>
  </si>
  <si>
    <t>Top 5 products which are being sold the most in quantity</t>
  </si>
  <si>
    <t>Which country has generated the hightest revenue</t>
  </si>
  <si>
    <t>Territory with highest sales</t>
  </si>
  <si>
    <t>Top 10 countries by hightest sales</t>
  </si>
  <si>
    <t>territory wise distribution of deal size</t>
  </si>
  <si>
    <t>Distribution of ordey status by region</t>
  </si>
  <si>
    <t xml:space="preserve">Add relevant filters like Year, region, country, productline </t>
  </si>
  <si>
    <t>Add all other metrics you think is relevant for sales summary dashboard</t>
  </si>
  <si>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</si>
  <si>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</si>
  <si>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</si>
  <si>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</si>
  <si>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</si>
  <si>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</si>
  <si>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</si>
  <si>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</si>
  <si>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</si>
  <si>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</si>
  <si>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</si>
  <si>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</si>
  <si>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</si>
  <si>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</si>
  <si>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</si>
  <si>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</si>
  <si>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</si>
  <si>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</si>
  <si>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</si>
  <si>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</si>
  <si>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</si>
  <si>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</si>
  <si>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</si>
  <si>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</si>
  <si>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</si>
  <si>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Shipped</t>
  </si>
  <si>
    <t>Motorcycles</t>
  </si>
  <si>
    <t>S10_1678</t>
  </si>
  <si>
    <t>Land of Toys Inc.</t>
  </si>
  <si>
    <t>897 Long Airport Avenue</t>
  </si>
  <si>
    <t>NYC</t>
  </si>
  <si>
    <t>NY</t>
  </si>
  <si>
    <t>USA</t>
  </si>
  <si>
    <t>NA</t>
  </si>
  <si>
    <t>Yu</t>
  </si>
  <si>
    <t>Kwai</t>
  </si>
  <si>
    <t>Small</t>
  </si>
  <si>
    <t>Reims Collectables</t>
  </si>
  <si>
    <t>26.47.1555</t>
  </si>
  <si>
    <t>59 rue de l'Abbaye</t>
  </si>
  <si>
    <t>Reims</t>
  </si>
  <si>
    <t>France</t>
  </si>
  <si>
    <t>EMEA</t>
  </si>
  <si>
    <t>Henriot</t>
  </si>
  <si>
    <t>Paul</t>
  </si>
  <si>
    <t>Lyon Souveniers</t>
  </si>
  <si>
    <t>+33 1 46 62 7555</t>
  </si>
  <si>
    <t>27 rue du Colonel Pierre Avia</t>
  </si>
  <si>
    <t>Paris</t>
  </si>
  <si>
    <t>Da Cunha</t>
  </si>
  <si>
    <t>Daniel</t>
  </si>
  <si>
    <t>Medium</t>
  </si>
  <si>
    <t>Toys4GrownUps.com</t>
  </si>
  <si>
    <t>78934 Hillside Dr.</t>
  </si>
  <si>
    <t>Pasadena</t>
  </si>
  <si>
    <t>CA</t>
  </si>
  <si>
    <t>Young</t>
  </si>
  <si>
    <t>Julie</t>
  </si>
  <si>
    <t>Corporate Gift Ideas Co.</t>
  </si>
  <si>
    <t>7734 Strong St.</t>
  </si>
  <si>
    <t>San Francisco</t>
  </si>
  <si>
    <t>Brown</t>
  </si>
  <si>
    <t>Technics Stores Inc.</t>
  </si>
  <si>
    <t>9408 Furth Circle</t>
  </si>
  <si>
    <t>Burlingame</t>
  </si>
  <si>
    <t>Hirano</t>
  </si>
  <si>
    <t>Juri</t>
  </si>
  <si>
    <t>Daedalus Designs Imports</t>
  </si>
  <si>
    <t>20.16.1555</t>
  </si>
  <si>
    <t>184, chausse de Tournai</t>
  </si>
  <si>
    <t>Lille</t>
  </si>
  <si>
    <t>Rance</t>
  </si>
  <si>
    <t>Martine</t>
  </si>
  <si>
    <t>Herkku Gifts</t>
  </si>
  <si>
    <t>+47 2267 3215</t>
  </si>
  <si>
    <t>Drammen 121, PR 744 Sentrum</t>
  </si>
  <si>
    <t>Bergen</t>
  </si>
  <si>
    <t>N 5804</t>
  </si>
  <si>
    <t>Norway</t>
  </si>
  <si>
    <t>Oeztan</t>
  </si>
  <si>
    <t>Veysel</t>
  </si>
  <si>
    <t>Mini Wheels Co.</t>
  </si>
  <si>
    <t>5557 North Pendale Street</t>
  </si>
  <si>
    <t>Murphy</t>
  </si>
  <si>
    <t>Auto Canal Petit</t>
  </si>
  <si>
    <t>(1) 47.55.6555</t>
  </si>
  <si>
    <t>25, rue Lauriston</t>
  </si>
  <si>
    <t>Perrier</t>
  </si>
  <si>
    <t>Dominique</t>
  </si>
  <si>
    <t>Australian Collectors, Co.</t>
  </si>
  <si>
    <t>03 9520 4555</t>
  </si>
  <si>
    <t>636 St Kilda Road</t>
  </si>
  <si>
    <t>Level 3</t>
  </si>
  <si>
    <t>Melbourne</t>
  </si>
  <si>
    <t>Victoria</t>
  </si>
  <si>
    <t>Australia</t>
  </si>
  <si>
    <t>APAC</t>
  </si>
  <si>
    <t>Ferguson</t>
  </si>
  <si>
    <t>Peter</t>
  </si>
  <si>
    <t>Vitachrome Inc.</t>
  </si>
  <si>
    <t>2678 Kingston Rd.</t>
  </si>
  <si>
    <t>Suite 101</t>
  </si>
  <si>
    <t>Frick</t>
  </si>
  <si>
    <t>Michael</t>
  </si>
  <si>
    <t>Tekni Collectables Inc.</t>
  </si>
  <si>
    <t>7476 Moss Rd.</t>
  </si>
  <si>
    <t>Newark</t>
  </si>
  <si>
    <t>NJ</t>
  </si>
  <si>
    <t>William</t>
  </si>
  <si>
    <t>Gift Depot Inc.</t>
  </si>
  <si>
    <t>25593 South Bay Ln.</t>
  </si>
  <si>
    <t>Bridgewater</t>
  </si>
  <si>
    <t>CT</t>
  </si>
  <si>
    <t>King</t>
  </si>
  <si>
    <t>La Rochelle Gifts</t>
  </si>
  <si>
    <t>40.67.8555</t>
  </si>
  <si>
    <t>67, rue des Cinquante Otages</t>
  </si>
  <si>
    <t>Nantes</t>
  </si>
  <si>
    <t>Labrune</t>
  </si>
  <si>
    <t>Janine</t>
  </si>
  <si>
    <t>Marta's Replicas Co.</t>
  </si>
  <si>
    <t>39323 Spinnaker Dr.</t>
  </si>
  <si>
    <t>Cambridge</t>
  </si>
  <si>
    <t>MA</t>
  </si>
  <si>
    <t>Hernandez</t>
  </si>
  <si>
    <t>Marta</t>
  </si>
  <si>
    <t>Toys of Finland, Co.</t>
  </si>
  <si>
    <t>90-224 8555</t>
  </si>
  <si>
    <t>Keskuskatu 45</t>
  </si>
  <si>
    <t>Helsinki</t>
  </si>
  <si>
    <t>Finland</t>
  </si>
  <si>
    <t>Karttunen</t>
  </si>
  <si>
    <t>Matti</t>
  </si>
  <si>
    <t>Baane Mini Imports</t>
  </si>
  <si>
    <t>07-98 9555</t>
  </si>
  <si>
    <t>Erling Skakkes gate 78</t>
  </si>
  <si>
    <t>Stavern</t>
  </si>
  <si>
    <t>Bergulfsen</t>
  </si>
  <si>
    <t>Jonas</t>
  </si>
  <si>
    <t>Diecast Classics Inc.</t>
  </si>
  <si>
    <t>7586 Pompton St.</t>
  </si>
  <si>
    <t>Allentown</t>
  </si>
  <si>
    <t>PA</t>
  </si>
  <si>
    <t>Kyung</t>
  </si>
  <si>
    <t>Salzburg Collectables</t>
  </si>
  <si>
    <t>6562-9555</t>
  </si>
  <si>
    <t>Geislweg 14</t>
  </si>
  <si>
    <t>Salzburg</t>
  </si>
  <si>
    <t>Austria</t>
  </si>
  <si>
    <t>Pipps</t>
  </si>
  <si>
    <t>Georg</t>
  </si>
  <si>
    <t>Large</t>
  </si>
  <si>
    <t>Souveniers And Things Co.</t>
  </si>
  <si>
    <t>+61 2 9495 8555</t>
  </si>
  <si>
    <t>Monitor Money Building, 815 Pacific Hwy</t>
  </si>
  <si>
    <t>Level 6</t>
  </si>
  <si>
    <t>Chatswood</t>
  </si>
  <si>
    <t>NSW</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</si>
  <si>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</si>
  <si>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</si>
  <si>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</si>
  <si>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</si>
  <si>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</si>
  <si>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</si>
  <si>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</si>
  <si>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</si>
  <si>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</si>
  <si>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</si>
  <si>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</si>
  <si>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</si>
  <si>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</si>
  <si>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</si>
  <si>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</si>
  <si>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</si>
  <si>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</si>
  <si>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</si>
  <si>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</si>
  <si>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</si>
  <si>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Spain</t>
  </si>
  <si>
    <t>Freyre</t>
  </si>
  <si>
    <t>Diego</t>
  </si>
  <si>
    <t>Classic Cars</t>
  </si>
  <si>
    <t>S10_1949</t>
  </si>
  <si>
    <t>Volvo Model Replicas, Co</t>
  </si>
  <si>
    <t>0921-12 3555</t>
  </si>
  <si>
    <t>Berguvsv„gen  8</t>
  </si>
  <si>
    <t>Lule</t>
  </si>
  <si>
    <t>S-958 22</t>
  </si>
  <si>
    <t>Sweden</t>
  </si>
  <si>
    <t>Berglund</t>
  </si>
  <si>
    <t>Christina</t>
  </si>
  <si>
    <t>Corrida Auto Replicas, Ltd</t>
  </si>
  <si>
    <t>(91) 555 22 82</t>
  </si>
  <si>
    <t>C/ Araquil, 67</t>
  </si>
  <si>
    <t>Sommer</t>
  </si>
  <si>
    <t>Mart¡n</t>
  </si>
  <si>
    <t>Dragon Souveniers, Ltd.</t>
  </si>
  <si>
    <t>+65 221 7555</t>
  </si>
  <si>
    <t>Bronz Sok., Bronz Apt. 3/6 Tesvikiye</t>
  </si>
  <si>
    <t>Singapore</t>
  </si>
  <si>
    <t>Japan</t>
  </si>
  <si>
    <t>Natividad</t>
  </si>
  <si>
    <t>Eric</t>
  </si>
  <si>
    <t>Classic Legends Inc.</t>
  </si>
  <si>
    <t>5905 Pompton St.</t>
  </si>
  <si>
    <t>Suite 750</t>
  </si>
  <si>
    <t>Maria</t>
  </si>
  <si>
    <t>Australian Gift Network, Co</t>
  </si>
  <si>
    <t>61-7-3844-6555</t>
  </si>
  <si>
    <t>31 Duncan St. West End</t>
  </si>
  <si>
    <t>South Brisbane</t>
  </si>
  <si>
    <t>Queensland</t>
  </si>
  <si>
    <t>Calaghan</t>
  </si>
  <si>
    <t>Tony</t>
  </si>
  <si>
    <t>Classic Gift Ideas, Inc</t>
  </si>
  <si>
    <t>782 First Street</t>
  </si>
  <si>
    <t>Philadelphia</t>
  </si>
  <si>
    <t>Cervantes</t>
  </si>
  <si>
    <t>Francisca</t>
  </si>
  <si>
    <t>Saveley &amp; Henriot, Co.</t>
  </si>
  <si>
    <t>78.32.5555</t>
  </si>
  <si>
    <t>2, rue du Commerce</t>
  </si>
  <si>
    <t>Lyon</t>
  </si>
  <si>
    <t>Saveley</t>
  </si>
  <si>
    <t>Mary</t>
  </si>
  <si>
    <t>Canadian Gift Exchange Network</t>
  </si>
  <si>
    <t>(604) 555-3392</t>
  </si>
  <si>
    <t>1900 Oak St.</t>
  </si>
  <si>
    <t>Vancouver</t>
  </si>
  <si>
    <t>BC</t>
  </si>
  <si>
    <t>V3F 2K1</t>
  </si>
  <si>
    <t>Canada</t>
  </si>
  <si>
    <t>Tannamuri</t>
  </si>
  <si>
    <t>Yoshi</t>
  </si>
  <si>
    <t>West Coast Collectables Co.</t>
  </si>
  <si>
    <t>3675 Furth Circle</t>
  </si>
  <si>
    <t>Burbank</t>
  </si>
  <si>
    <t>Thompson</t>
  </si>
  <si>
    <t>Steve</t>
  </si>
  <si>
    <t>Cambridge Collectables Co.</t>
  </si>
  <si>
    <t>4658 Baden Av.</t>
  </si>
  <si>
    <t>Tseng</t>
  </si>
  <si>
    <t>Super Scale Inc.</t>
  </si>
  <si>
    <t>567 North Pendale Street</t>
  </si>
  <si>
    <t>New Haven</t>
  </si>
  <si>
    <t>Leslie</t>
  </si>
  <si>
    <t>Tokyo Collectables, Ltd</t>
  </si>
  <si>
    <t>+81 3 3584 0555</t>
  </si>
  <si>
    <t>2-2-8 Roppongi</t>
  </si>
  <si>
    <t>Minato-ku</t>
  </si>
  <si>
    <t>Tokyo</t>
  </si>
  <si>
    <t>106-0032</t>
  </si>
  <si>
    <t>Shimamura</t>
  </si>
  <si>
    <t>Akiko</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</si>
  <si>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</si>
  <si>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</si>
  <si>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</si>
  <si>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</si>
  <si>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</si>
  <si>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</si>
  <si>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</si>
  <si>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</si>
  <si>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</si>
  <si>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</si>
  <si>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</si>
  <si>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</si>
  <si>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</si>
  <si>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</si>
  <si>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</si>
  <si>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</si>
  <si>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</si>
  <si>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</si>
  <si>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Mini Gifts Distributors Ltd.</t>
  </si>
  <si>
    <t>5677 Strong St.</t>
  </si>
  <si>
    <t>San Rafael</t>
  </si>
  <si>
    <t>Nelson</t>
  </si>
  <si>
    <t>Valarie</t>
  </si>
  <si>
    <t>Online Diecast Creations Co.</t>
  </si>
  <si>
    <t>2304 Long Airport Avenue</t>
  </si>
  <si>
    <t>Nashua</t>
  </si>
  <si>
    <t>NH</t>
  </si>
  <si>
    <t>Collectables For Less Inc.</t>
  </si>
  <si>
    <t>7825 Douglas Av.</t>
  </si>
  <si>
    <t>Brickhaven</t>
  </si>
  <si>
    <t>Allen</t>
  </si>
  <si>
    <t>Anna's Decorations, Ltd</t>
  </si>
  <si>
    <t>02 9936 8555</t>
  </si>
  <si>
    <t>201 Miller Street</t>
  </si>
  <si>
    <t>Level 15</t>
  </si>
  <si>
    <t>North Sydney</t>
  </si>
  <si>
    <t>O'Hara</t>
  </si>
  <si>
    <t>Anna</t>
  </si>
  <si>
    <t>Quebec Home Shopping Network</t>
  </si>
  <si>
    <t>(514) 555-8054</t>
  </si>
  <si>
    <t>43 rue St. Laurent</t>
  </si>
  <si>
    <t>Montreal</t>
  </si>
  <si>
    <t>Quebec</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</si>
  <si>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</si>
  <si>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</si>
  <si>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</si>
  <si>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</si>
  <si>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</si>
  <si>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</si>
  <si>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</si>
  <si>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</si>
  <si>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</si>
  <si>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</si>
  <si>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</si>
  <si>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</si>
  <si>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</si>
  <si>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11328 Douglas Av.</t>
  </si>
  <si>
    <t>Rosa</t>
  </si>
  <si>
    <t>Atelier graphique</t>
  </si>
  <si>
    <t>40.32.2555</t>
  </si>
  <si>
    <t>54, rue Royale</t>
  </si>
  <si>
    <t>Schmitt</t>
  </si>
  <si>
    <t>Carine</t>
  </si>
  <si>
    <t>Mini Classics</t>
  </si>
  <si>
    <t>3758 North Pendale Street</t>
  </si>
  <si>
    <t>White Plains</t>
  </si>
  <si>
    <t>S10_4698</t>
  </si>
  <si>
    <t>S10_4757</t>
  </si>
  <si>
    <t>Danish Wholesale Imports</t>
  </si>
  <si>
    <t>31 12 3555</t>
  </si>
  <si>
    <t>Vinb'ltet 34</t>
  </si>
  <si>
    <t>Kobenhavn</t>
  </si>
  <si>
    <t>Denmark</t>
  </si>
  <si>
    <t>Petersen</t>
  </si>
  <si>
    <t>Jytte</t>
  </si>
  <si>
    <t>Stylish Desk Decors, Co.</t>
  </si>
  <si>
    <t>(171) 555-0297</t>
  </si>
  <si>
    <t>35 King George</t>
  </si>
  <si>
    <t>London</t>
  </si>
  <si>
    <t>WX3 6FW</t>
  </si>
  <si>
    <t>Ann</t>
  </si>
  <si>
    <t>Mini Creations Ltd.</t>
  </si>
  <si>
    <t>4575 Hillside Dr.</t>
  </si>
  <si>
    <t>Tam</t>
  </si>
  <si>
    <t>Wing C</t>
  </si>
  <si>
    <t>Cancelled</t>
  </si>
  <si>
    <t>Alpha Cognac</t>
  </si>
  <si>
    <t>61.77.6555</t>
  </si>
  <si>
    <t>1 rue Alsace-Lorraine</t>
  </si>
  <si>
    <t>Toulouse</t>
  </si>
  <si>
    <t>Roulet</t>
  </si>
  <si>
    <t>Annette</t>
  </si>
  <si>
    <t>Double Decker Gift Stores, Ltd</t>
  </si>
  <si>
    <t>(171) 555-7555</t>
  </si>
  <si>
    <t>120 Hanover Sq.</t>
  </si>
  <si>
    <t>WA1 1DP</t>
  </si>
  <si>
    <t>Hardy</t>
  </si>
  <si>
    <t>Thomas</t>
  </si>
  <si>
    <t>Enaco Distributors</t>
  </si>
  <si>
    <t>(93) 203 4555</t>
  </si>
  <si>
    <t>Rambla de Catalu¤a, 23</t>
  </si>
  <si>
    <t>Barcelona</t>
  </si>
  <si>
    <t>Saavedra</t>
  </si>
  <si>
    <t>Eduardo</t>
  </si>
  <si>
    <t>Men 'R' US Retailers, Ltd.</t>
  </si>
  <si>
    <t>6047 Douglas Av.</t>
  </si>
  <si>
    <t>Los Angeles</t>
  </si>
  <si>
    <t>Chandler</t>
  </si>
  <si>
    <t>Collectable Mini Designs Co.</t>
  </si>
  <si>
    <t>361 Furth Circle</t>
  </si>
  <si>
    <t>San Diego</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</si>
  <si>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</si>
  <si>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</si>
  <si>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</si>
  <si>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</si>
  <si>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</si>
  <si>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</si>
  <si>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</si>
  <si>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</si>
  <si>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</si>
  <si>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</si>
  <si>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</si>
  <si>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</si>
  <si>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</si>
  <si>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</si>
  <si>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</si>
  <si>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8616 Spinnaker Dr.</t>
  </si>
  <si>
    <t>Boston</t>
  </si>
  <si>
    <t>Yoshido</t>
  </si>
  <si>
    <t>giftsbymail.co.uk</t>
  </si>
  <si>
    <t>(198) 555-8888</t>
  </si>
  <si>
    <t>Garden House Crowther Way</t>
  </si>
  <si>
    <t>Cowes</t>
  </si>
  <si>
    <t>Isle of Wight</t>
  </si>
  <si>
    <t>PO31 7PJ</t>
  </si>
  <si>
    <t>Bennett</t>
  </si>
  <si>
    <t>Helen</t>
  </si>
  <si>
    <t>Oulu Toy Supplies, Inc.</t>
  </si>
  <si>
    <t>981-443655</t>
  </si>
  <si>
    <t>Torikatu 38</t>
  </si>
  <si>
    <t>Oulu</t>
  </si>
  <si>
    <t>Koskitalo</t>
  </si>
  <si>
    <t>Pirkko</t>
  </si>
  <si>
    <t>The Sharp Gifts Warehouse</t>
  </si>
  <si>
    <t>3086 Ingle Ln.</t>
  </si>
  <si>
    <t>San Jose</t>
  </si>
  <si>
    <t>Sue</t>
  </si>
  <si>
    <t>On Hold</t>
  </si>
  <si>
    <t>S10_4962</t>
  </si>
  <si>
    <t>La Corne D'abondance, Co.</t>
  </si>
  <si>
    <t>(1) 42.34.2555</t>
  </si>
  <si>
    <t>265, boulevard Charonne</t>
  </si>
  <si>
    <t>Bertrand</t>
  </si>
  <si>
    <t>Marie</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</si>
  <si>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</si>
  <si>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</si>
  <si>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</si>
  <si>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</si>
  <si>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</si>
  <si>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</si>
  <si>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</si>
  <si>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</si>
  <si>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</si>
  <si>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</si>
  <si>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</si>
  <si>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</si>
  <si>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</si>
  <si>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2nd Floor</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</si>
  <si>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</si>
  <si>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</si>
  <si>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</si>
  <si>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</si>
  <si>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</si>
  <si>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</si>
  <si>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</si>
  <si>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</si>
  <si>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</si>
  <si>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</si>
  <si>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</si>
  <si>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</si>
  <si>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</si>
  <si>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</si>
  <si>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</si>
  <si>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</si>
  <si>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</si>
  <si>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Toms Spezialitten, Ltd</t>
  </si>
  <si>
    <t>0221-5554327</t>
  </si>
  <si>
    <t>Mehrheimerstr. 369</t>
  </si>
  <si>
    <t>Koln</t>
  </si>
  <si>
    <t>Germany</t>
  </si>
  <si>
    <t>Pfalzheim</t>
  </si>
  <si>
    <t>Henriette</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</si>
  <si>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</si>
  <si>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</si>
  <si>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</si>
  <si>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</si>
  <si>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</si>
  <si>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</si>
  <si>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</si>
  <si>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</si>
  <si>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</si>
  <si>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</si>
  <si>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</si>
  <si>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</si>
  <si>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</si>
  <si>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</si>
  <si>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</si>
  <si>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</si>
  <si>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Blauer See Auto, Co.</t>
  </si>
  <si>
    <t>+49 69 66 90 2555</t>
  </si>
  <si>
    <t>Lyonerstr. 34</t>
  </si>
  <si>
    <t>Frankfurt</t>
  </si>
  <si>
    <t>Keitel</t>
  </si>
  <si>
    <t>Suominen Souveniers</t>
  </si>
  <si>
    <t>+358 9 8045 555</t>
  </si>
  <si>
    <t>Software Engineering Center, SEC Oy</t>
  </si>
  <si>
    <t>Espoo</t>
  </si>
  <si>
    <t>FIN-02271</t>
  </si>
  <si>
    <t>Suominen</t>
  </si>
  <si>
    <t>Kalle</t>
  </si>
  <si>
    <t>S12_1108</t>
  </si>
  <si>
    <t>Muscle Machine Inc</t>
  </si>
  <si>
    <t>4092 Furth Circle</t>
  </si>
  <si>
    <t>Suite 400</t>
  </si>
  <si>
    <t>Jeff</t>
  </si>
  <si>
    <t>Clover Collections, Co.</t>
  </si>
  <si>
    <t>+353 1862 1555</t>
  </si>
  <si>
    <t>25 Maiden Lane</t>
  </si>
  <si>
    <t>Floor No. 4</t>
  </si>
  <si>
    <t>Dublin</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</si>
  <si>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</si>
  <si>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</si>
  <si>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</si>
  <si>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</si>
  <si>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</si>
  <si>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</si>
  <si>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</si>
  <si>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</si>
  <si>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</si>
  <si>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</si>
  <si>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</si>
  <si>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</si>
  <si>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</si>
  <si>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</si>
  <si>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Heintze Collectables</t>
  </si>
  <si>
    <t>86 21 3555</t>
  </si>
  <si>
    <t>Smagsloget 45</t>
  </si>
  <si>
    <t>Aaarhus</t>
  </si>
  <si>
    <t>Ibsen</t>
  </si>
  <si>
    <t>Palle</t>
  </si>
  <si>
    <t>Trucks and Buses</t>
  </si>
  <si>
    <t>S12_1666</t>
  </si>
  <si>
    <t>S12_2823</t>
  </si>
  <si>
    <t>Microscale Inc.</t>
  </si>
  <si>
    <t>5290 North Pendale Street</t>
  </si>
  <si>
    <t>Suite 200</t>
  </si>
  <si>
    <t>Kuo</t>
  </si>
  <si>
    <t>Kee</t>
  </si>
  <si>
    <t>S12_3148</t>
  </si>
  <si>
    <t>S12_3380</t>
  </si>
  <si>
    <t>Boards &amp; Toys Co.</t>
  </si>
  <si>
    <t>4097 Douglas Av.</t>
  </si>
  <si>
    <t>Glendale</t>
  </si>
  <si>
    <t>S12_3891</t>
  </si>
  <si>
    <t>S12_3990</t>
  </si>
  <si>
    <t>S12_4473</t>
  </si>
  <si>
    <t>Iberia Gift Imports, Corp.</t>
  </si>
  <si>
    <t>(95) 555 82 82</t>
  </si>
  <si>
    <t>C/ Romero, 33</t>
  </si>
  <si>
    <t>Sevilla</t>
  </si>
  <si>
    <t>Roel</t>
  </si>
  <si>
    <t>Jose Pedro</t>
  </si>
  <si>
    <t>Signal Collectibles Ltd.</t>
  </si>
  <si>
    <t>2793 Furth Circle</t>
  </si>
  <si>
    <t>Brisbane</t>
  </si>
  <si>
    <t>Taylor</t>
  </si>
  <si>
    <t>S12_4675</t>
  </si>
  <si>
    <t>Mini Caravy</t>
  </si>
  <si>
    <t>88.60.1555</t>
  </si>
  <si>
    <t>24, place Kluber</t>
  </si>
  <si>
    <t>Strasbourg</t>
  </si>
  <si>
    <t>Citeaux</t>
  </si>
  <si>
    <t>Frederique</t>
  </si>
  <si>
    <t>S18_1097</t>
  </si>
  <si>
    <t>S18_1129</t>
  </si>
  <si>
    <t>Signal Gift Stores</t>
  </si>
  <si>
    <t>8489 Strong St.</t>
  </si>
  <si>
    <t>Las Vegas</t>
  </si>
  <si>
    <t>NV</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</si>
  <si>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</si>
  <si>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</si>
  <si>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</si>
  <si>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</si>
  <si>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</si>
  <si>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</si>
  <si>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</si>
  <si>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</si>
  <si>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</si>
  <si>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</si>
  <si>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</si>
  <si>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</si>
  <si>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</si>
  <si>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Rovelli</t>
  </si>
  <si>
    <t>Giovanni</t>
  </si>
  <si>
    <t>Australian Collectables, Ltd</t>
  </si>
  <si>
    <t>61-9-3844-6555</t>
  </si>
  <si>
    <t>7 Allen Street</t>
  </si>
  <si>
    <t>Glen Waverly</t>
  </si>
  <si>
    <t>Connery</t>
  </si>
  <si>
    <t>Sean</t>
  </si>
  <si>
    <t>S18_1367</t>
  </si>
  <si>
    <t>S18_1589</t>
  </si>
  <si>
    <t>Planes</t>
  </si>
  <si>
    <t>S18_1662</t>
  </si>
  <si>
    <t>Gift Ideas Corp.</t>
  </si>
  <si>
    <t>2440 Pompton St.</t>
  </si>
  <si>
    <t>Lewis</t>
  </si>
  <si>
    <t>Dan</t>
  </si>
  <si>
    <t>Bavarian Collectables Imports, Co.</t>
  </si>
  <si>
    <t>+49 89 61 08 9555</t>
  </si>
  <si>
    <t>Hansastr. 15</t>
  </si>
  <si>
    <t>Munich</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</si>
  <si>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</si>
  <si>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</si>
  <si>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</si>
  <si>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</si>
  <si>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</si>
  <si>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</si>
  <si>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</si>
  <si>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</si>
  <si>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</si>
  <si>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</si>
  <si>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</si>
  <si>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</si>
  <si>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</si>
  <si>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</si>
  <si>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</si>
  <si>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</si>
  <si>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</si>
  <si>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</si>
  <si>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</si>
  <si>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</si>
  <si>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</si>
  <si>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</si>
  <si>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</si>
  <si>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</si>
  <si>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</si>
  <si>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</si>
  <si>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</si>
  <si>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</si>
  <si>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</si>
  <si>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</si>
  <si>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</si>
  <si>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</si>
  <si>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</si>
  <si>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</si>
  <si>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</si>
  <si>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</si>
  <si>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</si>
  <si>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</si>
  <si>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</si>
  <si>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</si>
  <si>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</si>
  <si>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</si>
  <si>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</si>
  <si>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</si>
  <si>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</si>
  <si>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</si>
  <si>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</si>
  <si>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</si>
  <si>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</si>
  <si>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</si>
  <si>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</si>
  <si>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</si>
  <si>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</si>
  <si>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</si>
  <si>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</si>
  <si>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</si>
  <si>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</si>
  <si>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</si>
  <si>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</si>
  <si>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</si>
  <si>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</si>
  <si>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</si>
  <si>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</si>
  <si>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</si>
  <si>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</si>
  <si>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</si>
  <si>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</si>
  <si>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</si>
  <si>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</si>
  <si>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</si>
  <si>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</si>
  <si>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</si>
  <si>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</si>
  <si>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</si>
  <si>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</si>
  <si>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</si>
  <si>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</si>
  <si>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</si>
  <si>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</si>
  <si>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</si>
  <si>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</si>
  <si>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</si>
  <si>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</si>
  <si>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</si>
  <si>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</si>
  <si>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</si>
  <si>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</si>
  <si>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</si>
  <si>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</si>
  <si>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</si>
  <si>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</si>
  <si>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</si>
  <si>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</si>
  <si>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</si>
  <si>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</si>
  <si>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</si>
  <si>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</si>
  <si>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</si>
  <si>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</si>
  <si>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Sum of SALES</t>
  </si>
  <si>
    <t>Month</t>
  </si>
  <si>
    <t>Products</t>
  </si>
  <si>
    <t>Revenue</t>
  </si>
  <si>
    <t>Highest Sales</t>
  </si>
  <si>
    <t>Country</t>
  </si>
  <si>
    <t>Territory</t>
  </si>
  <si>
    <t>Column Labels</t>
  </si>
  <si>
    <t>Deal Size</t>
  </si>
  <si>
    <t>Row Labels</t>
  </si>
  <si>
    <t>Grand Total</t>
  </si>
  <si>
    <t>Feb</t>
  </si>
  <si>
    <t>Mar</t>
  </si>
  <si>
    <t>Apr</t>
  </si>
  <si>
    <t>May</t>
  </si>
  <si>
    <t>Jun</t>
  </si>
  <si>
    <t>Jul</t>
  </si>
  <si>
    <t>Aug</t>
  </si>
  <si>
    <t>Sep</t>
  </si>
  <si>
    <t>Oct</t>
  </si>
  <si>
    <t>Nov</t>
  </si>
  <si>
    <t>Dec</t>
  </si>
  <si>
    <t>Sum of QUANTITYORDERED</t>
  </si>
  <si>
    <t>MOST SOLD PRODUCT</t>
  </si>
  <si>
    <t>Region With Highest Sales</t>
  </si>
  <si>
    <t>Country With Highest revenue</t>
  </si>
  <si>
    <t>Most Quantity Ordered Customer</t>
  </si>
  <si>
    <t>Product Wise Sales</t>
  </si>
  <si>
    <t>Count of STATUS</t>
  </si>
  <si>
    <t>Top Selling Year</t>
  </si>
  <si>
    <t>YOY growth</t>
  </si>
  <si>
    <t>yoy growth</t>
  </si>
  <si>
    <t>yoy</t>
  </si>
  <si>
    <t>Ù</t>
  </si>
  <si>
    <t>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</si>
</sst>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 0.00,\ &quot;K&quot;"/>
    <numFmt numFmtId="165" formatCode="&quot;#&quot;\ 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Wingdings"/>
      <charset val="2"/>
    </font>
    <font>
      <sz val="18"/>
      <color theme="1"/>
      <name val="Calibri"/>
      <family val="2"/>
      <scheme val="minor"/>
    </font>
    <font>
      <b/>
      <sz val="1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9" tint="0.39997558519241921"/>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4">
    <xf numFmtId="0" fontId="0" fillId="0" borderId="0" xfId="0"/>
    <xf numFmtId="22" fontId="0" fillId="0" borderId="0" xfId="0" applyNumberFormat="1"/>
    <xf numFmtId="0" fontId="0" fillId="0" borderId="10" xfId="0" applyBorder="1"/>
    <xf numFmtId="0" fontId="13" fillId="33" borderId="10" xfId="0" applyFont="1" applyFill="1" applyBorder="1"/>
    <xf numFmtId="0" fontId="0" fillId="0" borderId="11" xfId="0"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12" xfId="0" pivotButton="1" applyBorder="1"/>
    <xf numFmtId="0" fontId="0" fillId="0" borderId="12" xfId="0" applyBorder="1"/>
    <xf numFmtId="0" fontId="0" fillId="0" borderId="12" xfId="0" applyBorder="1" applyAlignment="1">
      <alignment horizontal="left"/>
    </xf>
    <xf numFmtId="0" fontId="0" fillId="0" borderId="12" xfId="0" applyNumberFormat="1" applyBorder="1"/>
    <xf numFmtId="164" fontId="0" fillId="0" borderId="0" xfId="0" applyNumberFormat="1"/>
    <xf numFmtId="164" fontId="0" fillId="0" borderId="12" xfId="0" applyNumberFormat="1" applyBorder="1"/>
    <xf numFmtId="10" fontId="0" fillId="0" borderId="0" xfId="0" applyNumberFormat="1"/>
    <xf numFmtId="0" fontId="0" fillId="0" borderId="12" xfId="0" applyBorder="1" applyAlignment="1">
      <alignment horizontal="left" indent="1"/>
    </xf>
    <xf numFmtId="1" fontId="0" fillId="0" borderId="0" xfId="0" applyNumberFormat="1"/>
    <xf numFmtId="165" fontId="0" fillId="0" borderId="0" xfId="0" applyNumberFormat="1"/>
    <xf numFmtId="0" fontId="0" fillId="0" borderId="0" xfId="0" pivotButton="1" applyAlignment="1">
      <alignment horizontal="left" indent="1"/>
    </xf>
    <xf numFmtId="164" fontId="0" fillId="0" borderId="0" xfId="0" pivotButton="1" applyNumberFormat="1"/>
    <xf numFmtId="0" fontId="18" fillId="0" borderId="0" xfId="0" applyFont="1"/>
    <xf numFmtId="10" fontId="19" fillId="34" borderId="0" xfId="42" applyNumberFormat="1" applyFont="1" applyFill="1"/>
    <xf numFmtId="10" fontId="20" fillId="34" borderId="0" xfId="42" applyNumberFormat="1"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4">
    <dxf>
      <numFmt numFmtId="164" formatCode="\$\ 0.00,\ &quot;K&quot;"/>
    </dxf>
    <dxf>
      <numFmt numFmtId="166"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6"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166" formatCode="&quot;₹&quot;\ #,##0.00"/>
    </dxf>
    <dxf>
      <numFmt numFmtId="164" formatCode="\$\ 0.00,\ &quot;K&quot;"/>
    </dxf>
    <dxf>
      <numFmt numFmtId="164" formatCode="\$\ 0.00,\ &quot;K&quot;"/>
    </dxf>
    <dxf>
      <numFmt numFmtId="1" formatCode="0"/>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0" formatCode="General"/>
    </dxf>
    <dxf>
      <numFmt numFmtId="27" formatCode="dd/mm/yyyy\ hh:mm"/>
    </dxf>
    <dxf>
      <font>
        <color theme="0"/>
      </font>
      <border diagonalUp="0" diagonalDown="0">
        <left/>
        <right/>
        <top/>
        <bottom/>
        <vertical/>
        <horizontal/>
      </border>
    </dxf>
    <dxf>
      <font>
        <color theme="1"/>
      </font>
      <fill>
        <patternFill>
          <bgColor theme="1" tint="0.14996795556505021"/>
        </patternFill>
      </fill>
      <border diagonalUp="0" diagonalDown="0">
        <left/>
        <right/>
        <top/>
        <bottom/>
        <vertical/>
        <horizontal/>
      </border>
    </dxf>
  </dxfs>
  <tableStyles count="1" defaultTableStyle="TableStyleMedium2" defaultPivotStyle="PivotStyleLight16">
    <tableStyle name="AB" pivot="0" table="0" count="10" xr9:uid="{50E0BBAE-1057-4AD1-B8C7-08AFC72E21AC}">
      <tableStyleElement type="wholeTable" dxfId="53"/>
      <tableStyleElement type="headerRow" dxfId="5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4" tint="0.79992065187536243"/>
              <bgColor theme="1" tint="0.24994659260841701"/>
            </patternFill>
          </fill>
          <border diagonalUp="0" diagonalDown="0">
            <left style="thin">
              <color auto="1"/>
            </left>
            <right style="thin">
              <color auto="1"/>
            </right>
            <top style="thin">
              <color auto="1"/>
            </top>
            <bottom style="thin">
              <color auto="1"/>
            </bottom>
            <vertical/>
            <horizontal/>
          </border>
        </dxf>
        <dxf>
          <font>
            <color theme="0"/>
          </font>
          <fill>
            <patternFill patternType="solid">
              <fgColor theme="4" tint="0.59999389629810485"/>
              <bgColor theme="2" tint="-0.499984740745262"/>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AMLAN AGASTI.xlsx]KPI!PivotTable5</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34925" cap="rnd">
            <a:solidFill>
              <a:schemeClr val="bg1"/>
            </a:solidFill>
            <a:round/>
          </a:ln>
          <a:effectLst/>
        </c:spPr>
        <c:marker>
          <c:symbol val="none"/>
        </c:marker>
      </c:pivotFmt>
    </c:pivotFmts>
    <c:plotArea>
      <c:layout>
        <c:manualLayout>
          <c:layoutTarget val="inner"/>
          <c:xMode val="edge"/>
          <c:yMode val="edge"/>
          <c:x val="4.0666824128342736E-2"/>
          <c:y val="5.9177222386464425E-2"/>
          <c:w val="0.95670995670995673"/>
          <c:h val="0.93940827325859055"/>
        </c:manualLayout>
      </c:layout>
      <c:lineChart>
        <c:grouping val="standard"/>
        <c:varyColors val="0"/>
        <c:ser>
          <c:idx val="0"/>
          <c:order val="0"/>
          <c:tx>
            <c:strRef>
              <c:f>KPI!$E$4</c:f>
              <c:strCache>
                <c:ptCount val="1"/>
                <c:pt idx="0">
                  <c:v>Total</c:v>
                </c:pt>
              </c:strCache>
            </c:strRef>
          </c:tx>
          <c:spPr>
            <a:ln w="34925" cap="rnd">
              <a:solidFill>
                <a:schemeClr val="bg1"/>
              </a:solidFill>
              <a:round/>
            </a:ln>
            <a:effectLst/>
          </c:spPr>
          <c:marker>
            <c:symbol val="none"/>
          </c:marker>
          <c:cat>
            <c:multiLvlStrRef>
              <c:f>KPI!$D$5:$D$17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S18_3232</c:v>
                  </c:pt>
                </c:lvl>
              </c:multiLvlStrCache>
            </c:multiLvlStrRef>
          </c:cat>
          <c:val>
            <c:numRef>
              <c:f>KPI!$E$5:$E$17</c:f>
              <c:numCache>
                <c:formatCode>\$\ 0.00,\ "K"</c:formatCode>
                <c:ptCount val="12"/>
                <c:pt idx="0">
                  <c:v>17922.059999999998</c:v>
                </c:pt>
                <c:pt idx="1">
                  <c:v>20541.439999999999</c:v>
                </c:pt>
                <c:pt idx="2">
                  <c:v>15782.54</c:v>
                </c:pt>
                <c:pt idx="3">
                  <c:v>23581.86</c:v>
                </c:pt>
                <c:pt idx="4">
                  <c:v>32339.040000000001</c:v>
                </c:pt>
                <c:pt idx="5">
                  <c:v>14268.53</c:v>
                </c:pt>
                <c:pt idx="6">
                  <c:v>17072.760000000002</c:v>
                </c:pt>
                <c:pt idx="7">
                  <c:v>21281.49</c:v>
                </c:pt>
                <c:pt idx="8">
                  <c:v>11997.76</c:v>
                </c:pt>
                <c:pt idx="9">
                  <c:v>37731.83</c:v>
                </c:pt>
                <c:pt idx="10">
                  <c:v>53109.34</c:v>
                </c:pt>
                <c:pt idx="11">
                  <c:v>22616.77</c:v>
                </c:pt>
              </c:numCache>
            </c:numRef>
          </c:val>
          <c:smooth val="0"/>
          <c:extLst>
            <c:ext xmlns:c16="http://schemas.microsoft.com/office/drawing/2014/chart" uri="{C3380CC4-5D6E-409C-BE32-E72D297353CC}">
              <c16:uniqueId val="{00000000-DB99-4996-805B-41C42B42910C}"/>
            </c:ext>
          </c:extLst>
        </c:ser>
        <c:dLbls>
          <c:showLegendKey val="0"/>
          <c:showVal val="0"/>
          <c:showCatName val="0"/>
          <c:showSerName val="0"/>
          <c:showPercent val="0"/>
          <c:showBubbleSize val="0"/>
        </c:dLbls>
        <c:smooth val="0"/>
        <c:axId val="518389216"/>
        <c:axId val="518387904"/>
      </c:lineChart>
      <c:catAx>
        <c:axId val="518389216"/>
        <c:scaling>
          <c:orientation val="minMax"/>
        </c:scaling>
        <c:delete val="1"/>
        <c:axPos val="b"/>
        <c:numFmt formatCode="General" sourceLinked="1"/>
        <c:majorTickMark val="none"/>
        <c:minorTickMark val="none"/>
        <c:tickLblPos val="nextTo"/>
        <c:crossAx val="518387904"/>
        <c:crosses val="autoZero"/>
        <c:auto val="1"/>
        <c:lblAlgn val="ctr"/>
        <c:lblOffset val="100"/>
        <c:noMultiLvlLbl val="0"/>
      </c:catAx>
      <c:valAx>
        <c:axId val="518387904"/>
        <c:scaling>
          <c:orientation val="minMax"/>
        </c:scaling>
        <c:delete val="1"/>
        <c:axPos val="l"/>
        <c:numFmt formatCode="\$\ 0.00,\ &quot;K&quot;" sourceLinked="1"/>
        <c:majorTickMark val="none"/>
        <c:minorTickMark val="none"/>
        <c:tickLblPos val="nextTo"/>
        <c:crossAx val="518389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AMLAN AGASTI.xlsx]KPI!PivotTable7</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34925" cap="rnd">
            <a:solidFill>
              <a:schemeClr val="bg1"/>
            </a:solidFill>
            <a:round/>
          </a:ln>
          <a:effectLst/>
        </c:spPr>
        <c:marker>
          <c:symbol val="none"/>
        </c:marker>
      </c:pivotFmt>
    </c:pivotFmts>
    <c:plotArea>
      <c:layout>
        <c:manualLayout>
          <c:layoutTarget val="inner"/>
          <c:xMode val="edge"/>
          <c:yMode val="edge"/>
          <c:x val="2.7322293288026211E-2"/>
          <c:y val="2.0656722915579018E-2"/>
          <c:w val="0.97267759562841527"/>
          <c:h val="0.89265714465487955"/>
        </c:manualLayout>
      </c:layout>
      <c:lineChart>
        <c:grouping val="standard"/>
        <c:varyColors val="0"/>
        <c:ser>
          <c:idx val="0"/>
          <c:order val="0"/>
          <c:tx>
            <c:strRef>
              <c:f>KPI!$K$4</c:f>
              <c:strCache>
                <c:ptCount val="1"/>
                <c:pt idx="0">
                  <c:v>Total</c:v>
                </c:pt>
              </c:strCache>
            </c:strRef>
          </c:tx>
          <c:spPr>
            <a:ln w="34925" cap="rnd">
              <a:solidFill>
                <a:schemeClr val="bg1"/>
              </a:solidFill>
              <a:round/>
            </a:ln>
            <a:effectLst/>
          </c:spPr>
          <c:marker>
            <c:symbol val="none"/>
          </c:marker>
          <c:cat>
            <c:multiLvlStrRef>
              <c:f>KPI!$J$5:$J$17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EMEA</c:v>
                  </c:pt>
                </c:lvl>
              </c:multiLvlStrCache>
            </c:multiLvlStrRef>
          </c:cat>
          <c:val>
            <c:numRef>
              <c:f>KPI!$K$5:$K$17</c:f>
              <c:numCache>
                <c:formatCode>\$\ 0.00,\ "K"</c:formatCode>
                <c:ptCount val="12"/>
                <c:pt idx="0">
                  <c:v>434478.17000000016</c:v>
                </c:pt>
                <c:pt idx="1">
                  <c:v>466432.91999999993</c:v>
                </c:pt>
                <c:pt idx="2">
                  <c:v>391114.23999999999</c:v>
                </c:pt>
                <c:pt idx="3">
                  <c:v>316151.6700000001</c:v>
                </c:pt>
                <c:pt idx="4">
                  <c:v>521779.15999999992</c:v>
                </c:pt>
                <c:pt idx="5">
                  <c:v>182577.36000000002</c:v>
                </c:pt>
                <c:pt idx="6">
                  <c:v>224900.58999999997</c:v>
                </c:pt>
                <c:pt idx="7">
                  <c:v>214871.24000000005</c:v>
                </c:pt>
                <c:pt idx="8">
                  <c:v>295591.10999999993</c:v>
                </c:pt>
                <c:pt idx="9">
                  <c:v>590751.9700000002</c:v>
                </c:pt>
                <c:pt idx="10">
                  <c:v>1068956.0399999996</c:v>
                </c:pt>
                <c:pt idx="11">
                  <c:v>271667.94000000006</c:v>
                </c:pt>
              </c:numCache>
            </c:numRef>
          </c:val>
          <c:smooth val="0"/>
          <c:extLst>
            <c:ext xmlns:c16="http://schemas.microsoft.com/office/drawing/2014/chart" uri="{C3380CC4-5D6E-409C-BE32-E72D297353CC}">
              <c16:uniqueId val="{00000000-1034-4831-947C-9385A829EC8F}"/>
            </c:ext>
          </c:extLst>
        </c:ser>
        <c:dLbls>
          <c:showLegendKey val="0"/>
          <c:showVal val="0"/>
          <c:showCatName val="0"/>
          <c:showSerName val="0"/>
          <c:showPercent val="0"/>
          <c:showBubbleSize val="0"/>
        </c:dLbls>
        <c:smooth val="0"/>
        <c:axId val="420545880"/>
        <c:axId val="412228672"/>
      </c:lineChart>
      <c:catAx>
        <c:axId val="420545880"/>
        <c:scaling>
          <c:orientation val="minMax"/>
        </c:scaling>
        <c:delete val="1"/>
        <c:axPos val="b"/>
        <c:numFmt formatCode="General" sourceLinked="1"/>
        <c:majorTickMark val="none"/>
        <c:minorTickMark val="none"/>
        <c:tickLblPos val="nextTo"/>
        <c:crossAx val="412228672"/>
        <c:crosses val="autoZero"/>
        <c:auto val="1"/>
        <c:lblAlgn val="ctr"/>
        <c:lblOffset val="100"/>
        <c:noMultiLvlLbl val="0"/>
      </c:catAx>
      <c:valAx>
        <c:axId val="412228672"/>
        <c:scaling>
          <c:orientation val="minMax"/>
        </c:scaling>
        <c:delete val="1"/>
        <c:axPos val="l"/>
        <c:numFmt formatCode="\$\ 0.00,\ &quot;K&quot;" sourceLinked="1"/>
        <c:majorTickMark val="none"/>
        <c:minorTickMark val="none"/>
        <c:tickLblPos val="nextTo"/>
        <c:crossAx val="420545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AMLAN AGASTI.xlsx]KPI!PivotTable9</c:name>
    <c:fmtId val="3"/>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1"/>
            </a:solidFill>
            <a:round/>
          </a:ln>
          <a:effectLst/>
        </c:spPr>
        <c:marker>
          <c:symbol val="none"/>
        </c:marker>
      </c:pivotFmt>
    </c:pivotFmts>
    <c:plotArea>
      <c:layout>
        <c:manualLayout>
          <c:layoutTarget val="inner"/>
          <c:xMode val="edge"/>
          <c:yMode val="edge"/>
          <c:x val="2.0012653196172545E-2"/>
          <c:y val="4.6296296296296294E-2"/>
          <c:w val="0.97998734680382749"/>
          <c:h val="0.89814814814814814"/>
        </c:manualLayout>
      </c:layout>
      <c:lineChart>
        <c:grouping val="standard"/>
        <c:varyColors val="0"/>
        <c:ser>
          <c:idx val="0"/>
          <c:order val="0"/>
          <c:tx>
            <c:strRef>
              <c:f>KPI!$Q$4</c:f>
              <c:strCache>
                <c:ptCount val="1"/>
                <c:pt idx="0">
                  <c:v>Total</c:v>
                </c:pt>
              </c:strCache>
            </c:strRef>
          </c:tx>
          <c:spPr>
            <a:ln w="28575" cap="rnd">
              <a:solidFill>
                <a:schemeClr val="bg1"/>
              </a:solidFill>
              <a:round/>
            </a:ln>
            <a:effectLst/>
          </c:spPr>
          <c:marker>
            <c:symbol val="none"/>
          </c:marker>
          <c:cat>
            <c:multiLvlStrRef>
              <c:f>KPI!$P$5:$P$17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USA</c:v>
                  </c:pt>
                </c:lvl>
              </c:multiLvlStrCache>
            </c:multiLvlStrRef>
          </c:cat>
          <c:val>
            <c:numRef>
              <c:f>KPI!$Q$5:$Q$17</c:f>
              <c:numCache>
                <c:formatCode>\$\ 0.00,\ "K"</c:formatCode>
                <c:ptCount val="12"/>
                <c:pt idx="0">
                  <c:v>232862.06999999998</c:v>
                </c:pt>
                <c:pt idx="1">
                  <c:v>248421.79</c:v>
                </c:pt>
                <c:pt idx="2">
                  <c:v>268806.28000000003</c:v>
                </c:pt>
                <c:pt idx="3">
                  <c:v>207625.70000000004</c:v>
                </c:pt>
                <c:pt idx="4">
                  <c:v>300412.73</c:v>
                </c:pt>
                <c:pt idx="5">
                  <c:v>175897.42000000004</c:v>
                </c:pt>
                <c:pt idx="6">
                  <c:v>207946.16000000006</c:v>
                </c:pt>
                <c:pt idx="7">
                  <c:v>397979.10000000003</c:v>
                </c:pt>
                <c:pt idx="8">
                  <c:v>144178.91</c:v>
                </c:pt>
                <c:pt idx="9">
                  <c:v>416077.16999999993</c:v>
                </c:pt>
                <c:pt idx="10">
                  <c:v>741331.68000000052</c:v>
                </c:pt>
                <c:pt idx="11">
                  <c:v>286443.81999999995</c:v>
                </c:pt>
              </c:numCache>
            </c:numRef>
          </c:val>
          <c:smooth val="0"/>
          <c:extLst>
            <c:ext xmlns:c16="http://schemas.microsoft.com/office/drawing/2014/chart" uri="{C3380CC4-5D6E-409C-BE32-E72D297353CC}">
              <c16:uniqueId val="{00000000-E21D-415E-B51C-B89593008AAE}"/>
            </c:ext>
          </c:extLst>
        </c:ser>
        <c:dLbls>
          <c:showLegendKey val="0"/>
          <c:showVal val="0"/>
          <c:showCatName val="0"/>
          <c:showSerName val="0"/>
          <c:showPercent val="0"/>
          <c:showBubbleSize val="0"/>
        </c:dLbls>
        <c:smooth val="0"/>
        <c:axId val="521499920"/>
        <c:axId val="521500576"/>
      </c:lineChart>
      <c:catAx>
        <c:axId val="521499920"/>
        <c:scaling>
          <c:orientation val="minMax"/>
        </c:scaling>
        <c:delete val="1"/>
        <c:axPos val="b"/>
        <c:numFmt formatCode="General" sourceLinked="1"/>
        <c:majorTickMark val="none"/>
        <c:minorTickMark val="none"/>
        <c:tickLblPos val="nextTo"/>
        <c:crossAx val="521500576"/>
        <c:crosses val="autoZero"/>
        <c:auto val="1"/>
        <c:lblAlgn val="ctr"/>
        <c:lblOffset val="100"/>
        <c:noMultiLvlLbl val="0"/>
      </c:catAx>
      <c:valAx>
        <c:axId val="521500576"/>
        <c:scaling>
          <c:orientation val="minMax"/>
        </c:scaling>
        <c:delete val="1"/>
        <c:axPos val="l"/>
        <c:numFmt formatCode="\$\ 0.00,\ &quot;K&quot;" sourceLinked="1"/>
        <c:majorTickMark val="none"/>
        <c:minorTickMark val="none"/>
        <c:tickLblPos val="nextTo"/>
        <c:crossAx val="521499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AMLAN AGASTI.xlsx]KPI!PivotTable11</c:name>
    <c:fmtId val="4"/>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1"/>
            </a:solidFill>
            <a:round/>
          </a:ln>
          <a:effectLst/>
        </c:spPr>
        <c:marker>
          <c:symbol val="none"/>
        </c:marker>
      </c:pivotFmt>
    </c:pivotFmts>
    <c:plotArea>
      <c:layout>
        <c:manualLayout>
          <c:layoutTarget val="inner"/>
          <c:xMode val="edge"/>
          <c:yMode val="edge"/>
          <c:x val="3.5539319670776746E-2"/>
          <c:y val="1.7658289770730366E-2"/>
          <c:w val="0.95841519318925994"/>
          <c:h val="0.94335414808206963"/>
        </c:manualLayout>
      </c:layout>
      <c:lineChart>
        <c:grouping val="standard"/>
        <c:varyColors val="0"/>
        <c:ser>
          <c:idx val="0"/>
          <c:order val="0"/>
          <c:tx>
            <c:strRef>
              <c:f>KPI!$X$4</c:f>
              <c:strCache>
                <c:ptCount val="1"/>
                <c:pt idx="0">
                  <c:v>Total</c:v>
                </c:pt>
              </c:strCache>
            </c:strRef>
          </c:tx>
          <c:spPr>
            <a:ln w="28575" cap="rnd">
              <a:solidFill>
                <a:schemeClr val="bg1"/>
              </a:solidFill>
              <a:round/>
            </a:ln>
            <a:effectLst/>
          </c:spPr>
          <c:marker>
            <c:symbol val="none"/>
          </c:marker>
          <c:cat>
            <c:multiLvlStrRef>
              <c:f>KPI!$W$5:$W$16</c:f>
              <c:multiLvlStrCache>
                <c:ptCount val="11"/>
                <c:lvl>
                  <c:pt idx="0">
                    <c:v>Jan</c:v>
                  </c:pt>
                  <c:pt idx="1">
                    <c:v>Feb</c:v>
                  </c:pt>
                  <c:pt idx="2">
                    <c:v>Mar</c:v>
                  </c:pt>
                  <c:pt idx="3">
                    <c:v>Apr</c:v>
                  </c:pt>
                  <c:pt idx="4">
                    <c:v>May</c:v>
                  </c:pt>
                  <c:pt idx="5">
                    <c:v>Jun</c:v>
                  </c:pt>
                  <c:pt idx="6">
                    <c:v>Aug</c:v>
                  </c:pt>
                  <c:pt idx="7">
                    <c:v>Sep</c:v>
                  </c:pt>
                  <c:pt idx="8">
                    <c:v>Oct</c:v>
                  </c:pt>
                  <c:pt idx="9">
                    <c:v>Nov</c:v>
                  </c:pt>
                  <c:pt idx="10">
                    <c:v>Dec</c:v>
                  </c:pt>
                </c:lvl>
                <c:lvl>
                  <c:pt idx="0">
                    <c:v>Euro Shopping Channel</c:v>
                  </c:pt>
                </c:lvl>
              </c:multiLvlStrCache>
            </c:multiLvlStrRef>
          </c:cat>
          <c:val>
            <c:numRef>
              <c:f>KPI!$X$5:$X$16</c:f>
              <c:numCache>
                <c:formatCode>0</c:formatCode>
                <c:ptCount val="11"/>
                <c:pt idx="0">
                  <c:v>1055</c:v>
                </c:pt>
                <c:pt idx="1">
                  <c:v>1390</c:v>
                </c:pt>
                <c:pt idx="2">
                  <c:v>889</c:v>
                </c:pt>
                <c:pt idx="3">
                  <c:v>301</c:v>
                </c:pt>
                <c:pt idx="4">
                  <c:v>1382</c:v>
                </c:pt>
                <c:pt idx="5">
                  <c:v>1048</c:v>
                </c:pt>
                <c:pt idx="6">
                  <c:v>236</c:v>
                </c:pt>
                <c:pt idx="7">
                  <c:v>458</c:v>
                </c:pt>
                <c:pt idx="8">
                  <c:v>451</c:v>
                </c:pt>
                <c:pt idx="9">
                  <c:v>170</c:v>
                </c:pt>
                <c:pt idx="10">
                  <c:v>1947</c:v>
                </c:pt>
              </c:numCache>
            </c:numRef>
          </c:val>
          <c:smooth val="0"/>
          <c:extLst>
            <c:ext xmlns:c16="http://schemas.microsoft.com/office/drawing/2014/chart" uri="{C3380CC4-5D6E-409C-BE32-E72D297353CC}">
              <c16:uniqueId val="{00000000-A8B6-48A0-9CF6-B18D4FF4AE87}"/>
            </c:ext>
          </c:extLst>
        </c:ser>
        <c:dLbls>
          <c:showLegendKey val="0"/>
          <c:showVal val="0"/>
          <c:showCatName val="0"/>
          <c:showSerName val="0"/>
          <c:showPercent val="0"/>
          <c:showBubbleSize val="0"/>
        </c:dLbls>
        <c:smooth val="0"/>
        <c:axId val="483677960"/>
        <c:axId val="483674352"/>
      </c:lineChart>
      <c:catAx>
        <c:axId val="483677960"/>
        <c:scaling>
          <c:orientation val="minMax"/>
        </c:scaling>
        <c:delete val="1"/>
        <c:axPos val="b"/>
        <c:numFmt formatCode="General" sourceLinked="1"/>
        <c:majorTickMark val="none"/>
        <c:minorTickMark val="none"/>
        <c:tickLblPos val="nextTo"/>
        <c:crossAx val="483674352"/>
        <c:crosses val="autoZero"/>
        <c:auto val="1"/>
        <c:lblAlgn val="ctr"/>
        <c:lblOffset val="100"/>
        <c:noMultiLvlLbl val="0"/>
      </c:catAx>
      <c:valAx>
        <c:axId val="483674352"/>
        <c:scaling>
          <c:orientation val="minMax"/>
        </c:scaling>
        <c:delete val="1"/>
        <c:axPos val="l"/>
        <c:numFmt formatCode="0" sourceLinked="1"/>
        <c:majorTickMark val="none"/>
        <c:minorTickMark val="none"/>
        <c:tickLblPos val="nextTo"/>
        <c:crossAx val="483677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AMLAN AGASTI.xlsx] Top 10 Country !PivotTable3</c:name>
    <c:fmtId val="14"/>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1"/>
            </a:solidFill>
            <a:round/>
          </a:ln>
          <a:effectLst/>
        </c:spPr>
        <c:marker>
          <c:symbol val="none"/>
        </c:marker>
      </c:pivotFmt>
    </c:pivotFmts>
    <c:plotArea>
      <c:layout>
        <c:manualLayout>
          <c:layoutTarget val="inner"/>
          <c:xMode val="edge"/>
          <c:yMode val="edge"/>
          <c:x val="4.0600893219650833E-3"/>
          <c:y val="1.2515644555694618E-2"/>
          <c:w val="0.98984977669508734"/>
          <c:h val="0.97079682937004586"/>
        </c:manualLayout>
      </c:layout>
      <c:lineChart>
        <c:grouping val="standard"/>
        <c:varyColors val="0"/>
        <c:ser>
          <c:idx val="0"/>
          <c:order val="0"/>
          <c:tx>
            <c:strRef>
              <c:f>' Top 10 Country '!$N$3</c:f>
              <c:strCache>
                <c:ptCount val="1"/>
                <c:pt idx="0">
                  <c:v>Total</c:v>
                </c:pt>
              </c:strCache>
            </c:strRef>
          </c:tx>
          <c:spPr>
            <a:ln w="28575" cap="rnd">
              <a:solidFill>
                <a:schemeClr val="bg1"/>
              </a:solidFill>
              <a:round/>
            </a:ln>
            <a:effectLst/>
          </c:spPr>
          <c:marker>
            <c:symbol val="none"/>
          </c:marker>
          <c:cat>
            <c:multiLvlStrRef>
              <c:f>' Top 10 Country '!$M$4:$M$16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2004</c:v>
                  </c:pt>
                </c:lvl>
              </c:multiLvlStrCache>
            </c:multiLvlStrRef>
          </c:cat>
          <c:val>
            <c:numRef>
              <c:f>' Top 10 Country '!$N$4:$N$16</c:f>
              <c:numCache>
                <c:formatCode>\$\ 0.00,\ "K"</c:formatCode>
                <c:ptCount val="12"/>
                <c:pt idx="0">
                  <c:v>316577.4200000001</c:v>
                </c:pt>
                <c:pt idx="1">
                  <c:v>311419.52999999991</c:v>
                </c:pt>
                <c:pt idx="2">
                  <c:v>205733.72999999992</c:v>
                </c:pt>
                <c:pt idx="3">
                  <c:v>206148.12000000008</c:v>
                </c:pt>
                <c:pt idx="4">
                  <c:v>273438.39000000007</c:v>
                </c:pt>
                <c:pt idx="5">
                  <c:v>286674.21999999997</c:v>
                </c:pt>
                <c:pt idx="6">
                  <c:v>327144.08999999979</c:v>
                </c:pt>
                <c:pt idx="7">
                  <c:v>461501.27000000008</c:v>
                </c:pt>
                <c:pt idx="8">
                  <c:v>320750.91000000003</c:v>
                </c:pt>
                <c:pt idx="9">
                  <c:v>552924.25</c:v>
                </c:pt>
                <c:pt idx="10">
                  <c:v>1089048.0100000005</c:v>
                </c:pt>
                <c:pt idx="11">
                  <c:v>372802.65999999992</c:v>
                </c:pt>
              </c:numCache>
            </c:numRef>
          </c:val>
          <c:smooth val="0"/>
          <c:extLst>
            <c:ext xmlns:c16="http://schemas.microsoft.com/office/drawing/2014/chart" uri="{C3380CC4-5D6E-409C-BE32-E72D297353CC}">
              <c16:uniqueId val="{00000000-84F7-4750-A18C-21578E5B418A}"/>
            </c:ext>
          </c:extLst>
        </c:ser>
        <c:dLbls>
          <c:showLegendKey val="0"/>
          <c:showVal val="0"/>
          <c:showCatName val="0"/>
          <c:showSerName val="0"/>
          <c:showPercent val="0"/>
          <c:showBubbleSize val="0"/>
        </c:dLbls>
        <c:smooth val="0"/>
        <c:axId val="423130184"/>
        <c:axId val="423129200"/>
      </c:lineChart>
      <c:catAx>
        <c:axId val="423130184"/>
        <c:scaling>
          <c:orientation val="minMax"/>
        </c:scaling>
        <c:delete val="1"/>
        <c:axPos val="b"/>
        <c:numFmt formatCode="General" sourceLinked="1"/>
        <c:majorTickMark val="none"/>
        <c:minorTickMark val="none"/>
        <c:tickLblPos val="nextTo"/>
        <c:crossAx val="423129200"/>
        <c:crosses val="autoZero"/>
        <c:auto val="1"/>
        <c:lblAlgn val="ctr"/>
        <c:lblOffset val="100"/>
        <c:noMultiLvlLbl val="0"/>
      </c:catAx>
      <c:valAx>
        <c:axId val="423129200"/>
        <c:scaling>
          <c:orientation val="minMax"/>
        </c:scaling>
        <c:delete val="1"/>
        <c:axPos val="l"/>
        <c:numFmt formatCode="\$\ 0.00,\ &quot;K&quot;" sourceLinked="1"/>
        <c:majorTickMark val="none"/>
        <c:minorTickMark val="none"/>
        <c:tickLblPos val="nextTo"/>
        <c:crossAx val="423130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AMLAN AGASTI.xlsx]Monthly Sales!PivotTable6</c:name>
    <c:fmtId val="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s>
    <c:plotArea>
      <c:layout>
        <c:manualLayout>
          <c:layoutTarget val="inner"/>
          <c:xMode val="edge"/>
          <c:yMode val="edge"/>
          <c:x val="8.3233814523184596E-2"/>
          <c:y val="2.5428331875182269E-2"/>
          <c:w val="0.63748359580052494"/>
          <c:h val="0.8416746864975212"/>
        </c:manualLayout>
      </c:layout>
      <c:barChart>
        <c:barDir val="col"/>
        <c:grouping val="percentStacked"/>
        <c:varyColors val="0"/>
        <c:ser>
          <c:idx val="0"/>
          <c:order val="0"/>
          <c:tx>
            <c:strRef>
              <c:f>'Monthly Sales'!$B$2:$B$3</c:f>
              <c:strCache>
                <c:ptCount val="1"/>
                <c:pt idx="0">
                  <c:v>Classic Cars</c:v>
                </c:pt>
              </c:strCache>
            </c:strRef>
          </c:tx>
          <c:spPr>
            <a:solidFill>
              <a:schemeClr val="accent1"/>
            </a:solidFill>
            <a:ln>
              <a:noFill/>
            </a:ln>
            <a:effectLst/>
          </c:spPr>
          <c:invertIfNegative val="0"/>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Sales'!$B$4:$B$15</c:f>
              <c:numCache>
                <c:formatCode>\$\ 0.00,\ "K"</c:formatCode>
                <c:ptCount val="12"/>
                <c:pt idx="0">
                  <c:v>303070.55999999994</c:v>
                </c:pt>
                <c:pt idx="1">
                  <c:v>299647.79999999993</c:v>
                </c:pt>
                <c:pt idx="2">
                  <c:v>277560.53999999992</c:v>
                </c:pt>
                <c:pt idx="3">
                  <c:v>263252.00000000006</c:v>
                </c:pt>
                <c:pt idx="4">
                  <c:v>365946.75000000006</c:v>
                </c:pt>
                <c:pt idx="5">
                  <c:v>137419.98000000001</c:v>
                </c:pt>
                <c:pt idx="6">
                  <c:v>245292.94999999995</c:v>
                </c:pt>
                <c:pt idx="7">
                  <c:v>265302.43000000005</c:v>
                </c:pt>
                <c:pt idx="8">
                  <c:v>234673.08000000005</c:v>
                </c:pt>
                <c:pt idx="9">
                  <c:v>465002.24000000005</c:v>
                </c:pt>
                <c:pt idx="10">
                  <c:v>825156.25999999966</c:v>
                </c:pt>
                <c:pt idx="11">
                  <c:v>237291.07000000004</c:v>
                </c:pt>
              </c:numCache>
            </c:numRef>
          </c:val>
          <c:extLst>
            <c:ext xmlns:c16="http://schemas.microsoft.com/office/drawing/2014/chart" uri="{C3380CC4-5D6E-409C-BE32-E72D297353CC}">
              <c16:uniqueId val="{00000000-44B2-414F-96B1-650B02D97617}"/>
            </c:ext>
          </c:extLst>
        </c:ser>
        <c:ser>
          <c:idx val="1"/>
          <c:order val="1"/>
          <c:tx>
            <c:strRef>
              <c:f>'Monthly Sales'!$C$2:$C$3</c:f>
              <c:strCache>
                <c:ptCount val="1"/>
                <c:pt idx="0">
                  <c:v>Motorcycles</c:v>
                </c:pt>
              </c:strCache>
            </c:strRef>
          </c:tx>
          <c:spPr>
            <a:solidFill>
              <a:schemeClr val="accent2"/>
            </a:solidFill>
            <a:ln>
              <a:noFill/>
            </a:ln>
            <a:effectLst/>
          </c:spPr>
          <c:invertIfNegative val="0"/>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Sales'!$C$4:$C$15</c:f>
              <c:numCache>
                <c:formatCode>\$\ 0.00,\ "K"</c:formatCode>
                <c:ptCount val="12"/>
                <c:pt idx="0">
                  <c:v>81113.88</c:v>
                </c:pt>
                <c:pt idx="1">
                  <c:v>122801.68000000001</c:v>
                </c:pt>
                <c:pt idx="2">
                  <c:v>60469.979999999989</c:v>
                </c:pt>
                <c:pt idx="3">
                  <c:v>119606.87999999998</c:v>
                </c:pt>
                <c:pt idx="4">
                  <c:v>108335.96999999999</c:v>
                </c:pt>
                <c:pt idx="5">
                  <c:v>49879.420000000006</c:v>
                </c:pt>
                <c:pt idx="6">
                  <c:v>60698.23</c:v>
                </c:pt>
                <c:pt idx="7">
                  <c:v>106869.83999999995</c:v>
                </c:pt>
                <c:pt idx="8">
                  <c:v>45626.62999999999</c:v>
                </c:pt>
                <c:pt idx="9">
                  <c:v>103649.60999999997</c:v>
                </c:pt>
                <c:pt idx="10">
                  <c:v>261057.35999999996</c:v>
                </c:pt>
                <c:pt idx="11">
                  <c:v>46278.86</c:v>
                </c:pt>
              </c:numCache>
            </c:numRef>
          </c:val>
          <c:extLst>
            <c:ext xmlns:c16="http://schemas.microsoft.com/office/drawing/2014/chart" uri="{C3380CC4-5D6E-409C-BE32-E72D297353CC}">
              <c16:uniqueId val="{00000000-A447-429F-8F37-63C3EFA6FA10}"/>
            </c:ext>
          </c:extLst>
        </c:ser>
        <c:ser>
          <c:idx val="2"/>
          <c:order val="2"/>
          <c:tx>
            <c:strRef>
              <c:f>'Monthly Sales'!$D$2:$D$3</c:f>
              <c:strCache>
                <c:ptCount val="1"/>
                <c:pt idx="0">
                  <c:v>Planes</c:v>
                </c:pt>
              </c:strCache>
            </c:strRef>
          </c:tx>
          <c:spPr>
            <a:solidFill>
              <a:schemeClr val="accent3"/>
            </a:solidFill>
            <a:ln>
              <a:noFill/>
            </a:ln>
            <a:effectLst/>
          </c:spPr>
          <c:invertIfNegative val="0"/>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Sales'!$D$4:$D$15</c:f>
              <c:numCache>
                <c:formatCode>\$\ 0.00,\ "K"</c:formatCode>
                <c:ptCount val="12"/>
                <c:pt idx="0">
                  <c:v>46715.810000000005</c:v>
                </c:pt>
                <c:pt idx="1">
                  <c:v>107905.65000000001</c:v>
                </c:pt>
                <c:pt idx="2">
                  <c:v>79735.05</c:v>
                </c:pt>
                <c:pt idx="3">
                  <c:v>103359.76999999996</c:v>
                </c:pt>
                <c:pt idx="4">
                  <c:v>74929.050000000017</c:v>
                </c:pt>
                <c:pt idx="5">
                  <c:v>68765.929999999993</c:v>
                </c:pt>
                <c:pt idx="6">
                  <c:v>40915.32</c:v>
                </c:pt>
                <c:pt idx="7">
                  <c:v>67352.009999999995</c:v>
                </c:pt>
                <c:pt idx="8">
                  <c:v>34785.619999999995</c:v>
                </c:pt>
                <c:pt idx="9">
                  <c:v>106777.64999999998</c:v>
                </c:pt>
                <c:pt idx="10">
                  <c:v>175263.96999999994</c:v>
                </c:pt>
                <c:pt idx="11">
                  <c:v>68497.739999999991</c:v>
                </c:pt>
              </c:numCache>
            </c:numRef>
          </c:val>
          <c:extLst>
            <c:ext xmlns:c16="http://schemas.microsoft.com/office/drawing/2014/chart" uri="{C3380CC4-5D6E-409C-BE32-E72D297353CC}">
              <c16:uniqueId val="{00000001-A447-429F-8F37-63C3EFA6FA10}"/>
            </c:ext>
          </c:extLst>
        </c:ser>
        <c:ser>
          <c:idx val="3"/>
          <c:order val="3"/>
          <c:tx>
            <c:strRef>
              <c:f>'Monthly Sales'!$E$2:$E$3</c:f>
              <c:strCache>
                <c:ptCount val="1"/>
                <c:pt idx="0">
                  <c:v>Ships</c:v>
                </c:pt>
              </c:strCache>
            </c:strRef>
          </c:tx>
          <c:spPr>
            <a:solidFill>
              <a:schemeClr val="accent4"/>
            </a:solidFill>
            <a:ln>
              <a:noFill/>
            </a:ln>
            <a:effectLst/>
          </c:spPr>
          <c:invertIfNegative val="0"/>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Sales'!$E$4:$E$15</c:f>
              <c:numCache>
                <c:formatCode>\$\ 0.00,\ "K"</c:formatCode>
                <c:ptCount val="12"/>
                <c:pt idx="0">
                  <c:v>61287.399999999994</c:v>
                </c:pt>
                <c:pt idx="1">
                  <c:v>68247.960000000006</c:v>
                </c:pt>
                <c:pt idx="2">
                  <c:v>74341.94</c:v>
                </c:pt>
                <c:pt idx="3">
                  <c:v>33683.449999999997</c:v>
                </c:pt>
                <c:pt idx="4">
                  <c:v>56156.3</c:v>
                </c:pt>
                <c:pt idx="5">
                  <c:v>53274.530000000013</c:v>
                </c:pt>
                <c:pt idx="6">
                  <c:v>22532.619999999995</c:v>
                </c:pt>
                <c:pt idx="7">
                  <c:v>52250.37</c:v>
                </c:pt>
                <c:pt idx="8">
                  <c:v>45715.229999999996</c:v>
                </c:pt>
                <c:pt idx="9">
                  <c:v>79791.740000000005</c:v>
                </c:pt>
                <c:pt idx="10">
                  <c:v>143075.65000000002</c:v>
                </c:pt>
                <c:pt idx="11">
                  <c:v>24079.940000000002</c:v>
                </c:pt>
              </c:numCache>
            </c:numRef>
          </c:val>
          <c:extLst>
            <c:ext xmlns:c16="http://schemas.microsoft.com/office/drawing/2014/chart" uri="{C3380CC4-5D6E-409C-BE32-E72D297353CC}">
              <c16:uniqueId val="{00000002-A447-429F-8F37-63C3EFA6FA10}"/>
            </c:ext>
          </c:extLst>
        </c:ser>
        <c:ser>
          <c:idx val="4"/>
          <c:order val="4"/>
          <c:tx>
            <c:strRef>
              <c:f>'Monthly Sales'!$F$2:$F$3</c:f>
              <c:strCache>
                <c:ptCount val="1"/>
                <c:pt idx="0">
                  <c:v>Trains</c:v>
                </c:pt>
              </c:strCache>
            </c:strRef>
          </c:tx>
          <c:spPr>
            <a:solidFill>
              <a:schemeClr val="accent5"/>
            </a:solidFill>
            <a:ln>
              <a:noFill/>
            </a:ln>
            <a:effectLst/>
          </c:spPr>
          <c:invertIfNegative val="0"/>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Sales'!$F$4:$F$15</c:f>
              <c:numCache>
                <c:formatCode>\$\ 0.00,\ "K"</c:formatCode>
                <c:ptCount val="12"/>
                <c:pt idx="0">
                  <c:v>19026.580000000002</c:v>
                </c:pt>
                <c:pt idx="1">
                  <c:v>16507.949999999997</c:v>
                </c:pt>
                <c:pt idx="2">
                  <c:v>22581.269999999997</c:v>
                </c:pt>
                <c:pt idx="3">
                  <c:v>4756.47</c:v>
                </c:pt>
                <c:pt idx="4">
                  <c:v>20457.34</c:v>
                </c:pt>
                <c:pt idx="5">
                  <c:v>10071.060000000001</c:v>
                </c:pt>
                <c:pt idx="6">
                  <c:v>10802.2</c:v>
                </c:pt>
                <c:pt idx="7">
                  <c:v>16168.12</c:v>
                </c:pt>
                <c:pt idx="8">
                  <c:v>12479.84</c:v>
                </c:pt>
                <c:pt idx="9">
                  <c:v>25416.870000000003</c:v>
                </c:pt>
                <c:pt idx="10">
                  <c:v>44794.63</c:v>
                </c:pt>
                <c:pt idx="11">
                  <c:v>23181.14</c:v>
                </c:pt>
              </c:numCache>
            </c:numRef>
          </c:val>
          <c:extLst>
            <c:ext xmlns:c16="http://schemas.microsoft.com/office/drawing/2014/chart" uri="{C3380CC4-5D6E-409C-BE32-E72D297353CC}">
              <c16:uniqueId val="{00000003-A447-429F-8F37-63C3EFA6FA10}"/>
            </c:ext>
          </c:extLst>
        </c:ser>
        <c:ser>
          <c:idx val="5"/>
          <c:order val="5"/>
          <c:tx>
            <c:strRef>
              <c:f>'Monthly Sales'!$G$2:$G$3</c:f>
              <c:strCache>
                <c:ptCount val="1"/>
                <c:pt idx="0">
                  <c:v>Trucks and Buses</c:v>
                </c:pt>
              </c:strCache>
            </c:strRef>
          </c:tx>
          <c:spPr>
            <a:solidFill>
              <a:schemeClr val="accent6"/>
            </a:solidFill>
            <a:ln>
              <a:noFill/>
            </a:ln>
            <a:effectLst/>
          </c:spPr>
          <c:invertIfNegative val="0"/>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Sales'!$G$4:$G$15</c:f>
              <c:numCache>
                <c:formatCode>\$\ 0.00,\ "K"</c:formatCode>
                <c:ptCount val="12"/>
                <c:pt idx="0">
                  <c:v>78530.63</c:v>
                </c:pt>
                <c:pt idx="1">
                  <c:v>68211.070000000007</c:v>
                </c:pt>
                <c:pt idx="2">
                  <c:v>61877.340000000004</c:v>
                </c:pt>
                <c:pt idx="3">
                  <c:v>28790.76</c:v>
                </c:pt>
                <c:pt idx="4">
                  <c:v>151270.15000000005</c:v>
                </c:pt>
                <c:pt idx="5">
                  <c:v>60777.509999999995</c:v>
                </c:pt>
                <c:pt idx="6">
                  <c:v>64270.07</c:v>
                </c:pt>
                <c:pt idx="7">
                  <c:v>49943.29</c:v>
                </c:pt>
                <c:pt idx="8">
                  <c:v>85297.650000000023</c:v>
                </c:pt>
                <c:pt idx="9">
                  <c:v>123813.57</c:v>
                </c:pt>
                <c:pt idx="10">
                  <c:v>250874.06</c:v>
                </c:pt>
                <c:pt idx="11">
                  <c:v>104133.73999999999</c:v>
                </c:pt>
              </c:numCache>
            </c:numRef>
          </c:val>
          <c:extLst>
            <c:ext xmlns:c16="http://schemas.microsoft.com/office/drawing/2014/chart" uri="{C3380CC4-5D6E-409C-BE32-E72D297353CC}">
              <c16:uniqueId val="{00000004-A447-429F-8F37-63C3EFA6FA10}"/>
            </c:ext>
          </c:extLst>
        </c:ser>
        <c:ser>
          <c:idx val="6"/>
          <c:order val="6"/>
          <c:tx>
            <c:strRef>
              <c:f>'Monthly Sales'!$H$2:$H$3</c:f>
              <c:strCache>
                <c:ptCount val="1"/>
                <c:pt idx="0">
                  <c:v>Vintage Cars</c:v>
                </c:pt>
              </c:strCache>
            </c:strRef>
          </c:tx>
          <c:spPr>
            <a:solidFill>
              <a:schemeClr val="accent1">
                <a:lumMod val="60000"/>
              </a:schemeClr>
            </a:solidFill>
            <a:ln>
              <a:noFill/>
            </a:ln>
            <a:effectLst/>
          </c:spPr>
          <c:invertIfNegative val="0"/>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Sales'!$H$4:$H$15</c:f>
              <c:numCache>
                <c:formatCode>\$\ 0.00,\ "K"</c:formatCode>
                <c:ptCount val="12"/>
                <c:pt idx="0">
                  <c:v>196129.57999999996</c:v>
                </c:pt>
                <c:pt idx="1">
                  <c:v>127119.79000000004</c:v>
                </c:pt>
                <c:pt idx="2">
                  <c:v>177935.26999999996</c:v>
                </c:pt>
                <c:pt idx="3">
                  <c:v>115941.63000000003</c:v>
                </c:pt>
                <c:pt idx="4">
                  <c:v>146877</c:v>
                </c:pt>
                <c:pt idx="5">
                  <c:v>74568.349999999991</c:v>
                </c:pt>
                <c:pt idx="6">
                  <c:v>70364.58</c:v>
                </c:pt>
                <c:pt idx="7">
                  <c:v>101424.51000000002</c:v>
                </c:pt>
                <c:pt idx="8">
                  <c:v>126146.21999999999</c:v>
                </c:pt>
                <c:pt idx="9">
                  <c:v>216763.5400000001</c:v>
                </c:pt>
                <c:pt idx="10">
                  <c:v>418663.74000000017</c:v>
                </c:pt>
                <c:pt idx="11">
                  <c:v>131216.63</c:v>
                </c:pt>
              </c:numCache>
            </c:numRef>
          </c:val>
          <c:extLst>
            <c:ext xmlns:c16="http://schemas.microsoft.com/office/drawing/2014/chart" uri="{C3380CC4-5D6E-409C-BE32-E72D297353CC}">
              <c16:uniqueId val="{00000005-A447-429F-8F37-63C3EFA6FA10}"/>
            </c:ext>
          </c:extLst>
        </c:ser>
        <c:dLbls>
          <c:showLegendKey val="0"/>
          <c:showVal val="0"/>
          <c:showCatName val="0"/>
          <c:showSerName val="0"/>
          <c:showPercent val="0"/>
          <c:showBubbleSize val="0"/>
        </c:dLbls>
        <c:gapWidth val="150"/>
        <c:overlap val="100"/>
        <c:axId val="417129296"/>
        <c:axId val="417127984"/>
      </c:barChart>
      <c:catAx>
        <c:axId val="417129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7127984"/>
        <c:crosses val="autoZero"/>
        <c:auto val="1"/>
        <c:lblAlgn val="ctr"/>
        <c:lblOffset val="100"/>
        <c:noMultiLvlLbl val="0"/>
      </c:catAx>
      <c:valAx>
        <c:axId val="417127984"/>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7129296"/>
        <c:crosses val="autoZero"/>
        <c:crossBetween val="between"/>
      </c:valAx>
      <c:spPr>
        <a:noFill/>
        <a:ln>
          <a:noFill/>
        </a:ln>
        <a:effectLst/>
      </c:spPr>
    </c:plotArea>
    <c:legend>
      <c:legendPos val="r"/>
      <c:layout>
        <c:manualLayout>
          <c:xMode val="edge"/>
          <c:yMode val="edge"/>
          <c:x val="0.78348870308870566"/>
          <c:y val="4.4708475289717213E-2"/>
          <c:w val="0.19205827444069967"/>
          <c:h val="0.610718651776325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AMLAN AGASTI.xlsx]TOP 10 Customer!PivotTable5</c:name>
    <c:fmtId val="2"/>
  </c:pivotSource>
  <c:chart>
    <c:autoTitleDeleted val="0"/>
    <c:pivotFmts>
      <c:pivotFmt>
        <c:idx val="0"/>
        <c:spPr>
          <a:solidFill>
            <a:schemeClr val="accent1">
              <a:lumMod val="75000"/>
            </a:schemeClr>
          </a:solidFill>
          <a:ln>
            <a:noFill/>
          </a:ln>
          <a:effectLst/>
        </c:spPr>
        <c:marker>
          <c:symbol val="none"/>
        </c:marker>
      </c:pivotFmt>
      <c:pivotFmt>
        <c:idx val="1"/>
        <c:spPr>
          <a:solidFill>
            <a:schemeClr val="accent4">
              <a:lumMod val="40000"/>
              <a:lumOff val="60000"/>
            </a:schemeClr>
          </a:solidFill>
          <a:ln>
            <a:noFill/>
          </a:ln>
          <a:effectLst/>
        </c:spPr>
        <c:marker>
          <c:symbol val="none"/>
        </c:marker>
      </c:pivotFmt>
      <c:pivotFmt>
        <c:idx val="2"/>
        <c:spPr>
          <a:solidFill>
            <a:schemeClr val="accent4">
              <a:lumMod val="40000"/>
              <a:lumOff val="60000"/>
            </a:schemeClr>
          </a:solidFill>
          <a:ln>
            <a:noFill/>
          </a:ln>
          <a:effectLst/>
        </c:spPr>
        <c:marker>
          <c:symbol val="none"/>
        </c:marker>
      </c:pivotFmt>
      <c:pivotFmt>
        <c:idx val="3"/>
        <c:spPr>
          <a:solidFill>
            <a:schemeClr val="accent1">
              <a:lumMod val="75000"/>
            </a:schemeClr>
          </a:solidFill>
          <a:ln>
            <a:noFill/>
          </a:ln>
          <a:effectLst/>
        </c:spPr>
        <c:marker>
          <c:symbol val="none"/>
        </c:marker>
      </c:pivotFmt>
      <c:pivotFmt>
        <c:idx val="4"/>
        <c:spPr>
          <a:solidFill>
            <a:schemeClr val="accent1">
              <a:lumMod val="75000"/>
            </a:schemeClr>
          </a:solidFill>
          <a:ln>
            <a:noFill/>
          </a:ln>
          <a:effectLst/>
        </c:spPr>
        <c:marker>
          <c:symbol val="none"/>
        </c:marker>
      </c:pivotFmt>
      <c:pivotFmt>
        <c:idx val="5"/>
        <c:spPr>
          <a:solidFill>
            <a:schemeClr val="bg2"/>
          </a:solidFill>
          <a:ln>
            <a:noFill/>
          </a:ln>
          <a:effectLst/>
        </c:spPr>
        <c:marker>
          <c:symbol val="none"/>
        </c:marker>
      </c:pivotFmt>
    </c:pivotFmts>
    <c:plotArea>
      <c:layout/>
      <c:areaChart>
        <c:grouping val="standard"/>
        <c:varyColors val="0"/>
        <c:ser>
          <c:idx val="1"/>
          <c:order val="1"/>
          <c:tx>
            <c:strRef>
              <c:f>'TOP 10 Customer'!$C$2</c:f>
              <c:strCache>
                <c:ptCount val="1"/>
                <c:pt idx="0">
                  <c:v>Sum of SALES</c:v>
                </c:pt>
              </c:strCache>
            </c:strRef>
          </c:tx>
          <c:spPr>
            <a:solidFill>
              <a:schemeClr val="accent1">
                <a:lumMod val="75000"/>
              </a:schemeClr>
            </a:solidFill>
            <a:ln>
              <a:noFill/>
            </a:ln>
            <a:effectLst/>
          </c:spPr>
          <c:cat>
            <c:strRef>
              <c:f>'TOP 10 Customer'!$A$3:$A$13</c:f>
              <c:strCache>
                <c:ptCount val="10"/>
                <c:pt idx="0">
                  <c:v>Euro Shopping Channel</c:v>
                </c:pt>
                <c:pt idx="1">
                  <c:v>Mini Gifts Distributors Ltd.</c:v>
                </c:pt>
                <c:pt idx="2">
                  <c:v>Australian Collectors, Co.</c:v>
                </c:pt>
                <c:pt idx="3">
                  <c:v>Muscle Machine Inc</c:v>
                </c:pt>
                <c:pt idx="4">
                  <c:v>La Rochelle Gifts</c:v>
                </c:pt>
                <c:pt idx="5">
                  <c:v>Land of Toys Inc.</c:v>
                </c:pt>
                <c:pt idx="6">
                  <c:v>The Sharp Gifts Warehouse</c:v>
                </c:pt>
                <c:pt idx="7">
                  <c:v>AV Stores, Co.</c:v>
                </c:pt>
                <c:pt idx="8">
                  <c:v>Souveniers And Things Co.</c:v>
                </c:pt>
                <c:pt idx="9">
                  <c:v>Rovelli Gifts</c:v>
                </c:pt>
              </c:strCache>
            </c:strRef>
          </c:cat>
          <c:val>
            <c:numRef>
              <c:f>'TOP 10 Customer'!$C$3:$C$13</c:f>
              <c:numCache>
                <c:formatCode>\$\ 0.00,\ "K"</c:formatCode>
                <c:ptCount val="10"/>
                <c:pt idx="0">
                  <c:v>912294.11000000022</c:v>
                </c:pt>
                <c:pt idx="1">
                  <c:v>654858.06000000006</c:v>
                </c:pt>
                <c:pt idx="2">
                  <c:v>200995.40999999997</c:v>
                </c:pt>
                <c:pt idx="3">
                  <c:v>197736.93999999997</c:v>
                </c:pt>
                <c:pt idx="4">
                  <c:v>180124.9</c:v>
                </c:pt>
                <c:pt idx="5">
                  <c:v>164069.44000000003</c:v>
                </c:pt>
                <c:pt idx="6">
                  <c:v>160010.26999999996</c:v>
                </c:pt>
                <c:pt idx="7">
                  <c:v>157807.80999999997</c:v>
                </c:pt>
                <c:pt idx="8">
                  <c:v>151570.98000000004</c:v>
                </c:pt>
                <c:pt idx="9">
                  <c:v>137955.72000000003</c:v>
                </c:pt>
              </c:numCache>
            </c:numRef>
          </c:val>
          <c:extLst>
            <c:ext xmlns:c16="http://schemas.microsoft.com/office/drawing/2014/chart" uri="{C3380CC4-5D6E-409C-BE32-E72D297353CC}">
              <c16:uniqueId val="{00000000-78E6-4223-8CE9-B73E359A869F}"/>
            </c:ext>
          </c:extLst>
        </c:ser>
        <c:dLbls>
          <c:showLegendKey val="0"/>
          <c:showVal val="0"/>
          <c:showCatName val="0"/>
          <c:showSerName val="0"/>
          <c:showPercent val="0"/>
          <c:showBubbleSize val="0"/>
        </c:dLbls>
        <c:axId val="632767592"/>
        <c:axId val="632767920"/>
      </c:areaChart>
      <c:barChart>
        <c:barDir val="col"/>
        <c:grouping val="clustered"/>
        <c:varyColors val="0"/>
        <c:ser>
          <c:idx val="0"/>
          <c:order val="0"/>
          <c:tx>
            <c:strRef>
              <c:f>'TOP 10 Customer'!$B$2</c:f>
              <c:strCache>
                <c:ptCount val="1"/>
                <c:pt idx="0">
                  <c:v>Sum of QUANTITYORDERED</c:v>
                </c:pt>
              </c:strCache>
            </c:strRef>
          </c:tx>
          <c:spPr>
            <a:solidFill>
              <a:schemeClr val="bg2"/>
            </a:solidFill>
            <a:ln>
              <a:noFill/>
            </a:ln>
            <a:effectLst/>
          </c:spPr>
          <c:invertIfNegative val="0"/>
          <c:cat>
            <c:strRef>
              <c:f>'TOP 10 Customer'!$A$3:$A$13</c:f>
              <c:strCache>
                <c:ptCount val="10"/>
                <c:pt idx="0">
                  <c:v>Euro Shopping Channel</c:v>
                </c:pt>
                <c:pt idx="1">
                  <c:v>Mini Gifts Distributors Ltd.</c:v>
                </c:pt>
                <c:pt idx="2">
                  <c:v>Australian Collectors, Co.</c:v>
                </c:pt>
                <c:pt idx="3">
                  <c:v>Muscle Machine Inc</c:v>
                </c:pt>
                <c:pt idx="4">
                  <c:v>La Rochelle Gifts</c:v>
                </c:pt>
                <c:pt idx="5">
                  <c:v>Land of Toys Inc.</c:v>
                </c:pt>
                <c:pt idx="6">
                  <c:v>The Sharp Gifts Warehouse</c:v>
                </c:pt>
                <c:pt idx="7">
                  <c:v>AV Stores, Co.</c:v>
                </c:pt>
                <c:pt idx="8">
                  <c:v>Souveniers And Things Co.</c:v>
                </c:pt>
                <c:pt idx="9">
                  <c:v>Rovelli Gifts</c:v>
                </c:pt>
              </c:strCache>
            </c:strRef>
          </c:cat>
          <c:val>
            <c:numRef>
              <c:f>'TOP 10 Customer'!$B$3:$B$13</c:f>
              <c:numCache>
                <c:formatCode>General</c:formatCode>
                <c:ptCount val="10"/>
                <c:pt idx="0">
                  <c:v>9327</c:v>
                </c:pt>
                <c:pt idx="1">
                  <c:v>6366</c:v>
                </c:pt>
                <c:pt idx="2">
                  <c:v>1926</c:v>
                </c:pt>
                <c:pt idx="3">
                  <c:v>1775</c:v>
                </c:pt>
                <c:pt idx="4">
                  <c:v>1832</c:v>
                </c:pt>
                <c:pt idx="5">
                  <c:v>1631</c:v>
                </c:pt>
                <c:pt idx="6">
                  <c:v>1656</c:v>
                </c:pt>
                <c:pt idx="7">
                  <c:v>1778</c:v>
                </c:pt>
                <c:pt idx="8">
                  <c:v>1601</c:v>
                </c:pt>
                <c:pt idx="9">
                  <c:v>1650</c:v>
                </c:pt>
              </c:numCache>
            </c:numRef>
          </c:val>
          <c:extLst>
            <c:ext xmlns:c16="http://schemas.microsoft.com/office/drawing/2014/chart" uri="{C3380CC4-5D6E-409C-BE32-E72D297353CC}">
              <c16:uniqueId val="{00000001-78E6-4223-8CE9-B73E359A869F}"/>
            </c:ext>
          </c:extLst>
        </c:ser>
        <c:dLbls>
          <c:showLegendKey val="0"/>
          <c:showVal val="0"/>
          <c:showCatName val="0"/>
          <c:showSerName val="0"/>
          <c:showPercent val="0"/>
          <c:showBubbleSize val="0"/>
        </c:dLbls>
        <c:gapWidth val="70"/>
        <c:axId val="632761360"/>
        <c:axId val="632766280"/>
      </c:barChart>
      <c:catAx>
        <c:axId val="632767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32767920"/>
        <c:crosses val="autoZero"/>
        <c:auto val="1"/>
        <c:lblAlgn val="ctr"/>
        <c:lblOffset val="100"/>
        <c:noMultiLvlLbl val="0"/>
      </c:catAx>
      <c:valAx>
        <c:axId val="632767920"/>
        <c:scaling>
          <c:orientation val="minMax"/>
        </c:scaling>
        <c:delete val="0"/>
        <c:axPos val="l"/>
        <c:numFmt formatCode="\$\ 0,\ &quot;K&quot;" sourceLinked="0"/>
        <c:majorTickMark val="none"/>
        <c:minorTickMark val="none"/>
        <c:tickLblPos val="nextTo"/>
        <c:spPr>
          <a:noFill/>
          <a:ln w="6350" cap="flat" cmpd="sng" algn="ctr">
            <a:solidFill>
              <a:schemeClr val="accent6"/>
            </a:solidFill>
            <a:prstDash val="solid"/>
            <a:miter lim="800000"/>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32767592"/>
        <c:crosses val="autoZero"/>
        <c:crossBetween val="between"/>
      </c:valAx>
      <c:valAx>
        <c:axId val="6327662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32761360"/>
        <c:crosses val="max"/>
        <c:crossBetween val="between"/>
      </c:valAx>
      <c:catAx>
        <c:axId val="632761360"/>
        <c:scaling>
          <c:orientation val="minMax"/>
        </c:scaling>
        <c:delete val="1"/>
        <c:axPos val="b"/>
        <c:numFmt formatCode="General" sourceLinked="1"/>
        <c:majorTickMark val="out"/>
        <c:minorTickMark val="none"/>
        <c:tickLblPos val="nextTo"/>
        <c:crossAx val="63276628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AMLAN AGASTI.xlsx]Territory With Highest Sales!PivotTable1</c:name>
    <c:fmtId val="32"/>
  </c:pivotSource>
  <c:chart>
    <c:autoTitleDeleted val="1"/>
    <c:pivotFmts>
      <c:pivotFmt>
        <c:idx val="0"/>
        <c:spPr>
          <a:solidFill>
            <a:schemeClr val="accent1">
              <a:lumMod val="75000"/>
            </a:schemeClr>
          </a:solidFill>
          <a:ln>
            <a:noFill/>
          </a:ln>
          <a:effectLst>
            <a:outerShdw blurRad="57150" dist="19050" dir="5400000" algn="ctr" rotWithShape="0">
              <a:srgbClr val="000000">
                <a:alpha val="63000"/>
              </a:srgbClr>
            </a:outerShdw>
          </a:effectLst>
        </c:spPr>
        <c:marker>
          <c:symbol val="none"/>
        </c:marker>
      </c:pivotFmt>
      <c:pivotFmt>
        <c:idx val="1"/>
        <c:spPr>
          <a:solidFill>
            <a:schemeClr val="accent4">
              <a:lumMod val="40000"/>
              <a:lumOff val="60000"/>
            </a:schemeClr>
          </a:solidFill>
          <a:ln>
            <a:noFill/>
          </a:ln>
          <a:effectLst>
            <a:glow rad="38100">
              <a:schemeClr val="accent1">
                <a:alpha val="16000"/>
              </a:schemeClr>
            </a:glow>
            <a:softEdge rad="0"/>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pivotFmt>
      <c:pivotFmt>
        <c:idx val="4"/>
      </c:pivotFmt>
      <c:pivotFmt>
        <c:idx val="5"/>
      </c:pivotFmt>
      <c:pivotFmt>
        <c:idx val="6"/>
      </c:pivotFmt>
      <c:pivotFmt>
        <c:idx val="7"/>
      </c:pivotFmt>
      <c:pivotFmt>
        <c:idx val="8"/>
      </c:pivotFmt>
      <c:pivotFmt>
        <c:idx val="9"/>
      </c:pivotFmt>
      <c:pivotFmt>
        <c:idx val="10"/>
        <c:spPr>
          <a:solidFill>
            <a:schemeClr val="accent4">
              <a:lumMod val="40000"/>
              <a:lumOff val="60000"/>
            </a:schemeClr>
          </a:solidFill>
          <a:ln>
            <a:noFill/>
          </a:ln>
          <a:effectLst>
            <a:glow rad="38100">
              <a:schemeClr val="accent1">
                <a:alpha val="16000"/>
              </a:schemeClr>
            </a:glow>
            <a:softEdge rad="0"/>
          </a:effectLst>
        </c:spPr>
        <c:marker>
          <c:symbol val="none"/>
        </c:marker>
      </c:pivotFmt>
      <c:pivotFmt>
        <c:idx val="11"/>
        <c:spPr>
          <a:solidFill>
            <a:schemeClr val="accent1">
              <a:lumMod val="75000"/>
            </a:schemeClr>
          </a:solidFill>
          <a:ln>
            <a:noFill/>
          </a:ln>
          <a:effectLst>
            <a:outerShdw blurRad="57150" dist="19050" dir="5400000" algn="ctr" rotWithShape="0">
              <a:srgbClr val="000000">
                <a:alpha val="63000"/>
              </a:srgbClr>
            </a:outerShdw>
          </a:effectLst>
        </c:spPr>
        <c:marker>
          <c:symbol val="none"/>
        </c:marker>
      </c:pivotFmt>
      <c:pivotFmt>
        <c:idx val="12"/>
        <c:spPr>
          <a:solidFill>
            <a:schemeClr val="accent1">
              <a:lumMod val="75000"/>
            </a:schemeClr>
          </a:solidFill>
          <a:ln>
            <a:noFill/>
          </a:ln>
          <a:effectLst>
            <a:glow rad="38100">
              <a:schemeClr val="accent1">
                <a:alpha val="16000"/>
              </a:schemeClr>
            </a:glow>
            <a:softEdge rad="0"/>
          </a:effectLst>
        </c:spPr>
        <c:marker>
          <c:symbol val="none"/>
        </c:marker>
      </c:pivotFmt>
      <c:pivotFmt>
        <c:idx val="13"/>
        <c:spPr>
          <a:solidFill>
            <a:schemeClr val="bg2"/>
          </a:soli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8.4982449482971262E-2"/>
          <c:y val="0.10662854475967627"/>
          <c:w val="0.75449183525415708"/>
          <c:h val="0.54071915598426723"/>
        </c:manualLayout>
      </c:layout>
      <c:areaChart>
        <c:grouping val="stacked"/>
        <c:varyColors val="0"/>
        <c:ser>
          <c:idx val="1"/>
          <c:order val="1"/>
          <c:tx>
            <c:strRef>
              <c:f>'Territory With Highest Sales'!$C$2</c:f>
              <c:strCache>
                <c:ptCount val="1"/>
                <c:pt idx="0">
                  <c:v>Sum of SALES</c:v>
                </c:pt>
              </c:strCache>
            </c:strRef>
          </c:tx>
          <c:spPr>
            <a:solidFill>
              <a:schemeClr val="accent1">
                <a:lumMod val="75000"/>
              </a:schemeClr>
            </a:solidFill>
            <a:ln>
              <a:noFill/>
            </a:ln>
            <a:effectLst>
              <a:glow rad="38100">
                <a:schemeClr val="accent1">
                  <a:alpha val="16000"/>
                </a:schemeClr>
              </a:glow>
              <a:softEdge rad="0"/>
            </a:effectLst>
          </c:spPr>
          <c:cat>
            <c:multiLvlStrRef>
              <c:f>'Territory With Highest Sales'!$A$3:$A$21</c:f>
              <c:multiLvlStrCache>
                <c:ptCount val="15"/>
                <c:lvl>
                  <c:pt idx="0">
                    <c:v>Disputed</c:v>
                  </c:pt>
                  <c:pt idx="1">
                    <c:v>In Process</c:v>
                  </c:pt>
                  <c:pt idx="2">
                    <c:v>Shipped</c:v>
                  </c:pt>
                  <c:pt idx="3">
                    <c:v>Cancelled</c:v>
                  </c:pt>
                  <c:pt idx="4">
                    <c:v>Disputed</c:v>
                  </c:pt>
                  <c:pt idx="5">
                    <c:v>In Process</c:v>
                  </c:pt>
                  <c:pt idx="6">
                    <c:v>On Hold</c:v>
                  </c:pt>
                  <c:pt idx="7">
                    <c:v>Resolved</c:v>
                  </c:pt>
                  <c:pt idx="8">
                    <c:v>Shipped</c:v>
                  </c:pt>
                  <c:pt idx="9">
                    <c:v>Shipped</c:v>
                  </c:pt>
                  <c:pt idx="10">
                    <c:v>Cancelled</c:v>
                  </c:pt>
                  <c:pt idx="11">
                    <c:v>In Process</c:v>
                  </c:pt>
                  <c:pt idx="12">
                    <c:v>On Hold</c:v>
                  </c:pt>
                  <c:pt idx="13">
                    <c:v>Resolved</c:v>
                  </c:pt>
                  <c:pt idx="14">
                    <c:v>Shipped</c:v>
                  </c:pt>
                </c:lvl>
                <c:lvl>
                  <c:pt idx="0">
                    <c:v>APAC</c:v>
                  </c:pt>
                  <c:pt idx="3">
                    <c:v>EMEA</c:v>
                  </c:pt>
                  <c:pt idx="9">
                    <c:v>Japan</c:v>
                  </c:pt>
                  <c:pt idx="10">
                    <c:v>NA</c:v>
                  </c:pt>
                </c:lvl>
              </c:multiLvlStrCache>
            </c:multiLvlStrRef>
          </c:cat>
          <c:val>
            <c:numRef>
              <c:f>'Territory With Highest Sales'!$C$3:$C$21</c:f>
              <c:numCache>
                <c:formatCode>\$\ 0.00,\ "K"</c:formatCode>
                <c:ptCount val="15"/>
                <c:pt idx="0">
                  <c:v>14378.09</c:v>
                </c:pt>
                <c:pt idx="1">
                  <c:v>43971.43</c:v>
                </c:pt>
                <c:pt idx="2">
                  <c:v>687772.31000000017</c:v>
                </c:pt>
                <c:pt idx="3">
                  <c:v>149129.82</c:v>
                </c:pt>
                <c:pt idx="4">
                  <c:v>57834.770000000004</c:v>
                </c:pt>
                <c:pt idx="5">
                  <c:v>87329.98000000001</c:v>
                </c:pt>
                <c:pt idx="6">
                  <c:v>26260.210000000003</c:v>
                </c:pt>
                <c:pt idx="7">
                  <c:v>106444.92000000001</c:v>
                </c:pt>
                <c:pt idx="8">
                  <c:v>4552272.7099999934</c:v>
                </c:pt>
                <c:pt idx="9">
                  <c:v>455173.2200000002</c:v>
                </c:pt>
                <c:pt idx="10">
                  <c:v>45357.659999999996</c:v>
                </c:pt>
                <c:pt idx="11">
                  <c:v>13428.55</c:v>
                </c:pt>
                <c:pt idx="12">
                  <c:v>152718.97999999998</c:v>
                </c:pt>
                <c:pt idx="13">
                  <c:v>44273.359999999993</c:v>
                </c:pt>
                <c:pt idx="14">
                  <c:v>3596282.8399999989</c:v>
                </c:pt>
              </c:numCache>
            </c:numRef>
          </c:val>
          <c:extLst>
            <c:ext xmlns:c16="http://schemas.microsoft.com/office/drawing/2014/chart" uri="{C3380CC4-5D6E-409C-BE32-E72D297353CC}">
              <c16:uniqueId val="{00000000-FB54-4F45-BC73-659274D2295B}"/>
            </c:ext>
          </c:extLst>
        </c:ser>
        <c:dLbls>
          <c:showLegendKey val="0"/>
          <c:showVal val="0"/>
          <c:showCatName val="0"/>
          <c:showSerName val="0"/>
          <c:showPercent val="0"/>
          <c:showBubbleSize val="0"/>
        </c:dLbls>
        <c:axId val="497882088"/>
        <c:axId val="497873888"/>
      </c:areaChart>
      <c:barChart>
        <c:barDir val="col"/>
        <c:grouping val="clustered"/>
        <c:varyColors val="0"/>
        <c:ser>
          <c:idx val="0"/>
          <c:order val="0"/>
          <c:tx>
            <c:strRef>
              <c:f>'Territory With Highest Sales'!$B$2</c:f>
              <c:strCache>
                <c:ptCount val="1"/>
                <c:pt idx="0">
                  <c:v>Deal Size</c:v>
                </c:pt>
              </c:strCache>
            </c:strRef>
          </c:tx>
          <c:spPr>
            <a:solidFill>
              <a:schemeClr val="bg2"/>
            </a:solidFill>
            <a:ln>
              <a:noFill/>
            </a:ln>
            <a:effectLst>
              <a:outerShdw blurRad="57150" dist="19050" dir="5400000" algn="ctr" rotWithShape="0">
                <a:srgbClr val="000000">
                  <a:alpha val="63000"/>
                </a:srgbClr>
              </a:outerShdw>
            </a:effectLst>
          </c:spPr>
          <c:invertIfNegative val="0"/>
          <c:dPt>
            <c:idx val="1"/>
            <c:invertIfNegative val="0"/>
            <c:bubble3D val="0"/>
            <c:extLst>
              <c:ext xmlns:c16="http://schemas.microsoft.com/office/drawing/2014/chart" uri="{C3380CC4-5D6E-409C-BE32-E72D297353CC}">
                <c16:uniqueId val="{00000001-FB54-4F45-BC73-659274D2295B}"/>
              </c:ext>
            </c:extLst>
          </c:dPt>
          <c:cat>
            <c:multiLvlStrRef>
              <c:f>'Territory With Highest Sales'!$A$3:$A$21</c:f>
              <c:multiLvlStrCache>
                <c:ptCount val="15"/>
                <c:lvl>
                  <c:pt idx="0">
                    <c:v>Disputed</c:v>
                  </c:pt>
                  <c:pt idx="1">
                    <c:v>In Process</c:v>
                  </c:pt>
                  <c:pt idx="2">
                    <c:v>Shipped</c:v>
                  </c:pt>
                  <c:pt idx="3">
                    <c:v>Cancelled</c:v>
                  </c:pt>
                  <c:pt idx="4">
                    <c:v>Disputed</c:v>
                  </c:pt>
                  <c:pt idx="5">
                    <c:v>In Process</c:v>
                  </c:pt>
                  <c:pt idx="6">
                    <c:v>On Hold</c:v>
                  </c:pt>
                  <c:pt idx="7">
                    <c:v>Resolved</c:v>
                  </c:pt>
                  <c:pt idx="8">
                    <c:v>Shipped</c:v>
                  </c:pt>
                  <c:pt idx="9">
                    <c:v>Shipped</c:v>
                  </c:pt>
                  <c:pt idx="10">
                    <c:v>Cancelled</c:v>
                  </c:pt>
                  <c:pt idx="11">
                    <c:v>In Process</c:v>
                  </c:pt>
                  <c:pt idx="12">
                    <c:v>On Hold</c:v>
                  </c:pt>
                  <c:pt idx="13">
                    <c:v>Resolved</c:v>
                  </c:pt>
                  <c:pt idx="14">
                    <c:v>Shipped</c:v>
                  </c:pt>
                </c:lvl>
                <c:lvl>
                  <c:pt idx="0">
                    <c:v>APAC</c:v>
                  </c:pt>
                  <c:pt idx="3">
                    <c:v>EMEA</c:v>
                  </c:pt>
                  <c:pt idx="9">
                    <c:v>Japan</c:v>
                  </c:pt>
                  <c:pt idx="10">
                    <c:v>NA</c:v>
                  </c:pt>
                </c:lvl>
              </c:multiLvlStrCache>
            </c:multiLvlStrRef>
          </c:cat>
          <c:val>
            <c:numRef>
              <c:f>'Territory With Highest Sales'!$B$3:$B$21</c:f>
              <c:numCache>
                <c:formatCode>General</c:formatCode>
                <c:ptCount val="15"/>
                <c:pt idx="0">
                  <c:v>5</c:v>
                </c:pt>
                <c:pt idx="1">
                  <c:v>13</c:v>
                </c:pt>
                <c:pt idx="2">
                  <c:v>203</c:v>
                </c:pt>
                <c:pt idx="3">
                  <c:v>46</c:v>
                </c:pt>
                <c:pt idx="4">
                  <c:v>9</c:v>
                </c:pt>
                <c:pt idx="5">
                  <c:v>24</c:v>
                </c:pt>
                <c:pt idx="6">
                  <c:v>6</c:v>
                </c:pt>
                <c:pt idx="7">
                  <c:v>34</c:v>
                </c:pt>
                <c:pt idx="8">
                  <c:v>1288</c:v>
                </c:pt>
                <c:pt idx="9">
                  <c:v>121</c:v>
                </c:pt>
                <c:pt idx="10">
                  <c:v>14</c:v>
                </c:pt>
                <c:pt idx="11">
                  <c:v>4</c:v>
                </c:pt>
                <c:pt idx="12">
                  <c:v>38</c:v>
                </c:pt>
                <c:pt idx="13">
                  <c:v>13</c:v>
                </c:pt>
                <c:pt idx="14">
                  <c:v>1005</c:v>
                </c:pt>
              </c:numCache>
            </c:numRef>
          </c:val>
          <c:extLst>
            <c:ext xmlns:c16="http://schemas.microsoft.com/office/drawing/2014/chart" uri="{C3380CC4-5D6E-409C-BE32-E72D297353CC}">
              <c16:uniqueId val="{00000002-FB54-4F45-BC73-659274D2295B}"/>
            </c:ext>
          </c:extLst>
        </c:ser>
        <c:dLbls>
          <c:showLegendKey val="0"/>
          <c:showVal val="0"/>
          <c:showCatName val="0"/>
          <c:showSerName val="0"/>
          <c:showPercent val="0"/>
          <c:showBubbleSize val="0"/>
        </c:dLbls>
        <c:gapWidth val="40"/>
        <c:axId val="497877496"/>
        <c:axId val="497877824"/>
      </c:barChart>
      <c:catAx>
        <c:axId val="4978774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7877824"/>
        <c:crosses val="autoZero"/>
        <c:auto val="1"/>
        <c:lblAlgn val="ctr"/>
        <c:lblOffset val="100"/>
        <c:noMultiLvlLbl val="0"/>
      </c:catAx>
      <c:valAx>
        <c:axId val="497877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7877496"/>
        <c:crosses val="autoZero"/>
        <c:crossBetween val="between"/>
      </c:valAx>
      <c:valAx>
        <c:axId val="497873888"/>
        <c:scaling>
          <c:orientation val="minMax"/>
        </c:scaling>
        <c:delete val="0"/>
        <c:axPos val="r"/>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7882088"/>
        <c:crosses val="max"/>
        <c:crossBetween val="between"/>
      </c:valAx>
      <c:catAx>
        <c:axId val="497882088"/>
        <c:scaling>
          <c:orientation val="minMax"/>
        </c:scaling>
        <c:delete val="1"/>
        <c:axPos val="b"/>
        <c:numFmt formatCode="General" sourceLinked="1"/>
        <c:majorTickMark val="none"/>
        <c:minorTickMark val="none"/>
        <c:tickLblPos val="nextTo"/>
        <c:crossAx val="49787388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Dashboard  By AMLAN AGASTI.xlsx]Top 10 PRODUCT!PivotTable2</c:name>
    <c:fmtId val="10"/>
  </c:pivotSource>
  <c:chart>
    <c:autoTitleDeleted val="1"/>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pivotFmt>
      <c:pivotFmt>
        <c:idx val="3"/>
        <c:spPr>
          <a:solidFill>
            <a:schemeClr val="accent2"/>
          </a:solidFill>
          <a:ln>
            <a:noFill/>
          </a:ln>
          <a:effectLst>
            <a:outerShdw blurRad="57150" dist="19050" dir="5400000" algn="ctr" rotWithShape="0">
              <a:srgbClr val="000000">
                <a:alpha val="63000"/>
              </a:srgbClr>
            </a:outerShdw>
          </a:effectLst>
        </c:spPr>
      </c:pivotFmt>
      <c:pivotFmt>
        <c:idx val="4"/>
        <c:spPr>
          <a:solidFill>
            <a:schemeClr val="accent2"/>
          </a:solidFill>
          <a:ln>
            <a:noFill/>
          </a:ln>
          <a:effectLst>
            <a:outerShdw blurRad="57150" dist="19050" dir="5400000" algn="ctr" rotWithShape="0">
              <a:srgbClr val="000000">
                <a:alpha val="63000"/>
              </a:srgbClr>
            </a:outerShdw>
          </a:effectLst>
        </c:spPr>
      </c:pivotFmt>
      <c:pivotFmt>
        <c:idx val="5"/>
        <c:spPr>
          <a:solidFill>
            <a:schemeClr val="accent2"/>
          </a:solidFill>
          <a:ln>
            <a:noFill/>
          </a:ln>
          <a:effectLst>
            <a:outerShdw blurRad="57150" dist="19050" dir="5400000" algn="ctr" rotWithShape="0">
              <a:srgbClr val="000000">
                <a:alpha val="63000"/>
              </a:srgbClr>
            </a:outerShdw>
          </a:effectLst>
        </c:spPr>
      </c:pivotFmt>
      <c:pivotFmt>
        <c:idx val="6"/>
        <c:spPr>
          <a:solidFill>
            <a:schemeClr val="accent2"/>
          </a:solidFill>
          <a:ln>
            <a:noFill/>
          </a:ln>
          <a:effectLst>
            <a:outerShdw blurRad="57150" dist="19050" dir="5400000" algn="ctr" rotWithShape="0">
              <a:srgbClr val="000000">
                <a:alpha val="63000"/>
              </a:srgbClr>
            </a:outerShdw>
          </a:effectLst>
        </c:spPr>
      </c:pivotFmt>
      <c:pivotFmt>
        <c:idx val="7"/>
        <c:spPr>
          <a:solidFill>
            <a:schemeClr val="accent2"/>
          </a:solidFill>
          <a:ln>
            <a:noFill/>
          </a:ln>
          <a:effectLst>
            <a:outerShdw blurRad="57150" dist="19050" dir="5400000" algn="ctr" rotWithShape="0">
              <a:srgbClr val="000000">
                <a:alpha val="63000"/>
              </a:srgbClr>
            </a:outerShdw>
          </a:effectLst>
        </c:spPr>
      </c:pivotFmt>
      <c:pivotFmt>
        <c:idx val="8"/>
        <c:spPr>
          <a:solidFill>
            <a:schemeClr val="accent2"/>
          </a:solidFill>
          <a:ln>
            <a:noFill/>
          </a:ln>
          <a:effectLst>
            <a:outerShdw blurRad="57150" dist="19050" dir="5400000" algn="ctr" rotWithShape="0">
              <a:srgbClr val="000000">
                <a:alpha val="63000"/>
              </a:srgbClr>
            </a:outerShdw>
          </a:effectLst>
        </c:spPr>
      </c:pivotFmt>
      <c:pivotFmt>
        <c:idx val="9"/>
        <c:spPr>
          <a:solidFill>
            <a:schemeClr val="accent2"/>
          </a:solidFill>
          <a:ln>
            <a:noFill/>
          </a:ln>
          <a:effectLst>
            <a:outerShdw blurRad="57150" dist="19050" dir="5400000" algn="ctr" rotWithShape="0">
              <a:srgbClr val="000000">
                <a:alpha val="63000"/>
              </a:srgbClr>
            </a:outerShdw>
          </a:effectLst>
        </c:spPr>
      </c:pivotFmt>
      <c:pivotFmt>
        <c:idx val="10"/>
        <c:spPr>
          <a:solidFill>
            <a:schemeClr val="accent2"/>
          </a:solidFill>
          <a:ln>
            <a:noFill/>
          </a:ln>
          <a:effectLst>
            <a:outerShdw blurRad="57150" dist="19050" dir="5400000" algn="ctr" rotWithShape="0">
              <a:srgbClr val="000000">
                <a:alpha val="63000"/>
              </a:srgbClr>
            </a:outerShdw>
          </a:effectLst>
        </c:spPr>
      </c:pivotFmt>
      <c:pivotFmt>
        <c:idx val="11"/>
        <c:spPr>
          <a:solidFill>
            <a:schemeClr val="accent2"/>
          </a:solidFill>
          <a:ln>
            <a:noFill/>
          </a:ln>
          <a:effectLst>
            <a:outerShdw blurRad="57150" dist="19050" dir="5400000" algn="ctr" rotWithShape="0">
              <a:srgbClr val="000000">
                <a:alpha val="63000"/>
              </a:srgbClr>
            </a:outerShdw>
          </a:effectLst>
        </c:spPr>
      </c:pivotFmt>
      <c:pivotFmt>
        <c:idx val="12"/>
        <c:spPr>
          <a:solidFill>
            <a:schemeClr val="accent2"/>
          </a:solidFill>
          <a:ln>
            <a:noFill/>
          </a:ln>
          <a:effectLst>
            <a:outerShdw blurRad="57150" dist="19050" dir="5400000" algn="ctr" rotWithShape="0">
              <a:srgbClr val="000000">
                <a:alpha val="63000"/>
              </a:srgbClr>
            </a:outerShdw>
          </a:effectLst>
        </c:spPr>
      </c:pivotFmt>
      <c:pivotFmt>
        <c:idx val="13"/>
        <c:spPr>
          <a:solidFill>
            <a:schemeClr val="accent2"/>
          </a:solidFill>
          <a:ln>
            <a:noFill/>
          </a:ln>
          <a:effectLst>
            <a:outerShdw blurRad="57150" dist="19050" dir="5400000" algn="ctr" rotWithShape="0">
              <a:srgbClr val="000000">
                <a:alpha val="63000"/>
              </a:srgbClr>
            </a:outerShdw>
          </a:effectLst>
        </c:spPr>
      </c:pivotFmt>
      <c:pivotFmt>
        <c:idx val="14"/>
        <c:spPr>
          <a:solidFill>
            <a:schemeClr val="accent2"/>
          </a:solidFill>
          <a:ln>
            <a:noFill/>
          </a:ln>
          <a:effectLst>
            <a:outerShdw blurRad="57150" dist="19050" dir="5400000" algn="ctr" rotWithShape="0">
              <a:srgbClr val="000000">
                <a:alpha val="63000"/>
              </a:srgbClr>
            </a:outerShdw>
          </a:effectLst>
        </c:spPr>
      </c:pivotFmt>
      <c:pivotFmt>
        <c:idx val="15"/>
        <c:spPr>
          <a:solidFill>
            <a:schemeClr val="accent2"/>
          </a:solidFill>
          <a:ln>
            <a:noFill/>
          </a:ln>
          <a:effectLst>
            <a:outerShdw blurRad="57150" dist="19050" dir="5400000" algn="ctr" rotWithShape="0">
              <a:srgbClr val="000000">
                <a:alpha val="63000"/>
              </a:srgbClr>
            </a:outerShdw>
          </a:effectLst>
        </c:spPr>
      </c:pivotFmt>
      <c:pivotFmt>
        <c:idx val="16"/>
        <c:spPr>
          <a:solidFill>
            <a:schemeClr val="accent2"/>
          </a:solidFill>
          <a:ln>
            <a:noFill/>
          </a:ln>
          <a:effectLst>
            <a:outerShdw blurRad="57150" dist="19050" dir="5400000" algn="ctr" rotWithShape="0">
              <a:srgbClr val="000000">
                <a:alpha val="63000"/>
              </a:srgbClr>
            </a:outerShdw>
          </a:effectLst>
        </c:spPr>
      </c:pivotFmt>
      <c:pivotFmt>
        <c:idx val="17"/>
        <c:spPr>
          <a:solidFill>
            <a:schemeClr val="accent2"/>
          </a:solidFill>
          <a:ln>
            <a:noFill/>
          </a:ln>
          <a:effectLst>
            <a:outerShdw blurRad="57150" dist="19050" dir="5400000" algn="ctr" rotWithShape="0">
              <a:srgbClr val="000000">
                <a:alpha val="63000"/>
              </a:srgbClr>
            </a:outerShdw>
          </a:effectLst>
        </c:spPr>
      </c:pivotFmt>
      <c:pivotFmt>
        <c:idx val="18"/>
        <c:spPr>
          <a:solidFill>
            <a:schemeClr val="accent2"/>
          </a:solidFill>
          <a:ln>
            <a:noFill/>
          </a:ln>
          <a:effectLst>
            <a:outerShdw blurRad="57150" dist="19050" dir="5400000" algn="ctr" rotWithShape="0">
              <a:srgbClr val="000000">
                <a:alpha val="63000"/>
              </a:srgbClr>
            </a:outerShdw>
          </a:effectLst>
        </c:spPr>
      </c:pivotFmt>
      <c:pivotFmt>
        <c:idx val="19"/>
        <c:spPr>
          <a:solidFill>
            <a:schemeClr val="accent2"/>
          </a:solidFill>
          <a:ln>
            <a:noFill/>
          </a:ln>
          <a:effectLst>
            <a:outerShdw blurRad="57150" dist="19050" dir="5400000" algn="ctr" rotWithShape="0">
              <a:srgbClr val="000000">
                <a:alpha val="63000"/>
              </a:srgbClr>
            </a:outerShdw>
          </a:effectLst>
        </c:spPr>
      </c:pivotFmt>
      <c:pivotFmt>
        <c:idx val="20"/>
        <c:spPr>
          <a:solidFill>
            <a:schemeClr val="accent2"/>
          </a:solidFill>
          <a:ln>
            <a:noFill/>
          </a:ln>
          <a:effectLst>
            <a:outerShdw blurRad="57150" dist="19050" dir="5400000" algn="ctr" rotWithShape="0">
              <a:srgbClr val="000000">
                <a:alpha val="63000"/>
              </a:srgbClr>
            </a:outerShdw>
          </a:effectLst>
        </c:spPr>
      </c:pivotFmt>
      <c:pivotFmt>
        <c:idx val="21"/>
        <c:spPr>
          <a:solidFill>
            <a:schemeClr val="accent2"/>
          </a:solidFill>
          <a:ln>
            <a:noFill/>
          </a:ln>
          <a:effectLst>
            <a:outerShdw blurRad="57150" dist="19050" dir="5400000" algn="ctr" rotWithShape="0">
              <a:srgbClr val="000000">
                <a:alpha val="63000"/>
              </a:srgbClr>
            </a:outerShdw>
          </a:effectLst>
        </c:spPr>
      </c:pivotFmt>
      <c:pivotFmt>
        <c:idx val="22"/>
        <c:spPr>
          <a:solidFill>
            <a:schemeClr val="accent2"/>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0934602670937542"/>
          <c:y val="6.3943916104849716E-2"/>
          <c:w val="0.81629048793585623"/>
          <c:h val="0.76666872646365736"/>
        </c:manualLayout>
      </c:layout>
      <c:barChart>
        <c:barDir val="bar"/>
        <c:grouping val="clustered"/>
        <c:varyColors val="0"/>
        <c:ser>
          <c:idx val="0"/>
          <c:order val="0"/>
          <c:tx>
            <c:strRef>
              <c:f>'Top 10 PRODUCT'!$B$3</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A-B0CC-480B-AE4F-1359F2BB82B9}"/>
              </c:ext>
            </c:extLst>
          </c:dPt>
          <c:dPt>
            <c:idx val="1"/>
            <c:invertIfNegative val="0"/>
            <c:bubble3D val="0"/>
            <c:extLst>
              <c:ext xmlns:c16="http://schemas.microsoft.com/office/drawing/2014/chart" uri="{C3380CC4-5D6E-409C-BE32-E72D297353CC}">
                <c16:uniqueId val="{00000009-B0CC-480B-AE4F-1359F2BB82B9}"/>
              </c:ext>
            </c:extLst>
          </c:dPt>
          <c:dPt>
            <c:idx val="2"/>
            <c:invertIfNegative val="0"/>
            <c:bubble3D val="0"/>
            <c:extLst>
              <c:ext xmlns:c16="http://schemas.microsoft.com/office/drawing/2014/chart" uri="{C3380CC4-5D6E-409C-BE32-E72D297353CC}">
                <c16:uniqueId val="{00000008-B0CC-480B-AE4F-1359F2BB82B9}"/>
              </c:ext>
            </c:extLst>
          </c:dPt>
          <c:dPt>
            <c:idx val="3"/>
            <c:invertIfNegative val="0"/>
            <c:bubble3D val="0"/>
            <c:extLst>
              <c:ext xmlns:c16="http://schemas.microsoft.com/office/drawing/2014/chart" uri="{C3380CC4-5D6E-409C-BE32-E72D297353CC}">
                <c16:uniqueId val="{00000007-B0CC-480B-AE4F-1359F2BB82B9}"/>
              </c:ext>
            </c:extLst>
          </c:dPt>
          <c:dPt>
            <c:idx val="4"/>
            <c:invertIfNegative val="0"/>
            <c:bubble3D val="0"/>
            <c:extLst>
              <c:ext xmlns:c16="http://schemas.microsoft.com/office/drawing/2014/chart" uri="{C3380CC4-5D6E-409C-BE32-E72D297353CC}">
                <c16:uniqueId val="{00000006-B0CC-480B-AE4F-1359F2BB82B9}"/>
              </c:ext>
            </c:extLst>
          </c:dPt>
          <c:dPt>
            <c:idx val="5"/>
            <c:invertIfNegative val="0"/>
            <c:bubble3D val="0"/>
            <c:extLst>
              <c:ext xmlns:c16="http://schemas.microsoft.com/office/drawing/2014/chart" uri="{C3380CC4-5D6E-409C-BE32-E72D297353CC}">
                <c16:uniqueId val="{00000005-B0CC-480B-AE4F-1359F2BB82B9}"/>
              </c:ext>
            </c:extLst>
          </c:dPt>
          <c:dPt>
            <c:idx val="6"/>
            <c:invertIfNegative val="0"/>
            <c:bubble3D val="0"/>
            <c:extLst>
              <c:ext xmlns:c16="http://schemas.microsoft.com/office/drawing/2014/chart" uri="{C3380CC4-5D6E-409C-BE32-E72D297353CC}">
                <c16:uniqueId val="{00000004-B0CC-480B-AE4F-1359F2BB82B9}"/>
              </c:ext>
            </c:extLst>
          </c:dPt>
          <c:dPt>
            <c:idx val="7"/>
            <c:invertIfNegative val="0"/>
            <c:bubble3D val="0"/>
            <c:extLst>
              <c:ext xmlns:c16="http://schemas.microsoft.com/office/drawing/2014/chart" uri="{C3380CC4-5D6E-409C-BE32-E72D297353CC}">
                <c16:uniqueId val="{00000003-B0CC-480B-AE4F-1359F2BB82B9}"/>
              </c:ext>
            </c:extLst>
          </c:dPt>
          <c:dPt>
            <c:idx val="8"/>
            <c:invertIfNegative val="0"/>
            <c:bubble3D val="0"/>
            <c:extLst>
              <c:ext xmlns:c16="http://schemas.microsoft.com/office/drawing/2014/chart" uri="{C3380CC4-5D6E-409C-BE32-E72D297353CC}">
                <c16:uniqueId val="{00000002-B0CC-480B-AE4F-1359F2BB82B9}"/>
              </c:ext>
            </c:extLst>
          </c:dPt>
          <c:dPt>
            <c:idx val="9"/>
            <c:invertIfNegative val="0"/>
            <c:bubble3D val="0"/>
            <c:extLst>
              <c:ext xmlns:c16="http://schemas.microsoft.com/office/drawing/2014/chart" uri="{C3380CC4-5D6E-409C-BE32-E72D297353CC}">
                <c16:uniqueId val="{00000001-B0CC-480B-AE4F-1359F2BB82B9}"/>
              </c:ext>
            </c:extLst>
          </c:dPt>
          <c:cat>
            <c:multiLvlStrRef>
              <c:f>'Top 10 PRODUCT'!$A$4:$A$23</c:f>
              <c:multiLvlStrCache>
                <c:ptCount val="10"/>
                <c:lvl>
                  <c:pt idx="0">
                    <c:v>Classic Cars</c:v>
                  </c:pt>
                  <c:pt idx="1">
                    <c:v>Planes</c:v>
                  </c:pt>
                  <c:pt idx="2">
                    <c:v>Motorcycles</c:v>
                  </c:pt>
                  <c:pt idx="3">
                    <c:v>Classic Cars</c:v>
                  </c:pt>
                  <c:pt idx="4">
                    <c:v>Classic Cars</c:v>
                  </c:pt>
                  <c:pt idx="5">
                    <c:v>Classic Cars</c:v>
                  </c:pt>
                  <c:pt idx="6">
                    <c:v>Classic Cars</c:v>
                  </c:pt>
                  <c:pt idx="7">
                    <c:v>Motorcycles</c:v>
                  </c:pt>
                  <c:pt idx="8">
                    <c:v>Classic Cars</c:v>
                  </c:pt>
                  <c:pt idx="9">
                    <c:v>Classic Cars</c:v>
                  </c:pt>
                </c:lvl>
                <c:lvl>
                  <c:pt idx="0">
                    <c:v>S12_1099</c:v>
                  </c:pt>
                  <c:pt idx="1">
                    <c:v>S18_1662</c:v>
                  </c:pt>
                  <c:pt idx="2">
                    <c:v>S12_2823</c:v>
                  </c:pt>
                  <c:pt idx="3">
                    <c:v>S24_3856</c:v>
                  </c:pt>
                  <c:pt idx="4">
                    <c:v>S12_3891</c:v>
                  </c:pt>
                  <c:pt idx="5">
                    <c:v>S18_2238</c:v>
                  </c:pt>
                  <c:pt idx="6">
                    <c:v>S12_1108</c:v>
                  </c:pt>
                  <c:pt idx="7">
                    <c:v>S10_4698</c:v>
                  </c:pt>
                  <c:pt idx="8">
                    <c:v>S10_1949</c:v>
                  </c:pt>
                  <c:pt idx="9">
                    <c:v>S18_3232</c:v>
                  </c:pt>
                </c:lvl>
              </c:multiLvlStrCache>
            </c:multiLvlStrRef>
          </c:cat>
          <c:val>
            <c:numRef>
              <c:f>'Top 10 PRODUCT'!$B$4:$B$23</c:f>
              <c:numCache>
                <c:formatCode>\$\ 0.00,\ "K"</c:formatCode>
                <c:ptCount val="10"/>
                <c:pt idx="0">
                  <c:v>137177.01</c:v>
                </c:pt>
                <c:pt idx="1">
                  <c:v>139421.97</c:v>
                </c:pt>
                <c:pt idx="2">
                  <c:v>140006.16</c:v>
                </c:pt>
                <c:pt idx="3">
                  <c:v>140626.9</c:v>
                </c:pt>
                <c:pt idx="4">
                  <c:v>145332.04</c:v>
                </c:pt>
                <c:pt idx="5">
                  <c:v>154623.94999999998</c:v>
                </c:pt>
                <c:pt idx="6">
                  <c:v>168585.32</c:v>
                </c:pt>
                <c:pt idx="7">
                  <c:v>170401.07000000004</c:v>
                </c:pt>
                <c:pt idx="8">
                  <c:v>191073.03</c:v>
                </c:pt>
                <c:pt idx="9">
                  <c:v>288245.41999999993</c:v>
                </c:pt>
              </c:numCache>
            </c:numRef>
          </c:val>
          <c:extLst>
            <c:ext xmlns:c16="http://schemas.microsoft.com/office/drawing/2014/chart" uri="{C3380CC4-5D6E-409C-BE32-E72D297353CC}">
              <c16:uniqueId val="{00000000-B0CC-480B-AE4F-1359F2BB82B9}"/>
            </c:ext>
          </c:extLst>
        </c:ser>
        <c:dLbls>
          <c:showLegendKey val="0"/>
          <c:showVal val="0"/>
          <c:showCatName val="0"/>
          <c:showSerName val="0"/>
          <c:showPercent val="0"/>
          <c:showBubbleSize val="0"/>
        </c:dLbls>
        <c:gapWidth val="50"/>
        <c:axId val="437700168"/>
        <c:axId val="437701152"/>
      </c:barChart>
      <c:catAx>
        <c:axId val="4377001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7701152"/>
        <c:crosses val="autoZero"/>
        <c:auto val="1"/>
        <c:lblAlgn val="ctr"/>
        <c:lblOffset val="100"/>
        <c:noMultiLvlLbl val="0"/>
      </c:catAx>
      <c:valAx>
        <c:axId val="437701152"/>
        <c:scaling>
          <c:orientation val="minMax"/>
        </c:scaling>
        <c:delete val="0"/>
        <c:axPos val="b"/>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7700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AMLAN AGASTI.xlsx]Monthly Sales!PivotTable1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0000">
              <a:alpha val="65000"/>
            </a:srgbClr>
          </a:solidFill>
          <a:ln w="19050">
            <a:solidFill>
              <a:schemeClr val="lt1"/>
            </a:solidFill>
          </a:ln>
          <a:effectLst/>
        </c:spPr>
      </c:pivotFmt>
      <c:pivotFmt>
        <c:idx val="18"/>
        <c:spPr>
          <a:solidFill>
            <a:schemeClr val="accent2">
              <a:lumMod val="50000"/>
            </a:schemeClr>
          </a:solidFill>
          <a:ln w="19050">
            <a:solidFill>
              <a:schemeClr val="lt1"/>
            </a:solidFill>
          </a:ln>
          <a:effectLst/>
        </c:spPr>
      </c:pivotFmt>
      <c:pivotFmt>
        <c:idx val="19"/>
        <c:spPr>
          <a:solidFill>
            <a:srgbClr val="92D050">
              <a:alpha val="78000"/>
            </a:srgbClr>
          </a:solidFill>
          <a:ln w="19050">
            <a:solidFill>
              <a:schemeClr val="lt1"/>
            </a:solidFill>
          </a:ln>
          <a:effectLst/>
        </c:spPr>
      </c:pivotFmt>
      <c:pivotFmt>
        <c:idx val="20"/>
        <c:spPr>
          <a:solidFill>
            <a:schemeClr val="accent5">
              <a:lumMod val="50000"/>
            </a:schemeClr>
          </a:solidFill>
          <a:ln w="19050">
            <a:solidFill>
              <a:schemeClr val="lt1"/>
            </a:solidFill>
          </a:ln>
          <a:effectLst/>
        </c:spPr>
      </c:pivotFmt>
      <c:pivotFmt>
        <c:idx val="21"/>
        <c:spPr>
          <a:solidFill>
            <a:schemeClr val="accent6">
              <a:lumMod val="50000"/>
              <a:alpha val="90000"/>
            </a:schemeClr>
          </a:solidFill>
          <a:ln w="19050">
            <a:solidFill>
              <a:schemeClr val="lt1"/>
            </a:solidFill>
          </a:ln>
          <a:effectLst/>
        </c:spPr>
      </c:pivotFmt>
      <c:pivotFmt>
        <c:idx val="22"/>
        <c:spPr>
          <a:solidFill>
            <a:schemeClr val="tx2"/>
          </a:solidFill>
          <a:ln w="19050">
            <a:solidFill>
              <a:schemeClr val="lt1"/>
            </a:solidFill>
          </a:ln>
          <a:effectLst/>
        </c:spPr>
      </c:pivotFmt>
      <c:pivotFmt>
        <c:idx val="23"/>
        <c:spPr>
          <a:solidFill>
            <a:srgbClr val="FFC000">
              <a:alpha val="77000"/>
            </a:srgbClr>
          </a:solidFill>
          <a:ln w="19050">
            <a:solidFill>
              <a:schemeClr val="lt1"/>
            </a:solidFill>
          </a:ln>
          <a:effectLst/>
        </c:spPr>
      </c:pivotFmt>
    </c:pivotFmts>
    <c:plotArea>
      <c:layout>
        <c:manualLayout>
          <c:layoutTarget val="inner"/>
          <c:xMode val="edge"/>
          <c:yMode val="edge"/>
          <c:x val="5.4603951635955515E-2"/>
          <c:y val="3.069942294729805E-2"/>
          <c:w val="0.6336182630405931"/>
          <c:h val="0.96614204518032487"/>
        </c:manualLayout>
      </c:layout>
      <c:doughnutChart>
        <c:varyColors val="1"/>
        <c:ser>
          <c:idx val="0"/>
          <c:order val="0"/>
          <c:tx>
            <c:strRef>
              <c:f>'Monthly Sales'!$U$2</c:f>
              <c:strCache>
                <c:ptCount val="1"/>
                <c:pt idx="0">
                  <c:v>Total</c:v>
                </c:pt>
              </c:strCache>
            </c:strRef>
          </c:tx>
          <c:spPr>
            <a:solidFill>
              <a:schemeClr val="accent4"/>
            </a:solidFill>
          </c:spPr>
          <c:explosion val="1"/>
          <c:dPt>
            <c:idx val="0"/>
            <c:bubble3D val="0"/>
            <c:spPr>
              <a:solidFill>
                <a:srgbClr val="FF0000">
                  <a:alpha val="65000"/>
                </a:srgbClr>
              </a:solidFill>
              <a:ln w="19050">
                <a:solidFill>
                  <a:schemeClr val="lt1"/>
                </a:solidFill>
              </a:ln>
              <a:effectLst/>
            </c:spPr>
            <c:extLst>
              <c:ext xmlns:c16="http://schemas.microsoft.com/office/drawing/2014/chart" uri="{C3380CC4-5D6E-409C-BE32-E72D297353CC}">
                <c16:uniqueId val="{00000001-C34D-4963-9595-6F6465C7BACF}"/>
              </c:ext>
            </c:extLst>
          </c:dPt>
          <c:dPt>
            <c:idx val="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C34D-4963-9595-6F6465C7BACF}"/>
              </c:ext>
            </c:extLst>
          </c:dPt>
          <c:dPt>
            <c:idx val="2"/>
            <c:bubble3D val="0"/>
            <c:spPr>
              <a:solidFill>
                <a:srgbClr val="92D050">
                  <a:alpha val="78000"/>
                </a:srgbClr>
              </a:solidFill>
              <a:ln w="19050">
                <a:solidFill>
                  <a:schemeClr val="lt1"/>
                </a:solidFill>
              </a:ln>
              <a:effectLst/>
            </c:spPr>
            <c:extLst>
              <c:ext xmlns:c16="http://schemas.microsoft.com/office/drawing/2014/chart" uri="{C3380CC4-5D6E-409C-BE32-E72D297353CC}">
                <c16:uniqueId val="{00000005-C34D-4963-9595-6F6465C7BACF}"/>
              </c:ext>
            </c:extLst>
          </c:dPt>
          <c:dPt>
            <c:idx val="3"/>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7-C34D-4963-9595-6F6465C7BACF}"/>
              </c:ext>
            </c:extLst>
          </c:dPt>
          <c:dPt>
            <c:idx val="4"/>
            <c:bubble3D val="0"/>
            <c:spPr>
              <a:solidFill>
                <a:schemeClr val="accent6">
                  <a:lumMod val="50000"/>
                  <a:alpha val="90000"/>
                </a:schemeClr>
              </a:solidFill>
              <a:ln w="19050">
                <a:solidFill>
                  <a:schemeClr val="lt1"/>
                </a:solidFill>
              </a:ln>
              <a:effectLst/>
            </c:spPr>
            <c:extLst>
              <c:ext xmlns:c16="http://schemas.microsoft.com/office/drawing/2014/chart" uri="{C3380CC4-5D6E-409C-BE32-E72D297353CC}">
                <c16:uniqueId val="{00000009-C34D-4963-9595-6F6465C7BACF}"/>
              </c:ext>
            </c:extLst>
          </c:dPt>
          <c:dPt>
            <c:idx val="5"/>
            <c:bubble3D val="0"/>
            <c:spPr>
              <a:solidFill>
                <a:schemeClr val="tx2"/>
              </a:solidFill>
              <a:ln w="19050">
                <a:solidFill>
                  <a:schemeClr val="lt1"/>
                </a:solidFill>
              </a:ln>
              <a:effectLst/>
            </c:spPr>
            <c:extLst>
              <c:ext xmlns:c16="http://schemas.microsoft.com/office/drawing/2014/chart" uri="{C3380CC4-5D6E-409C-BE32-E72D297353CC}">
                <c16:uniqueId val="{0000000B-C34D-4963-9595-6F6465C7BACF}"/>
              </c:ext>
            </c:extLst>
          </c:dPt>
          <c:dPt>
            <c:idx val="6"/>
            <c:bubble3D val="0"/>
            <c:spPr>
              <a:solidFill>
                <a:srgbClr val="FFC000">
                  <a:alpha val="77000"/>
                </a:srgbClr>
              </a:solidFill>
              <a:ln w="19050">
                <a:solidFill>
                  <a:schemeClr val="lt1"/>
                </a:solidFill>
              </a:ln>
              <a:effectLst/>
            </c:spPr>
            <c:extLst>
              <c:ext xmlns:c16="http://schemas.microsoft.com/office/drawing/2014/chart" uri="{C3380CC4-5D6E-409C-BE32-E72D297353CC}">
                <c16:uniqueId val="{0000000D-C34D-4963-9595-6F6465C7BA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'Monthly Sales'!$T$3:$T$10</c:f>
              <c:strCache>
                <c:ptCount val="7"/>
                <c:pt idx="0">
                  <c:v>Classic Cars</c:v>
                </c:pt>
                <c:pt idx="1">
                  <c:v>Motorcycles</c:v>
                </c:pt>
                <c:pt idx="2">
                  <c:v>Planes</c:v>
                </c:pt>
                <c:pt idx="3">
                  <c:v>Ships</c:v>
                </c:pt>
                <c:pt idx="4">
                  <c:v>Trains</c:v>
                </c:pt>
                <c:pt idx="5">
                  <c:v>Trucks and Buses</c:v>
                </c:pt>
                <c:pt idx="6">
                  <c:v>Vintage Cars</c:v>
                </c:pt>
              </c:strCache>
            </c:strRef>
          </c:cat>
          <c:val>
            <c:numRef>
              <c:f>'Monthly Sales'!$U$3:$U$10</c:f>
              <c:numCache>
                <c:formatCode>0.00%</c:formatCode>
                <c:ptCount val="7"/>
                <c:pt idx="0">
                  <c:v>0.39068679990090516</c:v>
                </c:pt>
                <c:pt idx="1">
                  <c:v>0.11625949264534</c:v>
                </c:pt>
                <c:pt idx="2">
                  <c:v>9.7183259201301012E-2</c:v>
                </c:pt>
                <c:pt idx="3">
                  <c:v>7.1211358526434509E-2</c:v>
                </c:pt>
                <c:pt idx="4">
                  <c:v>2.2550766442436476E-2</c:v>
                </c:pt>
                <c:pt idx="5">
                  <c:v>0.11241219593207617</c:v>
                </c:pt>
                <c:pt idx="6">
                  <c:v>0.18969612735150668</c:v>
                </c:pt>
              </c:numCache>
            </c:numRef>
          </c:val>
          <c:extLst>
            <c:ext xmlns:c16="http://schemas.microsoft.com/office/drawing/2014/chart" uri="{C3380CC4-5D6E-409C-BE32-E72D297353CC}">
              <c16:uniqueId val="{0000000E-C34D-4963-9595-6F6465C7BACF}"/>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68970006046378274"/>
          <c:y val="8.8106730319477397E-2"/>
          <c:w val="0.27362928155347283"/>
          <c:h val="0.836487782963400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AMLAN AGASTI.xlsx]Most 5 Sold!PivotTable3</c:name>
    <c:fmtId val="12"/>
  </c:pivotSource>
  <c:chart>
    <c:autoTitleDeleted val="1"/>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outerShdw blurRad="76200" dir="18900000" sy="23000" kx="-1200000" algn="bl" rotWithShape="0">
              <a:prstClr val="black">
                <a:alpha val="20000"/>
              </a:prstClr>
            </a:outerShdw>
          </a:effectLst>
        </c:spPr>
      </c:pivotFmt>
      <c:pivotFmt>
        <c:idx val="2"/>
        <c:spPr>
          <a:solidFill>
            <a:schemeClr val="accent6">
              <a:lumMod val="75000"/>
            </a:schemeClr>
          </a:solidFill>
          <a:ln>
            <a:noFill/>
          </a:ln>
          <a:effectLst>
            <a:outerShdw blurRad="76200" dir="18900000" sy="23000" kx="-1200000" algn="bl" rotWithShape="0">
              <a:prstClr val="black">
                <a:alpha val="20000"/>
              </a:prstClr>
            </a:outerShdw>
          </a:effectLst>
        </c:spPr>
      </c:pivotFmt>
      <c:pivotFmt>
        <c:idx val="3"/>
        <c:spPr>
          <a:solidFill>
            <a:schemeClr val="accent1">
              <a:lumMod val="75000"/>
            </a:schemeClr>
          </a:solidFill>
          <a:ln>
            <a:noFill/>
          </a:ln>
          <a:effectLst>
            <a:outerShdw blurRad="76200" dir="18900000" sy="23000" kx="-1200000" algn="bl" rotWithShape="0">
              <a:prstClr val="black">
                <a:alpha val="20000"/>
              </a:prstClr>
            </a:outerShdw>
          </a:effectLst>
        </c:spPr>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outerShdw blurRad="76200" dir="18900000" sy="23000" kx="-1200000" algn="bl" rotWithShape="0">
              <a:prstClr val="black">
                <a:alpha val="20000"/>
              </a:prstClr>
            </a:outerShdw>
          </a:effectLst>
        </c:spPr>
      </c:pivotFmt>
      <c:pivotFmt>
        <c:idx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8"/>
        <c:spPr>
          <a:solidFill>
            <a:schemeClr val="accent1">
              <a:lumMod val="75000"/>
            </a:schemeClr>
          </a:solidFill>
          <a:ln>
            <a:noFill/>
          </a:ln>
          <a:effectLst>
            <a:outerShdw blurRad="76200" dir="18900000" sy="23000" kx="-1200000" algn="bl" rotWithShape="0">
              <a:prstClr val="black">
                <a:alpha val="20000"/>
              </a:prstClr>
            </a:outerShdw>
          </a:effectLst>
        </c:spPr>
      </c:pivotFmt>
      <c:pivotFmt>
        <c:idx val="9"/>
        <c:spPr>
          <a:solidFill>
            <a:schemeClr val="accent6">
              <a:lumMod val="75000"/>
            </a:schemeClr>
          </a:solidFill>
          <a:ln>
            <a:noFill/>
          </a:ln>
          <a:effectLst>
            <a:outerShdw blurRad="76200" dir="18900000" sy="23000" kx="-1200000" algn="bl" rotWithShape="0">
              <a:prstClr val="black">
                <a:alpha val="20000"/>
              </a:prstClr>
            </a:outerShdw>
          </a:effectLst>
        </c:spPr>
      </c:pivotFmt>
      <c:pivotFmt>
        <c:idx val="1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a:outerShdw blurRad="76200" dir="18900000" sy="23000" kx="-1200000" algn="bl" rotWithShape="0">
              <a:prstClr val="black">
                <a:alpha val="20000"/>
              </a:prstClr>
            </a:outerShdw>
          </a:effectLst>
        </c:spPr>
        <c:dLbl>
          <c:idx val="0"/>
          <c:layout>
            <c:manualLayout>
              <c:x val="-0.22741424322637735"/>
              <c:y val="0.11666823010235788"/>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748377500046992"/>
                  <c:h val="0.11366338969571166"/>
                </c:manualLayout>
              </c15:layout>
            </c:ext>
          </c:extLst>
        </c:dLbl>
      </c:pivotFmt>
      <c:pivotFmt>
        <c:idx val="1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1.9607673796098686E-2"/>
              <c:y val="-0.14858567658636915"/>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621421419183882"/>
                  <c:h val="0.16754371778601829"/>
                </c:manualLayout>
              </c15:layout>
            </c:ext>
          </c:extLst>
        </c:dLbl>
      </c:pivotFmt>
      <c:pivotFmt>
        <c:idx val="1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0.11301070964274265"/>
              <c:y val="-0.107957959386362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1003217640928491"/>
                  <c:h val="0.12835802820062953"/>
                </c:manualLayout>
              </c15:layout>
            </c:ext>
          </c:extLst>
        </c:dLbl>
      </c:pivotFmt>
      <c:pivotFmt>
        <c:idx val="14"/>
        <c:spPr>
          <a:solidFill>
            <a:schemeClr val="accent1">
              <a:lumMod val="75000"/>
            </a:schemeClr>
          </a:solidFill>
          <a:ln>
            <a:noFill/>
          </a:ln>
          <a:effectLst>
            <a:outerShdw blurRad="76200" dir="18900000" sy="23000" kx="-1200000" algn="bl" rotWithShape="0">
              <a:prstClr val="black">
                <a:alpha val="20000"/>
              </a:prstClr>
            </a:outerShdw>
          </a:effectLst>
        </c:spPr>
        <c:dLbl>
          <c:idx val="0"/>
          <c:layout>
            <c:manualLayout>
              <c:x val="0.12400281343396939"/>
              <c:y val="0.10177306516333165"/>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0182750861393248"/>
                  <c:h val="0.10163804936710764"/>
                </c:manualLayout>
              </c15:layout>
            </c:ext>
          </c:extLst>
        </c:dLbl>
      </c:pivotFmt>
      <c:pivotFmt>
        <c:idx val="15"/>
        <c:spPr>
          <a:solidFill>
            <a:schemeClr val="accent6">
              <a:lumMod val="75000"/>
            </a:schemeClr>
          </a:solidFill>
          <a:ln>
            <a:noFill/>
          </a:ln>
          <a:effectLst>
            <a:outerShdw blurRad="76200" dir="18900000" sy="23000" kx="-1200000" algn="bl" rotWithShape="0">
              <a:prstClr val="black">
                <a:alpha val="20000"/>
              </a:prstClr>
            </a:outerShdw>
          </a:effectLst>
        </c:spPr>
        <c:dLbl>
          <c:idx val="0"/>
          <c:layout>
            <c:manualLayout>
              <c:x val="4.0812573377639751E-2"/>
              <c:y val="9.365604552624018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298826516589762"/>
                  <c:h val="0.12835819759621148"/>
                </c:manualLayout>
              </c15:layout>
            </c:ext>
          </c:extLst>
        </c:dLbl>
      </c:pivotFmt>
      <c:pivotFmt>
        <c:idx val="1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1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1.8382956219045496E-2"/>
              <c:y val="7.3698550382714945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835650260698545E-2"/>
          <c:y val="1.4797974196887357E-2"/>
          <c:w val="0.65989947011340566"/>
          <c:h val="0.98520202580311267"/>
        </c:manualLayout>
      </c:layout>
      <c:pieChart>
        <c:varyColors val="1"/>
        <c:ser>
          <c:idx val="0"/>
          <c:order val="0"/>
          <c:tx>
            <c:strRef>
              <c:f>'Most 5 Sold'!$B$3</c:f>
              <c:strCache>
                <c:ptCount val="1"/>
                <c:pt idx="0">
                  <c:v>Total</c:v>
                </c:pt>
              </c:strCache>
            </c:strRef>
          </c:tx>
          <c:explosion val="1"/>
          <c:dPt>
            <c:idx val="0"/>
            <c:bubble3D val="0"/>
            <c:spPr>
              <a:solidFill>
                <a:srgbClr val="FF0000"/>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0831-45DE-8C14-F7BAA3661BF2}"/>
              </c:ext>
            </c:extLst>
          </c:dPt>
          <c:dPt>
            <c:idx val="1"/>
            <c:bubble3D val="0"/>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3-0831-45DE-8C14-F7BAA3661BF2}"/>
              </c:ext>
            </c:extLst>
          </c:dPt>
          <c:dPt>
            <c:idx val="2"/>
            <c:bubble3D val="0"/>
            <c:spPr>
              <a:gradFill>
                <a:gsLst>
                  <a:gs pos="0">
                    <a:schemeClr val="accent3"/>
                  </a:gs>
                  <a:gs pos="100000">
                    <a:schemeClr val="accent3">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5-0831-45DE-8C14-F7BAA3661BF2}"/>
              </c:ext>
            </c:extLst>
          </c:dPt>
          <c:dPt>
            <c:idx val="3"/>
            <c:bubble3D val="0"/>
            <c:spPr>
              <a:solidFill>
                <a:schemeClr val="accent6">
                  <a:lumMod val="75000"/>
                </a:schemeClr>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7-0831-45DE-8C14-F7BAA3661BF2}"/>
              </c:ext>
            </c:extLst>
          </c:dPt>
          <c:dPt>
            <c:idx val="4"/>
            <c:bubble3D val="0"/>
            <c:spPr>
              <a:solidFill>
                <a:schemeClr val="accent1">
                  <a:lumMod val="75000"/>
                </a:schemeClr>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9-0831-45DE-8C14-F7BAA3661BF2}"/>
              </c:ext>
            </c:extLst>
          </c:dPt>
          <c:dPt>
            <c:idx val="5"/>
            <c:bubble3D val="0"/>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B-CA61-4E29-9382-B0B9C8CC8B2E}"/>
              </c:ext>
            </c:extLst>
          </c:dPt>
          <c:dPt>
            <c:idx val="6"/>
            <c:bubble3D val="0"/>
            <c:spPr>
              <a:gradFill>
                <a:gsLst>
                  <a:gs pos="0">
                    <a:schemeClr val="accent1">
                      <a:lumMod val="60000"/>
                    </a:schemeClr>
                  </a:gs>
                  <a:gs pos="100000">
                    <a:schemeClr val="accent1">
                      <a:lumMod val="60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D-CA61-4E29-9382-B0B9C8CC8B2E}"/>
              </c:ext>
            </c:extLst>
          </c:dPt>
          <c:dLbls>
            <c:dLbl>
              <c:idx val="0"/>
              <c:layout>
                <c:manualLayout>
                  <c:x val="-0.22741424322637735"/>
                  <c:y val="0.11666823010235788"/>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748377500046992"/>
                      <c:h val="0.11366338969571166"/>
                    </c:manualLayout>
                  </c15:layout>
                </c:ext>
                <c:ext xmlns:c16="http://schemas.microsoft.com/office/drawing/2014/chart" uri="{C3380CC4-5D6E-409C-BE32-E72D297353CC}">
                  <c16:uniqueId val="{00000001-0831-45DE-8C14-F7BAA3661BF2}"/>
                </c:ext>
              </c:extLst>
            </c:dLbl>
            <c:dLbl>
              <c:idx val="1"/>
              <c:layout>
                <c:manualLayout>
                  <c:x val="1.9607673796098686E-2"/>
                  <c:y val="-0.14858567658636915"/>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621421419183882"/>
                      <c:h val="0.16754371778601829"/>
                    </c:manualLayout>
                  </c15:layout>
                </c:ext>
                <c:ext xmlns:c16="http://schemas.microsoft.com/office/drawing/2014/chart" uri="{C3380CC4-5D6E-409C-BE32-E72D297353CC}">
                  <c16:uniqueId val="{00000003-0831-45DE-8C14-F7BAA3661BF2}"/>
                </c:ext>
              </c:extLst>
            </c:dLbl>
            <c:dLbl>
              <c:idx val="2"/>
              <c:layout>
                <c:manualLayout>
                  <c:x val="0.11301070964274265"/>
                  <c:y val="-0.107957959386362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1003217640928491"/>
                      <c:h val="0.12835802820062953"/>
                    </c:manualLayout>
                  </c15:layout>
                </c:ext>
                <c:ext xmlns:c16="http://schemas.microsoft.com/office/drawing/2014/chart" uri="{C3380CC4-5D6E-409C-BE32-E72D297353CC}">
                  <c16:uniqueId val="{00000005-0831-45DE-8C14-F7BAA3661BF2}"/>
                </c:ext>
              </c:extLst>
            </c:dLbl>
            <c:dLbl>
              <c:idx val="3"/>
              <c:layout>
                <c:manualLayout>
                  <c:x val="4.0812573377639751E-2"/>
                  <c:y val="9.365604552624018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298826516589762"/>
                      <c:h val="0.12835819759621148"/>
                    </c:manualLayout>
                  </c15:layout>
                </c:ext>
                <c:ext xmlns:c16="http://schemas.microsoft.com/office/drawing/2014/chart" uri="{C3380CC4-5D6E-409C-BE32-E72D297353CC}">
                  <c16:uniqueId val="{00000007-0831-45DE-8C14-F7BAA3661BF2}"/>
                </c:ext>
              </c:extLst>
            </c:dLbl>
            <c:dLbl>
              <c:idx val="4"/>
              <c:layout>
                <c:manualLayout>
                  <c:x val="0.12400281343396939"/>
                  <c:y val="0.10177306516333165"/>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0182750861393248"/>
                      <c:h val="0.10163804936710764"/>
                    </c:manualLayout>
                  </c15:layout>
                </c:ext>
                <c:ext xmlns:c16="http://schemas.microsoft.com/office/drawing/2014/chart" uri="{C3380CC4-5D6E-409C-BE32-E72D297353CC}">
                  <c16:uniqueId val="{00000009-0831-45DE-8C14-F7BAA3661BF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'Most 5 Sold'!$A$4:$A$8</c:f>
              <c:strCache>
                <c:ptCount val="5"/>
                <c:pt idx="0">
                  <c:v>Classic Cars</c:v>
                </c:pt>
                <c:pt idx="1">
                  <c:v>Vintage Cars</c:v>
                </c:pt>
                <c:pt idx="2">
                  <c:v>Motorcycles</c:v>
                </c:pt>
                <c:pt idx="3">
                  <c:v>Trucks and Buses</c:v>
                </c:pt>
                <c:pt idx="4">
                  <c:v>Planes</c:v>
                </c:pt>
              </c:strCache>
            </c:strRef>
          </c:cat>
          <c:val>
            <c:numRef>
              <c:f>'Most 5 Sold'!$B$4:$B$8</c:f>
              <c:numCache>
                <c:formatCode>General</c:formatCode>
                <c:ptCount val="5"/>
                <c:pt idx="0">
                  <c:v>33992</c:v>
                </c:pt>
                <c:pt idx="1">
                  <c:v>21069</c:v>
                </c:pt>
                <c:pt idx="2">
                  <c:v>11663</c:v>
                </c:pt>
                <c:pt idx="3">
                  <c:v>10777</c:v>
                </c:pt>
                <c:pt idx="4">
                  <c:v>10727</c:v>
                </c:pt>
              </c:numCache>
            </c:numRef>
          </c:val>
          <c:extLst>
            <c:ext xmlns:c16="http://schemas.microsoft.com/office/drawing/2014/chart" uri="{C3380CC4-5D6E-409C-BE32-E72D297353CC}">
              <c16:uniqueId val="{0000000A-0831-45DE-8C14-F7BAA3661BF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146390668557735"/>
          <c:y val="9.4036318265356023E-2"/>
          <c:w val="0.25430503252310854"/>
          <c:h val="0.905963681734644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AMLAN AGASTI.xlsx]Monthly Sales!PivotTable6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a:t>
            </a:r>
          </a:p>
        </c:rich>
      </c:tx>
      <c:layout>
        <c:manualLayout>
          <c:xMode val="edge"/>
          <c:yMode val="edge"/>
          <c:x val="0.77270174641701439"/>
          <c:y val="2.85743985089113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manualLayout>
          <c:layoutTarget val="inner"/>
          <c:xMode val="edge"/>
          <c:yMode val="edge"/>
          <c:x val="8.3233814523184596E-2"/>
          <c:y val="2.5428331875182269E-2"/>
          <c:w val="0.63748359580052494"/>
          <c:h val="0.8416746864975212"/>
        </c:manualLayout>
      </c:layout>
      <c:barChart>
        <c:barDir val="col"/>
        <c:grouping val="percentStacked"/>
        <c:varyColors val="0"/>
        <c:ser>
          <c:idx val="0"/>
          <c:order val="0"/>
          <c:tx>
            <c:strRef>
              <c:f>'Monthly Sales'!$B$2:$B$3</c:f>
              <c:strCache>
                <c:ptCount val="1"/>
                <c:pt idx="0">
                  <c:v>Classic Cars</c:v>
                </c:pt>
              </c:strCache>
            </c:strRef>
          </c:tx>
          <c:spPr>
            <a:solidFill>
              <a:schemeClr val="accent1"/>
            </a:solidFill>
            <a:ln>
              <a:noFill/>
            </a:ln>
            <a:effectLst/>
          </c:spPr>
          <c:invertIfNegative val="0"/>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Sales'!$B$4:$B$15</c:f>
              <c:numCache>
                <c:formatCode>\$\ 0.00,\ "K"</c:formatCode>
                <c:ptCount val="12"/>
                <c:pt idx="0">
                  <c:v>303070.55999999994</c:v>
                </c:pt>
                <c:pt idx="1">
                  <c:v>299647.79999999993</c:v>
                </c:pt>
                <c:pt idx="2">
                  <c:v>277560.53999999992</c:v>
                </c:pt>
                <c:pt idx="3">
                  <c:v>263252.00000000006</c:v>
                </c:pt>
                <c:pt idx="4">
                  <c:v>365946.75000000006</c:v>
                </c:pt>
                <c:pt idx="5">
                  <c:v>137419.98000000001</c:v>
                </c:pt>
                <c:pt idx="6">
                  <c:v>245292.94999999995</c:v>
                </c:pt>
                <c:pt idx="7">
                  <c:v>265302.43000000005</c:v>
                </c:pt>
                <c:pt idx="8">
                  <c:v>234673.08000000005</c:v>
                </c:pt>
                <c:pt idx="9">
                  <c:v>465002.24000000005</c:v>
                </c:pt>
                <c:pt idx="10">
                  <c:v>825156.25999999966</c:v>
                </c:pt>
                <c:pt idx="11">
                  <c:v>237291.07000000004</c:v>
                </c:pt>
              </c:numCache>
            </c:numRef>
          </c:val>
          <c:extLst>
            <c:ext xmlns:c16="http://schemas.microsoft.com/office/drawing/2014/chart" uri="{C3380CC4-5D6E-409C-BE32-E72D297353CC}">
              <c16:uniqueId val="{00000000-76D0-4966-91DD-F518529D82CC}"/>
            </c:ext>
          </c:extLst>
        </c:ser>
        <c:ser>
          <c:idx val="1"/>
          <c:order val="1"/>
          <c:tx>
            <c:strRef>
              <c:f>'Monthly Sales'!$C$2:$C$3</c:f>
              <c:strCache>
                <c:ptCount val="1"/>
                <c:pt idx="0">
                  <c:v>Motorcycles</c:v>
                </c:pt>
              </c:strCache>
            </c:strRef>
          </c:tx>
          <c:spPr>
            <a:solidFill>
              <a:schemeClr val="accent2"/>
            </a:solidFill>
            <a:ln>
              <a:noFill/>
            </a:ln>
            <a:effectLst/>
          </c:spPr>
          <c:invertIfNegative val="0"/>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Sales'!$C$4:$C$15</c:f>
              <c:numCache>
                <c:formatCode>\$\ 0.00,\ "K"</c:formatCode>
                <c:ptCount val="12"/>
                <c:pt idx="0">
                  <c:v>81113.88</c:v>
                </c:pt>
                <c:pt idx="1">
                  <c:v>122801.68000000001</c:v>
                </c:pt>
                <c:pt idx="2">
                  <c:v>60469.979999999989</c:v>
                </c:pt>
                <c:pt idx="3">
                  <c:v>119606.87999999998</c:v>
                </c:pt>
                <c:pt idx="4">
                  <c:v>108335.96999999999</c:v>
                </c:pt>
                <c:pt idx="5">
                  <c:v>49879.420000000006</c:v>
                </c:pt>
                <c:pt idx="6">
                  <c:v>60698.23</c:v>
                </c:pt>
                <c:pt idx="7">
                  <c:v>106869.83999999995</c:v>
                </c:pt>
                <c:pt idx="8">
                  <c:v>45626.62999999999</c:v>
                </c:pt>
                <c:pt idx="9">
                  <c:v>103649.60999999997</c:v>
                </c:pt>
                <c:pt idx="10">
                  <c:v>261057.35999999996</c:v>
                </c:pt>
                <c:pt idx="11">
                  <c:v>46278.86</c:v>
                </c:pt>
              </c:numCache>
            </c:numRef>
          </c:val>
          <c:extLst>
            <c:ext xmlns:c16="http://schemas.microsoft.com/office/drawing/2014/chart" uri="{C3380CC4-5D6E-409C-BE32-E72D297353CC}">
              <c16:uniqueId val="{00000000-E38B-482D-B925-F9F4765EF3B1}"/>
            </c:ext>
          </c:extLst>
        </c:ser>
        <c:ser>
          <c:idx val="2"/>
          <c:order val="2"/>
          <c:tx>
            <c:strRef>
              <c:f>'Monthly Sales'!$D$2:$D$3</c:f>
              <c:strCache>
                <c:ptCount val="1"/>
                <c:pt idx="0">
                  <c:v>Planes</c:v>
                </c:pt>
              </c:strCache>
            </c:strRef>
          </c:tx>
          <c:spPr>
            <a:solidFill>
              <a:schemeClr val="accent3"/>
            </a:solidFill>
            <a:ln>
              <a:noFill/>
            </a:ln>
            <a:effectLst/>
          </c:spPr>
          <c:invertIfNegative val="0"/>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Sales'!$D$4:$D$15</c:f>
              <c:numCache>
                <c:formatCode>\$\ 0.00,\ "K"</c:formatCode>
                <c:ptCount val="12"/>
                <c:pt idx="0">
                  <c:v>46715.810000000005</c:v>
                </c:pt>
                <c:pt idx="1">
                  <c:v>107905.65000000001</c:v>
                </c:pt>
                <c:pt idx="2">
                  <c:v>79735.05</c:v>
                </c:pt>
                <c:pt idx="3">
                  <c:v>103359.76999999996</c:v>
                </c:pt>
                <c:pt idx="4">
                  <c:v>74929.050000000017</c:v>
                </c:pt>
                <c:pt idx="5">
                  <c:v>68765.929999999993</c:v>
                </c:pt>
                <c:pt idx="6">
                  <c:v>40915.32</c:v>
                </c:pt>
                <c:pt idx="7">
                  <c:v>67352.009999999995</c:v>
                </c:pt>
                <c:pt idx="8">
                  <c:v>34785.619999999995</c:v>
                </c:pt>
                <c:pt idx="9">
                  <c:v>106777.64999999998</c:v>
                </c:pt>
                <c:pt idx="10">
                  <c:v>175263.96999999994</c:v>
                </c:pt>
                <c:pt idx="11">
                  <c:v>68497.739999999991</c:v>
                </c:pt>
              </c:numCache>
            </c:numRef>
          </c:val>
          <c:extLst>
            <c:ext xmlns:c16="http://schemas.microsoft.com/office/drawing/2014/chart" uri="{C3380CC4-5D6E-409C-BE32-E72D297353CC}">
              <c16:uniqueId val="{00000001-E38B-482D-B925-F9F4765EF3B1}"/>
            </c:ext>
          </c:extLst>
        </c:ser>
        <c:ser>
          <c:idx val="3"/>
          <c:order val="3"/>
          <c:tx>
            <c:strRef>
              <c:f>'Monthly Sales'!$E$2:$E$3</c:f>
              <c:strCache>
                <c:ptCount val="1"/>
                <c:pt idx="0">
                  <c:v>Ships</c:v>
                </c:pt>
              </c:strCache>
            </c:strRef>
          </c:tx>
          <c:spPr>
            <a:solidFill>
              <a:schemeClr val="accent4"/>
            </a:solidFill>
            <a:ln>
              <a:noFill/>
            </a:ln>
            <a:effectLst/>
          </c:spPr>
          <c:invertIfNegative val="0"/>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Sales'!$E$4:$E$15</c:f>
              <c:numCache>
                <c:formatCode>\$\ 0.00,\ "K"</c:formatCode>
                <c:ptCount val="12"/>
                <c:pt idx="0">
                  <c:v>61287.399999999994</c:v>
                </c:pt>
                <c:pt idx="1">
                  <c:v>68247.960000000006</c:v>
                </c:pt>
                <c:pt idx="2">
                  <c:v>74341.94</c:v>
                </c:pt>
                <c:pt idx="3">
                  <c:v>33683.449999999997</c:v>
                </c:pt>
                <c:pt idx="4">
                  <c:v>56156.3</c:v>
                </c:pt>
                <c:pt idx="5">
                  <c:v>53274.530000000013</c:v>
                </c:pt>
                <c:pt idx="6">
                  <c:v>22532.619999999995</c:v>
                </c:pt>
                <c:pt idx="7">
                  <c:v>52250.37</c:v>
                </c:pt>
                <c:pt idx="8">
                  <c:v>45715.229999999996</c:v>
                </c:pt>
                <c:pt idx="9">
                  <c:v>79791.740000000005</c:v>
                </c:pt>
                <c:pt idx="10">
                  <c:v>143075.65000000002</c:v>
                </c:pt>
                <c:pt idx="11">
                  <c:v>24079.940000000002</c:v>
                </c:pt>
              </c:numCache>
            </c:numRef>
          </c:val>
          <c:extLst>
            <c:ext xmlns:c16="http://schemas.microsoft.com/office/drawing/2014/chart" uri="{C3380CC4-5D6E-409C-BE32-E72D297353CC}">
              <c16:uniqueId val="{00000002-E38B-482D-B925-F9F4765EF3B1}"/>
            </c:ext>
          </c:extLst>
        </c:ser>
        <c:ser>
          <c:idx val="4"/>
          <c:order val="4"/>
          <c:tx>
            <c:strRef>
              <c:f>'Monthly Sales'!$F$2:$F$3</c:f>
              <c:strCache>
                <c:ptCount val="1"/>
                <c:pt idx="0">
                  <c:v>Trains</c:v>
                </c:pt>
              </c:strCache>
            </c:strRef>
          </c:tx>
          <c:spPr>
            <a:solidFill>
              <a:schemeClr val="accent5"/>
            </a:solidFill>
            <a:ln>
              <a:noFill/>
            </a:ln>
            <a:effectLst/>
          </c:spPr>
          <c:invertIfNegative val="0"/>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Sales'!$F$4:$F$15</c:f>
              <c:numCache>
                <c:formatCode>\$\ 0.00,\ "K"</c:formatCode>
                <c:ptCount val="12"/>
                <c:pt idx="0">
                  <c:v>19026.580000000002</c:v>
                </c:pt>
                <c:pt idx="1">
                  <c:v>16507.949999999997</c:v>
                </c:pt>
                <c:pt idx="2">
                  <c:v>22581.269999999997</c:v>
                </c:pt>
                <c:pt idx="3">
                  <c:v>4756.47</c:v>
                </c:pt>
                <c:pt idx="4">
                  <c:v>20457.34</c:v>
                </c:pt>
                <c:pt idx="5">
                  <c:v>10071.060000000001</c:v>
                </c:pt>
                <c:pt idx="6">
                  <c:v>10802.2</c:v>
                </c:pt>
                <c:pt idx="7">
                  <c:v>16168.12</c:v>
                </c:pt>
                <c:pt idx="8">
                  <c:v>12479.84</c:v>
                </c:pt>
                <c:pt idx="9">
                  <c:v>25416.870000000003</c:v>
                </c:pt>
                <c:pt idx="10">
                  <c:v>44794.63</c:v>
                </c:pt>
                <c:pt idx="11">
                  <c:v>23181.14</c:v>
                </c:pt>
              </c:numCache>
            </c:numRef>
          </c:val>
          <c:extLst>
            <c:ext xmlns:c16="http://schemas.microsoft.com/office/drawing/2014/chart" uri="{C3380CC4-5D6E-409C-BE32-E72D297353CC}">
              <c16:uniqueId val="{00000003-E38B-482D-B925-F9F4765EF3B1}"/>
            </c:ext>
          </c:extLst>
        </c:ser>
        <c:ser>
          <c:idx val="5"/>
          <c:order val="5"/>
          <c:tx>
            <c:strRef>
              <c:f>'Monthly Sales'!$G$2:$G$3</c:f>
              <c:strCache>
                <c:ptCount val="1"/>
                <c:pt idx="0">
                  <c:v>Trucks and Buses</c:v>
                </c:pt>
              </c:strCache>
            </c:strRef>
          </c:tx>
          <c:spPr>
            <a:solidFill>
              <a:schemeClr val="accent6"/>
            </a:solidFill>
            <a:ln>
              <a:noFill/>
            </a:ln>
            <a:effectLst/>
          </c:spPr>
          <c:invertIfNegative val="0"/>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Sales'!$G$4:$G$15</c:f>
              <c:numCache>
                <c:formatCode>\$\ 0.00,\ "K"</c:formatCode>
                <c:ptCount val="12"/>
                <c:pt idx="0">
                  <c:v>78530.63</c:v>
                </c:pt>
                <c:pt idx="1">
                  <c:v>68211.070000000007</c:v>
                </c:pt>
                <c:pt idx="2">
                  <c:v>61877.340000000004</c:v>
                </c:pt>
                <c:pt idx="3">
                  <c:v>28790.76</c:v>
                </c:pt>
                <c:pt idx="4">
                  <c:v>151270.15000000005</c:v>
                </c:pt>
                <c:pt idx="5">
                  <c:v>60777.509999999995</c:v>
                </c:pt>
                <c:pt idx="6">
                  <c:v>64270.07</c:v>
                </c:pt>
                <c:pt idx="7">
                  <c:v>49943.29</c:v>
                </c:pt>
                <c:pt idx="8">
                  <c:v>85297.650000000023</c:v>
                </c:pt>
                <c:pt idx="9">
                  <c:v>123813.57</c:v>
                </c:pt>
                <c:pt idx="10">
                  <c:v>250874.06</c:v>
                </c:pt>
                <c:pt idx="11">
                  <c:v>104133.73999999999</c:v>
                </c:pt>
              </c:numCache>
            </c:numRef>
          </c:val>
          <c:extLst>
            <c:ext xmlns:c16="http://schemas.microsoft.com/office/drawing/2014/chart" uri="{C3380CC4-5D6E-409C-BE32-E72D297353CC}">
              <c16:uniqueId val="{00000004-E38B-482D-B925-F9F4765EF3B1}"/>
            </c:ext>
          </c:extLst>
        </c:ser>
        <c:ser>
          <c:idx val="6"/>
          <c:order val="6"/>
          <c:tx>
            <c:strRef>
              <c:f>'Monthly Sales'!$H$2:$H$3</c:f>
              <c:strCache>
                <c:ptCount val="1"/>
                <c:pt idx="0">
                  <c:v>Vintage Cars</c:v>
                </c:pt>
              </c:strCache>
            </c:strRef>
          </c:tx>
          <c:spPr>
            <a:solidFill>
              <a:schemeClr val="accent1">
                <a:lumMod val="60000"/>
              </a:schemeClr>
            </a:solidFill>
            <a:ln>
              <a:noFill/>
            </a:ln>
            <a:effectLst/>
          </c:spPr>
          <c:invertIfNegative val="0"/>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Sales'!$H$4:$H$15</c:f>
              <c:numCache>
                <c:formatCode>\$\ 0.00,\ "K"</c:formatCode>
                <c:ptCount val="12"/>
                <c:pt idx="0">
                  <c:v>196129.57999999996</c:v>
                </c:pt>
                <c:pt idx="1">
                  <c:v>127119.79000000004</c:v>
                </c:pt>
                <c:pt idx="2">
                  <c:v>177935.26999999996</c:v>
                </c:pt>
                <c:pt idx="3">
                  <c:v>115941.63000000003</c:v>
                </c:pt>
                <c:pt idx="4">
                  <c:v>146877</c:v>
                </c:pt>
                <c:pt idx="5">
                  <c:v>74568.349999999991</c:v>
                </c:pt>
                <c:pt idx="6">
                  <c:v>70364.58</c:v>
                </c:pt>
                <c:pt idx="7">
                  <c:v>101424.51000000002</c:v>
                </c:pt>
                <c:pt idx="8">
                  <c:v>126146.21999999999</c:v>
                </c:pt>
                <c:pt idx="9">
                  <c:v>216763.5400000001</c:v>
                </c:pt>
                <c:pt idx="10">
                  <c:v>418663.74000000017</c:v>
                </c:pt>
                <c:pt idx="11">
                  <c:v>131216.63</c:v>
                </c:pt>
              </c:numCache>
            </c:numRef>
          </c:val>
          <c:extLst>
            <c:ext xmlns:c16="http://schemas.microsoft.com/office/drawing/2014/chart" uri="{C3380CC4-5D6E-409C-BE32-E72D297353CC}">
              <c16:uniqueId val="{00000005-E38B-482D-B925-F9F4765EF3B1}"/>
            </c:ext>
          </c:extLst>
        </c:ser>
        <c:dLbls>
          <c:showLegendKey val="0"/>
          <c:showVal val="0"/>
          <c:showCatName val="0"/>
          <c:showSerName val="0"/>
          <c:showPercent val="0"/>
          <c:showBubbleSize val="0"/>
        </c:dLbls>
        <c:gapWidth val="150"/>
        <c:overlap val="100"/>
        <c:axId val="417129296"/>
        <c:axId val="417127984"/>
      </c:barChart>
      <c:catAx>
        <c:axId val="417129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127984"/>
        <c:crosses val="autoZero"/>
        <c:auto val="1"/>
        <c:lblAlgn val="ctr"/>
        <c:lblOffset val="100"/>
        <c:noMultiLvlLbl val="0"/>
      </c:catAx>
      <c:valAx>
        <c:axId val="417127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12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AMLAN AGASTI.xlsx]Monthly Sales!PivotTable1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2.1561455510633171E-2"/>
          <c:y val="7.1906656978016056E-2"/>
          <c:w val="0.6336182630405931"/>
          <c:h val="0.96614204518032487"/>
        </c:manualLayout>
      </c:layout>
      <c:doughnutChart>
        <c:varyColors val="1"/>
        <c:ser>
          <c:idx val="0"/>
          <c:order val="0"/>
          <c:tx>
            <c:strRef>
              <c:f>'Monthly Sales'!$U$2</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87-4C58-A7E0-A57AEF1840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87-4C58-A7E0-A57AEF1840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87-4C58-A7E0-A57AEF1840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387-4C58-A7E0-A57AEF18408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387-4C58-A7E0-A57AEF18408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387-4C58-A7E0-A57AEF18408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387-4C58-A7E0-A57AEF1840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'Monthly Sales'!$T$3:$T$10</c:f>
              <c:strCache>
                <c:ptCount val="7"/>
                <c:pt idx="0">
                  <c:v>Classic Cars</c:v>
                </c:pt>
                <c:pt idx="1">
                  <c:v>Motorcycles</c:v>
                </c:pt>
                <c:pt idx="2">
                  <c:v>Planes</c:v>
                </c:pt>
                <c:pt idx="3">
                  <c:v>Ships</c:v>
                </c:pt>
                <c:pt idx="4">
                  <c:v>Trains</c:v>
                </c:pt>
                <c:pt idx="5">
                  <c:v>Trucks and Buses</c:v>
                </c:pt>
                <c:pt idx="6">
                  <c:v>Vintage Cars</c:v>
                </c:pt>
              </c:strCache>
            </c:strRef>
          </c:cat>
          <c:val>
            <c:numRef>
              <c:f>'Monthly Sales'!$U$3:$U$10</c:f>
              <c:numCache>
                <c:formatCode>0.00%</c:formatCode>
                <c:ptCount val="7"/>
                <c:pt idx="0">
                  <c:v>0.39068679990090516</c:v>
                </c:pt>
                <c:pt idx="1">
                  <c:v>0.11625949264534</c:v>
                </c:pt>
                <c:pt idx="2">
                  <c:v>9.7183259201301012E-2</c:v>
                </c:pt>
                <c:pt idx="3">
                  <c:v>7.1211358526434509E-2</c:v>
                </c:pt>
                <c:pt idx="4">
                  <c:v>2.2550766442436476E-2</c:v>
                </c:pt>
                <c:pt idx="5">
                  <c:v>0.11241219593207617</c:v>
                </c:pt>
                <c:pt idx="6">
                  <c:v>0.18969612735150668</c:v>
                </c:pt>
              </c:numCache>
            </c:numRef>
          </c:val>
          <c:extLst>
            <c:ext xmlns:c16="http://schemas.microsoft.com/office/drawing/2014/chart" uri="{C3380CC4-5D6E-409C-BE32-E72D297353CC}">
              <c16:uniqueId val="{00000000-1EBB-468D-B64D-533228D97C90}"/>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r"/>
      <c:layout>
        <c:manualLayout>
          <c:xMode val="edge"/>
          <c:yMode val="edge"/>
          <c:x val="0.68970006046378274"/>
          <c:y val="8.8106730319477397E-2"/>
          <c:w val="0.27362928155347283"/>
          <c:h val="0.836487782963400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AMLAN AGASTI.xlsx]Monthly Sales!PivotTable3</c:name>
    <c:fmtId val="0"/>
  </c:pivotSource>
  <c:chart>
    <c:autoTitleDeleted val="1"/>
    <c:pivotFmts>
      <c:pivotFmt>
        <c:idx val="0"/>
        <c:spPr>
          <a:ln w="28575" cap="rnd">
            <a:solidFill>
              <a:schemeClr val="accent1"/>
            </a:solidFill>
            <a:round/>
          </a:ln>
          <a:effectLst/>
        </c:spPr>
        <c:marker>
          <c:symbol val="none"/>
        </c:marker>
      </c:pivotFmt>
    </c:pivotFmts>
    <c:plotArea>
      <c:layout>
        <c:manualLayout>
          <c:layoutTarget val="inner"/>
          <c:xMode val="edge"/>
          <c:yMode val="edge"/>
          <c:x val="5.3311766088679435E-2"/>
          <c:y val="9.6491294717015272E-2"/>
          <c:w val="0.86968234956100587"/>
          <c:h val="0.80701741056596943"/>
        </c:manualLayout>
      </c:layout>
      <c:lineChart>
        <c:grouping val="standard"/>
        <c:varyColors val="0"/>
        <c:ser>
          <c:idx val="0"/>
          <c:order val="0"/>
          <c:tx>
            <c:strRef>
              <c:f>'Monthly Sales'!$B$27</c:f>
              <c:strCache>
                <c:ptCount val="1"/>
                <c:pt idx="0">
                  <c:v>Total</c:v>
                </c:pt>
              </c:strCache>
            </c:strRef>
          </c:tx>
          <c:spPr>
            <a:ln w="28575" cap="rnd">
              <a:solidFill>
                <a:schemeClr val="accent1"/>
              </a:solidFill>
              <a:round/>
            </a:ln>
            <a:effectLst/>
          </c:spPr>
          <c:marker>
            <c:symbol val="none"/>
          </c:marker>
          <c:cat>
            <c:strRef>
              <c:f>'Monthly Sales'!$A$28:$A$40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Sales'!$B$28:$B$40</c:f>
              <c:numCache>
                <c:formatCode>General</c:formatCode>
                <c:ptCount val="12"/>
                <c:pt idx="0">
                  <c:v>785874.44000000076</c:v>
                </c:pt>
                <c:pt idx="1">
                  <c:v>810441.9</c:v>
                </c:pt>
                <c:pt idx="2">
                  <c:v>754501.39000000013</c:v>
                </c:pt>
                <c:pt idx="3">
                  <c:v>669390.96000000031</c:v>
                </c:pt>
                <c:pt idx="4">
                  <c:v>923972.56</c:v>
                </c:pt>
                <c:pt idx="5">
                  <c:v>454756.77999999985</c:v>
                </c:pt>
                <c:pt idx="6">
                  <c:v>514875.97000000009</c:v>
                </c:pt>
                <c:pt idx="7">
                  <c:v>659310.56999999983</c:v>
                </c:pt>
                <c:pt idx="8">
                  <c:v>584724.2699999999</c:v>
                </c:pt>
                <c:pt idx="9">
                  <c:v>1121215.2199999997</c:v>
                </c:pt>
                <c:pt idx="10">
                  <c:v>2118885.67</c:v>
                </c:pt>
                <c:pt idx="11">
                  <c:v>634679.11999999976</c:v>
                </c:pt>
              </c:numCache>
            </c:numRef>
          </c:val>
          <c:smooth val="0"/>
          <c:extLst>
            <c:ext xmlns:c16="http://schemas.microsoft.com/office/drawing/2014/chart" uri="{C3380CC4-5D6E-409C-BE32-E72D297353CC}">
              <c16:uniqueId val="{00000000-96B5-4D4B-9C9D-648B9BDD56EB}"/>
            </c:ext>
          </c:extLst>
        </c:ser>
        <c:dLbls>
          <c:showLegendKey val="0"/>
          <c:showVal val="0"/>
          <c:showCatName val="0"/>
          <c:showSerName val="0"/>
          <c:showPercent val="0"/>
          <c:showBubbleSize val="0"/>
        </c:dLbls>
        <c:smooth val="0"/>
        <c:axId val="422634680"/>
        <c:axId val="422634024"/>
      </c:lineChart>
      <c:catAx>
        <c:axId val="422634680"/>
        <c:scaling>
          <c:orientation val="minMax"/>
        </c:scaling>
        <c:delete val="1"/>
        <c:axPos val="b"/>
        <c:numFmt formatCode="General" sourceLinked="1"/>
        <c:majorTickMark val="none"/>
        <c:minorTickMark val="none"/>
        <c:tickLblPos val="nextTo"/>
        <c:crossAx val="422634024"/>
        <c:crosses val="autoZero"/>
        <c:auto val="1"/>
        <c:lblAlgn val="ctr"/>
        <c:lblOffset val="100"/>
        <c:noMultiLvlLbl val="0"/>
      </c:catAx>
      <c:valAx>
        <c:axId val="422634024"/>
        <c:scaling>
          <c:orientation val="minMax"/>
        </c:scaling>
        <c:delete val="1"/>
        <c:axPos val="l"/>
        <c:numFmt formatCode="General" sourceLinked="1"/>
        <c:majorTickMark val="none"/>
        <c:minorTickMark val="none"/>
        <c:tickLblPos val="nextTo"/>
        <c:crossAx val="422634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AMLAN AGASTI.xlsx]KPI!PivotTable5</c:name>
    <c:fmtId val="0"/>
  </c:pivotSource>
  <c:chart>
    <c:autoTitleDeleted val="1"/>
    <c:pivotFmts>
      <c:pivotFmt>
        <c:idx val="0"/>
        <c:spPr>
          <a:ln w="28575" cap="rnd">
            <a:solidFill>
              <a:schemeClr val="accent1"/>
            </a:solidFill>
            <a:round/>
          </a:ln>
          <a:effectLst/>
        </c:spPr>
        <c:marker>
          <c:symbol val="none"/>
        </c:marker>
      </c:pivotFmt>
    </c:pivotFmts>
    <c:plotArea>
      <c:layout>
        <c:manualLayout>
          <c:layoutTarget val="inner"/>
          <c:xMode val="edge"/>
          <c:yMode val="edge"/>
          <c:x val="2.886002886002886E-2"/>
          <c:y val="7.8431372549019607E-2"/>
          <c:w val="0.95670995670995673"/>
          <c:h val="0.84313725490196079"/>
        </c:manualLayout>
      </c:layout>
      <c:lineChart>
        <c:grouping val="standard"/>
        <c:varyColors val="0"/>
        <c:ser>
          <c:idx val="0"/>
          <c:order val="0"/>
          <c:tx>
            <c:strRef>
              <c:f>KPI!$E$4</c:f>
              <c:strCache>
                <c:ptCount val="1"/>
                <c:pt idx="0">
                  <c:v>Total</c:v>
                </c:pt>
              </c:strCache>
            </c:strRef>
          </c:tx>
          <c:spPr>
            <a:ln w="28575" cap="rnd">
              <a:solidFill>
                <a:schemeClr val="accent1"/>
              </a:solidFill>
              <a:round/>
            </a:ln>
            <a:effectLst/>
          </c:spPr>
          <c:marker>
            <c:symbol val="none"/>
          </c:marker>
          <c:cat>
            <c:multiLvlStrRef>
              <c:f>KPI!$D$5:$D$17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S18_3232</c:v>
                  </c:pt>
                </c:lvl>
              </c:multiLvlStrCache>
            </c:multiLvlStrRef>
          </c:cat>
          <c:val>
            <c:numRef>
              <c:f>KPI!$E$5:$E$17</c:f>
              <c:numCache>
                <c:formatCode>\$\ 0.00,\ "K"</c:formatCode>
                <c:ptCount val="12"/>
                <c:pt idx="0">
                  <c:v>17922.059999999998</c:v>
                </c:pt>
                <c:pt idx="1">
                  <c:v>20541.439999999999</c:v>
                </c:pt>
                <c:pt idx="2">
                  <c:v>15782.54</c:v>
                </c:pt>
                <c:pt idx="3">
                  <c:v>23581.86</c:v>
                </c:pt>
                <c:pt idx="4">
                  <c:v>32339.040000000001</c:v>
                </c:pt>
                <c:pt idx="5">
                  <c:v>14268.53</c:v>
                </c:pt>
                <c:pt idx="6">
                  <c:v>17072.760000000002</c:v>
                </c:pt>
                <c:pt idx="7">
                  <c:v>21281.49</c:v>
                </c:pt>
                <c:pt idx="8">
                  <c:v>11997.76</c:v>
                </c:pt>
                <c:pt idx="9">
                  <c:v>37731.83</c:v>
                </c:pt>
                <c:pt idx="10">
                  <c:v>53109.34</c:v>
                </c:pt>
                <c:pt idx="11">
                  <c:v>22616.77</c:v>
                </c:pt>
              </c:numCache>
            </c:numRef>
          </c:val>
          <c:smooth val="0"/>
          <c:extLst>
            <c:ext xmlns:c16="http://schemas.microsoft.com/office/drawing/2014/chart" uri="{C3380CC4-5D6E-409C-BE32-E72D297353CC}">
              <c16:uniqueId val="{00000000-AC13-4E6A-8893-5524E6BBD56B}"/>
            </c:ext>
          </c:extLst>
        </c:ser>
        <c:dLbls>
          <c:showLegendKey val="0"/>
          <c:showVal val="0"/>
          <c:showCatName val="0"/>
          <c:showSerName val="0"/>
          <c:showPercent val="0"/>
          <c:showBubbleSize val="0"/>
        </c:dLbls>
        <c:smooth val="0"/>
        <c:axId val="518389216"/>
        <c:axId val="518387904"/>
      </c:lineChart>
      <c:catAx>
        <c:axId val="518389216"/>
        <c:scaling>
          <c:orientation val="minMax"/>
        </c:scaling>
        <c:delete val="1"/>
        <c:axPos val="b"/>
        <c:numFmt formatCode="General" sourceLinked="1"/>
        <c:majorTickMark val="none"/>
        <c:minorTickMark val="none"/>
        <c:tickLblPos val="nextTo"/>
        <c:crossAx val="518387904"/>
        <c:crosses val="autoZero"/>
        <c:auto val="1"/>
        <c:lblAlgn val="ctr"/>
        <c:lblOffset val="100"/>
        <c:noMultiLvlLbl val="0"/>
      </c:catAx>
      <c:valAx>
        <c:axId val="518387904"/>
        <c:scaling>
          <c:orientation val="minMax"/>
        </c:scaling>
        <c:delete val="1"/>
        <c:axPos val="l"/>
        <c:numFmt formatCode="\$\ 0.00,\ &quot;K&quot;" sourceLinked="1"/>
        <c:majorTickMark val="none"/>
        <c:minorTickMark val="none"/>
        <c:tickLblPos val="nextTo"/>
        <c:crossAx val="518389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AMLAN AGASTI.xlsx]KPI!PivotTable7</c:name>
    <c:fmtId val="0"/>
  </c:pivotSource>
  <c:chart>
    <c:autoTitleDeleted val="1"/>
    <c:pivotFmts>
      <c:pivotFmt>
        <c:idx val="0"/>
        <c:spPr>
          <a:ln w="28575" cap="rnd">
            <a:solidFill>
              <a:schemeClr val="accent1"/>
            </a:solidFill>
            <a:round/>
          </a:ln>
          <a:effectLst/>
        </c:spPr>
        <c:marker>
          <c:symbol val="none"/>
        </c:marker>
      </c:pivotFmt>
    </c:pivotFmts>
    <c:plotArea>
      <c:layout>
        <c:manualLayout>
          <c:layoutTarget val="inner"/>
          <c:xMode val="edge"/>
          <c:yMode val="edge"/>
          <c:x val="2.7322404371584699E-2"/>
          <c:y val="2.0657204033706314E-2"/>
          <c:w val="0.97267759562841527"/>
          <c:h val="0.84946236559139798"/>
        </c:manualLayout>
      </c:layout>
      <c:lineChart>
        <c:grouping val="standard"/>
        <c:varyColors val="0"/>
        <c:ser>
          <c:idx val="0"/>
          <c:order val="0"/>
          <c:tx>
            <c:strRef>
              <c:f>KPI!$K$4</c:f>
              <c:strCache>
                <c:ptCount val="1"/>
                <c:pt idx="0">
                  <c:v>Total</c:v>
                </c:pt>
              </c:strCache>
            </c:strRef>
          </c:tx>
          <c:spPr>
            <a:ln w="28575" cap="rnd">
              <a:solidFill>
                <a:schemeClr val="accent1"/>
              </a:solidFill>
              <a:round/>
            </a:ln>
            <a:effectLst/>
          </c:spPr>
          <c:marker>
            <c:symbol val="none"/>
          </c:marker>
          <c:cat>
            <c:multiLvlStrRef>
              <c:f>KPI!$J$5:$J$17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EMEA</c:v>
                  </c:pt>
                </c:lvl>
              </c:multiLvlStrCache>
            </c:multiLvlStrRef>
          </c:cat>
          <c:val>
            <c:numRef>
              <c:f>KPI!$K$5:$K$17</c:f>
              <c:numCache>
                <c:formatCode>\$\ 0.00,\ "K"</c:formatCode>
                <c:ptCount val="12"/>
                <c:pt idx="0">
                  <c:v>434478.17000000016</c:v>
                </c:pt>
                <c:pt idx="1">
                  <c:v>466432.91999999993</c:v>
                </c:pt>
                <c:pt idx="2">
                  <c:v>391114.23999999999</c:v>
                </c:pt>
                <c:pt idx="3">
                  <c:v>316151.6700000001</c:v>
                </c:pt>
                <c:pt idx="4">
                  <c:v>521779.15999999992</c:v>
                </c:pt>
                <c:pt idx="5">
                  <c:v>182577.36000000002</c:v>
                </c:pt>
                <c:pt idx="6">
                  <c:v>224900.58999999997</c:v>
                </c:pt>
                <c:pt idx="7">
                  <c:v>214871.24000000005</c:v>
                </c:pt>
                <c:pt idx="8">
                  <c:v>295591.10999999993</c:v>
                </c:pt>
                <c:pt idx="9">
                  <c:v>590751.9700000002</c:v>
                </c:pt>
                <c:pt idx="10">
                  <c:v>1068956.0399999996</c:v>
                </c:pt>
                <c:pt idx="11">
                  <c:v>271667.94000000006</c:v>
                </c:pt>
              </c:numCache>
            </c:numRef>
          </c:val>
          <c:smooth val="0"/>
          <c:extLst>
            <c:ext xmlns:c16="http://schemas.microsoft.com/office/drawing/2014/chart" uri="{C3380CC4-5D6E-409C-BE32-E72D297353CC}">
              <c16:uniqueId val="{00000000-46AB-4B0F-AAD6-77FA48ED88A4}"/>
            </c:ext>
          </c:extLst>
        </c:ser>
        <c:dLbls>
          <c:showLegendKey val="0"/>
          <c:showVal val="0"/>
          <c:showCatName val="0"/>
          <c:showSerName val="0"/>
          <c:showPercent val="0"/>
          <c:showBubbleSize val="0"/>
        </c:dLbls>
        <c:smooth val="0"/>
        <c:axId val="420545880"/>
        <c:axId val="412228672"/>
      </c:lineChart>
      <c:catAx>
        <c:axId val="420545880"/>
        <c:scaling>
          <c:orientation val="minMax"/>
        </c:scaling>
        <c:delete val="1"/>
        <c:axPos val="b"/>
        <c:numFmt formatCode="General" sourceLinked="1"/>
        <c:majorTickMark val="none"/>
        <c:minorTickMark val="none"/>
        <c:tickLblPos val="nextTo"/>
        <c:crossAx val="412228672"/>
        <c:crosses val="autoZero"/>
        <c:auto val="1"/>
        <c:lblAlgn val="ctr"/>
        <c:lblOffset val="100"/>
        <c:noMultiLvlLbl val="0"/>
      </c:catAx>
      <c:valAx>
        <c:axId val="412228672"/>
        <c:scaling>
          <c:orientation val="minMax"/>
        </c:scaling>
        <c:delete val="1"/>
        <c:axPos val="l"/>
        <c:numFmt formatCode="\$\ 0.00,\ &quot;K&quot;" sourceLinked="1"/>
        <c:majorTickMark val="none"/>
        <c:minorTickMark val="none"/>
        <c:tickLblPos val="nextTo"/>
        <c:crossAx val="420545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AMLAN AGASTI.xlsx]KPI!PivotTable9</c:name>
    <c:fmtId val="1"/>
  </c:pivotSource>
  <c:chart>
    <c:autoTitleDeleted val="1"/>
    <c:pivotFmts>
      <c:pivotFmt>
        <c:idx val="0"/>
        <c:spPr>
          <a:ln w="28575" cap="rnd">
            <a:solidFill>
              <a:schemeClr val="accent1"/>
            </a:solidFill>
            <a:round/>
          </a:ln>
          <a:effectLst/>
        </c:spPr>
        <c:marker>
          <c:symbol val="none"/>
        </c:marker>
      </c:pivotFmt>
    </c:pivotFmts>
    <c:plotArea>
      <c:layout>
        <c:manualLayout>
          <c:layoutTarget val="inner"/>
          <c:xMode val="edge"/>
          <c:yMode val="edge"/>
          <c:x val="2.0012653196172545E-2"/>
          <c:y val="4.6296296296296294E-2"/>
          <c:w val="0.97998734680382749"/>
          <c:h val="0.89814814814814814"/>
        </c:manualLayout>
      </c:layout>
      <c:lineChart>
        <c:grouping val="standard"/>
        <c:varyColors val="0"/>
        <c:ser>
          <c:idx val="0"/>
          <c:order val="0"/>
          <c:tx>
            <c:strRef>
              <c:f>KPI!$Q$4</c:f>
              <c:strCache>
                <c:ptCount val="1"/>
                <c:pt idx="0">
                  <c:v>Total</c:v>
                </c:pt>
              </c:strCache>
            </c:strRef>
          </c:tx>
          <c:spPr>
            <a:ln w="28575" cap="rnd">
              <a:solidFill>
                <a:schemeClr val="accent1"/>
              </a:solidFill>
              <a:round/>
            </a:ln>
            <a:effectLst/>
          </c:spPr>
          <c:marker>
            <c:symbol val="none"/>
          </c:marker>
          <c:cat>
            <c:multiLvlStrRef>
              <c:f>KPI!$P$5:$P$17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USA</c:v>
                  </c:pt>
                </c:lvl>
              </c:multiLvlStrCache>
            </c:multiLvlStrRef>
          </c:cat>
          <c:val>
            <c:numRef>
              <c:f>KPI!$Q$5:$Q$17</c:f>
              <c:numCache>
                <c:formatCode>\$\ 0.00,\ "K"</c:formatCode>
                <c:ptCount val="12"/>
                <c:pt idx="0">
                  <c:v>232862.06999999998</c:v>
                </c:pt>
                <c:pt idx="1">
                  <c:v>248421.79</c:v>
                </c:pt>
                <c:pt idx="2">
                  <c:v>268806.28000000003</c:v>
                </c:pt>
                <c:pt idx="3">
                  <c:v>207625.70000000004</c:v>
                </c:pt>
                <c:pt idx="4">
                  <c:v>300412.73</c:v>
                </c:pt>
                <c:pt idx="5">
                  <c:v>175897.42000000004</c:v>
                </c:pt>
                <c:pt idx="6">
                  <c:v>207946.16000000006</c:v>
                </c:pt>
                <c:pt idx="7">
                  <c:v>397979.10000000003</c:v>
                </c:pt>
                <c:pt idx="8">
                  <c:v>144178.91</c:v>
                </c:pt>
                <c:pt idx="9">
                  <c:v>416077.16999999993</c:v>
                </c:pt>
                <c:pt idx="10">
                  <c:v>741331.68000000052</c:v>
                </c:pt>
                <c:pt idx="11">
                  <c:v>286443.81999999995</c:v>
                </c:pt>
              </c:numCache>
            </c:numRef>
          </c:val>
          <c:smooth val="0"/>
          <c:extLst>
            <c:ext xmlns:c16="http://schemas.microsoft.com/office/drawing/2014/chart" uri="{C3380CC4-5D6E-409C-BE32-E72D297353CC}">
              <c16:uniqueId val="{00000000-5218-4426-8BFA-D8A39605DE8C}"/>
            </c:ext>
          </c:extLst>
        </c:ser>
        <c:dLbls>
          <c:showLegendKey val="0"/>
          <c:showVal val="0"/>
          <c:showCatName val="0"/>
          <c:showSerName val="0"/>
          <c:showPercent val="0"/>
          <c:showBubbleSize val="0"/>
        </c:dLbls>
        <c:smooth val="0"/>
        <c:axId val="521499920"/>
        <c:axId val="521500576"/>
      </c:lineChart>
      <c:catAx>
        <c:axId val="521499920"/>
        <c:scaling>
          <c:orientation val="minMax"/>
        </c:scaling>
        <c:delete val="1"/>
        <c:axPos val="b"/>
        <c:numFmt formatCode="General" sourceLinked="1"/>
        <c:majorTickMark val="none"/>
        <c:minorTickMark val="none"/>
        <c:tickLblPos val="nextTo"/>
        <c:crossAx val="521500576"/>
        <c:crosses val="autoZero"/>
        <c:auto val="1"/>
        <c:lblAlgn val="ctr"/>
        <c:lblOffset val="100"/>
        <c:noMultiLvlLbl val="0"/>
      </c:catAx>
      <c:valAx>
        <c:axId val="521500576"/>
        <c:scaling>
          <c:orientation val="minMax"/>
        </c:scaling>
        <c:delete val="1"/>
        <c:axPos val="l"/>
        <c:numFmt formatCode="\$\ 0.00,\ &quot;K&quot;" sourceLinked="1"/>
        <c:majorTickMark val="none"/>
        <c:minorTickMark val="none"/>
        <c:tickLblPos val="nextTo"/>
        <c:crossAx val="521499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AMLAN AGASTI.xlsx]KPI!PivotTable11</c:name>
    <c:fmtId val="2"/>
  </c:pivotSource>
  <c:chart>
    <c:autoTitleDeleted val="1"/>
    <c:pivotFmts>
      <c:pivotFmt>
        <c:idx val="0"/>
        <c:spPr>
          <a:ln w="28575" cap="rnd">
            <a:solidFill>
              <a:schemeClr val="accent1"/>
            </a:solidFill>
            <a:round/>
          </a:ln>
          <a:effectLst/>
        </c:spPr>
        <c:marker>
          <c:symbol val="none"/>
        </c:marker>
      </c:pivotFmt>
    </c:pivotFmts>
    <c:plotArea>
      <c:layout>
        <c:manualLayout>
          <c:layoutTarget val="inner"/>
          <c:xMode val="edge"/>
          <c:yMode val="edge"/>
          <c:x val="1.6633922724296004E-2"/>
          <c:y val="3.7763901278620282E-2"/>
          <c:w val="0.95841519318925994"/>
          <c:h val="0.94335414808206963"/>
        </c:manualLayout>
      </c:layout>
      <c:lineChart>
        <c:grouping val="standard"/>
        <c:varyColors val="0"/>
        <c:ser>
          <c:idx val="0"/>
          <c:order val="0"/>
          <c:tx>
            <c:strRef>
              <c:f>KPI!$X$4</c:f>
              <c:strCache>
                <c:ptCount val="1"/>
                <c:pt idx="0">
                  <c:v>Total</c:v>
                </c:pt>
              </c:strCache>
            </c:strRef>
          </c:tx>
          <c:spPr>
            <a:ln w="28575" cap="rnd">
              <a:solidFill>
                <a:schemeClr val="accent1"/>
              </a:solidFill>
              <a:round/>
            </a:ln>
            <a:effectLst/>
          </c:spPr>
          <c:marker>
            <c:symbol val="none"/>
          </c:marker>
          <c:cat>
            <c:multiLvlStrRef>
              <c:f>KPI!$W$5:$W$16</c:f>
              <c:multiLvlStrCache>
                <c:ptCount val="11"/>
                <c:lvl>
                  <c:pt idx="0">
                    <c:v>Jan</c:v>
                  </c:pt>
                  <c:pt idx="1">
                    <c:v>Feb</c:v>
                  </c:pt>
                  <c:pt idx="2">
                    <c:v>Mar</c:v>
                  </c:pt>
                  <c:pt idx="3">
                    <c:v>Apr</c:v>
                  </c:pt>
                  <c:pt idx="4">
                    <c:v>May</c:v>
                  </c:pt>
                  <c:pt idx="5">
                    <c:v>Jun</c:v>
                  </c:pt>
                  <c:pt idx="6">
                    <c:v>Aug</c:v>
                  </c:pt>
                  <c:pt idx="7">
                    <c:v>Sep</c:v>
                  </c:pt>
                  <c:pt idx="8">
                    <c:v>Oct</c:v>
                  </c:pt>
                  <c:pt idx="9">
                    <c:v>Nov</c:v>
                  </c:pt>
                  <c:pt idx="10">
                    <c:v>Dec</c:v>
                  </c:pt>
                </c:lvl>
                <c:lvl>
                  <c:pt idx="0">
                    <c:v>Euro Shopping Channel</c:v>
                  </c:pt>
                </c:lvl>
              </c:multiLvlStrCache>
            </c:multiLvlStrRef>
          </c:cat>
          <c:val>
            <c:numRef>
              <c:f>KPI!$X$5:$X$16</c:f>
              <c:numCache>
                <c:formatCode>0</c:formatCode>
                <c:ptCount val="11"/>
                <c:pt idx="0">
                  <c:v>1055</c:v>
                </c:pt>
                <c:pt idx="1">
                  <c:v>1390</c:v>
                </c:pt>
                <c:pt idx="2">
                  <c:v>889</c:v>
                </c:pt>
                <c:pt idx="3">
                  <c:v>301</c:v>
                </c:pt>
                <c:pt idx="4">
                  <c:v>1382</c:v>
                </c:pt>
                <c:pt idx="5">
                  <c:v>1048</c:v>
                </c:pt>
                <c:pt idx="6">
                  <c:v>236</c:v>
                </c:pt>
                <c:pt idx="7">
                  <c:v>458</c:v>
                </c:pt>
                <c:pt idx="8">
                  <c:v>451</c:v>
                </c:pt>
                <c:pt idx="9">
                  <c:v>170</c:v>
                </c:pt>
                <c:pt idx="10">
                  <c:v>1947</c:v>
                </c:pt>
              </c:numCache>
            </c:numRef>
          </c:val>
          <c:smooth val="0"/>
          <c:extLst>
            <c:ext xmlns:c16="http://schemas.microsoft.com/office/drawing/2014/chart" uri="{C3380CC4-5D6E-409C-BE32-E72D297353CC}">
              <c16:uniqueId val="{00000000-D745-4FD8-AEF7-8393655B1862}"/>
            </c:ext>
          </c:extLst>
        </c:ser>
        <c:dLbls>
          <c:showLegendKey val="0"/>
          <c:showVal val="0"/>
          <c:showCatName val="0"/>
          <c:showSerName val="0"/>
          <c:showPercent val="0"/>
          <c:showBubbleSize val="0"/>
        </c:dLbls>
        <c:smooth val="0"/>
        <c:axId val="483677960"/>
        <c:axId val="483674352"/>
      </c:lineChart>
      <c:catAx>
        <c:axId val="483677960"/>
        <c:scaling>
          <c:orientation val="minMax"/>
        </c:scaling>
        <c:delete val="1"/>
        <c:axPos val="b"/>
        <c:numFmt formatCode="General" sourceLinked="1"/>
        <c:majorTickMark val="none"/>
        <c:minorTickMark val="none"/>
        <c:tickLblPos val="nextTo"/>
        <c:crossAx val="483674352"/>
        <c:crosses val="autoZero"/>
        <c:auto val="1"/>
        <c:lblAlgn val="ctr"/>
        <c:lblOffset val="100"/>
        <c:noMultiLvlLbl val="0"/>
      </c:catAx>
      <c:valAx>
        <c:axId val="483674352"/>
        <c:scaling>
          <c:orientation val="minMax"/>
        </c:scaling>
        <c:delete val="1"/>
        <c:axPos val="l"/>
        <c:numFmt formatCode="0" sourceLinked="1"/>
        <c:majorTickMark val="none"/>
        <c:minorTickMark val="none"/>
        <c:tickLblPos val="nextTo"/>
        <c:crossAx val="483677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AMLAN AGASTI.xlsx]TOP 10 Customer!PivotTable5</c:name>
    <c:fmtId val="0"/>
  </c:pivotSource>
  <c:chart>
    <c:autoTitleDeleted val="0"/>
    <c:pivotFmts>
      <c:pivotFmt>
        <c:idx val="0"/>
        <c:spPr>
          <a:solidFill>
            <a:schemeClr val="accent1">
              <a:lumMod val="75000"/>
            </a:schemeClr>
          </a:solidFill>
          <a:ln>
            <a:noFill/>
          </a:ln>
          <a:effectLst/>
        </c:spPr>
        <c:marker>
          <c:symbol val="none"/>
        </c:marker>
      </c:pivotFmt>
      <c:pivotFmt>
        <c:idx val="1"/>
        <c:spPr>
          <a:solidFill>
            <a:schemeClr val="accent4">
              <a:lumMod val="40000"/>
              <a:lumOff val="60000"/>
            </a:schemeClr>
          </a:solidFill>
          <a:ln>
            <a:noFill/>
          </a:ln>
          <a:effectLst/>
        </c:spPr>
        <c:marker>
          <c:symbol val="none"/>
        </c:marker>
      </c:pivotFmt>
    </c:pivotFmts>
    <c:plotArea>
      <c:layout/>
      <c:areaChart>
        <c:grouping val="standard"/>
        <c:varyColors val="0"/>
        <c:ser>
          <c:idx val="1"/>
          <c:order val="1"/>
          <c:tx>
            <c:strRef>
              <c:f>'TOP 10 Customer'!$C$2</c:f>
              <c:strCache>
                <c:ptCount val="1"/>
                <c:pt idx="0">
                  <c:v>Sum of SALES</c:v>
                </c:pt>
              </c:strCache>
            </c:strRef>
          </c:tx>
          <c:spPr>
            <a:solidFill>
              <a:schemeClr val="accent4">
                <a:lumMod val="40000"/>
                <a:lumOff val="60000"/>
              </a:schemeClr>
            </a:solidFill>
            <a:ln>
              <a:noFill/>
            </a:ln>
            <a:effectLst/>
          </c:spPr>
          <c:cat>
            <c:strRef>
              <c:f>'TOP 10 Customer'!$A$3:$A$13</c:f>
              <c:strCache>
                <c:ptCount val="10"/>
                <c:pt idx="0">
                  <c:v>Euro Shopping Channel</c:v>
                </c:pt>
                <c:pt idx="1">
                  <c:v>Mini Gifts Distributors Ltd.</c:v>
                </c:pt>
                <c:pt idx="2">
                  <c:v>Australian Collectors, Co.</c:v>
                </c:pt>
                <c:pt idx="3">
                  <c:v>Muscle Machine Inc</c:v>
                </c:pt>
                <c:pt idx="4">
                  <c:v>La Rochelle Gifts</c:v>
                </c:pt>
                <c:pt idx="5">
                  <c:v>Land of Toys Inc.</c:v>
                </c:pt>
                <c:pt idx="6">
                  <c:v>The Sharp Gifts Warehouse</c:v>
                </c:pt>
                <c:pt idx="7">
                  <c:v>AV Stores, Co.</c:v>
                </c:pt>
                <c:pt idx="8">
                  <c:v>Souveniers And Things Co.</c:v>
                </c:pt>
                <c:pt idx="9">
                  <c:v>Rovelli Gifts</c:v>
                </c:pt>
              </c:strCache>
            </c:strRef>
          </c:cat>
          <c:val>
            <c:numRef>
              <c:f>'TOP 10 Customer'!$C$3:$C$13</c:f>
              <c:numCache>
                <c:formatCode>\$\ 0.00,\ "K"</c:formatCode>
                <c:ptCount val="10"/>
                <c:pt idx="0">
                  <c:v>912294.11000000022</c:v>
                </c:pt>
                <c:pt idx="1">
                  <c:v>654858.06000000006</c:v>
                </c:pt>
                <c:pt idx="2">
                  <c:v>200995.40999999997</c:v>
                </c:pt>
                <c:pt idx="3">
                  <c:v>197736.93999999997</c:v>
                </c:pt>
                <c:pt idx="4">
                  <c:v>180124.9</c:v>
                </c:pt>
                <c:pt idx="5">
                  <c:v>164069.44000000003</c:v>
                </c:pt>
                <c:pt idx="6">
                  <c:v>160010.26999999996</c:v>
                </c:pt>
                <c:pt idx="7">
                  <c:v>157807.80999999997</c:v>
                </c:pt>
                <c:pt idx="8">
                  <c:v>151570.98000000004</c:v>
                </c:pt>
                <c:pt idx="9">
                  <c:v>137955.72000000003</c:v>
                </c:pt>
              </c:numCache>
            </c:numRef>
          </c:val>
          <c:extLst>
            <c:ext xmlns:c16="http://schemas.microsoft.com/office/drawing/2014/chart" uri="{C3380CC4-5D6E-409C-BE32-E72D297353CC}">
              <c16:uniqueId val="{00000001-0645-44C7-BB6A-55001A543752}"/>
            </c:ext>
          </c:extLst>
        </c:ser>
        <c:dLbls>
          <c:showLegendKey val="0"/>
          <c:showVal val="0"/>
          <c:showCatName val="0"/>
          <c:showSerName val="0"/>
          <c:showPercent val="0"/>
          <c:showBubbleSize val="0"/>
        </c:dLbls>
        <c:axId val="632767592"/>
        <c:axId val="632767920"/>
      </c:areaChart>
      <c:barChart>
        <c:barDir val="col"/>
        <c:grouping val="clustered"/>
        <c:varyColors val="0"/>
        <c:ser>
          <c:idx val="0"/>
          <c:order val="0"/>
          <c:tx>
            <c:strRef>
              <c:f>'TOP 10 Customer'!$B$2</c:f>
              <c:strCache>
                <c:ptCount val="1"/>
                <c:pt idx="0">
                  <c:v>Sum of QUANTITYORDERED</c:v>
                </c:pt>
              </c:strCache>
            </c:strRef>
          </c:tx>
          <c:spPr>
            <a:solidFill>
              <a:schemeClr val="accent1">
                <a:lumMod val="75000"/>
              </a:schemeClr>
            </a:solidFill>
            <a:ln>
              <a:noFill/>
            </a:ln>
            <a:effectLst/>
          </c:spPr>
          <c:invertIfNegative val="0"/>
          <c:cat>
            <c:strRef>
              <c:f>'TOP 10 Customer'!$A$3:$A$13</c:f>
              <c:strCache>
                <c:ptCount val="10"/>
                <c:pt idx="0">
                  <c:v>Euro Shopping Channel</c:v>
                </c:pt>
                <c:pt idx="1">
                  <c:v>Mini Gifts Distributors Ltd.</c:v>
                </c:pt>
                <c:pt idx="2">
                  <c:v>Australian Collectors, Co.</c:v>
                </c:pt>
                <c:pt idx="3">
                  <c:v>Muscle Machine Inc</c:v>
                </c:pt>
                <c:pt idx="4">
                  <c:v>La Rochelle Gifts</c:v>
                </c:pt>
                <c:pt idx="5">
                  <c:v>Land of Toys Inc.</c:v>
                </c:pt>
                <c:pt idx="6">
                  <c:v>The Sharp Gifts Warehouse</c:v>
                </c:pt>
                <c:pt idx="7">
                  <c:v>AV Stores, Co.</c:v>
                </c:pt>
                <c:pt idx="8">
                  <c:v>Souveniers And Things Co.</c:v>
                </c:pt>
                <c:pt idx="9">
                  <c:v>Rovelli Gifts</c:v>
                </c:pt>
              </c:strCache>
            </c:strRef>
          </c:cat>
          <c:val>
            <c:numRef>
              <c:f>'TOP 10 Customer'!$B$3:$B$13</c:f>
              <c:numCache>
                <c:formatCode>General</c:formatCode>
                <c:ptCount val="10"/>
                <c:pt idx="0">
                  <c:v>9327</c:v>
                </c:pt>
                <c:pt idx="1">
                  <c:v>6366</c:v>
                </c:pt>
                <c:pt idx="2">
                  <c:v>1926</c:v>
                </c:pt>
                <c:pt idx="3">
                  <c:v>1775</c:v>
                </c:pt>
                <c:pt idx="4">
                  <c:v>1832</c:v>
                </c:pt>
                <c:pt idx="5">
                  <c:v>1631</c:v>
                </c:pt>
                <c:pt idx="6">
                  <c:v>1656</c:v>
                </c:pt>
                <c:pt idx="7">
                  <c:v>1778</c:v>
                </c:pt>
                <c:pt idx="8">
                  <c:v>1601</c:v>
                </c:pt>
                <c:pt idx="9">
                  <c:v>1650</c:v>
                </c:pt>
              </c:numCache>
            </c:numRef>
          </c:val>
          <c:extLst>
            <c:ext xmlns:c16="http://schemas.microsoft.com/office/drawing/2014/chart" uri="{C3380CC4-5D6E-409C-BE32-E72D297353CC}">
              <c16:uniqueId val="{00000000-0645-44C7-BB6A-55001A543752}"/>
            </c:ext>
          </c:extLst>
        </c:ser>
        <c:dLbls>
          <c:showLegendKey val="0"/>
          <c:showVal val="0"/>
          <c:showCatName val="0"/>
          <c:showSerName val="0"/>
          <c:showPercent val="0"/>
          <c:showBubbleSize val="0"/>
        </c:dLbls>
        <c:gapWidth val="219"/>
        <c:axId val="632761360"/>
        <c:axId val="632766280"/>
      </c:barChart>
      <c:catAx>
        <c:axId val="632767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767920"/>
        <c:crosses val="autoZero"/>
        <c:auto val="1"/>
        <c:lblAlgn val="ctr"/>
        <c:lblOffset val="100"/>
        <c:noMultiLvlLbl val="0"/>
      </c:catAx>
      <c:valAx>
        <c:axId val="632767920"/>
        <c:scaling>
          <c:orientation val="minMax"/>
        </c:scaling>
        <c:delete val="0"/>
        <c:axPos val="l"/>
        <c:numFmt formatCode="\$\ 0.00,\ &quot;K&quot;" sourceLinked="1"/>
        <c:majorTickMark val="none"/>
        <c:minorTickMark val="none"/>
        <c:tickLblPos val="nextTo"/>
        <c:spPr>
          <a:noFill/>
          <a:ln w="6350" cap="flat" cmpd="sng" algn="ctr">
            <a:solidFill>
              <a:schemeClr val="accent6"/>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2767592"/>
        <c:crosses val="autoZero"/>
        <c:crossBetween val="between"/>
      </c:valAx>
      <c:valAx>
        <c:axId val="6327662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761360"/>
        <c:crosses val="max"/>
        <c:crossBetween val="between"/>
      </c:valAx>
      <c:catAx>
        <c:axId val="632761360"/>
        <c:scaling>
          <c:orientation val="minMax"/>
        </c:scaling>
        <c:delete val="1"/>
        <c:axPos val="b"/>
        <c:numFmt formatCode="General" sourceLinked="1"/>
        <c:majorTickMark val="out"/>
        <c:minorTickMark val="none"/>
        <c:tickLblPos val="nextTo"/>
        <c:crossAx val="63276628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Dashboard  By AMLAN AGASTI.xlsx]Top 10 PRODUCT!PivotTable2</c:name>
    <c:fmtId val="8"/>
  </c:pivotSource>
  <c:chart>
    <c:autoTitleDeleted val="1"/>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0934602670937542"/>
          <c:y val="6.3943916104849716E-2"/>
          <c:w val="0.81629048793585623"/>
          <c:h val="0.71618559206710952"/>
        </c:manualLayout>
      </c:layout>
      <c:barChart>
        <c:barDir val="bar"/>
        <c:grouping val="clustered"/>
        <c:varyColors val="0"/>
        <c:ser>
          <c:idx val="0"/>
          <c:order val="0"/>
          <c:tx>
            <c:strRef>
              <c:f>'Top 10 PRODUCT'!$B$3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'Top 10 PRODUCT'!$A$4:$A$23</c:f>
              <c:multiLvlStrCache>
                <c:ptCount val="10"/>
                <c:lvl>
                  <c:pt idx="0">
                    <c:v>Classic Cars</c:v>
                  </c:pt>
                  <c:pt idx="1">
                    <c:v>Planes</c:v>
                  </c:pt>
                  <c:pt idx="2">
                    <c:v>Motorcycles</c:v>
                  </c:pt>
                  <c:pt idx="3">
                    <c:v>Classic Cars</c:v>
                  </c:pt>
                  <c:pt idx="4">
                    <c:v>Classic Cars</c:v>
                  </c:pt>
                  <c:pt idx="5">
                    <c:v>Classic Cars</c:v>
                  </c:pt>
                  <c:pt idx="6">
                    <c:v>Classic Cars</c:v>
                  </c:pt>
                  <c:pt idx="7">
                    <c:v>Motorcycles</c:v>
                  </c:pt>
                  <c:pt idx="8">
                    <c:v>Classic Cars</c:v>
                  </c:pt>
                  <c:pt idx="9">
                    <c:v>Classic Cars</c:v>
                  </c:pt>
                </c:lvl>
                <c:lvl>
                  <c:pt idx="0">
                    <c:v>S12_1099</c:v>
                  </c:pt>
                  <c:pt idx="1">
                    <c:v>S18_1662</c:v>
                  </c:pt>
                  <c:pt idx="2">
                    <c:v>S12_2823</c:v>
                  </c:pt>
                  <c:pt idx="3">
                    <c:v>S24_3856</c:v>
                  </c:pt>
                  <c:pt idx="4">
                    <c:v>S12_3891</c:v>
                  </c:pt>
                  <c:pt idx="5">
                    <c:v>S18_2238</c:v>
                  </c:pt>
                  <c:pt idx="6">
                    <c:v>S12_1108</c:v>
                  </c:pt>
                  <c:pt idx="7">
                    <c:v>S10_4698</c:v>
                  </c:pt>
                  <c:pt idx="8">
                    <c:v>S10_1949</c:v>
                  </c:pt>
                  <c:pt idx="9">
                    <c:v>S18_3232</c:v>
                  </c:pt>
                </c:lvl>
              </c:multiLvlStrCache>
            </c:multiLvlStrRef>
          </c:cat>
          <c:val>
            <c:numRef>
              <c:f>'Top 10 PRODUCT'!$B$4:$B$23</c:f>
              <c:numCache>
                <c:formatCode>\$\ 0.00,\ "K"</c:formatCode>
                <c:ptCount val="10"/>
                <c:pt idx="0">
                  <c:v>137177.01</c:v>
                </c:pt>
                <c:pt idx="1">
                  <c:v>139421.97</c:v>
                </c:pt>
                <c:pt idx="2">
                  <c:v>140006.16</c:v>
                </c:pt>
                <c:pt idx="3">
                  <c:v>140626.9</c:v>
                </c:pt>
                <c:pt idx="4">
                  <c:v>145332.04</c:v>
                </c:pt>
                <c:pt idx="5">
                  <c:v>154623.94999999998</c:v>
                </c:pt>
                <c:pt idx="6">
                  <c:v>168585.32</c:v>
                </c:pt>
                <c:pt idx="7">
                  <c:v>170401.07000000004</c:v>
                </c:pt>
                <c:pt idx="8">
                  <c:v>191073.03</c:v>
                </c:pt>
                <c:pt idx="9">
                  <c:v>288245.41999999993</c:v>
                </c:pt>
              </c:numCache>
            </c:numRef>
          </c:val>
          <c:extLst>
            <c:ext xmlns:c16="http://schemas.microsoft.com/office/drawing/2014/chart" uri="{C3380CC4-5D6E-409C-BE32-E72D297353CC}">
              <c16:uniqueId val="{00000000-56AA-4894-8994-212F18B46B46}"/>
            </c:ext>
          </c:extLst>
        </c:ser>
        <c:dLbls>
          <c:showLegendKey val="0"/>
          <c:showVal val="0"/>
          <c:showCatName val="0"/>
          <c:showSerName val="0"/>
          <c:showPercent val="0"/>
          <c:showBubbleSize val="0"/>
        </c:dLbls>
        <c:gapWidth val="100"/>
        <c:axId val="437700168"/>
        <c:axId val="437701152"/>
      </c:barChart>
      <c:catAx>
        <c:axId val="4377001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701152"/>
        <c:crosses val="autoZero"/>
        <c:auto val="1"/>
        <c:lblAlgn val="ctr"/>
        <c:lblOffset val="100"/>
        <c:noMultiLvlLbl val="0"/>
      </c:catAx>
      <c:valAx>
        <c:axId val="437701152"/>
        <c:scaling>
          <c:orientation val="minMax"/>
        </c:scaling>
        <c:delete val="0"/>
        <c:axPos val="b"/>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700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AMLAN AGASTI.xlsx]Most 5 Sold!PivotTable3</c:name>
    <c:fmtId val="10"/>
  </c:pivotSource>
  <c:chart>
    <c:autoTitleDeleted val="1"/>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outerShdw blurRad="76200" dir="18900000" sy="23000" kx="-1200000" algn="bl" rotWithShape="0">
              <a:prstClr val="black">
                <a:alpha val="20000"/>
              </a:prstClr>
            </a:outerShdw>
          </a:effectLst>
        </c:spPr>
      </c:pivotFmt>
      <c:pivotFmt>
        <c:idx val="2"/>
        <c:spPr>
          <a:solidFill>
            <a:schemeClr val="accent6">
              <a:lumMod val="75000"/>
            </a:schemeClr>
          </a:solidFill>
          <a:ln>
            <a:noFill/>
          </a:ln>
          <a:effectLst>
            <a:outerShdw blurRad="76200" dir="18900000" sy="23000" kx="-1200000" algn="bl" rotWithShape="0">
              <a:prstClr val="black">
                <a:alpha val="20000"/>
              </a:prstClr>
            </a:outerShdw>
          </a:effectLst>
        </c:spPr>
      </c:pivotFmt>
      <c:pivotFmt>
        <c:idx val="3"/>
        <c:spPr>
          <a:solidFill>
            <a:schemeClr val="accent1">
              <a:lumMod val="75000"/>
            </a:schemeClr>
          </a:solidFill>
          <a:ln>
            <a:noFill/>
          </a:ln>
          <a:effectLst>
            <a:outerShdw blurRad="76200" dir="18900000" sy="23000" kx="-1200000" algn="bl" rotWithShape="0">
              <a:prstClr val="black">
                <a:alpha val="20000"/>
              </a:prstClr>
            </a:outerShdw>
          </a:effectLst>
        </c:spPr>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s>
    <c:plotArea>
      <c:layout>
        <c:manualLayout>
          <c:layoutTarget val="inner"/>
          <c:xMode val="edge"/>
          <c:yMode val="edge"/>
          <c:x val="2.584935035294501E-2"/>
          <c:y val="7.5160037543486949E-2"/>
          <c:w val="0.6539565706460605"/>
          <c:h val="0.90181591326780086"/>
        </c:manualLayout>
      </c:layout>
      <c:pieChart>
        <c:varyColors val="1"/>
        <c:ser>
          <c:idx val="0"/>
          <c:order val="0"/>
          <c:tx>
            <c:strRef>
              <c:f>'Most 5 Sold'!$B$3</c:f>
              <c:strCache>
                <c:ptCount val="1"/>
                <c:pt idx="0">
                  <c:v>Total</c:v>
                </c:pt>
              </c:strCache>
            </c:strRef>
          </c:tx>
          <c:explosion val="1"/>
          <c:dPt>
            <c:idx val="0"/>
            <c:bubble3D val="0"/>
            <c:spPr>
              <a:solidFill>
                <a:srgbClr val="FF0000"/>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0-DAF9-42AC-9985-9C684E4BBAF5}"/>
              </c:ext>
            </c:extLst>
          </c:dPt>
          <c:dPt>
            <c:idx val="1"/>
            <c:bubble3D val="0"/>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3-6171-4FAD-A873-884D7628609E}"/>
              </c:ext>
            </c:extLst>
          </c:dPt>
          <c:dPt>
            <c:idx val="2"/>
            <c:bubble3D val="0"/>
            <c:spPr>
              <a:gradFill>
                <a:gsLst>
                  <a:gs pos="0">
                    <a:schemeClr val="accent3"/>
                  </a:gs>
                  <a:gs pos="100000">
                    <a:schemeClr val="accent3">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5-6171-4FAD-A873-884D7628609E}"/>
              </c:ext>
            </c:extLst>
          </c:dPt>
          <c:dPt>
            <c:idx val="3"/>
            <c:bubble3D val="0"/>
            <c:spPr>
              <a:solidFill>
                <a:schemeClr val="accent6">
                  <a:lumMod val="75000"/>
                </a:schemeClr>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2-DAF9-42AC-9985-9C684E4BBAF5}"/>
              </c:ext>
            </c:extLst>
          </c:dPt>
          <c:dPt>
            <c:idx val="4"/>
            <c:bubble3D val="0"/>
            <c:spPr>
              <a:solidFill>
                <a:schemeClr val="accent1">
                  <a:lumMod val="75000"/>
                </a:schemeClr>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DAF9-42AC-9985-9C684E4BBAF5}"/>
              </c:ext>
            </c:extLst>
          </c:dPt>
          <c:dPt>
            <c:idx val="5"/>
            <c:bubble3D val="0"/>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B-30DD-422F-A97E-0D0C876964DC}"/>
              </c:ext>
            </c:extLst>
          </c:dPt>
          <c:dPt>
            <c:idx val="6"/>
            <c:bubble3D val="0"/>
            <c:spPr>
              <a:gradFill>
                <a:gsLst>
                  <a:gs pos="0">
                    <a:schemeClr val="accent1">
                      <a:lumMod val="60000"/>
                    </a:schemeClr>
                  </a:gs>
                  <a:gs pos="100000">
                    <a:schemeClr val="accent1">
                      <a:lumMod val="60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D-30DD-422F-A97E-0D0C876964D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'Most 5 Sold'!$A$4:$A$8</c:f>
              <c:strCache>
                <c:ptCount val="5"/>
                <c:pt idx="0">
                  <c:v>Classic Cars</c:v>
                </c:pt>
                <c:pt idx="1">
                  <c:v>Vintage Cars</c:v>
                </c:pt>
                <c:pt idx="2">
                  <c:v>Motorcycles</c:v>
                </c:pt>
                <c:pt idx="3">
                  <c:v>Trucks and Buses</c:v>
                </c:pt>
                <c:pt idx="4">
                  <c:v>Planes</c:v>
                </c:pt>
              </c:strCache>
            </c:strRef>
          </c:cat>
          <c:val>
            <c:numRef>
              <c:f>'Most 5 Sold'!$B$4:$B$8</c:f>
              <c:numCache>
                <c:formatCode>General</c:formatCode>
                <c:ptCount val="5"/>
                <c:pt idx="0">
                  <c:v>33992</c:v>
                </c:pt>
                <c:pt idx="1">
                  <c:v>21069</c:v>
                </c:pt>
                <c:pt idx="2">
                  <c:v>11663</c:v>
                </c:pt>
                <c:pt idx="3">
                  <c:v>10777</c:v>
                </c:pt>
                <c:pt idx="4">
                  <c:v>10727</c:v>
                </c:pt>
              </c:numCache>
            </c:numRef>
          </c:val>
          <c:extLst>
            <c:ext xmlns:c16="http://schemas.microsoft.com/office/drawing/2014/chart" uri="{C3380CC4-5D6E-409C-BE32-E72D297353CC}">
              <c16:uniqueId val="{00000000-B309-476F-AB68-BF8AA61AF96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146390668557735"/>
          <c:y val="9.4036318265356023E-2"/>
          <c:w val="0.25430503252310854"/>
          <c:h val="0.905963681734644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AMLAN AGASTI.xlsx]Territory With Highest Sales!PivotTable1</c:name>
    <c:fmtId val="7"/>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Territory</a:t>
            </a:r>
            <a:r>
              <a:rPr lang="en-US" baseline="0"/>
              <a:t> wise sales</a:t>
            </a:r>
            <a:endParaRPr lang="en-US"/>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
        <c:idx val="4"/>
        <c:spPr>
          <a:solidFill>
            <a:schemeClr val="accent4"/>
          </a:solidFill>
          <a:ln>
            <a:noFill/>
          </a:ln>
          <a:effectLst>
            <a:outerShdw blurRad="63500" sx="102000" sy="102000" algn="ctr" rotWithShape="0">
              <a:prstClr val="black">
                <a:alpha val="20000"/>
              </a:prstClr>
            </a:outerShdw>
          </a:effectLst>
        </c:spPr>
      </c:pivotFmt>
      <c:pivotFmt>
        <c:idx val="5"/>
        <c:marker>
          <c:symbol val="none"/>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6"/>
        <c:marker>
          <c:symbol val="none"/>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7"/>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s>
    <c:plotArea>
      <c:layout/>
      <c:pieChart>
        <c:varyColors val="1"/>
        <c:ser>
          <c:idx val="0"/>
          <c:order val="0"/>
          <c:tx>
            <c:strRef>
              <c:f>'Territory With Highest Sales'!$B$2</c:f>
              <c:strCache>
                <c:ptCount val="1"/>
                <c:pt idx="0">
                  <c:v>Deal Size</c:v>
                </c:pt>
              </c:strCache>
            </c:strRef>
          </c:tx>
          <c:dPt>
            <c:idx val="0"/>
            <c:bubble3D val="0"/>
            <c:extLst>
              <c:ext xmlns:c16="http://schemas.microsoft.com/office/drawing/2014/chart" uri="{C3380CC4-5D6E-409C-BE32-E72D297353CC}">
                <c16:uniqueId val="{00000001-B853-4A6D-B550-13C298B3A5EF}"/>
              </c:ext>
            </c:extLst>
          </c:dPt>
          <c:dPt>
            <c:idx val="1"/>
            <c:bubble3D val="0"/>
            <c:extLst>
              <c:ext xmlns:c16="http://schemas.microsoft.com/office/drawing/2014/chart" uri="{C3380CC4-5D6E-409C-BE32-E72D297353CC}">
                <c16:uniqueId val="{00000002-B853-4A6D-B550-13C298B3A5EF}"/>
              </c:ext>
            </c:extLst>
          </c:dPt>
          <c:dPt>
            <c:idx val="2"/>
            <c:bubble3D val="0"/>
            <c:extLst>
              <c:ext xmlns:c16="http://schemas.microsoft.com/office/drawing/2014/chart" uri="{C3380CC4-5D6E-409C-BE32-E72D297353CC}">
                <c16:uniqueId val="{00000003-B853-4A6D-B550-13C298B3A5EF}"/>
              </c:ext>
            </c:extLst>
          </c:dPt>
          <c:dPt>
            <c:idx val="3"/>
            <c:bubble3D val="0"/>
            <c:extLst>
              <c:ext xmlns:c16="http://schemas.microsoft.com/office/drawing/2014/chart" uri="{C3380CC4-5D6E-409C-BE32-E72D297353CC}">
                <c16:uniqueId val="{00000004-B853-4A6D-B550-13C298B3A5EF}"/>
              </c:ext>
            </c:extLst>
          </c:dPt>
          <c:dLbls>
            <c:spPr>
              <a:noFill/>
              <a:ln>
                <a:no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'Territory With Highest Sales'!$A$3:$A$21</c:f>
              <c:multiLvlStrCache>
                <c:ptCount val="15"/>
                <c:lvl>
                  <c:pt idx="0">
                    <c:v>Disputed</c:v>
                  </c:pt>
                  <c:pt idx="1">
                    <c:v>In Process</c:v>
                  </c:pt>
                  <c:pt idx="2">
                    <c:v>Shipped</c:v>
                  </c:pt>
                  <c:pt idx="3">
                    <c:v>Cancelled</c:v>
                  </c:pt>
                  <c:pt idx="4">
                    <c:v>Disputed</c:v>
                  </c:pt>
                  <c:pt idx="5">
                    <c:v>In Process</c:v>
                  </c:pt>
                  <c:pt idx="6">
                    <c:v>On Hold</c:v>
                  </c:pt>
                  <c:pt idx="7">
                    <c:v>Resolved</c:v>
                  </c:pt>
                  <c:pt idx="8">
                    <c:v>Shipped</c:v>
                  </c:pt>
                  <c:pt idx="9">
                    <c:v>Shipped</c:v>
                  </c:pt>
                  <c:pt idx="10">
                    <c:v>Cancelled</c:v>
                  </c:pt>
                  <c:pt idx="11">
                    <c:v>In Process</c:v>
                  </c:pt>
                  <c:pt idx="12">
                    <c:v>On Hold</c:v>
                  </c:pt>
                  <c:pt idx="13">
                    <c:v>Resolved</c:v>
                  </c:pt>
                  <c:pt idx="14">
                    <c:v>Shipped</c:v>
                  </c:pt>
                </c:lvl>
                <c:lvl>
                  <c:pt idx="0">
                    <c:v>APAC</c:v>
                  </c:pt>
                  <c:pt idx="3">
                    <c:v>EMEA</c:v>
                  </c:pt>
                  <c:pt idx="9">
                    <c:v>Japan</c:v>
                  </c:pt>
                  <c:pt idx="10">
                    <c:v>NA</c:v>
                  </c:pt>
                </c:lvl>
              </c:multiLvlStrCache>
            </c:multiLvlStrRef>
          </c:cat>
          <c:val>
            <c:numRef>
              <c:f>'Territory With Highest Sales'!$B$3:$B$21</c:f>
              <c:numCache>
                <c:formatCode>General</c:formatCode>
                <c:ptCount val="15"/>
                <c:pt idx="0">
                  <c:v>5</c:v>
                </c:pt>
                <c:pt idx="1">
                  <c:v>13</c:v>
                </c:pt>
                <c:pt idx="2">
                  <c:v>203</c:v>
                </c:pt>
                <c:pt idx="3">
                  <c:v>46</c:v>
                </c:pt>
                <c:pt idx="4">
                  <c:v>9</c:v>
                </c:pt>
                <c:pt idx="5">
                  <c:v>24</c:v>
                </c:pt>
                <c:pt idx="6">
                  <c:v>6</c:v>
                </c:pt>
                <c:pt idx="7">
                  <c:v>34</c:v>
                </c:pt>
                <c:pt idx="8">
                  <c:v>1288</c:v>
                </c:pt>
                <c:pt idx="9">
                  <c:v>121</c:v>
                </c:pt>
                <c:pt idx="10">
                  <c:v>14</c:v>
                </c:pt>
                <c:pt idx="11">
                  <c:v>4</c:v>
                </c:pt>
                <c:pt idx="12">
                  <c:v>38</c:v>
                </c:pt>
                <c:pt idx="13">
                  <c:v>13</c:v>
                </c:pt>
                <c:pt idx="14">
                  <c:v>1005</c:v>
                </c:pt>
              </c:numCache>
            </c:numRef>
          </c:val>
          <c:extLst>
            <c:ext xmlns:c16="http://schemas.microsoft.com/office/drawing/2014/chart" uri="{C3380CC4-5D6E-409C-BE32-E72D297353CC}">
              <c16:uniqueId val="{00000000-B853-4A6D-B550-13C298B3A5EF}"/>
            </c:ext>
          </c:extLst>
        </c:ser>
        <c:ser>
          <c:idx val="1"/>
          <c:order val="1"/>
          <c:tx>
            <c:strRef>
              <c:f>'Territory With Highest Sales'!$C$2</c:f>
              <c:strCache>
                <c:ptCount val="1"/>
                <c:pt idx="0">
                  <c:v>Sum of SALES</c:v>
                </c:pt>
              </c:strCache>
            </c:strRef>
          </c:tx>
          <c:dPt>
            <c:idx val="0"/>
            <c:bubble3D val="0"/>
            <c:extLst>
              <c:ext xmlns:c16="http://schemas.microsoft.com/office/drawing/2014/chart" uri="{C3380CC4-5D6E-409C-BE32-E72D297353CC}">
                <c16:uniqueId val="{00000005-6F51-433E-A222-1219717CB270}"/>
              </c:ext>
            </c:extLst>
          </c:dPt>
          <c:dPt>
            <c:idx val="1"/>
            <c:bubble3D val="0"/>
            <c:extLst>
              <c:ext xmlns:c16="http://schemas.microsoft.com/office/drawing/2014/chart" uri="{C3380CC4-5D6E-409C-BE32-E72D297353CC}">
                <c16:uniqueId val="{00000007-6F51-433E-A222-1219717CB270}"/>
              </c:ext>
            </c:extLst>
          </c:dPt>
          <c:dPt>
            <c:idx val="2"/>
            <c:bubble3D val="0"/>
            <c:extLst>
              <c:ext xmlns:c16="http://schemas.microsoft.com/office/drawing/2014/chart" uri="{C3380CC4-5D6E-409C-BE32-E72D297353CC}">
                <c16:uniqueId val="{00000009-6F51-433E-A222-1219717CB270}"/>
              </c:ext>
            </c:extLst>
          </c:dPt>
          <c:dPt>
            <c:idx val="3"/>
            <c:bubble3D val="0"/>
            <c:extLst>
              <c:ext xmlns:c16="http://schemas.microsoft.com/office/drawing/2014/chart" uri="{C3380CC4-5D6E-409C-BE32-E72D297353CC}">
                <c16:uniqueId val="{0000000B-6F51-433E-A222-1219717CB27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extLst>
              <c:ext xmlns:c15="http://schemas.microsoft.com/office/drawing/2012/chart" uri="{CE6537A1-D6FC-4f65-9D91-7224C49458BB}"/>
            </c:extLst>
          </c:dLbls>
          <c:cat>
            <c:multiLvlStrRef>
              <c:f>'Territory With Highest Sales'!$A$3:$A$21</c:f>
              <c:multiLvlStrCache>
                <c:ptCount val="15"/>
                <c:lvl>
                  <c:pt idx="0">
                    <c:v>Disputed</c:v>
                  </c:pt>
                  <c:pt idx="1">
                    <c:v>In Process</c:v>
                  </c:pt>
                  <c:pt idx="2">
                    <c:v>Shipped</c:v>
                  </c:pt>
                  <c:pt idx="3">
                    <c:v>Cancelled</c:v>
                  </c:pt>
                  <c:pt idx="4">
                    <c:v>Disputed</c:v>
                  </c:pt>
                  <c:pt idx="5">
                    <c:v>In Process</c:v>
                  </c:pt>
                  <c:pt idx="6">
                    <c:v>On Hold</c:v>
                  </c:pt>
                  <c:pt idx="7">
                    <c:v>Resolved</c:v>
                  </c:pt>
                  <c:pt idx="8">
                    <c:v>Shipped</c:v>
                  </c:pt>
                  <c:pt idx="9">
                    <c:v>Shipped</c:v>
                  </c:pt>
                  <c:pt idx="10">
                    <c:v>Cancelled</c:v>
                  </c:pt>
                  <c:pt idx="11">
                    <c:v>In Process</c:v>
                  </c:pt>
                  <c:pt idx="12">
                    <c:v>On Hold</c:v>
                  </c:pt>
                  <c:pt idx="13">
                    <c:v>Resolved</c:v>
                  </c:pt>
                  <c:pt idx="14">
                    <c:v>Shipped</c:v>
                  </c:pt>
                </c:lvl>
                <c:lvl>
                  <c:pt idx="0">
                    <c:v>APAC</c:v>
                  </c:pt>
                  <c:pt idx="3">
                    <c:v>EMEA</c:v>
                  </c:pt>
                  <c:pt idx="9">
                    <c:v>Japan</c:v>
                  </c:pt>
                  <c:pt idx="10">
                    <c:v>NA</c:v>
                  </c:pt>
                </c:lvl>
              </c:multiLvlStrCache>
            </c:multiLvlStrRef>
          </c:cat>
          <c:val>
            <c:numRef>
              <c:f>'Territory With Highest Sales'!$C$3:$C$21</c:f>
              <c:numCache>
                <c:formatCode>\$\ 0.00,\ "K"</c:formatCode>
                <c:ptCount val="15"/>
                <c:pt idx="0">
                  <c:v>14378.09</c:v>
                </c:pt>
                <c:pt idx="1">
                  <c:v>43971.43</c:v>
                </c:pt>
                <c:pt idx="2">
                  <c:v>687772.31000000017</c:v>
                </c:pt>
                <c:pt idx="3">
                  <c:v>149129.82</c:v>
                </c:pt>
                <c:pt idx="4">
                  <c:v>57834.770000000004</c:v>
                </c:pt>
                <c:pt idx="5">
                  <c:v>87329.98000000001</c:v>
                </c:pt>
                <c:pt idx="6">
                  <c:v>26260.210000000003</c:v>
                </c:pt>
                <c:pt idx="7">
                  <c:v>106444.92000000001</c:v>
                </c:pt>
                <c:pt idx="8">
                  <c:v>4552272.7099999934</c:v>
                </c:pt>
                <c:pt idx="9">
                  <c:v>455173.2200000002</c:v>
                </c:pt>
                <c:pt idx="10">
                  <c:v>45357.659999999996</c:v>
                </c:pt>
                <c:pt idx="11">
                  <c:v>13428.55</c:v>
                </c:pt>
                <c:pt idx="12">
                  <c:v>152718.97999999998</c:v>
                </c:pt>
                <c:pt idx="13">
                  <c:v>44273.359999999993</c:v>
                </c:pt>
                <c:pt idx="14">
                  <c:v>3596282.8399999989</c:v>
                </c:pt>
              </c:numCache>
            </c:numRef>
          </c:val>
          <c:extLst>
            <c:ext xmlns:c16="http://schemas.microsoft.com/office/drawing/2014/chart" uri="{C3380CC4-5D6E-409C-BE32-E72D297353CC}">
              <c16:uniqueId val="{0000000A-AD0A-494B-AA50-2D72CC0B40D9}"/>
            </c:ext>
          </c:extLst>
        </c:ser>
        <c:dLbls>
          <c:dLblPos val="outEnd"/>
          <c:showLegendKey val="0"/>
          <c:showVal val="0"/>
          <c:showCatName val="1"/>
          <c:showSerName val="0"/>
          <c:showPercent val="0"/>
          <c:showBubbleSize val="0"/>
          <c:showLeaderLines val="1"/>
        </c:dLbls>
        <c:firstSliceAng val="9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AMLAN AGASTI.xlsx]Territory With Highest Sales!PivotTable1</c:name>
    <c:fmtId val="30"/>
  </c:pivotSource>
  <c:chart>
    <c:autoTitleDeleted val="1"/>
    <c:pivotFmts>
      <c:pivotFmt>
        <c:idx val="0"/>
        <c:spPr>
          <a:solidFill>
            <a:schemeClr val="accent1">
              <a:lumMod val="75000"/>
            </a:schemeClr>
          </a:solidFill>
          <a:ln>
            <a:noFill/>
          </a:ln>
          <a:effectLst>
            <a:outerShdw blurRad="57150" dist="19050" dir="5400000" algn="ctr" rotWithShape="0">
              <a:srgbClr val="000000">
                <a:alpha val="63000"/>
              </a:srgbClr>
            </a:outerShdw>
          </a:effectLst>
        </c:spPr>
        <c:marker>
          <c:symbol val="none"/>
        </c:marker>
      </c:pivotFmt>
      <c:pivotFmt>
        <c:idx val="1"/>
        <c:spPr>
          <a:solidFill>
            <a:schemeClr val="accent4">
              <a:lumMod val="40000"/>
              <a:lumOff val="60000"/>
            </a:schemeClr>
          </a:solidFill>
          <a:ln>
            <a:noFill/>
          </a:ln>
          <a:effectLst>
            <a:glow rad="38100">
              <a:schemeClr val="accent1">
                <a:alpha val="16000"/>
              </a:schemeClr>
            </a:glow>
            <a:softEdge rad="0"/>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lumMod val="75000"/>
            </a:schemeClr>
          </a:solidFill>
          <a:ln>
            <a:noFill/>
          </a:ln>
          <a:effectLst>
            <a:outerShdw blurRad="57150" dist="19050" dir="5400000" algn="ctr" rotWithShape="0">
              <a:srgbClr val="000000">
                <a:alpha val="63000"/>
              </a:srgbClr>
            </a:outerShdw>
          </a:effectLst>
        </c:spPr>
      </c:pivotFmt>
      <c:pivotFmt>
        <c:idx val="11"/>
        <c:spPr>
          <a:solidFill>
            <a:schemeClr val="accent1">
              <a:lumMod val="75000"/>
            </a:schemeClr>
          </a:solidFill>
          <a:ln>
            <a:noFill/>
          </a:ln>
          <a:effectLst>
            <a:outerShdw blurRad="57150" dist="19050" dir="5400000" algn="ctr" rotWithShape="0">
              <a:srgbClr val="000000">
                <a:alpha val="63000"/>
              </a:srgbClr>
            </a:outerShdw>
          </a:effectLst>
        </c:spPr>
      </c:pivotFmt>
      <c:pivotFmt>
        <c:idx val="12"/>
        <c:spPr>
          <a:solidFill>
            <a:schemeClr val="accent1">
              <a:lumMod val="75000"/>
            </a:schemeClr>
          </a:solidFill>
          <a:ln>
            <a:noFill/>
          </a:ln>
          <a:effectLst>
            <a:outerShdw blurRad="57150" dist="19050" dir="5400000" algn="ctr" rotWithShape="0">
              <a:srgbClr val="000000">
                <a:alpha val="63000"/>
              </a:srgbClr>
            </a:outerShdw>
          </a:effectLst>
        </c:spPr>
      </c:pivotFmt>
      <c:pivotFmt>
        <c:idx val="13"/>
        <c:spPr>
          <a:solidFill>
            <a:schemeClr val="accent1">
              <a:lumMod val="75000"/>
            </a:schemeClr>
          </a:solidFill>
          <a:ln>
            <a:noFill/>
          </a:ln>
          <a:effectLst>
            <a:outerShdw blurRad="57150" dist="19050" dir="5400000" algn="ctr" rotWithShape="0">
              <a:srgbClr val="000000">
                <a:alpha val="63000"/>
              </a:srgbClr>
            </a:outerShdw>
          </a:effectLst>
        </c:spPr>
      </c:pivotFmt>
      <c:pivotFmt>
        <c:idx val="14"/>
        <c:spPr>
          <a:solidFill>
            <a:schemeClr val="accent1">
              <a:lumMod val="75000"/>
            </a:schemeClr>
          </a:solidFill>
          <a:ln>
            <a:noFill/>
          </a:ln>
          <a:effectLst>
            <a:outerShdw blurRad="57150" dist="19050" dir="5400000" algn="ctr" rotWithShape="0">
              <a:srgbClr val="000000">
                <a:alpha val="63000"/>
              </a:srgbClr>
            </a:outerShdw>
          </a:effectLst>
        </c:spPr>
      </c:pivotFmt>
      <c:pivotFmt>
        <c:idx val="15"/>
        <c:spPr>
          <a:solidFill>
            <a:schemeClr val="accent1">
              <a:lumMod val="75000"/>
            </a:schemeClr>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4982449482971262E-2"/>
          <c:y val="0.10662854475967627"/>
          <c:w val="0.75449183525415708"/>
          <c:h val="0.54071915598426723"/>
        </c:manualLayout>
      </c:layout>
      <c:areaChart>
        <c:grouping val="stacked"/>
        <c:varyColors val="0"/>
        <c:ser>
          <c:idx val="1"/>
          <c:order val="1"/>
          <c:tx>
            <c:strRef>
              <c:f>'Territory With Highest Sales'!$C$2</c:f>
              <c:strCache>
                <c:ptCount val="1"/>
                <c:pt idx="0">
                  <c:v>Sum of SALES</c:v>
                </c:pt>
              </c:strCache>
            </c:strRef>
          </c:tx>
          <c:spPr>
            <a:solidFill>
              <a:schemeClr val="accent4">
                <a:lumMod val="40000"/>
                <a:lumOff val="60000"/>
              </a:schemeClr>
            </a:solidFill>
            <a:ln>
              <a:noFill/>
            </a:ln>
            <a:effectLst>
              <a:glow rad="38100">
                <a:schemeClr val="accent1">
                  <a:alpha val="16000"/>
                </a:schemeClr>
              </a:glow>
              <a:softEdge rad="0"/>
            </a:effectLst>
          </c:spPr>
          <c:cat>
            <c:multiLvlStrRef>
              <c:f>'Territory With Highest Sales'!$A$3:$A$21</c:f>
              <c:multiLvlStrCache>
                <c:ptCount val="15"/>
                <c:lvl>
                  <c:pt idx="0">
                    <c:v>Disputed</c:v>
                  </c:pt>
                  <c:pt idx="1">
                    <c:v>In Process</c:v>
                  </c:pt>
                  <c:pt idx="2">
                    <c:v>Shipped</c:v>
                  </c:pt>
                  <c:pt idx="3">
                    <c:v>Cancelled</c:v>
                  </c:pt>
                  <c:pt idx="4">
                    <c:v>Disputed</c:v>
                  </c:pt>
                  <c:pt idx="5">
                    <c:v>In Process</c:v>
                  </c:pt>
                  <c:pt idx="6">
                    <c:v>On Hold</c:v>
                  </c:pt>
                  <c:pt idx="7">
                    <c:v>Resolved</c:v>
                  </c:pt>
                  <c:pt idx="8">
                    <c:v>Shipped</c:v>
                  </c:pt>
                  <c:pt idx="9">
                    <c:v>Shipped</c:v>
                  </c:pt>
                  <c:pt idx="10">
                    <c:v>Cancelled</c:v>
                  </c:pt>
                  <c:pt idx="11">
                    <c:v>In Process</c:v>
                  </c:pt>
                  <c:pt idx="12">
                    <c:v>On Hold</c:v>
                  </c:pt>
                  <c:pt idx="13">
                    <c:v>Resolved</c:v>
                  </c:pt>
                  <c:pt idx="14">
                    <c:v>Shipped</c:v>
                  </c:pt>
                </c:lvl>
                <c:lvl>
                  <c:pt idx="0">
                    <c:v>APAC</c:v>
                  </c:pt>
                  <c:pt idx="3">
                    <c:v>EMEA</c:v>
                  </c:pt>
                  <c:pt idx="9">
                    <c:v>Japan</c:v>
                  </c:pt>
                  <c:pt idx="10">
                    <c:v>NA</c:v>
                  </c:pt>
                </c:lvl>
              </c:multiLvlStrCache>
            </c:multiLvlStrRef>
          </c:cat>
          <c:val>
            <c:numRef>
              <c:f>'Territory With Highest Sales'!$C$3:$C$21</c:f>
              <c:numCache>
                <c:formatCode>\$\ 0.00,\ "K"</c:formatCode>
                <c:ptCount val="15"/>
                <c:pt idx="0">
                  <c:v>14378.09</c:v>
                </c:pt>
                <c:pt idx="1">
                  <c:v>43971.43</c:v>
                </c:pt>
                <c:pt idx="2">
                  <c:v>687772.31000000017</c:v>
                </c:pt>
                <c:pt idx="3">
                  <c:v>149129.82</c:v>
                </c:pt>
                <c:pt idx="4">
                  <c:v>57834.770000000004</c:v>
                </c:pt>
                <c:pt idx="5">
                  <c:v>87329.98000000001</c:v>
                </c:pt>
                <c:pt idx="6">
                  <c:v>26260.210000000003</c:v>
                </c:pt>
                <c:pt idx="7">
                  <c:v>106444.92000000001</c:v>
                </c:pt>
                <c:pt idx="8">
                  <c:v>4552272.7099999934</c:v>
                </c:pt>
                <c:pt idx="9">
                  <c:v>455173.2200000002</c:v>
                </c:pt>
                <c:pt idx="10">
                  <c:v>45357.659999999996</c:v>
                </c:pt>
                <c:pt idx="11">
                  <c:v>13428.55</c:v>
                </c:pt>
                <c:pt idx="12">
                  <c:v>152718.97999999998</c:v>
                </c:pt>
                <c:pt idx="13">
                  <c:v>44273.359999999993</c:v>
                </c:pt>
                <c:pt idx="14">
                  <c:v>3596282.8399999989</c:v>
                </c:pt>
              </c:numCache>
            </c:numRef>
          </c:val>
          <c:extLst>
            <c:ext xmlns:c16="http://schemas.microsoft.com/office/drawing/2014/chart" uri="{C3380CC4-5D6E-409C-BE32-E72D297353CC}">
              <c16:uniqueId val="{00000001-91DF-4EE1-BF68-BF77541203B9}"/>
            </c:ext>
          </c:extLst>
        </c:ser>
        <c:dLbls>
          <c:showLegendKey val="0"/>
          <c:showVal val="0"/>
          <c:showCatName val="0"/>
          <c:showSerName val="0"/>
          <c:showPercent val="0"/>
          <c:showBubbleSize val="0"/>
        </c:dLbls>
        <c:axId val="497882088"/>
        <c:axId val="497873888"/>
      </c:areaChart>
      <c:barChart>
        <c:barDir val="col"/>
        <c:grouping val="clustered"/>
        <c:varyColors val="0"/>
        <c:ser>
          <c:idx val="0"/>
          <c:order val="0"/>
          <c:tx>
            <c:strRef>
              <c:f>'Territory With Highest Sales'!$B$2</c:f>
              <c:strCache>
                <c:ptCount val="1"/>
                <c:pt idx="0">
                  <c:v>Deal Size</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dPt>
            <c:idx val="1"/>
            <c:invertIfNegative val="0"/>
            <c:bubble3D val="0"/>
            <c:extLst>
              <c:ext xmlns:c16="http://schemas.microsoft.com/office/drawing/2014/chart" uri="{C3380CC4-5D6E-409C-BE32-E72D297353CC}">
                <c16:uniqueId val="{00000001-CAC6-43B8-954D-5245BD559AC8}"/>
              </c:ext>
            </c:extLst>
          </c:dPt>
          <c:cat>
            <c:multiLvlStrRef>
              <c:f>'Territory With Highest Sales'!$A$3:$A$21</c:f>
              <c:multiLvlStrCache>
                <c:ptCount val="15"/>
                <c:lvl>
                  <c:pt idx="0">
                    <c:v>Disputed</c:v>
                  </c:pt>
                  <c:pt idx="1">
                    <c:v>In Process</c:v>
                  </c:pt>
                  <c:pt idx="2">
                    <c:v>Shipped</c:v>
                  </c:pt>
                  <c:pt idx="3">
                    <c:v>Cancelled</c:v>
                  </c:pt>
                  <c:pt idx="4">
                    <c:v>Disputed</c:v>
                  </c:pt>
                  <c:pt idx="5">
                    <c:v>In Process</c:v>
                  </c:pt>
                  <c:pt idx="6">
                    <c:v>On Hold</c:v>
                  </c:pt>
                  <c:pt idx="7">
                    <c:v>Resolved</c:v>
                  </c:pt>
                  <c:pt idx="8">
                    <c:v>Shipped</c:v>
                  </c:pt>
                  <c:pt idx="9">
                    <c:v>Shipped</c:v>
                  </c:pt>
                  <c:pt idx="10">
                    <c:v>Cancelled</c:v>
                  </c:pt>
                  <c:pt idx="11">
                    <c:v>In Process</c:v>
                  </c:pt>
                  <c:pt idx="12">
                    <c:v>On Hold</c:v>
                  </c:pt>
                  <c:pt idx="13">
                    <c:v>Resolved</c:v>
                  </c:pt>
                  <c:pt idx="14">
                    <c:v>Shipped</c:v>
                  </c:pt>
                </c:lvl>
                <c:lvl>
                  <c:pt idx="0">
                    <c:v>APAC</c:v>
                  </c:pt>
                  <c:pt idx="3">
                    <c:v>EMEA</c:v>
                  </c:pt>
                  <c:pt idx="9">
                    <c:v>Japan</c:v>
                  </c:pt>
                  <c:pt idx="10">
                    <c:v>NA</c:v>
                  </c:pt>
                </c:lvl>
              </c:multiLvlStrCache>
            </c:multiLvlStrRef>
          </c:cat>
          <c:val>
            <c:numRef>
              <c:f>'Territory With Highest Sales'!$B$3:$B$21</c:f>
              <c:numCache>
                <c:formatCode>General</c:formatCode>
                <c:ptCount val="15"/>
                <c:pt idx="0">
                  <c:v>5</c:v>
                </c:pt>
                <c:pt idx="1">
                  <c:v>13</c:v>
                </c:pt>
                <c:pt idx="2">
                  <c:v>203</c:v>
                </c:pt>
                <c:pt idx="3">
                  <c:v>46</c:v>
                </c:pt>
                <c:pt idx="4">
                  <c:v>9</c:v>
                </c:pt>
                <c:pt idx="5">
                  <c:v>24</c:v>
                </c:pt>
                <c:pt idx="6">
                  <c:v>6</c:v>
                </c:pt>
                <c:pt idx="7">
                  <c:v>34</c:v>
                </c:pt>
                <c:pt idx="8">
                  <c:v>1288</c:v>
                </c:pt>
                <c:pt idx="9">
                  <c:v>121</c:v>
                </c:pt>
                <c:pt idx="10">
                  <c:v>14</c:v>
                </c:pt>
                <c:pt idx="11">
                  <c:v>4</c:v>
                </c:pt>
                <c:pt idx="12">
                  <c:v>38</c:v>
                </c:pt>
                <c:pt idx="13">
                  <c:v>13</c:v>
                </c:pt>
                <c:pt idx="14">
                  <c:v>1005</c:v>
                </c:pt>
              </c:numCache>
            </c:numRef>
          </c:val>
          <c:extLst>
            <c:ext xmlns:c16="http://schemas.microsoft.com/office/drawing/2014/chart" uri="{C3380CC4-5D6E-409C-BE32-E72D297353CC}">
              <c16:uniqueId val="{00000000-91DF-4EE1-BF68-BF77541203B9}"/>
            </c:ext>
          </c:extLst>
        </c:ser>
        <c:dLbls>
          <c:showLegendKey val="0"/>
          <c:showVal val="0"/>
          <c:showCatName val="0"/>
          <c:showSerName val="0"/>
          <c:showPercent val="0"/>
          <c:showBubbleSize val="0"/>
        </c:dLbls>
        <c:gapWidth val="150"/>
        <c:axId val="497877496"/>
        <c:axId val="497877824"/>
      </c:barChart>
      <c:catAx>
        <c:axId val="4978774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77824"/>
        <c:crosses val="autoZero"/>
        <c:auto val="1"/>
        <c:lblAlgn val="ctr"/>
        <c:lblOffset val="100"/>
        <c:noMultiLvlLbl val="0"/>
      </c:catAx>
      <c:valAx>
        <c:axId val="497877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77496"/>
        <c:crosses val="autoZero"/>
        <c:crossBetween val="between"/>
      </c:valAx>
      <c:valAx>
        <c:axId val="497873888"/>
        <c:scaling>
          <c:orientation val="minMax"/>
        </c:scaling>
        <c:delete val="0"/>
        <c:axPos val="r"/>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82088"/>
        <c:crosses val="max"/>
        <c:crossBetween val="between"/>
      </c:valAx>
      <c:catAx>
        <c:axId val="497882088"/>
        <c:scaling>
          <c:orientation val="minMax"/>
        </c:scaling>
        <c:delete val="1"/>
        <c:axPos val="b"/>
        <c:numFmt formatCode="General" sourceLinked="1"/>
        <c:majorTickMark val="none"/>
        <c:minorTickMark val="none"/>
        <c:tickLblPos val="nextTo"/>
        <c:crossAx val="49787388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AMLAN AGASTI.xlsx]Territory With Highest Sales!PivotTable2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'Territory With Highest Sales'!$P$3</c:f>
              <c:strCache>
                <c:ptCount val="1"/>
                <c:pt idx="0">
                  <c:v>Total</c:v>
                </c:pt>
              </c:strCache>
            </c:strRef>
          </c:tx>
          <c:spPr>
            <a:solidFill>
              <a:schemeClr val="accent1"/>
            </a:solidFill>
            <a:ln>
              <a:noFill/>
            </a:ln>
            <a:effectLst/>
          </c:spPr>
          <c:invertIfNegative val="0"/>
          <c:cat>
            <c:multiLvlStrRef>
              <c:f>'Territory With Highest Sales'!$O$4:$O$23</c:f>
              <c:multiLvlStrCache>
                <c:ptCount val="15"/>
                <c:lvl>
                  <c:pt idx="0">
                    <c:v>Disputed</c:v>
                  </c:pt>
                  <c:pt idx="1">
                    <c:v>In Process</c:v>
                  </c:pt>
                  <c:pt idx="2">
                    <c:v>Shipped</c:v>
                  </c:pt>
                  <c:pt idx="3">
                    <c:v>Cancelled</c:v>
                  </c:pt>
                  <c:pt idx="4">
                    <c:v>Disputed</c:v>
                  </c:pt>
                  <c:pt idx="5">
                    <c:v>In Process</c:v>
                  </c:pt>
                  <c:pt idx="6">
                    <c:v>On Hold</c:v>
                  </c:pt>
                  <c:pt idx="7">
                    <c:v>Resolved</c:v>
                  </c:pt>
                  <c:pt idx="8">
                    <c:v>Shipped</c:v>
                  </c:pt>
                  <c:pt idx="9">
                    <c:v>Shipped</c:v>
                  </c:pt>
                  <c:pt idx="10">
                    <c:v>Cancelled</c:v>
                  </c:pt>
                  <c:pt idx="11">
                    <c:v>In Process</c:v>
                  </c:pt>
                  <c:pt idx="12">
                    <c:v>On Hold</c:v>
                  </c:pt>
                  <c:pt idx="13">
                    <c:v>Resolved</c:v>
                  </c:pt>
                  <c:pt idx="14">
                    <c:v>Shipped</c:v>
                  </c:pt>
                </c:lvl>
                <c:lvl>
                  <c:pt idx="0">
                    <c:v>APAC</c:v>
                  </c:pt>
                  <c:pt idx="3">
                    <c:v>EMEA</c:v>
                  </c:pt>
                  <c:pt idx="9">
                    <c:v>Japan</c:v>
                  </c:pt>
                  <c:pt idx="10">
                    <c:v>NA</c:v>
                  </c:pt>
                </c:lvl>
              </c:multiLvlStrCache>
            </c:multiLvlStrRef>
          </c:cat>
          <c:val>
            <c:numRef>
              <c:f>'Territory With Highest Sales'!$P$4:$P$23</c:f>
              <c:numCache>
                <c:formatCode>General</c:formatCode>
                <c:ptCount val="15"/>
                <c:pt idx="0">
                  <c:v>5</c:v>
                </c:pt>
                <c:pt idx="1">
                  <c:v>13</c:v>
                </c:pt>
                <c:pt idx="2">
                  <c:v>203</c:v>
                </c:pt>
                <c:pt idx="3">
                  <c:v>46</c:v>
                </c:pt>
                <c:pt idx="4">
                  <c:v>9</c:v>
                </c:pt>
                <c:pt idx="5">
                  <c:v>24</c:v>
                </c:pt>
                <c:pt idx="6">
                  <c:v>6</c:v>
                </c:pt>
                <c:pt idx="7">
                  <c:v>34</c:v>
                </c:pt>
                <c:pt idx="8">
                  <c:v>1288</c:v>
                </c:pt>
                <c:pt idx="9">
                  <c:v>121</c:v>
                </c:pt>
                <c:pt idx="10">
                  <c:v>14</c:v>
                </c:pt>
                <c:pt idx="11">
                  <c:v>4</c:v>
                </c:pt>
                <c:pt idx="12">
                  <c:v>38</c:v>
                </c:pt>
                <c:pt idx="13">
                  <c:v>13</c:v>
                </c:pt>
                <c:pt idx="14">
                  <c:v>1005</c:v>
                </c:pt>
              </c:numCache>
            </c:numRef>
          </c:val>
          <c:extLst>
            <c:ext xmlns:c16="http://schemas.microsoft.com/office/drawing/2014/chart" uri="{C3380CC4-5D6E-409C-BE32-E72D297353CC}">
              <c16:uniqueId val="{00000000-72CA-4D81-8C76-0472863F64D4}"/>
            </c:ext>
          </c:extLst>
        </c:ser>
        <c:dLbls>
          <c:showLegendKey val="0"/>
          <c:showVal val="0"/>
          <c:showCatName val="0"/>
          <c:showSerName val="0"/>
          <c:showPercent val="0"/>
          <c:showBubbleSize val="0"/>
        </c:dLbls>
        <c:gapWidth val="219"/>
        <c:overlap val="-27"/>
        <c:axId val="382458424"/>
        <c:axId val="382454160"/>
      </c:barChart>
      <c:catAx>
        <c:axId val="382458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454160"/>
        <c:crosses val="autoZero"/>
        <c:auto val="1"/>
        <c:lblAlgn val="ctr"/>
        <c:lblOffset val="100"/>
        <c:noMultiLvlLbl val="0"/>
      </c:catAx>
      <c:valAx>
        <c:axId val="38245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458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AMLAN AGASTI.xlsx] Top 10 Country !PivotTable2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Highest</a:t>
            </a:r>
            <a:r>
              <a:rPr lang="en-IN" baseline="0"/>
              <a:t>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 Top 10 Country '!$B$3</c:f>
              <c:strCache>
                <c:ptCount val="1"/>
                <c:pt idx="0">
                  <c:v>Total</c:v>
                </c:pt>
              </c:strCache>
            </c:strRef>
          </c:tx>
          <c:spPr>
            <a:solidFill>
              <a:schemeClr val="accent1"/>
            </a:solidFill>
            <a:ln>
              <a:noFill/>
            </a:ln>
            <a:effectLst/>
          </c:spPr>
          <c:invertIfNegative val="0"/>
          <c:cat>
            <c:strRef>
              <c:f>' Top 10 Country '!$A$4:$A$13</c:f>
              <c:strCache>
                <c:ptCount val="10"/>
                <c:pt idx="0">
                  <c:v>USA</c:v>
                </c:pt>
                <c:pt idx="1">
                  <c:v>Spain</c:v>
                </c:pt>
                <c:pt idx="2">
                  <c:v>France</c:v>
                </c:pt>
                <c:pt idx="3">
                  <c:v>Australia</c:v>
                </c:pt>
                <c:pt idx="4">
                  <c:v>UK</c:v>
                </c:pt>
                <c:pt idx="5">
                  <c:v>Italy</c:v>
                </c:pt>
                <c:pt idx="6">
                  <c:v>Finland</c:v>
                </c:pt>
                <c:pt idx="7">
                  <c:v>Norway</c:v>
                </c:pt>
                <c:pt idx="8">
                  <c:v>Singapore</c:v>
                </c:pt>
                <c:pt idx="9">
                  <c:v>Denmark</c:v>
                </c:pt>
              </c:strCache>
            </c:strRef>
          </c:cat>
          <c:val>
            <c:numRef>
              <c:f>' Top 10 Country '!$B$4:$B$13</c:f>
              <c:numCache>
                <c:formatCode>\$\ 0.00,\ "K"</c:formatCode>
                <c:ptCount val="10"/>
                <c:pt idx="0">
                  <c:v>3627982.83</c:v>
                </c:pt>
                <c:pt idx="1">
                  <c:v>1215686.9200000009</c:v>
                </c:pt>
                <c:pt idx="2">
                  <c:v>1110916.5199999993</c:v>
                </c:pt>
                <c:pt idx="3">
                  <c:v>630623.10000000009</c:v>
                </c:pt>
                <c:pt idx="4">
                  <c:v>478880.46000000008</c:v>
                </c:pt>
                <c:pt idx="5">
                  <c:v>374674.30999999976</c:v>
                </c:pt>
                <c:pt idx="6">
                  <c:v>329581.91000000009</c:v>
                </c:pt>
                <c:pt idx="7">
                  <c:v>307463.70000000013</c:v>
                </c:pt>
                <c:pt idx="8">
                  <c:v>288488.41000000003</c:v>
                </c:pt>
                <c:pt idx="9">
                  <c:v>245637.15</c:v>
                </c:pt>
              </c:numCache>
            </c:numRef>
          </c:val>
          <c:extLst>
            <c:ext xmlns:c16="http://schemas.microsoft.com/office/drawing/2014/chart" uri="{C3380CC4-5D6E-409C-BE32-E72D297353CC}">
              <c16:uniqueId val="{00000000-E2DD-4338-BA97-228942894EBB}"/>
            </c:ext>
          </c:extLst>
        </c:ser>
        <c:dLbls>
          <c:showLegendKey val="0"/>
          <c:showVal val="0"/>
          <c:showCatName val="0"/>
          <c:showSerName val="0"/>
          <c:showPercent val="0"/>
          <c:showBubbleSize val="0"/>
        </c:dLbls>
        <c:gapWidth val="219"/>
        <c:overlap val="-27"/>
        <c:axId val="404491608"/>
        <c:axId val="404488328"/>
      </c:barChart>
      <c:catAx>
        <c:axId val="404491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488328"/>
        <c:crosses val="autoZero"/>
        <c:auto val="1"/>
        <c:lblAlgn val="ctr"/>
        <c:lblOffset val="100"/>
        <c:noMultiLvlLbl val="0"/>
      </c:catAx>
      <c:valAx>
        <c:axId val="404488328"/>
        <c:scaling>
          <c:orientation val="minMax"/>
        </c:scaling>
        <c:delete val="0"/>
        <c:axPos val="l"/>
        <c:numFmt formatCode="\$\ 0.0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491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AMLAN AGASTI.xlsx] Top 10 Country !PivotTable3</c:name>
    <c:fmtId val="12"/>
  </c:pivotSource>
  <c:chart>
    <c:autoTitleDeleted val="1"/>
    <c:pivotFmts>
      <c:pivotFmt>
        <c:idx val="0"/>
        <c:spPr>
          <a:ln w="28575" cap="rnd">
            <a:solidFill>
              <a:schemeClr val="accent1"/>
            </a:solidFill>
            <a:round/>
          </a:ln>
          <a:effectLst/>
        </c:spPr>
        <c:marker>
          <c:symbol val="none"/>
        </c:marker>
      </c:pivotFmt>
    </c:pivotFmts>
    <c:plotArea>
      <c:layout>
        <c:manualLayout>
          <c:layoutTarget val="inner"/>
          <c:xMode val="edge"/>
          <c:yMode val="edge"/>
          <c:x val="4.0600893219650833E-3"/>
          <c:y val="1.2515644555694618E-2"/>
          <c:w val="0.98984977669508734"/>
          <c:h val="0.97079682937004586"/>
        </c:manualLayout>
      </c:layout>
      <c:lineChart>
        <c:grouping val="standard"/>
        <c:varyColors val="0"/>
        <c:ser>
          <c:idx val="0"/>
          <c:order val="0"/>
          <c:tx>
            <c:strRef>
              <c:f>' Top 10 Country '!$N$3</c:f>
              <c:strCache>
                <c:ptCount val="1"/>
                <c:pt idx="0">
                  <c:v>Total</c:v>
                </c:pt>
              </c:strCache>
            </c:strRef>
          </c:tx>
          <c:spPr>
            <a:ln w="28575" cap="rnd">
              <a:solidFill>
                <a:schemeClr val="accent1"/>
              </a:solidFill>
              <a:round/>
            </a:ln>
            <a:effectLst/>
          </c:spPr>
          <c:marker>
            <c:symbol val="none"/>
          </c:marker>
          <c:cat>
            <c:multiLvlStrRef>
              <c:f>' Top 10 Country '!$M$4:$M$16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2004</c:v>
                  </c:pt>
                </c:lvl>
              </c:multiLvlStrCache>
            </c:multiLvlStrRef>
          </c:cat>
          <c:val>
            <c:numRef>
              <c:f>' Top 10 Country '!$N$4:$N$16</c:f>
              <c:numCache>
                <c:formatCode>\$\ 0.00,\ "K"</c:formatCode>
                <c:ptCount val="12"/>
                <c:pt idx="0">
                  <c:v>316577.4200000001</c:v>
                </c:pt>
                <c:pt idx="1">
                  <c:v>311419.52999999991</c:v>
                </c:pt>
                <c:pt idx="2">
                  <c:v>205733.72999999992</c:v>
                </c:pt>
                <c:pt idx="3">
                  <c:v>206148.12000000008</c:v>
                </c:pt>
                <c:pt idx="4">
                  <c:v>273438.39000000007</c:v>
                </c:pt>
                <c:pt idx="5">
                  <c:v>286674.21999999997</c:v>
                </c:pt>
                <c:pt idx="6">
                  <c:v>327144.08999999979</c:v>
                </c:pt>
                <c:pt idx="7">
                  <c:v>461501.27000000008</c:v>
                </c:pt>
                <c:pt idx="8">
                  <c:v>320750.91000000003</c:v>
                </c:pt>
                <c:pt idx="9">
                  <c:v>552924.25</c:v>
                </c:pt>
                <c:pt idx="10">
                  <c:v>1089048.0100000005</c:v>
                </c:pt>
                <c:pt idx="11">
                  <c:v>372802.65999999992</c:v>
                </c:pt>
              </c:numCache>
            </c:numRef>
          </c:val>
          <c:smooth val="0"/>
          <c:extLst>
            <c:ext xmlns:c16="http://schemas.microsoft.com/office/drawing/2014/chart" uri="{C3380CC4-5D6E-409C-BE32-E72D297353CC}">
              <c16:uniqueId val="{00000000-CC32-4ABA-A0D9-6F599B20F6C0}"/>
            </c:ext>
          </c:extLst>
        </c:ser>
        <c:dLbls>
          <c:showLegendKey val="0"/>
          <c:showVal val="0"/>
          <c:showCatName val="0"/>
          <c:showSerName val="0"/>
          <c:showPercent val="0"/>
          <c:showBubbleSize val="0"/>
        </c:dLbls>
        <c:smooth val="0"/>
        <c:axId val="423130184"/>
        <c:axId val="423129200"/>
      </c:lineChart>
      <c:catAx>
        <c:axId val="423130184"/>
        <c:scaling>
          <c:orientation val="minMax"/>
        </c:scaling>
        <c:delete val="1"/>
        <c:axPos val="b"/>
        <c:numFmt formatCode="General" sourceLinked="1"/>
        <c:majorTickMark val="none"/>
        <c:minorTickMark val="none"/>
        <c:tickLblPos val="nextTo"/>
        <c:crossAx val="423129200"/>
        <c:crosses val="autoZero"/>
        <c:auto val="1"/>
        <c:lblAlgn val="ctr"/>
        <c:lblOffset val="100"/>
        <c:noMultiLvlLbl val="0"/>
      </c:catAx>
      <c:valAx>
        <c:axId val="423129200"/>
        <c:scaling>
          <c:orientation val="minMax"/>
        </c:scaling>
        <c:delete val="1"/>
        <c:axPos val="l"/>
        <c:numFmt formatCode="\$\ 0.00,\ &quot;K&quot;" sourceLinked="1"/>
        <c:majorTickMark val="none"/>
        <c:minorTickMark val="none"/>
        <c:tickLblPos val="nextTo"/>
        <c:crossAx val="423130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8">
  <a:schemeClr val="accent5"/>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emf"/><Relationship Id="rId13" Type="http://schemas.openxmlformats.org/officeDocument/2006/relationships/chart" Target="../charts/chart8.xml"/><Relationship Id="rId3" Type="http://schemas.openxmlformats.org/officeDocument/2006/relationships/chart" Target="../charts/chart2.xml"/><Relationship Id="rId7" Type="http://schemas.openxmlformats.org/officeDocument/2006/relationships/chart" Target="../charts/chart4.xml"/><Relationship Id="rId12" Type="http://schemas.openxmlformats.org/officeDocument/2006/relationships/chart" Target="../charts/chart7.xml"/><Relationship Id="rId2" Type="http://schemas.openxmlformats.org/officeDocument/2006/relationships/image" Target="../media/image2.emf"/><Relationship Id="rId16" Type="http://schemas.openxmlformats.org/officeDocument/2006/relationships/chart" Target="../charts/chart11.xml"/><Relationship Id="rId1" Type="http://schemas.openxmlformats.org/officeDocument/2006/relationships/chart" Target="../charts/chart1.xml"/><Relationship Id="rId6" Type="http://schemas.openxmlformats.org/officeDocument/2006/relationships/image" Target="../media/image4.emf"/><Relationship Id="rId11" Type="http://schemas.openxmlformats.org/officeDocument/2006/relationships/chart" Target="../charts/chart6.xml"/><Relationship Id="rId5" Type="http://schemas.openxmlformats.org/officeDocument/2006/relationships/chart" Target="../charts/chart3.xml"/><Relationship Id="rId15" Type="http://schemas.openxmlformats.org/officeDocument/2006/relationships/chart" Target="../charts/chart10.xml"/><Relationship Id="rId10" Type="http://schemas.openxmlformats.org/officeDocument/2006/relationships/image" Target="../media/image6.emf"/><Relationship Id="rId4" Type="http://schemas.openxmlformats.org/officeDocument/2006/relationships/image" Target="../media/image3.emf"/><Relationship Id="rId9" Type="http://schemas.openxmlformats.org/officeDocument/2006/relationships/chart" Target="../charts/chart5.xml"/><Relationship Id="rId14"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4" Type="http://schemas.openxmlformats.org/officeDocument/2006/relationships/chart" Target="../charts/chart1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s>
</file>

<file path=xl/drawings/_rels/drawing8.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12</xdr:col>
      <xdr:colOff>20053</xdr:colOff>
      <xdr:row>0</xdr:row>
      <xdr:rowOff>0</xdr:rowOff>
    </xdr:from>
    <xdr:to>
      <xdr:col>42</xdr:col>
      <xdr:colOff>541421</xdr:colOff>
      <xdr:row>2</xdr:row>
      <xdr:rowOff>130342</xdr:rowOff>
    </xdr:to>
    <xdr:sp macro="" textlink="">
      <xdr:nvSpPr>
        <xdr:cNvPr id="2" name="Rectangle: Rounded Corners 1">
          <a:extLst>
            <a:ext uri="{FF2B5EF4-FFF2-40B4-BE49-F238E27FC236}">
              <a16:creationId xmlns:a16="http://schemas.microsoft.com/office/drawing/2014/main" id="{5ADA034A-2AF6-43B4-B48B-1762756664A8}"/>
            </a:ext>
          </a:extLst>
        </xdr:cNvPr>
        <xdr:cNvSpPr/>
      </xdr:nvSpPr>
      <xdr:spPr>
        <a:xfrm>
          <a:off x="7359316" y="0"/>
          <a:ext cx="18869526" cy="491289"/>
        </a:xfrm>
        <a:prstGeom prst="roundRect">
          <a:avLst/>
        </a:prstGeom>
        <a:gradFill>
          <a:gsLst>
            <a:gs pos="0">
              <a:schemeClr val="tx1">
                <a:lumMod val="85000"/>
                <a:lumOff val="15000"/>
                <a:alpha val="80000"/>
              </a:schemeClr>
            </a:gs>
            <a:gs pos="100000">
              <a:schemeClr val="bg2">
                <a:lumMod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SALES</a:t>
          </a:r>
          <a:r>
            <a:rPr lang="en-IN" sz="2800" b="1" baseline="0"/>
            <a:t> ANALYSIS DASHBOARD</a:t>
          </a:r>
          <a:endParaRPr lang="en-IN" sz="2800" b="1"/>
        </a:p>
      </xdr:txBody>
    </xdr:sp>
    <xdr:clientData/>
  </xdr:twoCellAnchor>
  <xdr:twoCellAnchor>
    <xdr:from>
      <xdr:col>12</xdr:col>
      <xdr:colOff>217676</xdr:colOff>
      <xdr:row>8</xdr:row>
      <xdr:rowOff>90236</xdr:rowOff>
    </xdr:from>
    <xdr:to>
      <xdr:col>16</xdr:col>
      <xdr:colOff>551446</xdr:colOff>
      <xdr:row>12</xdr:row>
      <xdr:rowOff>150395</xdr:rowOff>
    </xdr:to>
    <xdr:graphicFrame macro="">
      <xdr:nvGraphicFramePr>
        <xdr:cNvPr id="9" name="Chart 8">
          <a:extLst>
            <a:ext uri="{FF2B5EF4-FFF2-40B4-BE49-F238E27FC236}">
              <a16:creationId xmlns:a16="http://schemas.microsoft.com/office/drawing/2014/main" id="{178E3655-549B-45DE-B244-9AA35B3EBE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30077</xdr:colOff>
      <xdr:row>3</xdr:row>
      <xdr:rowOff>1</xdr:rowOff>
    </xdr:from>
    <xdr:to>
      <xdr:col>17</xdr:col>
      <xdr:colOff>90237</xdr:colOff>
      <xdr:row>15</xdr:row>
      <xdr:rowOff>50133</xdr:rowOff>
    </xdr:to>
    <xdr:grpSp>
      <xdr:nvGrpSpPr>
        <xdr:cNvPr id="50" name="Group 49">
          <a:extLst>
            <a:ext uri="{FF2B5EF4-FFF2-40B4-BE49-F238E27FC236}">
              <a16:creationId xmlns:a16="http://schemas.microsoft.com/office/drawing/2014/main" id="{4C1975A0-855F-4D47-9735-C46CC6FCC538}"/>
            </a:ext>
          </a:extLst>
        </xdr:cNvPr>
        <xdr:cNvGrpSpPr/>
      </xdr:nvGrpSpPr>
      <xdr:grpSpPr>
        <a:xfrm>
          <a:off x="7369340" y="541422"/>
          <a:ext cx="3118186" cy="2215816"/>
          <a:chOff x="7369340" y="501316"/>
          <a:chExt cx="2636923" cy="2215816"/>
        </a:xfrm>
      </xdr:grpSpPr>
      <xdr:sp macro="" textlink="">
        <xdr:nvSpPr>
          <xdr:cNvPr id="3" name="Rectangle: Rounded Corners 2">
            <a:extLst>
              <a:ext uri="{FF2B5EF4-FFF2-40B4-BE49-F238E27FC236}">
                <a16:creationId xmlns:a16="http://schemas.microsoft.com/office/drawing/2014/main" id="{C1FCE3A3-9800-4A69-A690-8BAE4B4EC2EB}"/>
              </a:ext>
            </a:extLst>
          </xdr:cNvPr>
          <xdr:cNvSpPr/>
        </xdr:nvSpPr>
        <xdr:spPr>
          <a:xfrm>
            <a:off x="7379367" y="501316"/>
            <a:ext cx="2616869" cy="571500"/>
          </a:xfrm>
          <a:prstGeom prst="roundRect">
            <a:avLst/>
          </a:prstGeom>
          <a:gradFill>
            <a:gsLst>
              <a:gs pos="0">
                <a:schemeClr val="tx1">
                  <a:lumMod val="85000"/>
                  <a:lumOff val="15000"/>
                  <a:alpha val="80000"/>
                </a:schemeClr>
              </a:gs>
              <a:gs pos="100000">
                <a:schemeClr val="bg2">
                  <a:lumMod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Most Sold Product</a:t>
            </a:r>
          </a:p>
        </xdr:txBody>
      </xdr:sp>
      <xdr:sp macro="" textlink="">
        <xdr:nvSpPr>
          <xdr:cNvPr id="4" name="Rectangle: Rounded Corners 3">
            <a:extLst>
              <a:ext uri="{FF2B5EF4-FFF2-40B4-BE49-F238E27FC236}">
                <a16:creationId xmlns:a16="http://schemas.microsoft.com/office/drawing/2014/main" id="{2FA4D822-DBEF-40A2-800F-F1F887DDE849}"/>
              </a:ext>
            </a:extLst>
          </xdr:cNvPr>
          <xdr:cNvSpPr/>
        </xdr:nvSpPr>
        <xdr:spPr>
          <a:xfrm>
            <a:off x="7369340" y="1072814"/>
            <a:ext cx="2636923" cy="1644318"/>
          </a:xfrm>
          <a:prstGeom prst="roundRect">
            <a:avLst/>
          </a:prstGeom>
          <a:gradFill>
            <a:gsLst>
              <a:gs pos="0">
                <a:schemeClr val="tx1">
                  <a:lumMod val="85000"/>
                  <a:lumOff val="15000"/>
                  <a:alpha val="80000"/>
                </a:schemeClr>
              </a:gs>
              <a:gs pos="100000">
                <a:schemeClr val="bg2">
                  <a:lumMod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1B90177F-7CC4-4880-8054-35F7853111B9}"/>
              </a:ext>
            </a:extLst>
          </xdr:cNvPr>
          <xdr:cNvSpPr/>
        </xdr:nvSpPr>
        <xdr:spPr>
          <a:xfrm>
            <a:off x="7479631" y="1082842"/>
            <a:ext cx="2396289" cy="230603"/>
          </a:xfrm>
          <a:prstGeom prst="roundRect">
            <a:avLst/>
          </a:prstGeom>
          <a:gradFill>
            <a:gsLst>
              <a:gs pos="0">
                <a:schemeClr val="tx1">
                  <a:lumMod val="85000"/>
                  <a:lumOff val="15000"/>
                  <a:alpha val="80000"/>
                </a:schemeClr>
              </a:gs>
              <a:gs pos="100000">
                <a:schemeClr val="bg2">
                  <a:lumMod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S18_3232</a:t>
            </a:r>
          </a:p>
        </xdr:txBody>
      </xdr:sp>
      <xdr:sp macro="" textlink="">
        <xdr:nvSpPr>
          <xdr:cNvPr id="8" name="Rectangle: Rounded Corners 7">
            <a:extLst>
              <a:ext uri="{FF2B5EF4-FFF2-40B4-BE49-F238E27FC236}">
                <a16:creationId xmlns:a16="http://schemas.microsoft.com/office/drawing/2014/main" id="{D4505046-FB0B-404F-81A1-657D1674220A}"/>
              </a:ext>
            </a:extLst>
          </xdr:cNvPr>
          <xdr:cNvSpPr/>
        </xdr:nvSpPr>
        <xdr:spPr>
          <a:xfrm>
            <a:off x="7459578" y="1343528"/>
            <a:ext cx="2456447" cy="330868"/>
          </a:xfrm>
          <a:prstGeom prst="roundRect">
            <a:avLst/>
          </a:prstGeom>
          <a:gradFill>
            <a:gsLst>
              <a:gs pos="0">
                <a:schemeClr val="tx1">
                  <a:lumMod val="85000"/>
                  <a:lumOff val="15000"/>
                  <a:alpha val="80000"/>
                </a:schemeClr>
              </a:gs>
              <a:gs pos="100000">
                <a:schemeClr val="bg2">
                  <a:lumMod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$ 288.25 K</a:t>
            </a:r>
          </a:p>
        </xdr:txBody>
      </xdr:sp>
      <xdr:sp macro="" textlink="">
        <xdr:nvSpPr>
          <xdr:cNvPr id="10" name="Rectangle: Rounded Corners 9">
            <a:extLst>
              <a:ext uri="{FF2B5EF4-FFF2-40B4-BE49-F238E27FC236}">
                <a16:creationId xmlns:a16="http://schemas.microsoft.com/office/drawing/2014/main" id="{5612D1F4-D82F-4B95-8AFF-D681011C2D77}"/>
              </a:ext>
            </a:extLst>
          </xdr:cNvPr>
          <xdr:cNvSpPr/>
        </xdr:nvSpPr>
        <xdr:spPr>
          <a:xfrm>
            <a:off x="7419473" y="2296027"/>
            <a:ext cx="2506579" cy="360947"/>
          </a:xfrm>
          <a:prstGeom prst="roundRect">
            <a:avLst/>
          </a:prstGeom>
          <a:gradFill>
            <a:gsLst>
              <a:gs pos="0">
                <a:schemeClr val="tx1">
                  <a:lumMod val="85000"/>
                  <a:lumOff val="15000"/>
                  <a:alpha val="80000"/>
                </a:schemeClr>
              </a:gs>
              <a:gs pos="100000">
                <a:schemeClr val="bg2">
                  <a:lumMod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a:t>YOY</a:t>
            </a:r>
            <a:r>
              <a:rPr lang="en-IN" sz="2000" b="1" baseline="0"/>
              <a:t> GROWTH</a:t>
            </a:r>
            <a:endParaRPr lang="en-IN" sz="2000" b="1"/>
          </a:p>
        </xdr:txBody>
      </xdr:sp>
    </xdr:grpSp>
    <xdr:clientData/>
  </xdr:twoCellAnchor>
  <mc:AlternateContent xmlns:mc="http://schemas.openxmlformats.org/markup-compatibility/2006">
    <mc:Choice xmlns:a14="http://schemas.microsoft.com/office/drawing/2010/main" Requires="a14">
      <xdr:twoCellAnchor editAs="oneCell">
        <xdr:from>
          <xdr:col>15</xdr:col>
          <xdr:colOff>411080</xdr:colOff>
          <xdr:row>13</xdr:row>
          <xdr:rowOff>20053</xdr:rowOff>
        </xdr:from>
        <xdr:to>
          <xdr:col>17</xdr:col>
          <xdr:colOff>24492</xdr:colOff>
          <xdr:row>14</xdr:row>
          <xdr:rowOff>120315</xdr:rowOff>
        </xdr:to>
        <xdr:pic>
          <xdr:nvPicPr>
            <xdr:cNvPr id="18" name="Picture 17">
              <a:extLst>
                <a:ext uri="{FF2B5EF4-FFF2-40B4-BE49-F238E27FC236}">
                  <a16:creationId xmlns:a16="http://schemas.microsoft.com/office/drawing/2014/main" id="{5D28B13E-87F8-4773-8934-6FD964242D01}"/>
                </a:ext>
              </a:extLst>
            </xdr:cNvPr>
            <xdr:cNvPicPr>
              <a:picLocks noChangeAspect="1" noChangeArrowheads="1"/>
              <a:extLst>
                <a:ext uri="{84589F7E-364E-4C9E-8A38-B11213B215E9}">
                  <a14:cameraTool cellRange="KPI!$A$16" spid="_x0000_s11387"/>
                </a:ext>
              </a:extLst>
            </xdr:cNvPicPr>
          </xdr:nvPicPr>
          <xdr:blipFill>
            <a:blip xmlns:r="http://schemas.openxmlformats.org/officeDocument/2006/relationships" r:embed="rId2"/>
            <a:srcRect/>
            <a:stretch>
              <a:fillRect/>
            </a:stretch>
          </xdr:blipFill>
          <xdr:spPr bwMode="auto">
            <a:xfrm>
              <a:off x="9585159" y="2366211"/>
              <a:ext cx="836622" cy="28073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17</xdr:col>
      <xdr:colOff>110290</xdr:colOff>
      <xdr:row>3</xdr:row>
      <xdr:rowOff>10027</xdr:rowOff>
    </xdr:from>
    <xdr:to>
      <xdr:col>22</xdr:col>
      <xdr:colOff>320842</xdr:colOff>
      <xdr:row>15</xdr:row>
      <xdr:rowOff>60159</xdr:rowOff>
    </xdr:to>
    <xdr:grpSp>
      <xdr:nvGrpSpPr>
        <xdr:cNvPr id="51" name="Group 50">
          <a:extLst>
            <a:ext uri="{FF2B5EF4-FFF2-40B4-BE49-F238E27FC236}">
              <a16:creationId xmlns:a16="http://schemas.microsoft.com/office/drawing/2014/main" id="{8D082965-F51A-4F8D-A76D-67DD5861225D}"/>
            </a:ext>
          </a:extLst>
        </xdr:cNvPr>
        <xdr:cNvGrpSpPr/>
      </xdr:nvGrpSpPr>
      <xdr:grpSpPr>
        <a:xfrm>
          <a:off x="10507579" y="551448"/>
          <a:ext cx="3268579" cy="2215816"/>
          <a:chOff x="7369340" y="501316"/>
          <a:chExt cx="2636923" cy="2215816"/>
        </a:xfrm>
      </xdr:grpSpPr>
      <xdr:sp macro="" textlink="">
        <xdr:nvSpPr>
          <xdr:cNvPr id="52" name="Rectangle: Rounded Corners 51">
            <a:extLst>
              <a:ext uri="{FF2B5EF4-FFF2-40B4-BE49-F238E27FC236}">
                <a16:creationId xmlns:a16="http://schemas.microsoft.com/office/drawing/2014/main" id="{D69CCAF4-E085-418C-9798-517955915BCB}"/>
              </a:ext>
            </a:extLst>
          </xdr:cNvPr>
          <xdr:cNvSpPr/>
        </xdr:nvSpPr>
        <xdr:spPr>
          <a:xfrm>
            <a:off x="7379367" y="501316"/>
            <a:ext cx="2616869" cy="571500"/>
          </a:xfrm>
          <a:prstGeom prst="roundRect">
            <a:avLst/>
          </a:prstGeom>
          <a:gradFill>
            <a:gsLst>
              <a:gs pos="0">
                <a:schemeClr val="tx1">
                  <a:lumMod val="85000"/>
                  <a:lumOff val="15000"/>
                  <a:alpha val="80000"/>
                </a:schemeClr>
              </a:gs>
              <a:gs pos="100000">
                <a:schemeClr val="bg2">
                  <a:lumMod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REGION</a:t>
            </a:r>
            <a:r>
              <a:rPr lang="en-IN" sz="2400" b="1" baseline="0"/>
              <a:t> HIGHEST SALES</a:t>
            </a:r>
            <a:endParaRPr lang="en-IN" sz="2400" b="1"/>
          </a:p>
        </xdr:txBody>
      </xdr:sp>
      <xdr:sp macro="" textlink="">
        <xdr:nvSpPr>
          <xdr:cNvPr id="53" name="Rectangle: Rounded Corners 52">
            <a:extLst>
              <a:ext uri="{FF2B5EF4-FFF2-40B4-BE49-F238E27FC236}">
                <a16:creationId xmlns:a16="http://schemas.microsoft.com/office/drawing/2014/main" id="{DC704651-E7F3-479B-82FD-81EFC987B164}"/>
              </a:ext>
            </a:extLst>
          </xdr:cNvPr>
          <xdr:cNvSpPr/>
        </xdr:nvSpPr>
        <xdr:spPr>
          <a:xfrm>
            <a:off x="7369340" y="1072814"/>
            <a:ext cx="2636923" cy="1644318"/>
          </a:xfrm>
          <a:prstGeom prst="roundRect">
            <a:avLst/>
          </a:prstGeom>
          <a:gradFill>
            <a:gsLst>
              <a:gs pos="0">
                <a:schemeClr val="tx1">
                  <a:lumMod val="85000"/>
                  <a:lumOff val="15000"/>
                  <a:alpha val="80000"/>
                </a:schemeClr>
              </a:gs>
              <a:gs pos="100000">
                <a:schemeClr val="bg2">
                  <a:lumMod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Rectangle: Rounded Corners 53">
            <a:extLst>
              <a:ext uri="{FF2B5EF4-FFF2-40B4-BE49-F238E27FC236}">
                <a16:creationId xmlns:a16="http://schemas.microsoft.com/office/drawing/2014/main" id="{4F3D946D-631C-45B6-8110-1360E207A5E8}"/>
              </a:ext>
            </a:extLst>
          </xdr:cNvPr>
          <xdr:cNvSpPr/>
        </xdr:nvSpPr>
        <xdr:spPr>
          <a:xfrm>
            <a:off x="7479631" y="1082842"/>
            <a:ext cx="2396289" cy="230603"/>
          </a:xfrm>
          <a:prstGeom prst="roundRect">
            <a:avLst/>
          </a:prstGeom>
          <a:gradFill>
            <a:gsLst>
              <a:gs pos="0">
                <a:schemeClr val="tx1">
                  <a:lumMod val="85000"/>
                  <a:lumOff val="15000"/>
                  <a:alpha val="80000"/>
                </a:schemeClr>
              </a:gs>
              <a:gs pos="100000">
                <a:schemeClr val="bg2">
                  <a:lumMod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EMEA</a:t>
            </a:r>
          </a:p>
        </xdr:txBody>
      </xdr:sp>
      <xdr:sp macro="" textlink="">
        <xdr:nvSpPr>
          <xdr:cNvPr id="55" name="Rectangle: Rounded Corners 54">
            <a:extLst>
              <a:ext uri="{FF2B5EF4-FFF2-40B4-BE49-F238E27FC236}">
                <a16:creationId xmlns:a16="http://schemas.microsoft.com/office/drawing/2014/main" id="{95BE595C-DCF4-4601-BA20-300CAC63350F}"/>
              </a:ext>
            </a:extLst>
          </xdr:cNvPr>
          <xdr:cNvSpPr/>
        </xdr:nvSpPr>
        <xdr:spPr>
          <a:xfrm>
            <a:off x="7459578" y="1343528"/>
            <a:ext cx="2456447" cy="330868"/>
          </a:xfrm>
          <a:prstGeom prst="roundRect">
            <a:avLst/>
          </a:prstGeom>
          <a:gradFill>
            <a:gsLst>
              <a:gs pos="0">
                <a:schemeClr val="tx1">
                  <a:lumMod val="85000"/>
                  <a:lumOff val="15000"/>
                  <a:alpha val="80000"/>
                </a:schemeClr>
              </a:gs>
              <a:gs pos="100000">
                <a:schemeClr val="bg2">
                  <a:lumMod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$ 4979.27 K</a:t>
            </a:r>
          </a:p>
        </xdr:txBody>
      </xdr:sp>
      <xdr:sp macro="" textlink="">
        <xdr:nvSpPr>
          <xdr:cNvPr id="56" name="Rectangle: Rounded Corners 55">
            <a:extLst>
              <a:ext uri="{FF2B5EF4-FFF2-40B4-BE49-F238E27FC236}">
                <a16:creationId xmlns:a16="http://schemas.microsoft.com/office/drawing/2014/main" id="{5A2E9A7E-4DEC-4A2F-9646-D9C57AD4C7F0}"/>
              </a:ext>
            </a:extLst>
          </xdr:cNvPr>
          <xdr:cNvSpPr/>
        </xdr:nvSpPr>
        <xdr:spPr>
          <a:xfrm>
            <a:off x="7419473" y="2296027"/>
            <a:ext cx="2506579" cy="360947"/>
          </a:xfrm>
          <a:prstGeom prst="roundRect">
            <a:avLst/>
          </a:prstGeom>
          <a:gradFill>
            <a:gsLst>
              <a:gs pos="0">
                <a:schemeClr val="tx1">
                  <a:lumMod val="85000"/>
                  <a:lumOff val="15000"/>
                  <a:alpha val="80000"/>
                </a:schemeClr>
              </a:gs>
              <a:gs pos="100000">
                <a:schemeClr val="bg2">
                  <a:lumMod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a:t>YOY</a:t>
            </a:r>
            <a:r>
              <a:rPr lang="en-IN" sz="2000" b="1" baseline="0"/>
              <a:t> GROWTH</a:t>
            </a:r>
            <a:endParaRPr lang="en-IN" sz="2000" b="1"/>
          </a:p>
        </xdr:txBody>
      </xdr:sp>
    </xdr:grpSp>
    <xdr:clientData/>
  </xdr:twoCellAnchor>
  <xdr:twoCellAnchor>
    <xdr:from>
      <xdr:col>22</xdr:col>
      <xdr:colOff>370971</xdr:colOff>
      <xdr:row>3</xdr:row>
      <xdr:rowOff>20052</xdr:rowOff>
    </xdr:from>
    <xdr:to>
      <xdr:col>27</xdr:col>
      <xdr:colOff>411079</xdr:colOff>
      <xdr:row>15</xdr:row>
      <xdr:rowOff>70184</xdr:rowOff>
    </xdr:to>
    <xdr:grpSp>
      <xdr:nvGrpSpPr>
        <xdr:cNvPr id="57" name="Group 56">
          <a:extLst>
            <a:ext uri="{FF2B5EF4-FFF2-40B4-BE49-F238E27FC236}">
              <a16:creationId xmlns:a16="http://schemas.microsoft.com/office/drawing/2014/main" id="{5743AB68-244D-4A0A-9104-FF59E8C5EB13}"/>
            </a:ext>
          </a:extLst>
        </xdr:cNvPr>
        <xdr:cNvGrpSpPr/>
      </xdr:nvGrpSpPr>
      <xdr:grpSpPr>
        <a:xfrm>
          <a:off x="13826287" y="561473"/>
          <a:ext cx="3098134" cy="2215816"/>
          <a:chOff x="7369340" y="501316"/>
          <a:chExt cx="2636923" cy="2215816"/>
        </a:xfrm>
      </xdr:grpSpPr>
      <xdr:sp macro="" textlink="">
        <xdr:nvSpPr>
          <xdr:cNvPr id="58" name="Rectangle: Rounded Corners 57">
            <a:extLst>
              <a:ext uri="{FF2B5EF4-FFF2-40B4-BE49-F238E27FC236}">
                <a16:creationId xmlns:a16="http://schemas.microsoft.com/office/drawing/2014/main" id="{024841B4-EE0D-4E0F-ACC4-4773522925E5}"/>
              </a:ext>
            </a:extLst>
          </xdr:cNvPr>
          <xdr:cNvSpPr/>
        </xdr:nvSpPr>
        <xdr:spPr>
          <a:xfrm>
            <a:off x="7379367" y="501316"/>
            <a:ext cx="2616869" cy="571500"/>
          </a:xfrm>
          <a:prstGeom prst="roundRect">
            <a:avLst/>
          </a:prstGeom>
          <a:gradFill>
            <a:gsLst>
              <a:gs pos="0">
                <a:schemeClr val="tx1">
                  <a:lumMod val="85000"/>
                  <a:lumOff val="15000"/>
                  <a:alpha val="80000"/>
                </a:schemeClr>
              </a:gs>
              <a:gs pos="100000">
                <a:schemeClr val="bg2">
                  <a:lumMod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COUNTRY</a:t>
            </a:r>
            <a:r>
              <a:rPr lang="en-IN" sz="2000" b="1" baseline="0"/>
              <a:t> HIGHEST SALES</a:t>
            </a:r>
            <a:endParaRPr lang="en-IN" sz="2000" b="1"/>
          </a:p>
        </xdr:txBody>
      </xdr:sp>
      <xdr:sp macro="" textlink="">
        <xdr:nvSpPr>
          <xdr:cNvPr id="59" name="Rectangle: Rounded Corners 58">
            <a:extLst>
              <a:ext uri="{FF2B5EF4-FFF2-40B4-BE49-F238E27FC236}">
                <a16:creationId xmlns:a16="http://schemas.microsoft.com/office/drawing/2014/main" id="{46054452-B891-486C-AAF3-CF422A554BA5}"/>
              </a:ext>
            </a:extLst>
          </xdr:cNvPr>
          <xdr:cNvSpPr/>
        </xdr:nvSpPr>
        <xdr:spPr>
          <a:xfrm>
            <a:off x="7369340" y="1072814"/>
            <a:ext cx="2636923" cy="1644318"/>
          </a:xfrm>
          <a:prstGeom prst="roundRect">
            <a:avLst/>
          </a:prstGeom>
          <a:gradFill>
            <a:gsLst>
              <a:gs pos="0">
                <a:schemeClr val="tx1">
                  <a:lumMod val="85000"/>
                  <a:lumOff val="15000"/>
                  <a:alpha val="80000"/>
                </a:schemeClr>
              </a:gs>
              <a:gs pos="100000">
                <a:schemeClr val="bg2">
                  <a:lumMod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0" name="Rectangle: Rounded Corners 59">
            <a:extLst>
              <a:ext uri="{FF2B5EF4-FFF2-40B4-BE49-F238E27FC236}">
                <a16:creationId xmlns:a16="http://schemas.microsoft.com/office/drawing/2014/main" id="{89DA1020-AB7E-4B05-99B1-303825747FAE}"/>
              </a:ext>
            </a:extLst>
          </xdr:cNvPr>
          <xdr:cNvSpPr/>
        </xdr:nvSpPr>
        <xdr:spPr>
          <a:xfrm>
            <a:off x="7479631" y="1082842"/>
            <a:ext cx="2396289" cy="230603"/>
          </a:xfrm>
          <a:prstGeom prst="roundRect">
            <a:avLst/>
          </a:prstGeom>
          <a:gradFill>
            <a:gsLst>
              <a:gs pos="0">
                <a:schemeClr val="tx1">
                  <a:lumMod val="85000"/>
                  <a:lumOff val="15000"/>
                  <a:alpha val="80000"/>
                </a:schemeClr>
              </a:gs>
              <a:gs pos="100000">
                <a:schemeClr val="bg2">
                  <a:lumMod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USA</a:t>
            </a:r>
          </a:p>
        </xdr:txBody>
      </xdr:sp>
      <xdr:sp macro="" textlink="">
        <xdr:nvSpPr>
          <xdr:cNvPr id="61" name="Rectangle: Rounded Corners 60">
            <a:extLst>
              <a:ext uri="{FF2B5EF4-FFF2-40B4-BE49-F238E27FC236}">
                <a16:creationId xmlns:a16="http://schemas.microsoft.com/office/drawing/2014/main" id="{84EB2517-CBFF-42F9-A9E8-9ACF71EB471D}"/>
              </a:ext>
            </a:extLst>
          </xdr:cNvPr>
          <xdr:cNvSpPr/>
        </xdr:nvSpPr>
        <xdr:spPr>
          <a:xfrm>
            <a:off x="7469605" y="1323475"/>
            <a:ext cx="2456447" cy="330868"/>
          </a:xfrm>
          <a:prstGeom prst="roundRect">
            <a:avLst/>
          </a:prstGeom>
          <a:gradFill>
            <a:gsLst>
              <a:gs pos="0">
                <a:schemeClr val="tx1">
                  <a:lumMod val="85000"/>
                  <a:lumOff val="15000"/>
                  <a:alpha val="80000"/>
                </a:schemeClr>
              </a:gs>
              <a:gs pos="100000">
                <a:schemeClr val="bg2">
                  <a:lumMod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$ 3627.98 K</a:t>
            </a:r>
          </a:p>
        </xdr:txBody>
      </xdr:sp>
      <xdr:sp macro="" textlink="">
        <xdr:nvSpPr>
          <xdr:cNvPr id="62" name="Rectangle: Rounded Corners 61">
            <a:extLst>
              <a:ext uri="{FF2B5EF4-FFF2-40B4-BE49-F238E27FC236}">
                <a16:creationId xmlns:a16="http://schemas.microsoft.com/office/drawing/2014/main" id="{194E3799-3CF0-4071-99F9-430CD603DCCE}"/>
              </a:ext>
            </a:extLst>
          </xdr:cNvPr>
          <xdr:cNvSpPr/>
        </xdr:nvSpPr>
        <xdr:spPr>
          <a:xfrm>
            <a:off x="7419473" y="2296027"/>
            <a:ext cx="2506579" cy="360947"/>
          </a:xfrm>
          <a:prstGeom prst="roundRect">
            <a:avLst/>
          </a:prstGeom>
          <a:gradFill>
            <a:gsLst>
              <a:gs pos="0">
                <a:schemeClr val="tx1">
                  <a:lumMod val="85000"/>
                  <a:lumOff val="15000"/>
                  <a:alpha val="80000"/>
                </a:schemeClr>
              </a:gs>
              <a:gs pos="100000">
                <a:schemeClr val="bg2">
                  <a:lumMod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a:t>YOY</a:t>
            </a:r>
            <a:r>
              <a:rPr lang="en-IN" sz="2000" b="1" baseline="0"/>
              <a:t> GROWTH</a:t>
            </a:r>
            <a:endParaRPr lang="en-IN" sz="2000" b="1"/>
          </a:p>
        </xdr:txBody>
      </xdr:sp>
    </xdr:grpSp>
    <xdr:clientData/>
  </xdr:twoCellAnchor>
  <xdr:twoCellAnchor>
    <xdr:from>
      <xdr:col>27</xdr:col>
      <xdr:colOff>421103</xdr:colOff>
      <xdr:row>2</xdr:row>
      <xdr:rowOff>170448</xdr:rowOff>
    </xdr:from>
    <xdr:to>
      <xdr:col>33</xdr:col>
      <xdr:colOff>60158</xdr:colOff>
      <xdr:row>15</xdr:row>
      <xdr:rowOff>40106</xdr:rowOff>
    </xdr:to>
    <xdr:grpSp>
      <xdr:nvGrpSpPr>
        <xdr:cNvPr id="63" name="Group 62">
          <a:extLst>
            <a:ext uri="{FF2B5EF4-FFF2-40B4-BE49-F238E27FC236}">
              <a16:creationId xmlns:a16="http://schemas.microsoft.com/office/drawing/2014/main" id="{83B23CC2-17C7-4B7E-8AB0-46F7FF127ABB}"/>
            </a:ext>
          </a:extLst>
        </xdr:cNvPr>
        <xdr:cNvGrpSpPr/>
      </xdr:nvGrpSpPr>
      <xdr:grpSpPr>
        <a:xfrm>
          <a:off x="16934445" y="531395"/>
          <a:ext cx="3308687" cy="2215816"/>
          <a:chOff x="7369340" y="501316"/>
          <a:chExt cx="2636923" cy="2215816"/>
        </a:xfrm>
      </xdr:grpSpPr>
      <xdr:sp macro="" textlink="">
        <xdr:nvSpPr>
          <xdr:cNvPr id="64" name="Rectangle: Rounded Corners 63">
            <a:extLst>
              <a:ext uri="{FF2B5EF4-FFF2-40B4-BE49-F238E27FC236}">
                <a16:creationId xmlns:a16="http://schemas.microsoft.com/office/drawing/2014/main" id="{661DEE97-192D-4302-B0FC-D2197DD72B63}"/>
              </a:ext>
            </a:extLst>
          </xdr:cNvPr>
          <xdr:cNvSpPr/>
        </xdr:nvSpPr>
        <xdr:spPr>
          <a:xfrm>
            <a:off x="7379367" y="501316"/>
            <a:ext cx="2616869" cy="571500"/>
          </a:xfrm>
          <a:prstGeom prst="roundRect">
            <a:avLst/>
          </a:prstGeom>
          <a:gradFill>
            <a:gsLst>
              <a:gs pos="0">
                <a:schemeClr val="tx1">
                  <a:lumMod val="85000"/>
                  <a:lumOff val="15000"/>
                  <a:alpha val="80000"/>
                </a:schemeClr>
              </a:gs>
              <a:gs pos="100000">
                <a:schemeClr val="bg2">
                  <a:lumMod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CUSTOMER</a:t>
            </a:r>
            <a:r>
              <a:rPr lang="en-IN" sz="1800" b="1" baseline="0"/>
              <a:t> HIGHEST ORDERED</a:t>
            </a:r>
            <a:endParaRPr lang="en-IN" sz="1800" b="1"/>
          </a:p>
        </xdr:txBody>
      </xdr:sp>
      <xdr:sp macro="" textlink="">
        <xdr:nvSpPr>
          <xdr:cNvPr id="65" name="Rectangle: Rounded Corners 64">
            <a:extLst>
              <a:ext uri="{FF2B5EF4-FFF2-40B4-BE49-F238E27FC236}">
                <a16:creationId xmlns:a16="http://schemas.microsoft.com/office/drawing/2014/main" id="{9795A427-051E-4F66-89B0-45F243A0C7EE}"/>
              </a:ext>
            </a:extLst>
          </xdr:cNvPr>
          <xdr:cNvSpPr/>
        </xdr:nvSpPr>
        <xdr:spPr>
          <a:xfrm>
            <a:off x="7369340" y="1072814"/>
            <a:ext cx="2636923" cy="1644318"/>
          </a:xfrm>
          <a:prstGeom prst="roundRect">
            <a:avLst/>
          </a:prstGeom>
          <a:gradFill>
            <a:gsLst>
              <a:gs pos="0">
                <a:schemeClr val="tx1">
                  <a:lumMod val="85000"/>
                  <a:lumOff val="15000"/>
                  <a:alpha val="80000"/>
                </a:schemeClr>
              </a:gs>
              <a:gs pos="100000">
                <a:schemeClr val="bg2">
                  <a:lumMod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6" name="Rectangle: Rounded Corners 65">
            <a:extLst>
              <a:ext uri="{FF2B5EF4-FFF2-40B4-BE49-F238E27FC236}">
                <a16:creationId xmlns:a16="http://schemas.microsoft.com/office/drawing/2014/main" id="{6A76E4D4-6755-49CB-A143-D890C07CDAA4}"/>
              </a:ext>
            </a:extLst>
          </xdr:cNvPr>
          <xdr:cNvSpPr/>
        </xdr:nvSpPr>
        <xdr:spPr>
          <a:xfrm>
            <a:off x="7479631" y="1082842"/>
            <a:ext cx="2396289" cy="230603"/>
          </a:xfrm>
          <a:prstGeom prst="roundRect">
            <a:avLst/>
          </a:prstGeom>
          <a:gradFill>
            <a:gsLst>
              <a:gs pos="0">
                <a:schemeClr val="tx1">
                  <a:lumMod val="85000"/>
                  <a:lumOff val="15000"/>
                  <a:alpha val="80000"/>
                </a:schemeClr>
              </a:gs>
              <a:gs pos="100000">
                <a:schemeClr val="bg2">
                  <a:lumMod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Euro Shopping Channel</a:t>
            </a:r>
          </a:p>
        </xdr:txBody>
      </xdr:sp>
      <xdr:sp macro="" textlink="">
        <xdr:nvSpPr>
          <xdr:cNvPr id="67" name="Rectangle: Rounded Corners 66">
            <a:extLst>
              <a:ext uri="{FF2B5EF4-FFF2-40B4-BE49-F238E27FC236}">
                <a16:creationId xmlns:a16="http://schemas.microsoft.com/office/drawing/2014/main" id="{5D386407-007D-4DBA-9742-42E4C54908AD}"/>
              </a:ext>
            </a:extLst>
          </xdr:cNvPr>
          <xdr:cNvSpPr/>
        </xdr:nvSpPr>
        <xdr:spPr>
          <a:xfrm>
            <a:off x="7459578" y="1343528"/>
            <a:ext cx="2456447" cy="330868"/>
          </a:xfrm>
          <a:prstGeom prst="roundRect">
            <a:avLst/>
          </a:prstGeom>
          <a:gradFill>
            <a:gsLst>
              <a:gs pos="0">
                <a:schemeClr val="tx1">
                  <a:lumMod val="85000"/>
                  <a:lumOff val="15000"/>
                  <a:alpha val="80000"/>
                </a:schemeClr>
              </a:gs>
              <a:gs pos="100000">
                <a:schemeClr val="bg2">
                  <a:lumMod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 9327</a:t>
            </a:r>
          </a:p>
        </xdr:txBody>
      </xdr:sp>
      <xdr:sp macro="" textlink="">
        <xdr:nvSpPr>
          <xdr:cNvPr id="68" name="Rectangle: Rounded Corners 67">
            <a:extLst>
              <a:ext uri="{FF2B5EF4-FFF2-40B4-BE49-F238E27FC236}">
                <a16:creationId xmlns:a16="http://schemas.microsoft.com/office/drawing/2014/main" id="{A6A60343-E550-4578-9CA1-EC23A62623FB}"/>
              </a:ext>
            </a:extLst>
          </xdr:cNvPr>
          <xdr:cNvSpPr/>
        </xdr:nvSpPr>
        <xdr:spPr>
          <a:xfrm>
            <a:off x="7419473" y="2296027"/>
            <a:ext cx="2506579" cy="360947"/>
          </a:xfrm>
          <a:prstGeom prst="roundRect">
            <a:avLst/>
          </a:prstGeom>
          <a:gradFill>
            <a:gsLst>
              <a:gs pos="0">
                <a:schemeClr val="tx1">
                  <a:lumMod val="85000"/>
                  <a:lumOff val="15000"/>
                  <a:alpha val="80000"/>
                </a:schemeClr>
              </a:gs>
              <a:gs pos="100000">
                <a:schemeClr val="bg2">
                  <a:lumMod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t>YOY ORDER</a:t>
            </a:r>
            <a:r>
              <a:rPr lang="en-IN" sz="1400" b="1" baseline="0"/>
              <a:t> GROWTH</a:t>
            </a:r>
            <a:endParaRPr lang="en-IN" sz="1400" b="1"/>
          </a:p>
        </xdr:txBody>
      </xdr:sp>
    </xdr:grpSp>
    <xdr:clientData/>
  </xdr:twoCellAnchor>
  <xdr:twoCellAnchor>
    <xdr:from>
      <xdr:col>33</xdr:col>
      <xdr:colOff>100263</xdr:colOff>
      <xdr:row>2</xdr:row>
      <xdr:rowOff>150395</xdr:rowOff>
    </xdr:from>
    <xdr:to>
      <xdr:col>38</xdr:col>
      <xdr:colOff>320841</xdr:colOff>
      <xdr:row>15</xdr:row>
      <xdr:rowOff>20053</xdr:rowOff>
    </xdr:to>
    <xdr:grpSp>
      <xdr:nvGrpSpPr>
        <xdr:cNvPr id="69" name="Group 68">
          <a:extLst>
            <a:ext uri="{FF2B5EF4-FFF2-40B4-BE49-F238E27FC236}">
              <a16:creationId xmlns:a16="http://schemas.microsoft.com/office/drawing/2014/main" id="{BE4142CF-1C99-4DB1-AF0C-A003ACC453C9}"/>
            </a:ext>
          </a:extLst>
        </xdr:cNvPr>
        <xdr:cNvGrpSpPr/>
      </xdr:nvGrpSpPr>
      <xdr:grpSpPr>
        <a:xfrm>
          <a:off x="20283237" y="511342"/>
          <a:ext cx="3278604" cy="2215816"/>
          <a:chOff x="7369340" y="501316"/>
          <a:chExt cx="2636923" cy="2215816"/>
        </a:xfrm>
      </xdr:grpSpPr>
      <xdr:sp macro="" textlink="">
        <xdr:nvSpPr>
          <xdr:cNvPr id="70" name="Rectangle: Rounded Corners 69">
            <a:extLst>
              <a:ext uri="{FF2B5EF4-FFF2-40B4-BE49-F238E27FC236}">
                <a16:creationId xmlns:a16="http://schemas.microsoft.com/office/drawing/2014/main" id="{D6AA7486-2FE4-4415-9A3E-76EEC021613E}"/>
              </a:ext>
            </a:extLst>
          </xdr:cNvPr>
          <xdr:cNvSpPr/>
        </xdr:nvSpPr>
        <xdr:spPr>
          <a:xfrm>
            <a:off x="7379367" y="501316"/>
            <a:ext cx="2616869" cy="571500"/>
          </a:xfrm>
          <a:prstGeom prst="roundRect">
            <a:avLst/>
          </a:prstGeom>
          <a:gradFill>
            <a:gsLst>
              <a:gs pos="0">
                <a:schemeClr val="tx1">
                  <a:lumMod val="85000"/>
                  <a:lumOff val="15000"/>
                  <a:alpha val="80000"/>
                </a:schemeClr>
              </a:gs>
              <a:gs pos="100000">
                <a:schemeClr val="bg2">
                  <a:lumMod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0"/>
              <a:t>TOP</a:t>
            </a:r>
            <a:r>
              <a:rPr lang="en-IN" sz="2400" b="0" baseline="0"/>
              <a:t> PERFORMING YEAR</a:t>
            </a:r>
            <a:endParaRPr lang="en-IN" sz="2400" b="0"/>
          </a:p>
        </xdr:txBody>
      </xdr:sp>
      <xdr:sp macro="" textlink="">
        <xdr:nvSpPr>
          <xdr:cNvPr id="71" name="Rectangle: Rounded Corners 70">
            <a:extLst>
              <a:ext uri="{FF2B5EF4-FFF2-40B4-BE49-F238E27FC236}">
                <a16:creationId xmlns:a16="http://schemas.microsoft.com/office/drawing/2014/main" id="{B7FA8BBD-04A5-4EFA-A9E4-F246B7E005D8}"/>
              </a:ext>
            </a:extLst>
          </xdr:cNvPr>
          <xdr:cNvSpPr/>
        </xdr:nvSpPr>
        <xdr:spPr>
          <a:xfrm>
            <a:off x="7369340" y="1072814"/>
            <a:ext cx="2636923" cy="1644318"/>
          </a:xfrm>
          <a:prstGeom prst="roundRect">
            <a:avLst/>
          </a:prstGeom>
          <a:gradFill>
            <a:gsLst>
              <a:gs pos="0">
                <a:schemeClr val="tx1">
                  <a:lumMod val="85000"/>
                  <a:lumOff val="15000"/>
                  <a:alpha val="80000"/>
                </a:schemeClr>
              </a:gs>
              <a:gs pos="100000">
                <a:schemeClr val="bg2">
                  <a:lumMod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2" name="Rectangle: Rounded Corners 71">
            <a:extLst>
              <a:ext uri="{FF2B5EF4-FFF2-40B4-BE49-F238E27FC236}">
                <a16:creationId xmlns:a16="http://schemas.microsoft.com/office/drawing/2014/main" id="{17055344-621E-4606-ADE4-9A592CD167E9}"/>
              </a:ext>
            </a:extLst>
          </xdr:cNvPr>
          <xdr:cNvSpPr/>
        </xdr:nvSpPr>
        <xdr:spPr>
          <a:xfrm>
            <a:off x="7479631" y="1082842"/>
            <a:ext cx="2396289" cy="230603"/>
          </a:xfrm>
          <a:prstGeom prst="roundRect">
            <a:avLst/>
          </a:prstGeom>
          <a:gradFill>
            <a:gsLst>
              <a:gs pos="0">
                <a:schemeClr val="tx1">
                  <a:lumMod val="85000"/>
                  <a:lumOff val="15000"/>
                  <a:alpha val="80000"/>
                </a:schemeClr>
              </a:gs>
              <a:gs pos="100000">
                <a:schemeClr val="bg2">
                  <a:lumMod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YEAR</a:t>
            </a:r>
            <a:r>
              <a:rPr lang="en-US" sz="1800" baseline="0"/>
              <a:t> _2004</a:t>
            </a:r>
            <a:endParaRPr lang="en-US" sz="1800"/>
          </a:p>
        </xdr:txBody>
      </xdr:sp>
      <xdr:sp macro="" textlink="">
        <xdr:nvSpPr>
          <xdr:cNvPr id="73" name="Rectangle: Rounded Corners 72">
            <a:extLst>
              <a:ext uri="{FF2B5EF4-FFF2-40B4-BE49-F238E27FC236}">
                <a16:creationId xmlns:a16="http://schemas.microsoft.com/office/drawing/2014/main" id="{EAB3EC6A-FAFA-4766-9C84-D69AA46D1D06}"/>
              </a:ext>
            </a:extLst>
          </xdr:cNvPr>
          <xdr:cNvSpPr/>
        </xdr:nvSpPr>
        <xdr:spPr>
          <a:xfrm>
            <a:off x="7459578" y="1343528"/>
            <a:ext cx="2456447" cy="330868"/>
          </a:xfrm>
          <a:prstGeom prst="roundRect">
            <a:avLst/>
          </a:prstGeom>
          <a:gradFill>
            <a:gsLst>
              <a:gs pos="0">
                <a:schemeClr val="tx1">
                  <a:lumMod val="85000"/>
                  <a:lumOff val="15000"/>
                  <a:alpha val="80000"/>
                </a:schemeClr>
              </a:gs>
              <a:gs pos="100000">
                <a:schemeClr val="bg2">
                  <a:lumMod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$ 4724.16 K</a:t>
            </a:r>
          </a:p>
        </xdr:txBody>
      </xdr:sp>
      <xdr:sp macro="" textlink="">
        <xdr:nvSpPr>
          <xdr:cNvPr id="74" name="Rectangle: Rounded Corners 73">
            <a:extLst>
              <a:ext uri="{FF2B5EF4-FFF2-40B4-BE49-F238E27FC236}">
                <a16:creationId xmlns:a16="http://schemas.microsoft.com/office/drawing/2014/main" id="{83B7A21C-A07D-4CF3-A8F9-B7EDCA770C86}"/>
              </a:ext>
            </a:extLst>
          </xdr:cNvPr>
          <xdr:cNvSpPr/>
        </xdr:nvSpPr>
        <xdr:spPr>
          <a:xfrm>
            <a:off x="7419473" y="2296027"/>
            <a:ext cx="2506579" cy="360947"/>
          </a:xfrm>
          <a:prstGeom prst="roundRect">
            <a:avLst/>
          </a:prstGeom>
          <a:gradFill>
            <a:gsLst>
              <a:gs pos="0">
                <a:schemeClr val="tx1">
                  <a:lumMod val="85000"/>
                  <a:lumOff val="15000"/>
                  <a:alpha val="80000"/>
                </a:schemeClr>
              </a:gs>
              <a:gs pos="100000">
                <a:schemeClr val="bg2">
                  <a:lumMod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a:t>YOY</a:t>
            </a:r>
            <a:r>
              <a:rPr lang="en-IN" sz="2000" b="1" baseline="0"/>
              <a:t> GROWTH</a:t>
            </a:r>
            <a:endParaRPr lang="en-IN" sz="2000" b="1"/>
          </a:p>
        </xdr:txBody>
      </xdr:sp>
    </xdr:grpSp>
    <xdr:clientData/>
  </xdr:twoCellAnchor>
  <xdr:twoCellAnchor>
    <xdr:from>
      <xdr:col>17</xdr:col>
      <xdr:colOff>120315</xdr:colOff>
      <xdr:row>9</xdr:row>
      <xdr:rowOff>20053</xdr:rowOff>
    </xdr:from>
    <xdr:to>
      <xdr:col>22</xdr:col>
      <xdr:colOff>170447</xdr:colOff>
      <xdr:row>13</xdr:row>
      <xdr:rowOff>20053</xdr:rowOff>
    </xdr:to>
    <xdr:graphicFrame macro="">
      <xdr:nvGraphicFramePr>
        <xdr:cNvPr id="75" name="Chart 74">
          <a:extLst>
            <a:ext uri="{FF2B5EF4-FFF2-40B4-BE49-F238E27FC236}">
              <a16:creationId xmlns:a16="http://schemas.microsoft.com/office/drawing/2014/main" id="{DA9DFC28-434E-4EBA-BA87-F1906EF69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20</xdr:col>
          <xdr:colOff>521369</xdr:colOff>
          <xdr:row>13</xdr:row>
          <xdr:rowOff>20052</xdr:rowOff>
        </xdr:from>
        <xdr:to>
          <xdr:col>22</xdr:col>
          <xdr:colOff>199323</xdr:colOff>
          <xdr:row>14</xdr:row>
          <xdr:rowOff>141972</xdr:rowOff>
        </xdr:to>
        <xdr:pic>
          <xdr:nvPicPr>
            <xdr:cNvPr id="77" name="Picture 76">
              <a:extLst>
                <a:ext uri="{FF2B5EF4-FFF2-40B4-BE49-F238E27FC236}">
                  <a16:creationId xmlns:a16="http://schemas.microsoft.com/office/drawing/2014/main" id="{E4B972C0-9332-43AD-BB6B-D2CA1E9E5222}"/>
                </a:ext>
              </a:extLst>
            </xdr:cNvPr>
            <xdr:cNvPicPr>
              <a:picLocks noChangeAspect="1" noChangeArrowheads="1"/>
              <a:extLst>
                <a:ext uri="{84589F7E-364E-4C9E-8A38-B11213B215E9}">
                  <a14:cameraTool cellRange="KPI!$G$17" spid="_x0000_s11388"/>
                </a:ext>
              </a:extLst>
            </xdr:cNvPicPr>
          </xdr:nvPicPr>
          <xdr:blipFill>
            <a:blip xmlns:r="http://schemas.openxmlformats.org/officeDocument/2006/relationships" r:embed="rId4"/>
            <a:srcRect/>
            <a:stretch>
              <a:fillRect/>
            </a:stretch>
          </xdr:blipFill>
          <xdr:spPr bwMode="auto">
            <a:xfrm>
              <a:off x="12753474" y="2366210"/>
              <a:ext cx="901165" cy="30239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22</xdr:col>
      <xdr:colOff>360943</xdr:colOff>
      <xdr:row>9</xdr:row>
      <xdr:rowOff>60157</xdr:rowOff>
    </xdr:from>
    <xdr:to>
      <xdr:col>27</xdr:col>
      <xdr:colOff>330868</xdr:colOff>
      <xdr:row>12</xdr:row>
      <xdr:rowOff>120316</xdr:rowOff>
    </xdr:to>
    <xdr:graphicFrame macro="">
      <xdr:nvGraphicFramePr>
        <xdr:cNvPr id="78" name="Chart 77">
          <a:extLst>
            <a:ext uri="{FF2B5EF4-FFF2-40B4-BE49-F238E27FC236}">
              <a16:creationId xmlns:a16="http://schemas.microsoft.com/office/drawing/2014/main" id="{FE9E950E-7554-418A-BB15-1A20FF377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25</xdr:col>
          <xdr:colOff>601579</xdr:colOff>
          <xdr:row>13</xdr:row>
          <xdr:rowOff>50132</xdr:rowOff>
        </xdr:from>
        <xdr:to>
          <xdr:col>27</xdr:col>
          <xdr:colOff>279534</xdr:colOff>
          <xdr:row>14</xdr:row>
          <xdr:rowOff>172051</xdr:rowOff>
        </xdr:to>
        <xdr:pic>
          <xdr:nvPicPr>
            <xdr:cNvPr id="80" name="Picture 79">
              <a:extLst>
                <a:ext uri="{FF2B5EF4-FFF2-40B4-BE49-F238E27FC236}">
                  <a16:creationId xmlns:a16="http://schemas.microsoft.com/office/drawing/2014/main" id="{75BCD1FB-4179-45CB-A7F3-23B976A203FC}"/>
                </a:ext>
              </a:extLst>
            </xdr:cNvPr>
            <xdr:cNvPicPr>
              <a:picLocks noChangeAspect="1" noChangeArrowheads="1"/>
              <a:extLst>
                <a:ext uri="{84589F7E-364E-4C9E-8A38-B11213B215E9}">
                  <a14:cameraTool cellRange="KPI!$M$16" spid="_x0000_s11389"/>
                </a:ext>
              </a:extLst>
            </xdr:cNvPicPr>
          </xdr:nvPicPr>
          <xdr:blipFill>
            <a:blip xmlns:r="http://schemas.openxmlformats.org/officeDocument/2006/relationships" r:embed="rId6"/>
            <a:srcRect/>
            <a:stretch>
              <a:fillRect/>
            </a:stretch>
          </xdr:blipFill>
          <xdr:spPr bwMode="auto">
            <a:xfrm>
              <a:off x="15891711" y="2396290"/>
              <a:ext cx="901165" cy="30239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27</xdr:col>
      <xdr:colOff>491290</xdr:colOff>
      <xdr:row>8</xdr:row>
      <xdr:rowOff>150396</xdr:rowOff>
    </xdr:from>
    <xdr:to>
      <xdr:col>32</xdr:col>
      <xdr:colOff>481264</xdr:colOff>
      <xdr:row>12</xdr:row>
      <xdr:rowOff>110290</xdr:rowOff>
    </xdr:to>
    <xdr:graphicFrame macro="">
      <xdr:nvGraphicFramePr>
        <xdr:cNvPr id="81" name="Chart 80">
          <a:extLst>
            <a:ext uri="{FF2B5EF4-FFF2-40B4-BE49-F238E27FC236}">
              <a16:creationId xmlns:a16="http://schemas.microsoft.com/office/drawing/2014/main" id="{0CFED671-54A6-49B7-A317-B5FD04A10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oneCell">
        <xdr:from>
          <xdr:col>31</xdr:col>
          <xdr:colOff>373739</xdr:colOff>
          <xdr:row>13</xdr:row>
          <xdr:rowOff>20052</xdr:rowOff>
        </xdr:from>
        <xdr:to>
          <xdr:col>32</xdr:col>
          <xdr:colOff>459606</xdr:colOff>
          <xdr:row>14</xdr:row>
          <xdr:rowOff>141972</xdr:rowOff>
        </xdr:to>
        <xdr:pic>
          <xdr:nvPicPr>
            <xdr:cNvPr id="82" name="Picture 81">
              <a:extLst>
                <a:ext uri="{FF2B5EF4-FFF2-40B4-BE49-F238E27FC236}">
                  <a16:creationId xmlns:a16="http://schemas.microsoft.com/office/drawing/2014/main" id="{D0619855-73BD-4AF5-B291-1EC364F6DDD7}"/>
                </a:ext>
              </a:extLst>
            </xdr:cNvPr>
            <xdr:cNvPicPr>
              <a:picLocks noChangeAspect="1" noChangeArrowheads="1"/>
              <a:extLst>
                <a:ext uri="{84589F7E-364E-4C9E-8A38-B11213B215E9}">
                  <a14:cameraTool cellRange="KPI!$T$17" spid="_x0000_s11390"/>
                </a:ext>
              </a:extLst>
            </xdr:cNvPicPr>
          </xdr:nvPicPr>
          <xdr:blipFill>
            <a:blip xmlns:r="http://schemas.openxmlformats.org/officeDocument/2006/relationships" r:embed="rId8"/>
            <a:srcRect/>
            <a:stretch>
              <a:fillRect/>
            </a:stretch>
          </xdr:blipFill>
          <xdr:spPr bwMode="auto">
            <a:xfrm>
              <a:off x="19333502" y="2366210"/>
              <a:ext cx="697472" cy="30239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33</xdr:col>
      <xdr:colOff>210554</xdr:colOff>
      <xdr:row>8</xdr:row>
      <xdr:rowOff>150395</xdr:rowOff>
    </xdr:from>
    <xdr:to>
      <xdr:col>38</xdr:col>
      <xdr:colOff>170448</xdr:colOff>
      <xdr:row>12</xdr:row>
      <xdr:rowOff>90237</xdr:rowOff>
    </xdr:to>
    <xdr:graphicFrame macro="">
      <xdr:nvGraphicFramePr>
        <xdr:cNvPr id="83" name="Chart 82">
          <a:extLst>
            <a:ext uri="{FF2B5EF4-FFF2-40B4-BE49-F238E27FC236}">
              <a16:creationId xmlns:a16="http://schemas.microsoft.com/office/drawing/2014/main" id="{1D0D3477-6933-4A05-AA6A-BFCC1DB10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mc:AlternateContent xmlns:mc="http://schemas.openxmlformats.org/markup-compatibility/2006">
    <mc:Choice xmlns:a14="http://schemas.microsoft.com/office/drawing/2010/main" Requires="a14">
      <xdr:twoCellAnchor editAs="oneCell">
        <xdr:from>
          <xdr:col>37</xdr:col>
          <xdr:colOff>0</xdr:colOff>
          <xdr:row>12</xdr:row>
          <xdr:rowOff>180473</xdr:rowOff>
        </xdr:from>
        <xdr:to>
          <xdr:col>38</xdr:col>
          <xdr:colOff>158015</xdr:colOff>
          <xdr:row>14</xdr:row>
          <xdr:rowOff>116705</xdr:rowOff>
        </xdr:to>
        <xdr:pic>
          <xdr:nvPicPr>
            <xdr:cNvPr id="85" name="Picture 84">
              <a:extLst>
                <a:ext uri="{FF2B5EF4-FFF2-40B4-BE49-F238E27FC236}">
                  <a16:creationId xmlns:a16="http://schemas.microsoft.com/office/drawing/2014/main" id="{A45EC4BB-4B93-4EFB-BA44-74D6A558C719}"/>
                </a:ext>
              </a:extLst>
            </xdr:cNvPr>
            <xdr:cNvPicPr>
              <a:picLocks noChangeAspect="1" noChangeArrowheads="1"/>
              <a:extLst>
                <a:ext uri="{84589F7E-364E-4C9E-8A38-B11213B215E9}">
                  <a14:cameraTool cellRange="' Top 10 Country '!$P$15" spid="_x0000_s11391"/>
                </a:ext>
              </a:extLst>
            </xdr:cNvPicPr>
          </xdr:nvPicPr>
          <xdr:blipFill>
            <a:blip xmlns:r="http://schemas.openxmlformats.org/officeDocument/2006/relationships" r:embed="rId10"/>
            <a:srcRect/>
            <a:stretch>
              <a:fillRect/>
            </a:stretch>
          </xdr:blipFill>
          <xdr:spPr bwMode="auto">
            <a:xfrm>
              <a:off x="22629395" y="2346157"/>
              <a:ext cx="769620" cy="2971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12</xdr:col>
      <xdr:colOff>100264</xdr:colOff>
      <xdr:row>15</xdr:row>
      <xdr:rowOff>100263</xdr:rowOff>
    </xdr:from>
    <xdr:to>
      <xdr:col>20</xdr:col>
      <xdr:colOff>521369</xdr:colOff>
      <xdr:row>31</xdr:row>
      <xdr:rowOff>80210</xdr:rowOff>
    </xdr:to>
    <xdr:sp macro="" textlink="">
      <xdr:nvSpPr>
        <xdr:cNvPr id="89" name="Rectangle: Rounded Corners 88">
          <a:extLst>
            <a:ext uri="{FF2B5EF4-FFF2-40B4-BE49-F238E27FC236}">
              <a16:creationId xmlns:a16="http://schemas.microsoft.com/office/drawing/2014/main" id="{D0648A7D-6370-4DFB-B930-4D75A81FFD81}"/>
            </a:ext>
          </a:extLst>
        </xdr:cNvPr>
        <xdr:cNvSpPr/>
      </xdr:nvSpPr>
      <xdr:spPr>
        <a:xfrm>
          <a:off x="7439527" y="2807368"/>
          <a:ext cx="5313947" cy="2867526"/>
        </a:xfrm>
        <a:prstGeom prst="roundRect">
          <a:avLst>
            <a:gd name="adj" fmla="val 3380"/>
          </a:avLst>
        </a:prstGeom>
        <a:gradFill>
          <a:gsLst>
            <a:gs pos="0">
              <a:schemeClr val="tx1">
                <a:lumMod val="85000"/>
                <a:lumOff val="15000"/>
                <a:alpha val="80000"/>
              </a:schemeClr>
            </a:gs>
            <a:gs pos="100000">
              <a:schemeClr val="bg2">
                <a:lumMod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160421</xdr:colOff>
      <xdr:row>15</xdr:row>
      <xdr:rowOff>120316</xdr:rowOff>
    </xdr:from>
    <xdr:to>
      <xdr:col>20</xdr:col>
      <xdr:colOff>290764</xdr:colOff>
      <xdr:row>17</xdr:row>
      <xdr:rowOff>90236</xdr:rowOff>
    </xdr:to>
    <xdr:sp macro="" textlink="">
      <xdr:nvSpPr>
        <xdr:cNvPr id="91" name="Rectangle: Rounded Corners 90">
          <a:extLst>
            <a:ext uri="{FF2B5EF4-FFF2-40B4-BE49-F238E27FC236}">
              <a16:creationId xmlns:a16="http://schemas.microsoft.com/office/drawing/2014/main" id="{15E47EA4-FAC1-418F-A41C-77CFB0126A09}"/>
            </a:ext>
          </a:extLst>
        </xdr:cNvPr>
        <xdr:cNvSpPr/>
      </xdr:nvSpPr>
      <xdr:spPr>
        <a:xfrm>
          <a:off x="7499684" y="2827421"/>
          <a:ext cx="5023185" cy="330868"/>
        </a:xfrm>
        <a:prstGeom prst="roundRect">
          <a:avLst/>
        </a:prstGeom>
        <a:gradFill>
          <a:gsLst>
            <a:gs pos="0">
              <a:schemeClr val="tx1">
                <a:lumMod val="85000"/>
                <a:lumOff val="15000"/>
                <a:alpha val="80000"/>
              </a:schemeClr>
            </a:gs>
            <a:gs pos="100000">
              <a:schemeClr val="bg2">
                <a:lumMod val="7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MONTH WISE PRODUCT SALES</a:t>
          </a:r>
        </a:p>
      </xdr:txBody>
    </xdr:sp>
    <xdr:clientData/>
  </xdr:twoCellAnchor>
  <xdr:twoCellAnchor>
    <xdr:from>
      <xdr:col>12</xdr:col>
      <xdr:colOff>180473</xdr:colOff>
      <xdr:row>17</xdr:row>
      <xdr:rowOff>120315</xdr:rowOff>
    </xdr:from>
    <xdr:to>
      <xdr:col>20</xdr:col>
      <xdr:colOff>481263</xdr:colOff>
      <xdr:row>31</xdr:row>
      <xdr:rowOff>50131</xdr:rowOff>
    </xdr:to>
    <xdr:graphicFrame macro="">
      <xdr:nvGraphicFramePr>
        <xdr:cNvPr id="92" name="Chart 91">
          <a:extLst>
            <a:ext uri="{FF2B5EF4-FFF2-40B4-BE49-F238E27FC236}">
              <a16:creationId xmlns:a16="http://schemas.microsoft.com/office/drawing/2014/main" id="{EA044852-A6F5-4921-B87F-D535F7AA4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70185</xdr:colOff>
      <xdr:row>15</xdr:row>
      <xdr:rowOff>100263</xdr:rowOff>
    </xdr:from>
    <xdr:to>
      <xdr:col>31</xdr:col>
      <xdr:colOff>320843</xdr:colOff>
      <xdr:row>33</xdr:row>
      <xdr:rowOff>90236</xdr:rowOff>
    </xdr:to>
    <xdr:sp macro="" textlink="">
      <xdr:nvSpPr>
        <xdr:cNvPr id="93" name="Rectangle: Rounded Corners 92">
          <a:extLst>
            <a:ext uri="{FF2B5EF4-FFF2-40B4-BE49-F238E27FC236}">
              <a16:creationId xmlns:a16="http://schemas.microsoft.com/office/drawing/2014/main" id="{B87C09CA-AE9F-4B66-AD7B-5B0F295D3530}"/>
            </a:ext>
          </a:extLst>
        </xdr:cNvPr>
        <xdr:cNvSpPr/>
      </xdr:nvSpPr>
      <xdr:spPr>
        <a:xfrm>
          <a:off x="12913896" y="2807368"/>
          <a:ext cx="6366710" cy="3238500"/>
        </a:xfrm>
        <a:prstGeom prst="roundRect">
          <a:avLst>
            <a:gd name="adj" fmla="val 2116"/>
          </a:avLst>
        </a:prstGeom>
        <a:gradFill>
          <a:gsLst>
            <a:gs pos="0">
              <a:schemeClr val="tx1">
                <a:lumMod val="85000"/>
                <a:lumOff val="15000"/>
                <a:alpha val="80000"/>
              </a:schemeClr>
            </a:gs>
            <a:gs pos="100000">
              <a:schemeClr val="bg2">
                <a:lumMod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110289</xdr:colOff>
      <xdr:row>15</xdr:row>
      <xdr:rowOff>90238</xdr:rowOff>
    </xdr:from>
    <xdr:to>
      <xdr:col>31</xdr:col>
      <xdr:colOff>250659</xdr:colOff>
      <xdr:row>17</xdr:row>
      <xdr:rowOff>90237</xdr:rowOff>
    </xdr:to>
    <xdr:sp macro="" textlink="">
      <xdr:nvSpPr>
        <xdr:cNvPr id="94" name="Rectangle: Rounded Corners 93">
          <a:extLst>
            <a:ext uri="{FF2B5EF4-FFF2-40B4-BE49-F238E27FC236}">
              <a16:creationId xmlns:a16="http://schemas.microsoft.com/office/drawing/2014/main" id="{D4F56692-2E65-443A-A78A-6FEBF3891352}"/>
            </a:ext>
          </a:extLst>
        </xdr:cNvPr>
        <xdr:cNvSpPr/>
      </xdr:nvSpPr>
      <xdr:spPr>
        <a:xfrm>
          <a:off x="12954000" y="2797343"/>
          <a:ext cx="6256422" cy="360947"/>
        </a:xfrm>
        <a:prstGeom prst="roundRect">
          <a:avLst/>
        </a:prstGeom>
        <a:gradFill>
          <a:gsLst>
            <a:gs pos="0">
              <a:schemeClr val="tx1">
                <a:lumMod val="85000"/>
                <a:lumOff val="15000"/>
                <a:alpha val="80000"/>
              </a:schemeClr>
            </a:gs>
            <a:gs pos="100000">
              <a:schemeClr val="bg2">
                <a:lumMod val="7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TOP</a:t>
          </a:r>
          <a:r>
            <a:rPr lang="en-IN" sz="2400" b="1" baseline="0"/>
            <a:t> 10 CUSTOMER</a:t>
          </a:r>
          <a:endParaRPr lang="en-IN" sz="2400" b="1"/>
        </a:p>
      </xdr:txBody>
    </xdr:sp>
    <xdr:clientData/>
  </xdr:twoCellAnchor>
  <xdr:twoCellAnchor>
    <xdr:from>
      <xdr:col>21</xdr:col>
      <xdr:colOff>0</xdr:colOff>
      <xdr:row>17</xdr:row>
      <xdr:rowOff>120315</xdr:rowOff>
    </xdr:from>
    <xdr:to>
      <xdr:col>31</xdr:col>
      <xdr:colOff>120316</xdr:colOff>
      <xdr:row>33</xdr:row>
      <xdr:rowOff>150393</xdr:rowOff>
    </xdr:to>
    <xdr:graphicFrame macro="">
      <xdr:nvGraphicFramePr>
        <xdr:cNvPr id="95" name="Chart 94">
          <a:extLst>
            <a:ext uri="{FF2B5EF4-FFF2-40B4-BE49-F238E27FC236}">
              <a16:creationId xmlns:a16="http://schemas.microsoft.com/office/drawing/2014/main" id="{06AEDA9F-65EA-4DEC-9369-DE131CB43F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70184</xdr:colOff>
      <xdr:row>31</xdr:row>
      <xdr:rowOff>110290</xdr:rowOff>
    </xdr:from>
    <xdr:to>
      <xdr:col>20</xdr:col>
      <xdr:colOff>531395</xdr:colOff>
      <xdr:row>50</xdr:row>
      <xdr:rowOff>160422</xdr:rowOff>
    </xdr:to>
    <xdr:sp macro="" textlink="">
      <xdr:nvSpPr>
        <xdr:cNvPr id="96" name="Rectangle: Rounded Corners 95">
          <a:extLst>
            <a:ext uri="{FF2B5EF4-FFF2-40B4-BE49-F238E27FC236}">
              <a16:creationId xmlns:a16="http://schemas.microsoft.com/office/drawing/2014/main" id="{F3456140-FC80-4955-9744-9B88EFB72764}"/>
            </a:ext>
          </a:extLst>
        </xdr:cNvPr>
        <xdr:cNvSpPr/>
      </xdr:nvSpPr>
      <xdr:spPr>
        <a:xfrm>
          <a:off x="7409447" y="5704974"/>
          <a:ext cx="5354053" cy="3479132"/>
        </a:xfrm>
        <a:prstGeom prst="roundRect">
          <a:avLst>
            <a:gd name="adj" fmla="val 3987"/>
          </a:avLst>
        </a:prstGeom>
        <a:gradFill>
          <a:gsLst>
            <a:gs pos="0">
              <a:schemeClr val="tx1">
                <a:lumMod val="85000"/>
                <a:lumOff val="15000"/>
                <a:alpha val="80000"/>
              </a:schemeClr>
            </a:gs>
            <a:gs pos="100000">
              <a:schemeClr val="bg2">
                <a:lumMod val="2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110289</xdr:colOff>
      <xdr:row>32</xdr:row>
      <xdr:rowOff>10026</xdr:rowOff>
    </xdr:from>
    <xdr:to>
      <xdr:col>20</xdr:col>
      <xdr:colOff>501316</xdr:colOff>
      <xdr:row>34</xdr:row>
      <xdr:rowOff>10027</xdr:rowOff>
    </xdr:to>
    <xdr:sp macro="" textlink="">
      <xdr:nvSpPr>
        <xdr:cNvPr id="97" name="Rectangle: Rounded Corners 96">
          <a:extLst>
            <a:ext uri="{FF2B5EF4-FFF2-40B4-BE49-F238E27FC236}">
              <a16:creationId xmlns:a16="http://schemas.microsoft.com/office/drawing/2014/main" id="{B97C38D8-114A-4153-93A8-962FB5DEF5A8}"/>
            </a:ext>
          </a:extLst>
        </xdr:cNvPr>
        <xdr:cNvSpPr/>
      </xdr:nvSpPr>
      <xdr:spPr>
        <a:xfrm>
          <a:off x="7449552" y="5785184"/>
          <a:ext cx="5283869" cy="360948"/>
        </a:xfrm>
        <a:prstGeom prst="roundRect">
          <a:avLst/>
        </a:prstGeom>
        <a:gradFill>
          <a:gsLst>
            <a:gs pos="0">
              <a:schemeClr val="tx1">
                <a:lumMod val="85000"/>
                <a:lumOff val="15000"/>
                <a:alpha val="80000"/>
              </a:schemeClr>
            </a:gs>
            <a:gs pos="100000">
              <a:schemeClr val="bg2">
                <a:lumMod val="7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TERRITORY WISE DEALSIZE</a:t>
          </a:r>
          <a:r>
            <a:rPr lang="en-IN" sz="1600" b="1" baseline="0"/>
            <a:t>, SALES AND ORDER STATUS</a:t>
          </a:r>
          <a:endParaRPr lang="en-IN" sz="1600" b="1"/>
        </a:p>
      </xdr:txBody>
    </xdr:sp>
    <xdr:clientData/>
  </xdr:twoCellAnchor>
  <xdr:twoCellAnchor>
    <xdr:from>
      <xdr:col>12</xdr:col>
      <xdr:colOff>130343</xdr:colOff>
      <xdr:row>34</xdr:row>
      <xdr:rowOff>40105</xdr:rowOff>
    </xdr:from>
    <xdr:to>
      <xdr:col>20</xdr:col>
      <xdr:colOff>491290</xdr:colOff>
      <xdr:row>50</xdr:row>
      <xdr:rowOff>140369</xdr:rowOff>
    </xdr:to>
    <xdr:graphicFrame macro="">
      <xdr:nvGraphicFramePr>
        <xdr:cNvPr id="98" name="Chart 97">
          <a:extLst>
            <a:ext uri="{FF2B5EF4-FFF2-40B4-BE49-F238E27FC236}">
              <a16:creationId xmlns:a16="http://schemas.microsoft.com/office/drawing/2014/main" id="{7707DC07-DCA9-4F7B-BC6C-6ECE07532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561474</xdr:colOff>
      <xdr:row>33</xdr:row>
      <xdr:rowOff>130342</xdr:rowOff>
    </xdr:from>
    <xdr:to>
      <xdr:col>32</xdr:col>
      <xdr:colOff>20053</xdr:colOff>
      <xdr:row>50</xdr:row>
      <xdr:rowOff>150395</xdr:rowOff>
    </xdr:to>
    <xdr:sp macro="" textlink="">
      <xdr:nvSpPr>
        <xdr:cNvPr id="99" name="Rectangle: Rounded Corners 98">
          <a:extLst>
            <a:ext uri="{FF2B5EF4-FFF2-40B4-BE49-F238E27FC236}">
              <a16:creationId xmlns:a16="http://schemas.microsoft.com/office/drawing/2014/main" id="{A74A11AE-D57A-46A7-BD11-5703CB7597D9}"/>
            </a:ext>
          </a:extLst>
        </xdr:cNvPr>
        <xdr:cNvSpPr/>
      </xdr:nvSpPr>
      <xdr:spPr>
        <a:xfrm>
          <a:off x="12793579" y="6085974"/>
          <a:ext cx="6797842" cy="3088105"/>
        </a:xfrm>
        <a:prstGeom prst="roundRect">
          <a:avLst>
            <a:gd name="adj" fmla="val 4000"/>
          </a:avLst>
        </a:prstGeom>
        <a:gradFill>
          <a:gsLst>
            <a:gs pos="0">
              <a:schemeClr val="tx1">
                <a:lumMod val="85000"/>
                <a:lumOff val="15000"/>
                <a:alpha val="80000"/>
              </a:schemeClr>
            </a:gs>
            <a:gs pos="100000">
              <a:schemeClr val="bg2">
                <a:lumMod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30078</xdr:colOff>
      <xdr:row>33</xdr:row>
      <xdr:rowOff>100263</xdr:rowOff>
    </xdr:from>
    <xdr:to>
      <xdr:col>31</xdr:col>
      <xdr:colOff>571500</xdr:colOff>
      <xdr:row>35</xdr:row>
      <xdr:rowOff>168234</xdr:rowOff>
    </xdr:to>
    <xdr:sp macro="" textlink="">
      <xdr:nvSpPr>
        <xdr:cNvPr id="100" name="Rectangle: Rounded Corners 99">
          <a:extLst>
            <a:ext uri="{FF2B5EF4-FFF2-40B4-BE49-F238E27FC236}">
              <a16:creationId xmlns:a16="http://schemas.microsoft.com/office/drawing/2014/main" id="{F11B106D-A92B-4376-A6DD-E0D569869626}"/>
            </a:ext>
          </a:extLst>
        </xdr:cNvPr>
        <xdr:cNvSpPr/>
      </xdr:nvSpPr>
      <xdr:spPr>
        <a:xfrm>
          <a:off x="12914805" y="5978549"/>
          <a:ext cx="6677007" cy="424230"/>
        </a:xfrm>
        <a:prstGeom prst="roundRect">
          <a:avLst/>
        </a:prstGeom>
        <a:gradFill>
          <a:gsLst>
            <a:gs pos="0">
              <a:schemeClr val="tx1">
                <a:lumMod val="85000"/>
                <a:lumOff val="15000"/>
                <a:alpha val="80000"/>
              </a:schemeClr>
            </a:gs>
            <a:gs pos="100000">
              <a:schemeClr val="bg2">
                <a:lumMod val="7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TOP 10 PRODUCTS WITH HIGHEST SALES</a:t>
          </a:r>
        </a:p>
      </xdr:txBody>
    </xdr:sp>
    <xdr:clientData/>
  </xdr:twoCellAnchor>
  <xdr:twoCellAnchor>
    <xdr:from>
      <xdr:col>21</xdr:col>
      <xdr:colOff>20051</xdr:colOff>
      <xdr:row>35</xdr:row>
      <xdr:rowOff>60158</xdr:rowOff>
    </xdr:from>
    <xdr:to>
      <xdr:col>31</xdr:col>
      <xdr:colOff>541420</xdr:colOff>
      <xdr:row>50</xdr:row>
      <xdr:rowOff>120316</xdr:rowOff>
    </xdr:to>
    <xdr:graphicFrame macro="">
      <xdr:nvGraphicFramePr>
        <xdr:cNvPr id="101" name="Chart 100">
          <a:extLst>
            <a:ext uri="{FF2B5EF4-FFF2-40B4-BE49-F238E27FC236}">
              <a16:creationId xmlns:a16="http://schemas.microsoft.com/office/drawing/2014/main" id="{01CB7692-61EE-440D-84B5-77331BD4A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31</xdr:col>
      <xdr:colOff>431132</xdr:colOff>
      <xdr:row>15</xdr:row>
      <xdr:rowOff>90237</xdr:rowOff>
    </xdr:from>
    <xdr:to>
      <xdr:col>38</xdr:col>
      <xdr:colOff>350921</xdr:colOff>
      <xdr:row>33</xdr:row>
      <xdr:rowOff>80211</xdr:rowOff>
    </xdr:to>
    <xdr:sp macro="" textlink="">
      <xdr:nvSpPr>
        <xdr:cNvPr id="102" name="Rectangle: Rounded Corners 101">
          <a:extLst>
            <a:ext uri="{FF2B5EF4-FFF2-40B4-BE49-F238E27FC236}">
              <a16:creationId xmlns:a16="http://schemas.microsoft.com/office/drawing/2014/main" id="{95DF2D11-FD0E-4C8D-88EA-70D1DA79AA66}"/>
            </a:ext>
          </a:extLst>
        </xdr:cNvPr>
        <xdr:cNvSpPr/>
      </xdr:nvSpPr>
      <xdr:spPr>
        <a:xfrm>
          <a:off x="19390895" y="2797342"/>
          <a:ext cx="4201026" cy="3238501"/>
        </a:xfrm>
        <a:prstGeom prst="roundRect">
          <a:avLst>
            <a:gd name="adj" fmla="val 2290"/>
          </a:avLst>
        </a:prstGeom>
        <a:gradFill>
          <a:gsLst>
            <a:gs pos="0">
              <a:schemeClr val="tx1">
                <a:lumMod val="85000"/>
                <a:lumOff val="15000"/>
                <a:alpha val="80000"/>
              </a:schemeClr>
            </a:gs>
            <a:gs pos="100000">
              <a:schemeClr val="bg2">
                <a:lumMod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481264</xdr:colOff>
      <xdr:row>15</xdr:row>
      <xdr:rowOff>90237</xdr:rowOff>
    </xdr:from>
    <xdr:to>
      <xdr:col>38</xdr:col>
      <xdr:colOff>270711</xdr:colOff>
      <xdr:row>17</xdr:row>
      <xdr:rowOff>70184</xdr:rowOff>
    </xdr:to>
    <xdr:sp macro="" textlink="">
      <xdr:nvSpPr>
        <xdr:cNvPr id="103" name="Rectangle: Rounded Corners 102">
          <a:extLst>
            <a:ext uri="{FF2B5EF4-FFF2-40B4-BE49-F238E27FC236}">
              <a16:creationId xmlns:a16="http://schemas.microsoft.com/office/drawing/2014/main" id="{7EEF842D-F8FC-4D35-98FA-D0FB576D6185}"/>
            </a:ext>
          </a:extLst>
        </xdr:cNvPr>
        <xdr:cNvSpPr/>
      </xdr:nvSpPr>
      <xdr:spPr>
        <a:xfrm>
          <a:off x="19441027" y="2797342"/>
          <a:ext cx="4070684" cy="340895"/>
        </a:xfrm>
        <a:prstGeom prst="roundRect">
          <a:avLst/>
        </a:prstGeom>
        <a:gradFill>
          <a:gsLst>
            <a:gs pos="0">
              <a:schemeClr val="tx1">
                <a:lumMod val="85000"/>
                <a:lumOff val="15000"/>
                <a:alpha val="80000"/>
              </a:schemeClr>
            </a:gs>
            <a:gs pos="100000">
              <a:schemeClr val="bg2">
                <a:lumMod val="7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PRODUCT WISE SALES SHARE %</a:t>
          </a:r>
        </a:p>
      </xdr:txBody>
    </xdr:sp>
    <xdr:clientData/>
  </xdr:twoCellAnchor>
  <xdr:twoCellAnchor>
    <xdr:from>
      <xdr:col>31</xdr:col>
      <xdr:colOff>330869</xdr:colOff>
      <xdr:row>17</xdr:row>
      <xdr:rowOff>120315</xdr:rowOff>
    </xdr:from>
    <xdr:to>
      <xdr:col>38</xdr:col>
      <xdr:colOff>90237</xdr:colOff>
      <xdr:row>33</xdr:row>
      <xdr:rowOff>40105</xdr:rowOff>
    </xdr:to>
    <xdr:graphicFrame macro="">
      <xdr:nvGraphicFramePr>
        <xdr:cNvPr id="104" name="Chart 103">
          <a:extLst>
            <a:ext uri="{FF2B5EF4-FFF2-40B4-BE49-F238E27FC236}">
              <a16:creationId xmlns:a16="http://schemas.microsoft.com/office/drawing/2014/main" id="{1640F147-6869-42C1-B850-0F2122DD65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32</xdr:col>
      <xdr:colOff>29689</xdr:colOff>
      <xdr:row>33</xdr:row>
      <xdr:rowOff>118753</xdr:rowOff>
    </xdr:from>
    <xdr:to>
      <xdr:col>38</xdr:col>
      <xdr:colOff>385948</xdr:colOff>
      <xdr:row>50</xdr:row>
      <xdr:rowOff>108857</xdr:rowOff>
    </xdr:to>
    <xdr:sp macro="" textlink="">
      <xdr:nvSpPr>
        <xdr:cNvPr id="105" name="Rectangle: Rounded Corners 104">
          <a:extLst>
            <a:ext uri="{FF2B5EF4-FFF2-40B4-BE49-F238E27FC236}">
              <a16:creationId xmlns:a16="http://schemas.microsoft.com/office/drawing/2014/main" id="{BFBCC769-6B4B-4711-927C-1633D39F4926}"/>
            </a:ext>
          </a:extLst>
        </xdr:cNvPr>
        <xdr:cNvSpPr/>
      </xdr:nvSpPr>
      <xdr:spPr>
        <a:xfrm>
          <a:off x="19663559" y="5997039"/>
          <a:ext cx="4037610" cy="3018312"/>
        </a:xfrm>
        <a:prstGeom prst="roundRect">
          <a:avLst>
            <a:gd name="adj" fmla="val 3312"/>
          </a:avLst>
        </a:prstGeom>
        <a:gradFill>
          <a:gsLst>
            <a:gs pos="0">
              <a:schemeClr val="tx1">
                <a:lumMod val="85000"/>
                <a:lumOff val="15000"/>
                <a:alpha val="80000"/>
              </a:schemeClr>
            </a:gs>
            <a:gs pos="100000">
              <a:schemeClr val="bg2">
                <a:lumMod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32</xdr:col>
      <xdr:colOff>69273</xdr:colOff>
      <xdr:row>33</xdr:row>
      <xdr:rowOff>128649</xdr:rowOff>
    </xdr:from>
    <xdr:to>
      <xdr:col>38</xdr:col>
      <xdr:colOff>366156</xdr:colOff>
      <xdr:row>35</xdr:row>
      <xdr:rowOff>128650</xdr:rowOff>
    </xdr:to>
    <xdr:sp macro="" textlink="">
      <xdr:nvSpPr>
        <xdr:cNvPr id="106" name="Rectangle: Rounded Corners 105">
          <a:extLst>
            <a:ext uri="{FF2B5EF4-FFF2-40B4-BE49-F238E27FC236}">
              <a16:creationId xmlns:a16="http://schemas.microsoft.com/office/drawing/2014/main" id="{4C639E57-16AD-4454-999A-CEDCB5DF8566}"/>
            </a:ext>
          </a:extLst>
        </xdr:cNvPr>
        <xdr:cNvSpPr/>
      </xdr:nvSpPr>
      <xdr:spPr>
        <a:xfrm>
          <a:off x="19703143" y="6006935"/>
          <a:ext cx="3978234" cy="356260"/>
        </a:xfrm>
        <a:prstGeom prst="roundRect">
          <a:avLst/>
        </a:prstGeom>
        <a:gradFill>
          <a:gsLst>
            <a:gs pos="0">
              <a:schemeClr val="tx1">
                <a:lumMod val="85000"/>
                <a:lumOff val="15000"/>
                <a:alpha val="80000"/>
              </a:schemeClr>
            </a:gs>
            <a:gs pos="100000">
              <a:schemeClr val="bg2">
                <a:lumMod val="7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ORDER WISE TOP</a:t>
          </a:r>
          <a:r>
            <a:rPr lang="en-IN" sz="1800" b="1" baseline="0"/>
            <a:t> 5 SOLD PRODUCT</a:t>
          </a:r>
          <a:endParaRPr lang="en-IN" sz="1800" b="1"/>
        </a:p>
      </xdr:txBody>
    </xdr:sp>
    <xdr:clientData/>
  </xdr:twoCellAnchor>
  <xdr:twoCellAnchor>
    <xdr:from>
      <xdr:col>32</xdr:col>
      <xdr:colOff>69272</xdr:colOff>
      <xdr:row>35</xdr:row>
      <xdr:rowOff>148441</xdr:rowOff>
    </xdr:from>
    <xdr:to>
      <xdr:col>38</xdr:col>
      <xdr:colOff>336466</xdr:colOff>
      <xdr:row>50</xdr:row>
      <xdr:rowOff>69271</xdr:rowOff>
    </xdr:to>
    <xdr:graphicFrame macro="">
      <xdr:nvGraphicFramePr>
        <xdr:cNvPr id="107" name="Chart 106">
          <a:extLst>
            <a:ext uri="{FF2B5EF4-FFF2-40B4-BE49-F238E27FC236}">
              <a16:creationId xmlns:a16="http://schemas.microsoft.com/office/drawing/2014/main" id="{2FB23508-347E-469A-855B-29D2CADC8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38</xdr:col>
      <xdr:colOff>370975</xdr:colOff>
      <xdr:row>2</xdr:row>
      <xdr:rowOff>140369</xdr:rowOff>
    </xdr:from>
    <xdr:to>
      <xdr:col>42</xdr:col>
      <xdr:colOff>551448</xdr:colOff>
      <xdr:row>50</xdr:row>
      <xdr:rowOff>70184</xdr:rowOff>
    </xdr:to>
    <xdr:sp macro="" textlink="">
      <xdr:nvSpPr>
        <xdr:cNvPr id="11" name="Rectangle: Rounded Corners 10">
          <a:extLst>
            <a:ext uri="{FF2B5EF4-FFF2-40B4-BE49-F238E27FC236}">
              <a16:creationId xmlns:a16="http://schemas.microsoft.com/office/drawing/2014/main" id="{BD745805-99AF-41C1-B1B9-2D97E67CE873}"/>
            </a:ext>
          </a:extLst>
        </xdr:cNvPr>
        <xdr:cNvSpPr/>
      </xdr:nvSpPr>
      <xdr:spPr>
        <a:xfrm>
          <a:off x="23611975" y="501316"/>
          <a:ext cx="2626894" cy="8592552"/>
        </a:xfrm>
        <a:prstGeom prst="roundRect">
          <a:avLst>
            <a:gd name="adj" fmla="val 2714"/>
          </a:avLst>
        </a:prstGeom>
        <a:gradFill>
          <a:gsLst>
            <a:gs pos="0">
              <a:schemeClr val="tx1">
                <a:lumMod val="85000"/>
                <a:lumOff val="15000"/>
                <a:alpha val="80000"/>
              </a:schemeClr>
            </a:gs>
            <a:gs pos="100000">
              <a:schemeClr val="bg2">
                <a:lumMod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38</xdr:col>
      <xdr:colOff>391026</xdr:colOff>
      <xdr:row>3</xdr:row>
      <xdr:rowOff>0</xdr:rowOff>
    </xdr:from>
    <xdr:to>
      <xdr:col>42</xdr:col>
      <xdr:colOff>441159</xdr:colOff>
      <xdr:row>4</xdr:row>
      <xdr:rowOff>150395</xdr:rowOff>
    </xdr:to>
    <xdr:sp macro="" textlink="">
      <xdr:nvSpPr>
        <xdr:cNvPr id="12" name="Rectangle: Rounded Corners 11">
          <a:extLst>
            <a:ext uri="{FF2B5EF4-FFF2-40B4-BE49-F238E27FC236}">
              <a16:creationId xmlns:a16="http://schemas.microsoft.com/office/drawing/2014/main" id="{28019FD6-E62C-4493-9DB7-20BF4A314DDA}"/>
            </a:ext>
          </a:extLst>
        </xdr:cNvPr>
        <xdr:cNvSpPr/>
      </xdr:nvSpPr>
      <xdr:spPr>
        <a:xfrm>
          <a:off x="23632026" y="541421"/>
          <a:ext cx="2496554" cy="330869"/>
        </a:xfrm>
        <a:prstGeom prst="roundRect">
          <a:avLst/>
        </a:prstGeom>
        <a:gradFill>
          <a:gsLst>
            <a:gs pos="0">
              <a:schemeClr val="tx1">
                <a:lumMod val="85000"/>
                <a:lumOff val="15000"/>
                <a:alpha val="80000"/>
              </a:schemeClr>
            </a:gs>
            <a:gs pos="100000">
              <a:schemeClr val="bg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FILTERS</a:t>
          </a:r>
        </a:p>
      </xdr:txBody>
    </xdr:sp>
    <xdr:clientData/>
  </xdr:twoCellAnchor>
  <xdr:twoCellAnchor editAs="oneCell">
    <xdr:from>
      <xdr:col>38</xdr:col>
      <xdr:colOff>430731</xdr:colOff>
      <xdr:row>12</xdr:row>
      <xdr:rowOff>126332</xdr:rowOff>
    </xdr:from>
    <xdr:to>
      <xdr:col>42</xdr:col>
      <xdr:colOff>521368</xdr:colOff>
      <xdr:row>20</xdr:row>
      <xdr:rowOff>92242</xdr:rowOff>
    </xdr:to>
    <mc:AlternateContent xmlns:mc="http://schemas.openxmlformats.org/markup-compatibility/2006" xmlns:a14="http://schemas.microsoft.com/office/drawing/2010/main">
      <mc:Choice Requires="a14">
        <xdr:graphicFrame macro="">
          <xdr:nvGraphicFramePr>
            <xdr:cNvPr id="88" name="PRODUCTLINE 1">
              <a:extLst>
                <a:ext uri="{FF2B5EF4-FFF2-40B4-BE49-F238E27FC236}">
                  <a16:creationId xmlns:a16="http://schemas.microsoft.com/office/drawing/2014/main" id="{48AE6AB9-65B1-4F06-8414-ADDD9A7BD97E}"/>
                </a:ext>
              </a:extLst>
            </xdr:cNvPr>
            <xdr:cNvGraphicFramePr/>
          </xdr:nvGraphicFramePr>
          <xdr:xfrm>
            <a:off x="0" y="0"/>
            <a:ext cx="0" cy="0"/>
          </xdr:xfrm>
          <a:graphic>
            <a:graphicData uri="http://schemas.microsoft.com/office/drawing/2010/slicer">
              <sle:slicer xmlns:sle="http://schemas.microsoft.com/office/drawing/2010/slicer" name="PRODUCTLINE 1"/>
            </a:graphicData>
          </a:graphic>
        </xdr:graphicFrame>
      </mc:Choice>
      <mc:Fallback xmlns="">
        <xdr:sp macro="" textlink="">
          <xdr:nvSpPr>
            <xdr:cNvPr id="0" name=""/>
            <xdr:cNvSpPr>
              <a:spLocks noTextEdit="1"/>
            </xdr:cNvSpPr>
          </xdr:nvSpPr>
          <xdr:spPr>
            <a:xfrm>
              <a:off x="23671731" y="2292016"/>
              <a:ext cx="2537058"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391025</xdr:colOff>
      <xdr:row>27</xdr:row>
      <xdr:rowOff>8422</xdr:rowOff>
    </xdr:from>
    <xdr:to>
      <xdr:col>42</xdr:col>
      <xdr:colOff>521367</xdr:colOff>
      <xdr:row>34</xdr:row>
      <xdr:rowOff>80211</xdr:rowOff>
    </xdr:to>
    <mc:AlternateContent xmlns:mc="http://schemas.openxmlformats.org/markup-compatibility/2006" xmlns:a14="http://schemas.microsoft.com/office/drawing/2010/main">
      <mc:Choice Requires="a14">
        <xdr:graphicFrame macro="">
          <xdr:nvGraphicFramePr>
            <xdr:cNvPr id="90" name="CITY 1">
              <a:extLst>
                <a:ext uri="{FF2B5EF4-FFF2-40B4-BE49-F238E27FC236}">
                  <a16:creationId xmlns:a16="http://schemas.microsoft.com/office/drawing/2014/main" id="{5596A5FF-4B3B-4933-B5DE-C572DB75A55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3632025" y="4881211"/>
              <a:ext cx="2576763" cy="1335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411078</xdr:colOff>
      <xdr:row>34</xdr:row>
      <xdr:rowOff>128336</xdr:rowOff>
    </xdr:from>
    <xdr:to>
      <xdr:col>42</xdr:col>
      <xdr:colOff>561473</xdr:colOff>
      <xdr:row>50</xdr:row>
      <xdr:rowOff>30079</xdr:rowOff>
    </xdr:to>
    <mc:AlternateContent xmlns:mc="http://schemas.openxmlformats.org/markup-compatibility/2006" xmlns:a14="http://schemas.microsoft.com/office/drawing/2010/main">
      <mc:Choice Requires="a14">
        <xdr:graphicFrame macro="">
          <xdr:nvGraphicFramePr>
            <xdr:cNvPr id="108" name="COUNTRY 1">
              <a:extLst>
                <a:ext uri="{FF2B5EF4-FFF2-40B4-BE49-F238E27FC236}">
                  <a16:creationId xmlns:a16="http://schemas.microsoft.com/office/drawing/2014/main" id="{59890F30-ECCF-4991-800E-5626A7D7205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23652078" y="6264441"/>
              <a:ext cx="2596816" cy="2789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428324</xdr:colOff>
      <xdr:row>4</xdr:row>
      <xdr:rowOff>168041</xdr:rowOff>
    </xdr:from>
    <xdr:to>
      <xdr:col>42</xdr:col>
      <xdr:colOff>531394</xdr:colOff>
      <xdr:row>12</xdr:row>
      <xdr:rowOff>88232</xdr:rowOff>
    </xdr:to>
    <mc:AlternateContent xmlns:mc="http://schemas.openxmlformats.org/markup-compatibility/2006" xmlns:a14="http://schemas.microsoft.com/office/drawing/2010/main">
      <mc:Choice Requires="a14">
        <xdr:graphicFrame macro="">
          <xdr:nvGraphicFramePr>
            <xdr:cNvPr id="109" name="TERRITORY 1">
              <a:extLst>
                <a:ext uri="{FF2B5EF4-FFF2-40B4-BE49-F238E27FC236}">
                  <a16:creationId xmlns:a16="http://schemas.microsoft.com/office/drawing/2014/main" id="{EBBBF790-4F7F-4BF4-9709-0595C9F02C48}"/>
                </a:ext>
              </a:extLst>
            </xdr:cNvPr>
            <xdr:cNvGraphicFramePr/>
          </xdr:nvGraphicFramePr>
          <xdr:xfrm>
            <a:off x="0" y="0"/>
            <a:ext cx="0" cy="0"/>
          </xdr:xfrm>
          <a:graphic>
            <a:graphicData uri="http://schemas.microsoft.com/office/drawing/2010/slicer">
              <sle:slicer xmlns:sle="http://schemas.microsoft.com/office/drawing/2010/slicer" name="TERRITORY 1"/>
            </a:graphicData>
          </a:graphic>
        </xdr:graphicFrame>
      </mc:Choice>
      <mc:Fallback xmlns="">
        <xdr:sp macro="" textlink="">
          <xdr:nvSpPr>
            <xdr:cNvPr id="0" name=""/>
            <xdr:cNvSpPr>
              <a:spLocks noTextEdit="1"/>
            </xdr:cNvSpPr>
          </xdr:nvSpPr>
          <xdr:spPr>
            <a:xfrm>
              <a:off x="23669324" y="889936"/>
              <a:ext cx="2549491"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412281</xdr:colOff>
      <xdr:row>20</xdr:row>
      <xdr:rowOff>130342</xdr:rowOff>
    </xdr:from>
    <xdr:to>
      <xdr:col>42</xdr:col>
      <xdr:colOff>521367</xdr:colOff>
      <xdr:row>26</xdr:row>
      <xdr:rowOff>144780</xdr:rowOff>
    </xdr:to>
    <mc:AlternateContent xmlns:mc="http://schemas.openxmlformats.org/markup-compatibility/2006" xmlns:a14="http://schemas.microsoft.com/office/drawing/2010/main">
      <mc:Choice Requires="a14">
        <xdr:graphicFrame macro="">
          <xdr:nvGraphicFramePr>
            <xdr:cNvPr id="110" name="DEALSIZE 2">
              <a:extLst>
                <a:ext uri="{FF2B5EF4-FFF2-40B4-BE49-F238E27FC236}">
                  <a16:creationId xmlns:a16="http://schemas.microsoft.com/office/drawing/2014/main" id="{B7ACE818-77A3-4637-ABC4-49925228FB4D}"/>
                </a:ext>
              </a:extLst>
            </xdr:cNvPr>
            <xdr:cNvGraphicFramePr/>
          </xdr:nvGraphicFramePr>
          <xdr:xfrm>
            <a:off x="0" y="0"/>
            <a:ext cx="0" cy="0"/>
          </xdr:xfrm>
          <a:graphic>
            <a:graphicData uri="http://schemas.microsoft.com/office/drawing/2010/slicer">
              <sle:slicer xmlns:sle="http://schemas.microsoft.com/office/drawing/2010/slicer" name="DEALSIZE 2"/>
            </a:graphicData>
          </a:graphic>
        </xdr:graphicFrame>
      </mc:Choice>
      <mc:Fallback xmlns="">
        <xdr:sp macro="" textlink="">
          <xdr:nvSpPr>
            <xdr:cNvPr id="0" name=""/>
            <xdr:cNvSpPr>
              <a:spLocks noTextEdit="1"/>
            </xdr:cNvSpPr>
          </xdr:nvSpPr>
          <xdr:spPr>
            <a:xfrm>
              <a:off x="23653281" y="3739816"/>
              <a:ext cx="2555507"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381663</xdr:colOff>
      <xdr:row>1</xdr:row>
      <xdr:rowOff>1</xdr:rowOff>
    </xdr:from>
    <xdr:to>
      <xdr:col>15</xdr:col>
      <xdr:colOff>223631</xdr:colOff>
      <xdr:row>11</xdr:row>
      <xdr:rowOff>165653</xdr:rowOff>
    </xdr:to>
    <xdr:graphicFrame macro="">
      <xdr:nvGraphicFramePr>
        <xdr:cNvPr id="2" name="Chart 1">
          <a:extLst>
            <a:ext uri="{FF2B5EF4-FFF2-40B4-BE49-F238E27FC236}">
              <a16:creationId xmlns:a16="http://schemas.microsoft.com/office/drawing/2014/main" id="{CDF2E4A4-32D5-41D3-B20C-6FE6A82442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41413</xdr:colOff>
      <xdr:row>1</xdr:row>
      <xdr:rowOff>135233</xdr:rowOff>
    </xdr:from>
    <xdr:to>
      <xdr:col>27</xdr:col>
      <xdr:colOff>91109</xdr:colOff>
      <xdr:row>13</xdr:row>
      <xdr:rowOff>165651</xdr:rowOff>
    </xdr:to>
    <xdr:graphicFrame macro="">
      <xdr:nvGraphicFramePr>
        <xdr:cNvPr id="3" name="Chart 2">
          <a:extLst>
            <a:ext uri="{FF2B5EF4-FFF2-40B4-BE49-F238E27FC236}">
              <a16:creationId xmlns:a16="http://schemas.microsoft.com/office/drawing/2014/main" id="{BD82A181-28A3-4ACB-836C-69588B2999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24246</xdr:colOff>
      <xdr:row>26</xdr:row>
      <xdr:rowOff>20783</xdr:rowOff>
    </xdr:from>
    <xdr:to>
      <xdr:col>5</xdr:col>
      <xdr:colOff>76202</xdr:colOff>
      <xdr:row>34</xdr:row>
      <xdr:rowOff>27709</xdr:rowOff>
    </xdr:to>
    <xdr:graphicFrame macro="">
      <xdr:nvGraphicFramePr>
        <xdr:cNvPr id="4" name="Chart 3">
          <a:extLst>
            <a:ext uri="{FF2B5EF4-FFF2-40B4-BE49-F238E27FC236}">
              <a16:creationId xmlns:a16="http://schemas.microsoft.com/office/drawing/2014/main" id="{123159EC-AE25-4B8F-A3F7-CF155744CC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17</xdr:row>
      <xdr:rowOff>160020</xdr:rowOff>
    </xdr:from>
    <xdr:to>
      <xdr:col>5</xdr:col>
      <xdr:colOff>38100</xdr:colOff>
      <xdr:row>21</xdr:row>
      <xdr:rowOff>76200</xdr:rowOff>
    </xdr:to>
    <xdr:graphicFrame macro="">
      <xdr:nvGraphicFramePr>
        <xdr:cNvPr id="2" name="Chart 1">
          <a:extLst>
            <a:ext uri="{FF2B5EF4-FFF2-40B4-BE49-F238E27FC236}">
              <a16:creationId xmlns:a16="http://schemas.microsoft.com/office/drawing/2014/main" id="{06324694-BCC7-49A8-9046-DD598A27F8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541020</xdr:colOff>
      <xdr:row>18</xdr:row>
      <xdr:rowOff>15240</xdr:rowOff>
    </xdr:from>
    <xdr:to>
      <xdr:col>11</xdr:col>
      <xdr:colOff>68580</xdr:colOff>
      <xdr:row>21</xdr:row>
      <xdr:rowOff>45720</xdr:rowOff>
    </xdr:to>
    <xdr:graphicFrame macro="">
      <xdr:nvGraphicFramePr>
        <xdr:cNvPr id="3" name="Chart 2">
          <a:extLst>
            <a:ext uri="{FF2B5EF4-FFF2-40B4-BE49-F238E27FC236}">
              <a16:creationId xmlns:a16="http://schemas.microsoft.com/office/drawing/2014/main" id="{8B38A616-9289-4259-A05D-FFFB5146AD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571500</xdr:colOff>
      <xdr:row>17</xdr:row>
      <xdr:rowOff>140970</xdr:rowOff>
    </xdr:from>
    <xdr:to>
      <xdr:col>17</xdr:col>
      <xdr:colOff>83820</xdr:colOff>
      <xdr:row>21</xdr:row>
      <xdr:rowOff>137160</xdr:rowOff>
    </xdr:to>
    <xdr:graphicFrame macro="">
      <xdr:nvGraphicFramePr>
        <xdr:cNvPr id="4" name="Chart 3">
          <a:extLst>
            <a:ext uri="{FF2B5EF4-FFF2-40B4-BE49-F238E27FC236}">
              <a16:creationId xmlns:a16="http://schemas.microsoft.com/office/drawing/2014/main" id="{7A333298-CA55-420B-B9DF-D80C1CDF4F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309000</xdr:colOff>
      <xdr:row>16</xdr:row>
      <xdr:rowOff>65400</xdr:rowOff>
    </xdr:from>
    <xdr:to>
      <xdr:col>23</xdr:col>
      <xdr:colOff>264000</xdr:colOff>
      <xdr:row>20</xdr:row>
      <xdr:rowOff>18000</xdr:rowOff>
    </xdr:to>
    <xdr:graphicFrame macro="">
      <xdr:nvGraphicFramePr>
        <xdr:cNvPr id="5" name="Chart 4">
          <a:extLst>
            <a:ext uri="{FF2B5EF4-FFF2-40B4-BE49-F238E27FC236}">
              <a16:creationId xmlns:a16="http://schemas.microsoft.com/office/drawing/2014/main" id="{F3E3A6C7-2F17-42F3-92AB-BBB727F7BD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83820</xdr:colOff>
      <xdr:row>0</xdr:row>
      <xdr:rowOff>140970</xdr:rowOff>
    </xdr:from>
    <xdr:to>
      <xdr:col>10</xdr:col>
      <xdr:colOff>175260</xdr:colOff>
      <xdr:row>13</xdr:row>
      <xdr:rowOff>175260</xdr:rowOff>
    </xdr:to>
    <xdr:graphicFrame macro="">
      <xdr:nvGraphicFramePr>
        <xdr:cNvPr id="2" name="Chart 1">
          <a:extLst>
            <a:ext uri="{FF2B5EF4-FFF2-40B4-BE49-F238E27FC236}">
              <a16:creationId xmlns:a16="http://schemas.microsoft.com/office/drawing/2014/main" id="{092489E3-2013-4F7E-8897-DA04937857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586740</xdr:colOff>
      <xdr:row>10</xdr:row>
      <xdr:rowOff>60961</xdr:rowOff>
    </xdr:from>
    <xdr:to>
      <xdr:col>17</xdr:col>
      <xdr:colOff>586740</xdr:colOff>
      <xdr:row>18</xdr:row>
      <xdr:rowOff>7621</xdr:rowOff>
    </xdr:to>
    <mc:AlternateContent xmlns:mc="http://schemas.openxmlformats.org/markup-compatibility/2006" xmlns:a14="http://schemas.microsoft.com/office/drawing/2010/main">
      <mc:Choice Requires="a14">
        <xdr:graphicFrame macro="">
          <xdr:nvGraphicFramePr>
            <xdr:cNvPr id="3" name="PRODUCTLINE">
              <a:extLst>
                <a:ext uri="{FF2B5EF4-FFF2-40B4-BE49-F238E27FC236}">
                  <a16:creationId xmlns:a16="http://schemas.microsoft.com/office/drawing/2014/main" id="{854C93BB-E69C-468E-BA87-C0E2354547AE}"/>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11437620" y="1889761"/>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7620</xdr:colOff>
      <xdr:row>14</xdr:row>
      <xdr:rowOff>83820</xdr:rowOff>
    </xdr:from>
    <xdr:to>
      <xdr:col>8</xdr:col>
      <xdr:colOff>7620</xdr:colOff>
      <xdr:row>27</xdr:row>
      <xdr:rowOff>173355</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B4C43BDA-24CC-47AA-911F-073C5F9FD75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372100" y="2644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541020</xdr:colOff>
      <xdr:row>2</xdr:row>
      <xdr:rowOff>152400</xdr:rowOff>
    </xdr:from>
    <xdr:to>
      <xdr:col>14</xdr:col>
      <xdr:colOff>541020</xdr:colOff>
      <xdr:row>16</xdr:row>
      <xdr:rowOff>59055</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EAB2AAD6-BCD5-4AAE-8082-6B9023348C5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563100" y="518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594360</xdr:colOff>
      <xdr:row>2</xdr:row>
      <xdr:rowOff>121921</xdr:rowOff>
    </xdr:from>
    <xdr:to>
      <xdr:col>17</xdr:col>
      <xdr:colOff>594360</xdr:colOff>
      <xdr:row>10</xdr:row>
      <xdr:rowOff>22861</xdr:rowOff>
    </xdr:to>
    <mc:AlternateContent xmlns:mc="http://schemas.openxmlformats.org/markup-compatibility/2006" xmlns:a14="http://schemas.microsoft.com/office/drawing/2010/main">
      <mc:Choice Requires="a14">
        <xdr:graphicFrame macro="">
          <xdr:nvGraphicFramePr>
            <xdr:cNvPr id="6" name="TERRITORY">
              <a:extLst>
                <a:ext uri="{FF2B5EF4-FFF2-40B4-BE49-F238E27FC236}">
                  <a16:creationId xmlns:a16="http://schemas.microsoft.com/office/drawing/2014/main" id="{A6DAB97B-EA2D-4495-8383-AD45108936F0}"/>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mlns="">
        <xdr:sp macro="" textlink="">
          <xdr:nvSpPr>
            <xdr:cNvPr id="0" name=""/>
            <xdr:cNvSpPr>
              <a:spLocks noTextEdit="1"/>
            </xdr:cNvSpPr>
          </xdr:nvSpPr>
          <xdr:spPr>
            <a:xfrm>
              <a:off x="11445240" y="487681"/>
              <a:ext cx="1828800"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594360</xdr:colOff>
      <xdr:row>2</xdr:row>
      <xdr:rowOff>114301</xdr:rowOff>
    </xdr:from>
    <xdr:to>
      <xdr:col>20</xdr:col>
      <xdr:colOff>594360</xdr:colOff>
      <xdr:row>8</xdr:row>
      <xdr:rowOff>114301</xdr:rowOff>
    </xdr:to>
    <mc:AlternateContent xmlns:mc="http://schemas.openxmlformats.org/markup-compatibility/2006" xmlns:a14="http://schemas.microsoft.com/office/drawing/2010/main">
      <mc:Choice Requires="a14">
        <xdr:graphicFrame macro="">
          <xdr:nvGraphicFramePr>
            <xdr:cNvPr id="7" name="DEALSIZE 1">
              <a:extLst>
                <a:ext uri="{FF2B5EF4-FFF2-40B4-BE49-F238E27FC236}">
                  <a16:creationId xmlns:a16="http://schemas.microsoft.com/office/drawing/2014/main" id="{9293B0D2-C1AE-446B-B028-BC26D519C7EE}"/>
                </a:ext>
              </a:extLst>
            </xdr:cNvPr>
            <xdr:cNvGraphicFramePr/>
          </xdr:nvGraphicFramePr>
          <xdr:xfrm>
            <a:off x="0" y="0"/>
            <a:ext cx="0" cy="0"/>
          </xdr:xfrm>
          <a:graphic>
            <a:graphicData uri="http://schemas.microsoft.com/office/drawing/2010/slicer">
              <sle:slicer xmlns:sle="http://schemas.microsoft.com/office/drawing/2010/slicer" name="DEALSIZE 1"/>
            </a:graphicData>
          </a:graphic>
        </xdr:graphicFrame>
      </mc:Choice>
      <mc:Fallback xmlns="">
        <xdr:sp macro="" textlink="">
          <xdr:nvSpPr>
            <xdr:cNvPr id="0" name=""/>
            <xdr:cNvSpPr>
              <a:spLocks noTextEdit="1"/>
            </xdr:cNvSpPr>
          </xdr:nvSpPr>
          <xdr:spPr>
            <a:xfrm>
              <a:off x="13274040" y="480061"/>
              <a:ext cx="182880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32721</xdr:colOff>
      <xdr:row>1</xdr:row>
      <xdr:rowOff>178172</xdr:rowOff>
    </xdr:from>
    <xdr:to>
      <xdr:col>8</xdr:col>
      <xdr:colOff>727046</xdr:colOff>
      <xdr:row>13</xdr:row>
      <xdr:rowOff>111853</xdr:rowOff>
    </xdr:to>
    <xdr:graphicFrame macro="">
      <xdr:nvGraphicFramePr>
        <xdr:cNvPr id="2" name="Chart 1">
          <a:extLst>
            <a:ext uri="{FF2B5EF4-FFF2-40B4-BE49-F238E27FC236}">
              <a16:creationId xmlns:a16="http://schemas.microsoft.com/office/drawing/2014/main" id="{4767F36D-DCBD-4F99-B211-9AD85EBF5A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365760</xdr:colOff>
      <xdr:row>1</xdr:row>
      <xdr:rowOff>133350</xdr:rowOff>
    </xdr:from>
    <xdr:to>
      <xdr:col>8</xdr:col>
      <xdr:colOff>571500</xdr:colOff>
      <xdr:row>15</xdr:row>
      <xdr:rowOff>68580</xdr:rowOff>
    </xdr:to>
    <xdr:graphicFrame macro="">
      <xdr:nvGraphicFramePr>
        <xdr:cNvPr id="2" name="Chart 1">
          <a:extLst>
            <a:ext uri="{FF2B5EF4-FFF2-40B4-BE49-F238E27FC236}">
              <a16:creationId xmlns:a16="http://schemas.microsoft.com/office/drawing/2014/main" id="{3DA5525A-A229-4322-B5C4-66FC5854CF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13</xdr:col>
      <xdr:colOff>182880</xdr:colOff>
      <xdr:row>33</xdr:row>
      <xdr:rowOff>57150</xdr:rowOff>
    </xdr:from>
    <xdr:to>
      <xdr:col>21</xdr:col>
      <xdr:colOff>464820</xdr:colOff>
      <xdr:row>51</xdr:row>
      <xdr:rowOff>160020</xdr:rowOff>
    </xdr:to>
    <xdr:graphicFrame macro="">
      <xdr:nvGraphicFramePr>
        <xdr:cNvPr id="2" name="Chart 1">
          <a:extLst>
            <a:ext uri="{FF2B5EF4-FFF2-40B4-BE49-F238E27FC236}">
              <a16:creationId xmlns:a16="http://schemas.microsoft.com/office/drawing/2014/main" id="{D6136360-F3A3-4C93-962A-719DE19480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160020</xdr:colOff>
      <xdr:row>3</xdr:row>
      <xdr:rowOff>7621</xdr:rowOff>
    </xdr:from>
    <xdr:to>
      <xdr:col>12</xdr:col>
      <xdr:colOff>457199</xdr:colOff>
      <xdr:row>9</xdr:row>
      <xdr:rowOff>38101</xdr:rowOff>
    </xdr:to>
    <mc:AlternateContent xmlns:mc="http://schemas.openxmlformats.org/markup-compatibility/2006" xmlns:a14="http://schemas.microsoft.com/office/drawing/2010/main">
      <mc:Choice Requires="a14">
        <xdr:graphicFrame macro="">
          <xdr:nvGraphicFramePr>
            <xdr:cNvPr id="3" name="DEALSIZE">
              <a:extLst>
                <a:ext uri="{FF2B5EF4-FFF2-40B4-BE49-F238E27FC236}">
                  <a16:creationId xmlns:a16="http://schemas.microsoft.com/office/drawing/2014/main" id="{66CC18B7-2940-413D-AF64-352BC1EAD409}"/>
                </a:ext>
              </a:extLst>
            </xdr:cNvPr>
            <xdr:cNvGraphicFramePr/>
          </xdr:nvGraphicFramePr>
          <xdr:xfrm>
            <a:off x="0" y="0"/>
            <a:ext cx="0" cy="0"/>
          </xdr:xfrm>
          <a:graphic>
            <a:graphicData uri="http://schemas.microsoft.com/office/drawing/2010/slicer">
              <sle:slicer xmlns:sle="http://schemas.microsoft.com/office/drawing/2010/slicer" name="DEALSIZE"/>
            </a:graphicData>
          </a:graphic>
        </xdr:graphicFrame>
      </mc:Choice>
      <mc:Fallback xmlns="">
        <xdr:sp macro="" textlink="">
          <xdr:nvSpPr>
            <xdr:cNvPr id="0" name=""/>
            <xdr:cNvSpPr>
              <a:spLocks noTextEdit="1"/>
            </xdr:cNvSpPr>
          </xdr:nvSpPr>
          <xdr:spPr>
            <a:xfrm>
              <a:off x="6512612" y="567458"/>
              <a:ext cx="2116649" cy="11501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15240</xdr:colOff>
      <xdr:row>0</xdr:row>
      <xdr:rowOff>156210</xdr:rowOff>
    </xdr:from>
    <xdr:to>
      <xdr:col>9</xdr:col>
      <xdr:colOff>0</xdr:colOff>
      <xdr:row>12</xdr:row>
      <xdr:rowOff>106680</xdr:rowOff>
    </xdr:to>
    <xdr:graphicFrame macro="">
      <xdr:nvGraphicFramePr>
        <xdr:cNvPr id="4" name="Chart 3">
          <a:extLst>
            <a:ext uri="{FF2B5EF4-FFF2-40B4-BE49-F238E27FC236}">
              <a16:creationId xmlns:a16="http://schemas.microsoft.com/office/drawing/2014/main" id="{75F58C40-9A5D-45CE-940B-1D4557E93D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46654</xdr:colOff>
      <xdr:row>2</xdr:row>
      <xdr:rowOff>156288</xdr:rowOff>
    </xdr:from>
    <xdr:to>
      <xdr:col>23</xdr:col>
      <xdr:colOff>311021</xdr:colOff>
      <xdr:row>17</xdr:row>
      <xdr:rowOff>100304</xdr:rowOff>
    </xdr:to>
    <xdr:graphicFrame macro="">
      <xdr:nvGraphicFramePr>
        <xdr:cNvPr id="5" name="Chart 4">
          <a:extLst>
            <a:ext uri="{FF2B5EF4-FFF2-40B4-BE49-F238E27FC236}">
              <a16:creationId xmlns:a16="http://schemas.microsoft.com/office/drawing/2014/main" id="{720BA7F9-4225-4EEF-B1F6-4793DC1BC9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228600</xdr:colOff>
      <xdr:row>1</xdr:row>
      <xdr:rowOff>125730</xdr:rowOff>
    </xdr:from>
    <xdr:to>
      <xdr:col>9</xdr:col>
      <xdr:colOff>594360</xdr:colOff>
      <xdr:row>12</xdr:row>
      <xdr:rowOff>137160</xdr:rowOff>
    </xdr:to>
    <xdr:graphicFrame macro="">
      <xdr:nvGraphicFramePr>
        <xdr:cNvPr id="2" name="Chart 1">
          <a:extLst>
            <a:ext uri="{FF2B5EF4-FFF2-40B4-BE49-F238E27FC236}">
              <a16:creationId xmlns:a16="http://schemas.microsoft.com/office/drawing/2014/main" id="{1F71AFF4-576C-401C-9417-F679FE985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68580</xdr:colOff>
      <xdr:row>2</xdr:row>
      <xdr:rowOff>57150</xdr:rowOff>
    </xdr:from>
    <xdr:to>
      <xdr:col>16</xdr:col>
      <xdr:colOff>457200</xdr:colOff>
      <xdr:row>5</xdr:row>
      <xdr:rowOff>152400</xdr:rowOff>
    </xdr:to>
    <xdr:graphicFrame macro="">
      <xdr:nvGraphicFramePr>
        <xdr:cNvPr id="3" name="Chart 2">
          <a:extLst>
            <a:ext uri="{FF2B5EF4-FFF2-40B4-BE49-F238E27FC236}">
              <a16:creationId xmlns:a16="http://schemas.microsoft.com/office/drawing/2014/main" id="{B2C5420D-297F-4F1E-A23B-FC4FEA22F2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LAN" refreshedDate="45002.667301504633" createdVersion="6" refreshedVersion="6" minRefreshableVersion="3" recordCount="2823" xr:uid="{8DC4BF5F-84DD-4F2E-943A-F21F737B1182}">
  <cacheSource type="worksheet">
    <worksheetSource name="Table1"/>
  </cacheSource>
  <cacheFields count="26">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ORDERLINENUMBER" numFmtId="0">
      <sharedItems containsSemiMixedTypes="0" containsString="0" containsNumber="1" containsInteger="1" minValue="1" maxValue="18"/>
    </cacheField>
    <cacheField name="SALES" numFmtId="0">
      <sharedItems containsSemiMixedTypes="0" containsString="0" containsNumber="1" minValue="482.13" maxValue="14082.8"/>
    </cacheField>
    <cacheField name="ORDERDATE" numFmtId="22">
      <sharedItems containsSemiMixedTypes="0" containsNonDate="0" containsDate="1" containsString="0" minDate="2003-01-06T00:00:00" maxDate="2005-06-01T00:00:00"/>
    </cacheField>
    <cacheField name="STATUS" numFmtId="0">
      <sharedItems count="6">
        <s v="Shipped"/>
        <s v="Disputed"/>
        <s v="In Process"/>
        <s v="Cancelled"/>
        <s v="On Hold"/>
        <s v="Resolved"/>
      </sharedItems>
    </cacheField>
    <cacheField name="QTR_ID" numFmtId="0">
      <sharedItems containsSemiMixedTypes="0" containsString="0" containsNumber="1" containsInteger="1" minValue="1" maxValue="4"/>
    </cacheField>
    <cacheField name="MONTH_ID" numFmtId="0">
      <sharedItems containsSemiMixedTypes="0" containsString="0" containsNumber="1" containsInteger="1" minValue="1" maxValue="12" count="12">
        <n v="2"/>
        <n v="5"/>
        <n v="7"/>
        <n v="8"/>
        <n v="10"/>
        <n v="11"/>
        <n v="12"/>
        <n v="1"/>
        <n v="4"/>
        <n v="6"/>
        <n v="9"/>
        <n v="3"/>
      </sharedItems>
    </cacheField>
    <cacheField name="Month" numFmtId="0">
      <sharedItems count="12">
        <s v="Feb"/>
        <s v="May"/>
        <s v="Jul"/>
        <s v="Aug"/>
        <s v="Oct"/>
        <s v="Nov"/>
        <s v="Dec"/>
        <s v="Jan"/>
        <s v="Apr"/>
        <s v="Jun"/>
        <s v="Sep"/>
        <s v="Mar"/>
      </sharedItems>
    </cacheField>
    <cacheField name="YEAR_ID" numFmtId="0">
      <sharedItems containsSemiMixedTypes="0" containsString="0" containsNumber="1" containsInteger="1" minValue="2003" maxValue="2005" count="3">
        <n v="2003"/>
        <n v="2004"/>
        <n v="2005"/>
      </sharedItems>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acheField>
    <cacheField name="PRODUCTCODE" numFmtId="0">
      <sharedItems count="109">
        <s v="S10_1678"/>
        <s v="S10_1949"/>
        <s v="S10_2016"/>
        <s v="S10_4698"/>
        <s v="S10_4757"/>
        <s v="S10_4962"/>
        <s v="S12_1099"/>
        <s v="S12_1108"/>
        <s v="S12_1666"/>
        <s v="S12_2823"/>
        <s v="S12_3148"/>
        <s v="S12_3380"/>
        <s v="S12_3891"/>
        <s v="S12_3990"/>
        <s v="S12_4473"/>
        <s v="S12_4675"/>
        <s v="S18_1097"/>
        <s v="S18_1129"/>
        <s v="S18_1342"/>
        <s v="S18_1367"/>
        <s v="S18_1589"/>
        <s v="S18_1662"/>
        <s v="S18_1749"/>
        <s v="S18_1889"/>
        <s v="S18_1984"/>
        <s v="S18_2238"/>
        <s v="S18_2248"/>
        <s v="S18_2319"/>
        <s v="S18_2325"/>
        <s v="S18_2432"/>
        <s v="S18_2581"/>
        <s v="S18_2625"/>
        <s v="S18_2795"/>
        <s v="S18_2870"/>
        <s v="S18_2949"/>
        <s v="S18_2957"/>
        <s v="S18_3029"/>
        <s v="S18_3136"/>
        <s v="S18_3140"/>
        <s v="S18_3232"/>
        <s v="S18_3259"/>
        <s v="S18_3278"/>
        <s v="S18_3320"/>
        <s v="S18_3482"/>
        <s v="S18_3685"/>
        <s v="S18_3782"/>
        <s v="S18_3856"/>
        <s v="S18_4027"/>
        <s v="S18_4409"/>
        <s v="S18_4522"/>
        <s v="S18_4600"/>
        <s v="S18_4668"/>
        <s v="S18_4721"/>
        <s v="S18_4933"/>
        <s v="S24_1046"/>
        <s v="S24_1444"/>
        <s v="S24_1578"/>
        <s v="S24_1628"/>
        <s v="S24_1785"/>
        <s v="S24_1937"/>
        <s v="S24_2000"/>
        <s v="S24_2011"/>
        <s v="S24_2022"/>
        <s v="S24_2300"/>
        <s v="S24_2360"/>
        <s v="S24_2766"/>
        <s v="S24_2840"/>
        <s v="S24_2841"/>
        <s v="S24_2887"/>
        <s v="S24_2972"/>
        <s v="S24_3151"/>
        <s v="S24_3191"/>
        <s v="S24_3371"/>
        <s v="S24_3420"/>
        <s v="S24_3432"/>
        <s v="S24_3816"/>
        <s v="S24_3856"/>
        <s v="S24_3949"/>
        <s v="S24_3969"/>
        <s v="S24_4048"/>
        <s v="S24_4258"/>
        <s v="S24_4278"/>
        <s v="S24_4620"/>
        <s v="S32_1268"/>
        <s v="S32_1374"/>
        <s v="S32_2206"/>
        <s v="S32_2509"/>
        <s v="S32_3207"/>
        <s v="S32_3522"/>
        <s v="S32_4289"/>
        <s v="S32_4485"/>
        <s v="S50_1341"/>
        <s v="S50_1392"/>
        <s v="S50_1514"/>
        <s v="S50_4713"/>
        <s v="S700_1138"/>
        <s v="S700_1691"/>
        <s v="S700_1938"/>
        <s v="S700_2047"/>
        <s v="S700_2466"/>
        <s v="S700_2610"/>
        <s v="S700_2824"/>
        <s v="S700_2834"/>
        <s v="S700_3167"/>
        <s v="S700_3505"/>
        <s v="S700_3962"/>
        <s v="S700_4002"/>
        <s v="S72_1253"/>
        <s v="S72_3212"/>
      </sharedItems>
    </cacheField>
    <cacheField name="CUSTOMERNAME" numFmtId="0">
      <sharedItems count="92">
        <s v="Land of Toys Inc."/>
        <s v="Reims Collectables"/>
        <s v="Lyon Souveniers"/>
        <s v="Toys4GrownUps.com"/>
        <s v="Corporate Gift Ideas Co."/>
        <s v="Technics Stores Inc."/>
        <s v="Daedalus Designs Imports"/>
        <s v="Herkku Gifts"/>
        <s v="Mini Wheels Co."/>
        <s v="Auto Canal Petit"/>
        <s v="Australian Collectors, Co."/>
        <s v="Vitachrome Inc."/>
        <s v="Tekni Collectables Inc."/>
        <s v="Gift Depot Inc."/>
        <s v="La Rochelle Gifts"/>
        <s v="Marta's Replicas Co."/>
        <s v="Toys of Finland, Co."/>
        <s v="Baane Mini Imports"/>
        <s v="Diecast Classics Inc."/>
        <s v="Salzburg Collectables"/>
        <s v="Souveniers And Things Co."/>
        <s v="FunGiftIdeas.com"/>
        <s v="UK Collectables, Ltd."/>
        <s v="Euro Shopping Channel"/>
        <s v="Volvo Model Replicas, Co"/>
        <s v="Corrida Auto Replicas, Ltd"/>
        <s v="Dragon Souveniers, Ltd."/>
        <s v="Classic Legends Inc."/>
        <s v="Australian Gift Network, Co"/>
        <s v="Classic Gift Ideas, Inc"/>
        <s v="Saveley &amp; Henriot, Co."/>
        <s v="Canadian Gift Exchange Network"/>
        <s v="West Coast Collectables Co."/>
        <s v="Cambridge Collectables Co."/>
        <s v="Super Scale Inc."/>
        <s v="Tokyo Collectables, Ltd"/>
        <s v="Amica Models &amp; Co."/>
        <s v="Scandinavian Gift Ideas"/>
        <s v="Auto Assoc. &amp; Cie."/>
        <s v="Mini Gifts Distributors Ltd."/>
        <s v="Online Diecast Creations Co."/>
        <s v="Collectables For Less Inc."/>
        <s v="Anna's Decorations, Ltd"/>
        <s v="Quebec Home Shopping Network"/>
        <s v="Osaka Souveniers Co."/>
        <s v="Motor Mint Distributors Inc."/>
        <s v="Atelier graphique"/>
        <s v="Mini Classics"/>
        <s v="Danish Wholesale Imports"/>
        <s v="Stylish Desk Decors, Co."/>
        <s v="Mini Creations Ltd."/>
        <s v="Alpha Cognac"/>
        <s v="Double Decker Gift Stores, Ltd"/>
        <s v="Enaco Distributors"/>
        <s v="Men 'R' US Retailers, Ltd."/>
        <s v="Collectable Mini Designs Co."/>
        <s v="Petit Auto"/>
        <s v="Royal Canadian Collectables, Ltd."/>
        <s v="Gifts4AllAges.com"/>
        <s v="giftsbymail.co.uk"/>
        <s v="Oulu Toy Supplies, Inc."/>
        <s v="The Sharp Gifts Warehouse"/>
        <s v="La Corne D'abondance, Co."/>
        <s v="Mini Auto Werke"/>
        <s v="Diecast Collectables"/>
        <s v="Handji Gifts&amp; Co"/>
        <s v="Cruz &amp; Sons Co."/>
        <s v="Marseille Mini Autos"/>
        <s v="Toms Spezialitten, Ltd"/>
        <s v="Vida Sport, Ltd"/>
        <s v="L'ordine Souveniers"/>
        <s v="Online Mini Collectables"/>
        <s v="Blauer See Auto, Co."/>
        <s v="Suominen Souveniers"/>
        <s v="Muscle Machine Inc"/>
        <s v="Clover Collections, Co."/>
        <s v="CAF Imports"/>
        <s v="AV Stores, Co."/>
        <s v="Heintze Collectables"/>
        <s v="Microscale Inc."/>
        <s v="Boards &amp; Toys Co."/>
        <s v="Iberia Gift Imports, Corp."/>
        <s v="Signal Collectibles Ltd."/>
        <s v="Mini Caravy"/>
        <s v="Signal Gift Stores"/>
        <s v="Norway Gifts By Mail, Co."/>
        <s v="Rovelli Gifts"/>
        <s v="Australian Collectables, Ltd"/>
        <s v="Gift Ideas Corp."/>
        <s v="Bavarian Collectables Imports, Co."/>
        <s v="Royale Belge"/>
        <s v="Auto-Moto Classics Inc."/>
      </sharedItems>
    </cacheField>
    <cacheField name="PHONE" numFmtId="0">
      <sharedItems containsMixedTypes="1" containsNumber="1" containsInteger="1" minValue="2015559350" maxValue="9145554562"/>
    </cacheField>
    <cacheField name="ADDRESSLINE1" numFmtId="0">
      <sharedItems/>
    </cacheField>
    <cacheField name="ADDRESSLINE2" numFmtId="0">
      <sharedItems containsBlank="1"/>
    </cacheField>
    <cacheField name="CITY" numFmtId="0">
      <sharedItems count="73">
        <s v="NYC"/>
        <s v="Reims"/>
        <s v="Paris"/>
        <s v="Pasadena"/>
        <s v="San Francisco"/>
        <s v="Burlingame"/>
        <s v="Lille"/>
        <s v="Bergen"/>
        <s v="Melbourne"/>
        <s v="Newark"/>
        <s v="Bridgewater"/>
        <s v="Nantes"/>
        <s v="Cambridge"/>
        <s v="Helsinki"/>
        <s v="Stavern"/>
        <s v="Allentown"/>
        <s v="Salzburg"/>
        <s v="Chatswood"/>
        <s v="New Bedford"/>
        <s v="Liverpool"/>
        <s v="Madrid"/>
        <s v="Lule"/>
        <s v="Singapore"/>
        <s v="South Brisbane"/>
        <s v="Philadelphia"/>
        <s v="Lyon"/>
        <s v="Vancouver"/>
        <s v="Burbank"/>
        <s v="New Haven"/>
        <s v="Minato-ku"/>
        <s v="Torino"/>
        <s v="Boras"/>
        <s v="Versailles"/>
        <s v="San Rafael"/>
        <s v="Nashua"/>
        <s v="Brickhaven"/>
        <s v="North Sydney"/>
        <s v="Montreal"/>
        <s v="Osaka"/>
        <s v="White Plains"/>
        <s v="Kobenhavn"/>
        <s v="London"/>
        <s v="Toulouse"/>
        <s v="Barcelona"/>
        <s v="Los Angeles"/>
        <s v="San Diego"/>
        <s v="Bruxelles"/>
        <s v="Tsawassen"/>
        <s v="Boston"/>
        <s v="Cowes"/>
        <s v="Oulu"/>
        <s v="San Jose"/>
        <s v="Graz"/>
        <s v="Makati City"/>
        <s v="Marseille"/>
        <s v="Koln"/>
        <s v="Gensve"/>
        <s v="Reggio Emilia"/>
        <s v="Frankfurt"/>
        <s v="Espoo"/>
        <s v="Dublin"/>
        <s v="Manchester"/>
        <s v="Aaarhus"/>
        <s v="Glendale"/>
        <s v="Sevilla"/>
        <s v="Brisbane"/>
        <s v="Strasbourg"/>
        <s v="Las Vegas"/>
        <s v="Oslo"/>
        <s v="Bergamo"/>
        <s v="Glen Waverly"/>
        <s v="Munich"/>
        <s v="Charleroi"/>
      </sharedItems>
    </cacheField>
    <cacheField name="STATE" numFmtId="0">
      <sharedItems containsBlank="1"/>
    </cacheField>
    <cacheField name="POSTALCODE" numFmtId="0">
      <sharedItems containsBlank="1" containsMixedTypes="1" containsNumber="1" containsInteger="1" minValue="2" maxValue="97823"/>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ount="4">
        <s v="NA"/>
        <s v="EMEA"/>
        <s v="APAC"/>
        <s v="Japan"/>
      </sharedItems>
    </cacheField>
    <cacheField name="CONTACTLASTNAME" numFmtId="0">
      <sharedItems/>
    </cacheField>
    <cacheField name="CONTACTFIRSTNAME" numFmtId="0">
      <sharedItems/>
    </cacheField>
    <cacheField name="DEALSIZE" numFmtId="0">
      <sharedItems count="3">
        <s v="Small"/>
        <s v="Medium"/>
        <s v="Large"/>
      </sharedItems>
    </cacheField>
  </cacheFields>
  <extLst>
    <ext xmlns:x14="http://schemas.microsoft.com/office/spreadsheetml/2009/9/main" uri="{725AE2AE-9491-48be-B2B4-4EB974FC3084}">
      <x14:pivotCacheDefinition pivotCacheId="2985395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n v="95.7"/>
    <n v="2"/>
    <n v="2871"/>
    <d v="2003-02-24T00:00:00"/>
    <x v="0"/>
    <n v="1"/>
    <x v="0"/>
    <x v="0"/>
    <x v="0"/>
    <x v="0"/>
    <n v="95"/>
    <x v="0"/>
    <x v="0"/>
    <n v="2125557818"/>
    <s v="897 Long Airport Avenue"/>
    <m/>
    <x v="0"/>
    <s v="NY"/>
    <n v="10022"/>
    <x v="0"/>
    <x v="0"/>
    <s v="Yu"/>
    <s v="Kwai"/>
    <x v="0"/>
  </r>
  <r>
    <n v="10121"/>
    <n v="34"/>
    <n v="81.349999999999994"/>
    <n v="5"/>
    <n v="2765.9"/>
    <d v="2003-05-07T00:00:00"/>
    <x v="0"/>
    <n v="2"/>
    <x v="1"/>
    <x v="1"/>
    <x v="0"/>
    <x v="0"/>
    <n v="95"/>
    <x v="0"/>
    <x v="1"/>
    <s v="26.47.1555"/>
    <s v="59 rue de l'Abbaye"/>
    <m/>
    <x v="1"/>
    <m/>
    <n v="51100"/>
    <x v="1"/>
    <x v="1"/>
    <s v="Henriot"/>
    <s v="Paul"/>
    <x v="0"/>
  </r>
  <r>
    <n v="10134"/>
    <n v="41"/>
    <n v="94.74"/>
    <n v="2"/>
    <n v="3884.34"/>
    <d v="2003-07-01T00:00:00"/>
    <x v="0"/>
    <n v="3"/>
    <x v="2"/>
    <x v="2"/>
    <x v="0"/>
    <x v="0"/>
    <n v="95"/>
    <x v="0"/>
    <x v="2"/>
    <s v="+33 1 46 62 7555"/>
    <s v="27 rue du Colonel Pierre Avia"/>
    <m/>
    <x v="2"/>
    <m/>
    <n v="75508"/>
    <x v="1"/>
    <x v="1"/>
    <s v="Da Cunha"/>
    <s v="Daniel"/>
    <x v="1"/>
  </r>
  <r>
    <n v="10145"/>
    <n v="45"/>
    <n v="83.26"/>
    <n v="6"/>
    <n v="3746.7"/>
    <d v="2003-08-25T00:00:00"/>
    <x v="0"/>
    <n v="3"/>
    <x v="3"/>
    <x v="3"/>
    <x v="0"/>
    <x v="0"/>
    <n v="95"/>
    <x v="0"/>
    <x v="3"/>
    <n v="6265557265"/>
    <s v="78934 Hillside Dr."/>
    <m/>
    <x v="3"/>
    <s v="CA"/>
    <n v="90003"/>
    <x v="0"/>
    <x v="0"/>
    <s v="Young"/>
    <s v="Julie"/>
    <x v="1"/>
  </r>
  <r>
    <n v="10159"/>
    <n v="49"/>
    <n v="100"/>
    <n v="14"/>
    <n v="5205.2700000000004"/>
    <d v="2003-10-10T00:00:00"/>
    <x v="0"/>
    <n v="4"/>
    <x v="4"/>
    <x v="4"/>
    <x v="0"/>
    <x v="0"/>
    <n v="95"/>
    <x v="0"/>
    <x v="4"/>
    <n v="6505551386"/>
    <s v="7734 Strong St."/>
    <m/>
    <x v="4"/>
    <s v="CA"/>
    <m/>
    <x v="0"/>
    <x v="0"/>
    <s v="Brown"/>
    <s v="Julie"/>
    <x v="1"/>
  </r>
  <r>
    <n v="10168"/>
    <n v="36"/>
    <n v="96.66"/>
    <n v="1"/>
    <n v="3479.76"/>
    <d v="2003-10-28T00:00:00"/>
    <x v="0"/>
    <n v="4"/>
    <x v="4"/>
    <x v="4"/>
    <x v="0"/>
    <x v="0"/>
    <n v="95"/>
    <x v="0"/>
    <x v="5"/>
    <n v="6505556809"/>
    <s v="9408 Furth Circle"/>
    <m/>
    <x v="5"/>
    <s v="CA"/>
    <n v="94217"/>
    <x v="0"/>
    <x v="0"/>
    <s v="Hirano"/>
    <s v="Juri"/>
    <x v="1"/>
  </r>
  <r>
    <n v="10180"/>
    <n v="29"/>
    <n v="86.13"/>
    <n v="9"/>
    <n v="2497.77"/>
    <d v="2003-11-11T00:00:00"/>
    <x v="0"/>
    <n v="4"/>
    <x v="5"/>
    <x v="5"/>
    <x v="0"/>
    <x v="0"/>
    <n v="95"/>
    <x v="0"/>
    <x v="6"/>
    <s v="20.16.1555"/>
    <s v="184, chausse de Tournai"/>
    <m/>
    <x v="6"/>
    <m/>
    <n v="59000"/>
    <x v="1"/>
    <x v="1"/>
    <s v="Rance"/>
    <s v="Martine"/>
    <x v="0"/>
  </r>
  <r>
    <n v="10188"/>
    <n v="48"/>
    <n v="100"/>
    <n v="1"/>
    <n v="5512.32"/>
    <d v="2003-11-18T00:00:00"/>
    <x v="0"/>
    <n v="4"/>
    <x v="5"/>
    <x v="5"/>
    <x v="0"/>
    <x v="0"/>
    <n v="95"/>
    <x v="0"/>
    <x v="7"/>
    <s v="+47 2267 3215"/>
    <s v="Drammen 121, PR 744 Sentrum"/>
    <m/>
    <x v="7"/>
    <m/>
    <s v="N 5804"/>
    <x v="2"/>
    <x v="1"/>
    <s v="Oeztan"/>
    <s v="Veysel"/>
    <x v="1"/>
  </r>
  <r>
    <n v="10201"/>
    <n v="22"/>
    <n v="98.57"/>
    <n v="2"/>
    <n v="2168.54"/>
    <d v="2003-12-01T00:00:00"/>
    <x v="0"/>
    <n v="4"/>
    <x v="6"/>
    <x v="6"/>
    <x v="0"/>
    <x v="0"/>
    <n v="95"/>
    <x v="0"/>
    <x v="8"/>
    <n v="6505555787"/>
    <s v="5557 North Pendale Street"/>
    <m/>
    <x v="4"/>
    <s v="CA"/>
    <m/>
    <x v="0"/>
    <x v="0"/>
    <s v="Murphy"/>
    <s v="Julie"/>
    <x v="0"/>
  </r>
  <r>
    <n v="10211"/>
    <n v="41"/>
    <n v="100"/>
    <n v="14"/>
    <n v="4708.4399999999996"/>
    <d v="2004-01-15T00:00:00"/>
    <x v="0"/>
    <n v="1"/>
    <x v="7"/>
    <x v="7"/>
    <x v="1"/>
    <x v="0"/>
    <n v="95"/>
    <x v="0"/>
    <x v="9"/>
    <s v="(1) 47.55.6555"/>
    <s v="25, rue Lauriston"/>
    <m/>
    <x v="2"/>
    <m/>
    <n v="75016"/>
    <x v="1"/>
    <x v="1"/>
    <s v="Perrier"/>
    <s v="Dominique"/>
    <x v="1"/>
  </r>
  <r>
    <n v="10223"/>
    <n v="37"/>
    <n v="100"/>
    <n v="1"/>
    <n v="3965.66"/>
    <d v="2004-02-20T00:00:00"/>
    <x v="0"/>
    <n v="1"/>
    <x v="0"/>
    <x v="0"/>
    <x v="1"/>
    <x v="0"/>
    <n v="95"/>
    <x v="0"/>
    <x v="10"/>
    <s v="03 9520 4555"/>
    <s v="636 St Kilda Road"/>
    <s v="Level 3"/>
    <x v="8"/>
    <s v="Victoria"/>
    <n v="3004"/>
    <x v="3"/>
    <x v="2"/>
    <s v="Ferguson"/>
    <s v="Peter"/>
    <x v="1"/>
  </r>
  <r>
    <n v="10237"/>
    <n v="23"/>
    <n v="100"/>
    <n v="7"/>
    <n v="2333.12"/>
    <d v="2004-04-05T00:00:00"/>
    <x v="0"/>
    <n v="2"/>
    <x v="8"/>
    <x v="8"/>
    <x v="1"/>
    <x v="0"/>
    <n v="95"/>
    <x v="0"/>
    <x v="11"/>
    <n v="2125551500"/>
    <s v="2678 Kingston Rd."/>
    <s v="Suite 101"/>
    <x v="0"/>
    <s v="NY"/>
    <n v="10022"/>
    <x v="0"/>
    <x v="0"/>
    <s v="Frick"/>
    <s v="Michael"/>
    <x v="0"/>
  </r>
  <r>
    <n v="10251"/>
    <n v="28"/>
    <n v="100"/>
    <n v="2"/>
    <n v="3188.64"/>
    <d v="2004-05-18T00:00:00"/>
    <x v="0"/>
    <n v="2"/>
    <x v="1"/>
    <x v="1"/>
    <x v="1"/>
    <x v="0"/>
    <n v="95"/>
    <x v="0"/>
    <x v="12"/>
    <n v="2015559350"/>
    <s v="7476 Moss Rd."/>
    <m/>
    <x v="9"/>
    <s v="NJ"/>
    <n v="94019"/>
    <x v="0"/>
    <x v="0"/>
    <s v="Brown"/>
    <s v="William"/>
    <x v="1"/>
  </r>
  <r>
    <n v="10263"/>
    <n v="34"/>
    <n v="100"/>
    <n v="2"/>
    <n v="3676.76"/>
    <d v="2004-06-28T00:00:00"/>
    <x v="0"/>
    <n v="2"/>
    <x v="9"/>
    <x v="9"/>
    <x v="1"/>
    <x v="0"/>
    <n v="95"/>
    <x v="0"/>
    <x v="13"/>
    <n v="2035552570"/>
    <s v="25593 South Bay Ln."/>
    <m/>
    <x v="10"/>
    <s v="CT"/>
    <n v="97562"/>
    <x v="0"/>
    <x v="0"/>
    <s v="King"/>
    <s v="Julie"/>
    <x v="1"/>
  </r>
  <r>
    <n v="10275"/>
    <n v="45"/>
    <n v="92.83"/>
    <n v="1"/>
    <n v="4177.3500000000004"/>
    <d v="2004-07-23T00:00:00"/>
    <x v="0"/>
    <n v="3"/>
    <x v="2"/>
    <x v="2"/>
    <x v="1"/>
    <x v="0"/>
    <n v="95"/>
    <x v="0"/>
    <x v="14"/>
    <s v="40.67.8555"/>
    <s v="67, rue des Cinquante Otages"/>
    <m/>
    <x v="11"/>
    <m/>
    <n v="44000"/>
    <x v="1"/>
    <x v="1"/>
    <s v="Labrune"/>
    <s v="Janine"/>
    <x v="1"/>
  </r>
  <r>
    <n v="10285"/>
    <n v="36"/>
    <n v="100"/>
    <n v="6"/>
    <n v="4099.68"/>
    <d v="2004-08-27T00:00:00"/>
    <x v="0"/>
    <n v="3"/>
    <x v="3"/>
    <x v="3"/>
    <x v="1"/>
    <x v="0"/>
    <n v="95"/>
    <x v="0"/>
    <x v="15"/>
    <n v="6175558555"/>
    <s v="39323 Spinnaker Dr."/>
    <m/>
    <x v="12"/>
    <s v="MA"/>
    <n v="51247"/>
    <x v="0"/>
    <x v="0"/>
    <s v="Hernandez"/>
    <s v="Marta"/>
    <x v="1"/>
  </r>
  <r>
    <n v="10299"/>
    <n v="23"/>
    <n v="100"/>
    <n v="9"/>
    <n v="2597.39"/>
    <d v="2004-09-30T00:00:00"/>
    <x v="0"/>
    <n v="3"/>
    <x v="10"/>
    <x v="10"/>
    <x v="1"/>
    <x v="0"/>
    <n v="95"/>
    <x v="0"/>
    <x v="16"/>
    <s v="90-224 8555"/>
    <s v="Keskuskatu 45"/>
    <m/>
    <x v="13"/>
    <m/>
    <n v="21240"/>
    <x v="4"/>
    <x v="1"/>
    <s v="Karttunen"/>
    <s v="Matti"/>
    <x v="0"/>
  </r>
  <r>
    <n v="10309"/>
    <n v="41"/>
    <n v="100"/>
    <n v="5"/>
    <n v="4394.38"/>
    <d v="2004-10-15T00:00:00"/>
    <x v="0"/>
    <n v="4"/>
    <x v="4"/>
    <x v="4"/>
    <x v="1"/>
    <x v="0"/>
    <n v="95"/>
    <x v="0"/>
    <x v="17"/>
    <s v="07-98 9555"/>
    <s v="Erling Skakkes gate 78"/>
    <m/>
    <x v="14"/>
    <m/>
    <n v="4110"/>
    <x v="2"/>
    <x v="1"/>
    <s v="Bergulfsen"/>
    <s v="Jonas"/>
    <x v="1"/>
  </r>
  <r>
    <n v="10318"/>
    <n v="46"/>
    <n v="94.74"/>
    <n v="1"/>
    <n v="4358.04"/>
    <d v="2004-11-02T00:00:00"/>
    <x v="0"/>
    <n v="4"/>
    <x v="5"/>
    <x v="5"/>
    <x v="1"/>
    <x v="0"/>
    <n v="95"/>
    <x v="0"/>
    <x v="18"/>
    <n v="2155551555"/>
    <s v="7586 Pompton St."/>
    <m/>
    <x v="15"/>
    <s v="PA"/>
    <n v="70267"/>
    <x v="0"/>
    <x v="0"/>
    <s v="Yu"/>
    <s v="Kyung"/>
    <x v="1"/>
  </r>
  <r>
    <n v="10329"/>
    <n v="42"/>
    <n v="100"/>
    <n v="1"/>
    <n v="4396.1400000000003"/>
    <d v="2004-11-15T00:00:00"/>
    <x v="0"/>
    <n v="4"/>
    <x v="5"/>
    <x v="5"/>
    <x v="1"/>
    <x v="0"/>
    <n v="95"/>
    <x v="0"/>
    <x v="0"/>
    <n v="2125557818"/>
    <s v="897 Long Airport Avenue"/>
    <m/>
    <x v="0"/>
    <s v="NY"/>
    <n v="10022"/>
    <x v="0"/>
    <x v="0"/>
    <s v="Yu"/>
    <s v="Kwai"/>
    <x v="1"/>
  </r>
  <r>
    <n v="10341"/>
    <n v="41"/>
    <n v="100"/>
    <n v="9"/>
    <n v="7737.93"/>
    <d v="2004-11-24T00:00:00"/>
    <x v="0"/>
    <n v="4"/>
    <x v="5"/>
    <x v="5"/>
    <x v="1"/>
    <x v="0"/>
    <n v="95"/>
    <x v="0"/>
    <x v="19"/>
    <s v="6562-9555"/>
    <s v="Geislweg 14"/>
    <m/>
    <x v="16"/>
    <m/>
    <n v="5020"/>
    <x v="5"/>
    <x v="1"/>
    <s v="Pipps"/>
    <s v="Georg"/>
    <x v="2"/>
  </r>
  <r>
    <n v="10361"/>
    <n v="20"/>
    <n v="72.55"/>
    <n v="13"/>
    <n v="1451"/>
    <d v="2004-12-17T00:00:00"/>
    <x v="0"/>
    <n v="4"/>
    <x v="6"/>
    <x v="6"/>
    <x v="1"/>
    <x v="0"/>
    <n v="95"/>
    <x v="0"/>
    <x v="20"/>
    <s v="+61 2 9495 8555"/>
    <s v="Monitor Money Building, 815 Pacific Hwy"/>
    <s v="Level 6"/>
    <x v="17"/>
    <s v="NSW"/>
    <n v="2067"/>
    <x v="3"/>
    <x v="2"/>
    <s v="Huxley"/>
    <s v="Adrian"/>
    <x v="0"/>
  </r>
  <r>
    <n v="10375"/>
    <n v="21"/>
    <n v="34.909999999999997"/>
    <n v="12"/>
    <n v="733.11"/>
    <d v="2005-02-03T00:00:00"/>
    <x v="0"/>
    <n v="1"/>
    <x v="0"/>
    <x v="0"/>
    <x v="2"/>
    <x v="0"/>
    <n v="95"/>
    <x v="0"/>
    <x v="14"/>
    <s v="40.67.8555"/>
    <s v="67, rue des Cinquante Otages"/>
    <m/>
    <x v="11"/>
    <m/>
    <n v="44000"/>
    <x v="1"/>
    <x v="1"/>
    <s v="Labrune"/>
    <s v="Janine"/>
    <x v="0"/>
  </r>
  <r>
    <n v="10388"/>
    <n v="42"/>
    <n v="76.36"/>
    <n v="4"/>
    <n v="3207.12"/>
    <d v="2005-03-03T00:00:00"/>
    <x v="0"/>
    <n v="1"/>
    <x v="11"/>
    <x v="11"/>
    <x v="2"/>
    <x v="0"/>
    <n v="95"/>
    <x v="0"/>
    <x v="21"/>
    <n v="5085552555"/>
    <s v="1785 First Street"/>
    <m/>
    <x v="18"/>
    <s v="MA"/>
    <n v="50553"/>
    <x v="0"/>
    <x v="0"/>
    <s v="Benitez"/>
    <s v="Violeta"/>
    <x v="1"/>
  </r>
  <r>
    <n v="10403"/>
    <n v="24"/>
    <n v="100"/>
    <n v="7"/>
    <n v="2434.56"/>
    <d v="2005-04-08T00:00:00"/>
    <x v="0"/>
    <n v="2"/>
    <x v="8"/>
    <x v="8"/>
    <x v="2"/>
    <x v="0"/>
    <n v="95"/>
    <x v="0"/>
    <x v="22"/>
    <s v="(171) 555-2282"/>
    <s v="Berkeley Gardens 12  Brewery"/>
    <m/>
    <x v="19"/>
    <m/>
    <s v="WX1 6LT"/>
    <x v="6"/>
    <x v="1"/>
    <s v="Devon"/>
    <s v="Elizabeth"/>
    <x v="0"/>
  </r>
  <r>
    <n v="10417"/>
    <n v="66"/>
    <n v="100"/>
    <n v="2"/>
    <n v="7516.08"/>
    <d v="2005-05-13T00:00:00"/>
    <x v="1"/>
    <n v="2"/>
    <x v="1"/>
    <x v="1"/>
    <x v="2"/>
    <x v="0"/>
    <n v="95"/>
    <x v="0"/>
    <x v="23"/>
    <s v="(91) 555 94 44"/>
    <s v="C/ Moralzarzal, 86"/>
    <m/>
    <x v="20"/>
    <m/>
    <n v="28034"/>
    <x v="7"/>
    <x v="1"/>
    <s v="Freyre"/>
    <s v="Diego"/>
    <x v="2"/>
  </r>
  <r>
    <n v="10103"/>
    <n v="26"/>
    <n v="100"/>
    <n v="11"/>
    <n v="5404.62"/>
    <d v="2003-01-29T00:00:00"/>
    <x v="0"/>
    <n v="1"/>
    <x v="7"/>
    <x v="7"/>
    <x v="0"/>
    <x v="1"/>
    <n v="214"/>
    <x v="1"/>
    <x v="17"/>
    <s v="07-98 9555"/>
    <s v="Erling Skakkes gate 78"/>
    <m/>
    <x v="14"/>
    <m/>
    <n v="4110"/>
    <x v="2"/>
    <x v="1"/>
    <s v="Bergulfsen"/>
    <s v="Jonas"/>
    <x v="1"/>
  </r>
  <r>
    <n v="10112"/>
    <n v="29"/>
    <n v="100"/>
    <n v="1"/>
    <n v="7209.11"/>
    <d v="2003-03-24T00:00:00"/>
    <x v="0"/>
    <n v="1"/>
    <x v="11"/>
    <x v="11"/>
    <x v="0"/>
    <x v="1"/>
    <n v="214"/>
    <x v="1"/>
    <x v="24"/>
    <s v="0921-12 3555"/>
    <s v="Berguvsv„gen  8"/>
    <m/>
    <x v="21"/>
    <m/>
    <s v="S-958 22"/>
    <x v="8"/>
    <x v="1"/>
    <s v="Berglund"/>
    <s v="Christina"/>
    <x v="2"/>
  </r>
  <r>
    <n v="10126"/>
    <n v="38"/>
    <n v="100"/>
    <n v="11"/>
    <n v="7329.06"/>
    <d v="2003-05-28T00:00:00"/>
    <x v="0"/>
    <n v="2"/>
    <x v="1"/>
    <x v="1"/>
    <x v="0"/>
    <x v="1"/>
    <n v="214"/>
    <x v="1"/>
    <x v="25"/>
    <s v="(91) 555 22 82"/>
    <s v="C/ Araquil, 67"/>
    <m/>
    <x v="20"/>
    <m/>
    <n v="28023"/>
    <x v="7"/>
    <x v="1"/>
    <s v="Sommer"/>
    <s v="Mart¡n"/>
    <x v="2"/>
  </r>
  <r>
    <n v="10140"/>
    <n v="37"/>
    <n v="100"/>
    <n v="11"/>
    <n v="7374.1"/>
    <d v="2003-07-24T00:00:00"/>
    <x v="0"/>
    <n v="3"/>
    <x v="2"/>
    <x v="2"/>
    <x v="0"/>
    <x v="1"/>
    <n v="214"/>
    <x v="1"/>
    <x v="5"/>
    <n v="6505556809"/>
    <s v="9408 Furth Circle"/>
    <m/>
    <x v="5"/>
    <s v="CA"/>
    <n v="94217"/>
    <x v="0"/>
    <x v="0"/>
    <s v="Hirano"/>
    <s v="Juri"/>
    <x v="2"/>
  </r>
  <r>
    <n v="10150"/>
    <n v="45"/>
    <n v="100"/>
    <n v="8"/>
    <n v="10993.5"/>
    <d v="2003-09-19T00:00:00"/>
    <x v="0"/>
    <n v="3"/>
    <x v="10"/>
    <x v="10"/>
    <x v="0"/>
    <x v="1"/>
    <n v="214"/>
    <x v="1"/>
    <x v="26"/>
    <s v="+65 221 7555"/>
    <s v="Bronz Sok., Bronz Apt. 3/6 Tesvikiye"/>
    <m/>
    <x v="22"/>
    <m/>
    <n v="79903"/>
    <x v="9"/>
    <x v="3"/>
    <s v="Natividad"/>
    <s v="Eric"/>
    <x v="2"/>
  </r>
  <r>
    <n v="10163"/>
    <n v="21"/>
    <n v="100"/>
    <n v="1"/>
    <n v="4860.24"/>
    <d v="2003-10-20T00:00:00"/>
    <x v="0"/>
    <n v="4"/>
    <x v="4"/>
    <x v="4"/>
    <x v="0"/>
    <x v="1"/>
    <n v="214"/>
    <x v="1"/>
    <x v="27"/>
    <n v="2125558493"/>
    <s v="5905 Pompton St."/>
    <s v="Suite 750"/>
    <x v="0"/>
    <s v="NY"/>
    <n v="10022"/>
    <x v="0"/>
    <x v="0"/>
    <s v="Hernandez"/>
    <s v="Maria"/>
    <x v="1"/>
  </r>
  <r>
    <n v="10174"/>
    <n v="34"/>
    <n v="100"/>
    <n v="4"/>
    <n v="8014.82"/>
    <d v="2003-11-06T00:00:00"/>
    <x v="0"/>
    <n v="4"/>
    <x v="5"/>
    <x v="5"/>
    <x v="0"/>
    <x v="1"/>
    <n v="214"/>
    <x v="1"/>
    <x v="28"/>
    <s v="61-7-3844-6555"/>
    <s v="31 Duncan St. West End"/>
    <m/>
    <x v="23"/>
    <s v="Queensland"/>
    <n v="4101"/>
    <x v="3"/>
    <x v="2"/>
    <s v="Calaghan"/>
    <s v="Tony"/>
    <x v="2"/>
  </r>
  <r>
    <n v="10183"/>
    <n v="23"/>
    <n v="100"/>
    <n v="8"/>
    <n v="5372.57"/>
    <d v="2003-11-13T00:00:00"/>
    <x v="0"/>
    <n v="4"/>
    <x v="5"/>
    <x v="5"/>
    <x v="0"/>
    <x v="1"/>
    <n v="214"/>
    <x v="1"/>
    <x v="29"/>
    <n v="2155554695"/>
    <s v="782 First Street"/>
    <m/>
    <x v="24"/>
    <s v="PA"/>
    <n v="71270"/>
    <x v="0"/>
    <x v="0"/>
    <s v="Cervantes"/>
    <s v="Francisca"/>
    <x v="1"/>
  </r>
  <r>
    <n v="10194"/>
    <n v="42"/>
    <n v="100"/>
    <n v="11"/>
    <n v="7290.36"/>
    <d v="2003-11-25T00:00:00"/>
    <x v="0"/>
    <n v="4"/>
    <x v="5"/>
    <x v="5"/>
    <x v="0"/>
    <x v="1"/>
    <n v="214"/>
    <x v="1"/>
    <x v="30"/>
    <s v="78.32.5555"/>
    <s v="2, rue du Commerce"/>
    <m/>
    <x v="25"/>
    <m/>
    <n v="69004"/>
    <x v="1"/>
    <x v="1"/>
    <s v="Saveley"/>
    <s v="Mary"/>
    <x v="2"/>
  </r>
  <r>
    <n v="10206"/>
    <n v="47"/>
    <n v="100"/>
    <n v="6"/>
    <n v="9064.89"/>
    <d v="2003-12-05T00:00:00"/>
    <x v="0"/>
    <n v="4"/>
    <x v="6"/>
    <x v="6"/>
    <x v="0"/>
    <x v="1"/>
    <n v="214"/>
    <x v="1"/>
    <x v="31"/>
    <s v="(604) 555-3392"/>
    <s v="1900 Oak St."/>
    <m/>
    <x v="26"/>
    <s v="BC"/>
    <s v="V3F 2K1"/>
    <x v="10"/>
    <x v="0"/>
    <s v="Tannamuri"/>
    <s v="Yoshi"/>
    <x v="2"/>
  </r>
  <r>
    <n v="10215"/>
    <n v="35"/>
    <n v="100"/>
    <n v="3"/>
    <n v="6075.3"/>
    <d v="2004-01-29T00:00:00"/>
    <x v="0"/>
    <n v="1"/>
    <x v="7"/>
    <x v="7"/>
    <x v="1"/>
    <x v="1"/>
    <n v="214"/>
    <x v="1"/>
    <x v="32"/>
    <n v="3105553722"/>
    <s v="3675 Furth Circle"/>
    <m/>
    <x v="27"/>
    <s v="CA"/>
    <n v="94019"/>
    <x v="0"/>
    <x v="0"/>
    <s v="Thompson"/>
    <s v="Steve"/>
    <x v="1"/>
  </r>
  <r>
    <n v="10228"/>
    <n v="29"/>
    <n v="100"/>
    <n v="2"/>
    <n v="6463.23"/>
    <d v="2004-03-10T00:00:00"/>
    <x v="0"/>
    <n v="1"/>
    <x v="11"/>
    <x v="11"/>
    <x v="1"/>
    <x v="1"/>
    <n v="214"/>
    <x v="1"/>
    <x v="33"/>
    <n v="6175555555"/>
    <s v="4658 Baden Av."/>
    <m/>
    <x v="12"/>
    <s v="MA"/>
    <n v="51247"/>
    <x v="0"/>
    <x v="0"/>
    <s v="Tseng"/>
    <s v="Kyung"/>
    <x v="1"/>
  </r>
  <r>
    <n v="10245"/>
    <n v="34"/>
    <n v="100"/>
    <n v="9"/>
    <n v="6120.34"/>
    <d v="2004-05-04T00:00:00"/>
    <x v="0"/>
    <n v="2"/>
    <x v="1"/>
    <x v="1"/>
    <x v="1"/>
    <x v="1"/>
    <n v="214"/>
    <x v="1"/>
    <x v="34"/>
    <n v="2035559545"/>
    <s v="567 North Pendale Street"/>
    <m/>
    <x v="28"/>
    <s v="CT"/>
    <n v="97823"/>
    <x v="0"/>
    <x v="0"/>
    <s v="Murphy"/>
    <s v="Leslie"/>
    <x v="1"/>
  </r>
  <r>
    <n v="10258"/>
    <n v="32"/>
    <n v="100"/>
    <n v="6"/>
    <n v="7680.64"/>
    <d v="2004-06-15T00:00:00"/>
    <x v="0"/>
    <n v="2"/>
    <x v="9"/>
    <x v="9"/>
    <x v="1"/>
    <x v="1"/>
    <n v="214"/>
    <x v="1"/>
    <x v="35"/>
    <s v="+81 3 3584 0555"/>
    <s v="2-2-8 Roppongi"/>
    <m/>
    <x v="29"/>
    <s v="Tokyo"/>
    <s v="106-0032"/>
    <x v="11"/>
    <x v="3"/>
    <s v="Shimamura"/>
    <s v="Akiko"/>
    <x v="2"/>
  </r>
  <r>
    <n v="10270"/>
    <n v="21"/>
    <n v="100"/>
    <n v="9"/>
    <n v="4905.3900000000003"/>
    <d v="2004-07-19T00:00:00"/>
    <x v="0"/>
    <n v="3"/>
    <x v="2"/>
    <x v="2"/>
    <x v="1"/>
    <x v="1"/>
    <n v="214"/>
    <x v="1"/>
    <x v="20"/>
    <s v="+61 2 9495 8555"/>
    <s v="Monitor Money Building, 815 Pacific Hwy"/>
    <s v="Level 6"/>
    <x v="17"/>
    <s v="NSW"/>
    <n v="2067"/>
    <x v="3"/>
    <x v="2"/>
    <s v="Huxley"/>
    <s v="Adrian"/>
    <x v="1"/>
  </r>
  <r>
    <n v="10280"/>
    <n v="34"/>
    <n v="100"/>
    <n v="2"/>
    <n v="8014.82"/>
    <d v="2004-08-17T00:00:00"/>
    <x v="0"/>
    <n v="3"/>
    <x v="3"/>
    <x v="3"/>
    <x v="1"/>
    <x v="1"/>
    <n v="214"/>
    <x v="1"/>
    <x v="36"/>
    <s v="011-4988555"/>
    <s v="Via Monte Bianco 34"/>
    <m/>
    <x v="30"/>
    <m/>
    <n v="10100"/>
    <x v="12"/>
    <x v="1"/>
    <s v="Accorti"/>
    <s v="Paolo"/>
    <x v="2"/>
  </r>
  <r>
    <n v="10291"/>
    <n v="37"/>
    <n v="100"/>
    <n v="11"/>
    <n v="7136.19"/>
    <d v="2004-09-08T00:00:00"/>
    <x v="0"/>
    <n v="3"/>
    <x v="10"/>
    <x v="10"/>
    <x v="1"/>
    <x v="1"/>
    <n v="214"/>
    <x v="1"/>
    <x v="37"/>
    <s v="0695-34 6555"/>
    <s v="?kergatan 24"/>
    <m/>
    <x v="31"/>
    <m/>
    <s v="S-844 67"/>
    <x v="8"/>
    <x v="1"/>
    <s v="Larsson"/>
    <s v="Maria"/>
    <x v="2"/>
  </r>
  <r>
    <n v="10304"/>
    <n v="47"/>
    <n v="100"/>
    <n v="6"/>
    <n v="10172.700000000001"/>
    <d v="2004-10-11T00:00:00"/>
    <x v="0"/>
    <n v="4"/>
    <x v="4"/>
    <x v="4"/>
    <x v="1"/>
    <x v="1"/>
    <n v="214"/>
    <x v="1"/>
    <x v="38"/>
    <s v="30.59.8555"/>
    <s v="67, avenue de l'Europe"/>
    <m/>
    <x v="32"/>
    <m/>
    <n v="78000"/>
    <x v="1"/>
    <x v="1"/>
    <s v="Tonini"/>
    <s v="Daniel"/>
    <x v="2"/>
  </r>
  <r>
    <n v="10312"/>
    <n v="48"/>
    <n v="100"/>
    <n v="3"/>
    <n v="11623.7"/>
    <d v="2004-10-21T00:00:00"/>
    <x v="0"/>
    <n v="4"/>
    <x v="4"/>
    <x v="4"/>
    <x v="1"/>
    <x v="1"/>
    <n v="214"/>
    <x v="1"/>
    <x v="39"/>
    <n v="4155551450"/>
    <s v="5677 Strong St."/>
    <m/>
    <x v="33"/>
    <s v="CA"/>
    <n v="97562"/>
    <x v="0"/>
    <x v="0"/>
    <s v="Nelson"/>
    <s v="Valarie"/>
    <x v="2"/>
  </r>
  <r>
    <n v="10322"/>
    <n v="40"/>
    <n v="100"/>
    <n v="1"/>
    <n v="6000.4"/>
    <d v="2004-11-04T00:00:00"/>
    <x v="0"/>
    <n v="4"/>
    <x v="5"/>
    <x v="5"/>
    <x v="1"/>
    <x v="1"/>
    <n v="214"/>
    <x v="1"/>
    <x v="40"/>
    <n v="6035558647"/>
    <s v="2304 Long Airport Avenue"/>
    <m/>
    <x v="34"/>
    <s v="NH"/>
    <n v="62005"/>
    <x v="0"/>
    <x v="0"/>
    <s v="Young"/>
    <s v="Valarie"/>
    <x v="1"/>
  </r>
  <r>
    <n v="10333"/>
    <n v="26"/>
    <n v="100"/>
    <n v="3"/>
    <n v="3003"/>
    <d v="2004-11-18T00:00:00"/>
    <x v="0"/>
    <n v="4"/>
    <x v="5"/>
    <x v="5"/>
    <x v="1"/>
    <x v="1"/>
    <n v="214"/>
    <x v="1"/>
    <x v="8"/>
    <n v="6505555787"/>
    <s v="5557 North Pendale Street"/>
    <m/>
    <x v="4"/>
    <s v="CA"/>
    <m/>
    <x v="0"/>
    <x v="0"/>
    <s v="Murphy"/>
    <s v="Julie"/>
    <x v="1"/>
  </r>
  <r>
    <n v="10347"/>
    <n v="30"/>
    <n v="100"/>
    <n v="1"/>
    <n v="3944.7"/>
    <d v="2004-11-29T00:00:00"/>
    <x v="0"/>
    <n v="4"/>
    <x v="5"/>
    <x v="5"/>
    <x v="1"/>
    <x v="1"/>
    <n v="214"/>
    <x v="1"/>
    <x v="10"/>
    <s v="03 9520 4555"/>
    <s v="636 St Kilda Road"/>
    <s v="Level 3"/>
    <x v="8"/>
    <s v="Victoria"/>
    <n v="3004"/>
    <x v="3"/>
    <x v="2"/>
    <s v="Ferguson"/>
    <s v="Peter"/>
    <x v="1"/>
  </r>
  <r>
    <n v="10357"/>
    <n v="32"/>
    <n v="100"/>
    <n v="10"/>
    <n v="5691.84"/>
    <d v="2004-12-10T00:00:00"/>
    <x v="0"/>
    <n v="4"/>
    <x v="6"/>
    <x v="6"/>
    <x v="1"/>
    <x v="1"/>
    <n v="214"/>
    <x v="1"/>
    <x v="39"/>
    <n v="4155551450"/>
    <s v="5677 Strong St."/>
    <m/>
    <x v="33"/>
    <s v="CA"/>
    <n v="97562"/>
    <x v="0"/>
    <x v="0"/>
    <s v="Nelson"/>
    <s v="Valarie"/>
    <x v="1"/>
  </r>
  <r>
    <n v="10369"/>
    <n v="41"/>
    <n v="100"/>
    <n v="2"/>
    <n v="4514.92"/>
    <d v="2005-01-20T00:00:00"/>
    <x v="0"/>
    <n v="1"/>
    <x v="7"/>
    <x v="7"/>
    <x v="2"/>
    <x v="1"/>
    <n v="214"/>
    <x v="1"/>
    <x v="41"/>
    <n v="6175558555"/>
    <s v="7825 Douglas Av."/>
    <m/>
    <x v="35"/>
    <s v="MA"/>
    <n v="58339"/>
    <x v="0"/>
    <x v="0"/>
    <s v="Nelson"/>
    <s v="Allen"/>
    <x v="1"/>
  </r>
  <r>
    <n v="10381"/>
    <n v="36"/>
    <n v="100"/>
    <n v="3"/>
    <n v="8254.7999999999993"/>
    <d v="2005-02-17T00:00:00"/>
    <x v="0"/>
    <n v="1"/>
    <x v="0"/>
    <x v="0"/>
    <x v="2"/>
    <x v="1"/>
    <n v="214"/>
    <x v="1"/>
    <x v="4"/>
    <n v="6505551386"/>
    <s v="7734 Strong St."/>
    <m/>
    <x v="4"/>
    <s v="CA"/>
    <m/>
    <x v="0"/>
    <x v="0"/>
    <s v="Brown"/>
    <s v="Julie"/>
    <x v="2"/>
  </r>
  <r>
    <n v="10391"/>
    <n v="24"/>
    <n v="100"/>
    <n v="4"/>
    <n v="2416.56"/>
    <d v="2005-03-09T00:00:00"/>
    <x v="0"/>
    <n v="1"/>
    <x v="11"/>
    <x v="11"/>
    <x v="2"/>
    <x v="1"/>
    <n v="214"/>
    <x v="1"/>
    <x v="42"/>
    <s v="02 9936 8555"/>
    <s v="201 Miller Street"/>
    <s v="Level 15"/>
    <x v="36"/>
    <s v="NSW"/>
    <n v="2060"/>
    <x v="3"/>
    <x v="2"/>
    <s v="O'Hara"/>
    <s v="Anna"/>
    <x v="0"/>
  </r>
  <r>
    <n v="10411"/>
    <n v="23"/>
    <n v="100"/>
    <n v="9"/>
    <n v="4140.2299999999996"/>
    <d v="2005-05-01T00:00:00"/>
    <x v="0"/>
    <n v="2"/>
    <x v="1"/>
    <x v="1"/>
    <x v="2"/>
    <x v="1"/>
    <n v="214"/>
    <x v="1"/>
    <x v="43"/>
    <s v="(514) 555-8054"/>
    <s v="43 rue St. Laurent"/>
    <m/>
    <x v="37"/>
    <s v="Quebec"/>
    <s v="H1J 1C3"/>
    <x v="10"/>
    <x v="0"/>
    <s v="Fresnisre"/>
    <s v="Jean"/>
    <x v="1"/>
  </r>
  <r>
    <n v="10424"/>
    <n v="50"/>
    <n v="100"/>
    <n v="6"/>
    <n v="12001"/>
    <d v="2005-05-31T00:00:00"/>
    <x v="2"/>
    <n v="2"/>
    <x v="1"/>
    <x v="1"/>
    <x v="2"/>
    <x v="1"/>
    <n v="214"/>
    <x v="1"/>
    <x v="23"/>
    <s v="(91) 555 94 44"/>
    <s v="C/ Moralzarzal, 86"/>
    <m/>
    <x v="20"/>
    <m/>
    <n v="28034"/>
    <x v="7"/>
    <x v="1"/>
    <s v="Freyre"/>
    <s v="Diego"/>
    <x v="2"/>
  </r>
  <r>
    <n v="10107"/>
    <n v="39"/>
    <n v="99.91"/>
    <n v="5"/>
    <n v="3896.49"/>
    <d v="2003-02-24T00:00:00"/>
    <x v="0"/>
    <n v="1"/>
    <x v="0"/>
    <x v="0"/>
    <x v="0"/>
    <x v="0"/>
    <n v="118"/>
    <x v="2"/>
    <x v="0"/>
    <n v="2125557818"/>
    <s v="897 Long Airport Avenue"/>
    <m/>
    <x v="0"/>
    <s v="NY"/>
    <n v="10022"/>
    <x v="0"/>
    <x v="0"/>
    <s v="Yu"/>
    <s v="Kwai"/>
    <x v="1"/>
  </r>
  <r>
    <n v="10120"/>
    <n v="29"/>
    <n v="96.34"/>
    <n v="3"/>
    <n v="2793.86"/>
    <d v="2003-04-29T00:00:00"/>
    <x v="0"/>
    <n v="2"/>
    <x v="8"/>
    <x v="8"/>
    <x v="0"/>
    <x v="0"/>
    <n v="118"/>
    <x v="2"/>
    <x v="10"/>
    <s v="03 9520 4555"/>
    <s v="636 St Kilda Road"/>
    <s v="Level 3"/>
    <x v="8"/>
    <s v="Victoria"/>
    <n v="3004"/>
    <x v="3"/>
    <x v="2"/>
    <s v="Ferguson"/>
    <s v="Peter"/>
    <x v="0"/>
  </r>
  <r>
    <n v="10134"/>
    <n v="27"/>
    <n v="100"/>
    <n v="5"/>
    <n v="3307.77"/>
    <d v="2003-07-01T00:00:00"/>
    <x v="0"/>
    <n v="3"/>
    <x v="2"/>
    <x v="2"/>
    <x v="0"/>
    <x v="0"/>
    <n v="118"/>
    <x v="2"/>
    <x v="2"/>
    <s v="+33 1 46 62 7555"/>
    <s v="27 rue du Colonel Pierre Avia"/>
    <m/>
    <x v="2"/>
    <m/>
    <n v="75508"/>
    <x v="1"/>
    <x v="1"/>
    <s v="Da Cunha"/>
    <s v="Daniel"/>
    <x v="1"/>
  </r>
  <r>
    <n v="10145"/>
    <n v="37"/>
    <n v="100"/>
    <n v="9"/>
    <n v="5192.95"/>
    <d v="2003-08-25T00:00:00"/>
    <x v="0"/>
    <n v="3"/>
    <x v="3"/>
    <x v="3"/>
    <x v="0"/>
    <x v="0"/>
    <n v="118"/>
    <x v="2"/>
    <x v="3"/>
    <n v="6265557265"/>
    <s v="78934 Hillside Dr."/>
    <m/>
    <x v="3"/>
    <s v="CA"/>
    <n v="90003"/>
    <x v="0"/>
    <x v="0"/>
    <s v="Young"/>
    <s v="Julie"/>
    <x v="1"/>
  </r>
  <r>
    <n v="10159"/>
    <n v="37"/>
    <n v="100"/>
    <n v="17"/>
    <n v="5016.83"/>
    <d v="2003-10-10T00:00:00"/>
    <x v="0"/>
    <n v="4"/>
    <x v="4"/>
    <x v="4"/>
    <x v="0"/>
    <x v="0"/>
    <n v="118"/>
    <x v="2"/>
    <x v="4"/>
    <n v="6505551386"/>
    <s v="7734 Strong St."/>
    <m/>
    <x v="4"/>
    <s v="CA"/>
    <m/>
    <x v="0"/>
    <x v="0"/>
    <s v="Brown"/>
    <s v="Julie"/>
    <x v="1"/>
  </r>
  <r>
    <n v="10168"/>
    <n v="27"/>
    <n v="100"/>
    <n v="4"/>
    <n v="3660.93"/>
    <d v="2003-10-28T00:00:00"/>
    <x v="0"/>
    <n v="4"/>
    <x v="4"/>
    <x v="4"/>
    <x v="0"/>
    <x v="0"/>
    <n v="118"/>
    <x v="2"/>
    <x v="5"/>
    <n v="6505556809"/>
    <s v="9408 Furth Circle"/>
    <m/>
    <x v="5"/>
    <s v="CA"/>
    <n v="94217"/>
    <x v="0"/>
    <x v="0"/>
    <s v="Hirano"/>
    <s v="Juri"/>
    <x v="1"/>
  </r>
  <r>
    <n v="10180"/>
    <n v="42"/>
    <n v="100"/>
    <n v="12"/>
    <n v="4695.6000000000004"/>
    <d v="2003-11-11T00:00:00"/>
    <x v="0"/>
    <n v="4"/>
    <x v="5"/>
    <x v="5"/>
    <x v="0"/>
    <x v="0"/>
    <n v="118"/>
    <x v="2"/>
    <x v="6"/>
    <s v="20.16.1555"/>
    <s v="184, chausse de Tournai"/>
    <m/>
    <x v="6"/>
    <m/>
    <n v="59000"/>
    <x v="1"/>
    <x v="1"/>
    <s v="Rance"/>
    <s v="Martine"/>
    <x v="1"/>
  </r>
  <r>
    <n v="10188"/>
    <n v="38"/>
    <n v="96.34"/>
    <n v="4"/>
    <n v="3660.92"/>
    <d v="2003-11-18T00:00:00"/>
    <x v="0"/>
    <n v="4"/>
    <x v="5"/>
    <x v="5"/>
    <x v="0"/>
    <x v="0"/>
    <n v="118"/>
    <x v="2"/>
    <x v="7"/>
    <s v="+47 2267 3215"/>
    <s v="Drammen 121, PR 744 Sentrum"/>
    <m/>
    <x v="7"/>
    <m/>
    <s v="N 5804"/>
    <x v="2"/>
    <x v="1"/>
    <s v="Oeztan"/>
    <s v="Veysel"/>
    <x v="1"/>
  </r>
  <r>
    <n v="10201"/>
    <n v="24"/>
    <n v="100"/>
    <n v="5"/>
    <n v="3025.92"/>
    <d v="2003-12-01T00:00:00"/>
    <x v="0"/>
    <n v="4"/>
    <x v="6"/>
    <x v="6"/>
    <x v="0"/>
    <x v="0"/>
    <n v="118"/>
    <x v="2"/>
    <x v="8"/>
    <n v="6505555787"/>
    <s v="5557 North Pendale Street"/>
    <m/>
    <x v="4"/>
    <s v="CA"/>
    <m/>
    <x v="0"/>
    <x v="0"/>
    <s v="Murphy"/>
    <s v="Julie"/>
    <x v="1"/>
  </r>
  <r>
    <n v="10210"/>
    <n v="23"/>
    <n v="100"/>
    <n v="2"/>
    <n v="3009.09"/>
    <d v="2004-01-12T00:00:00"/>
    <x v="0"/>
    <n v="1"/>
    <x v="7"/>
    <x v="7"/>
    <x v="1"/>
    <x v="0"/>
    <n v="118"/>
    <x v="2"/>
    <x v="44"/>
    <s v="+81 06 6342 5555"/>
    <s v="Dojima Avanza 4F, 1-6-20 Dojima, Kita-ku"/>
    <m/>
    <x v="38"/>
    <s v="Osaka"/>
    <s v="530-0003"/>
    <x v="11"/>
    <x v="3"/>
    <s v="Kentary"/>
    <s v="Mory"/>
    <x v="1"/>
  </r>
  <r>
    <n v="10223"/>
    <n v="47"/>
    <n v="100"/>
    <n v="4"/>
    <n v="5422.39"/>
    <d v="2004-02-20T00:00:00"/>
    <x v="0"/>
    <n v="1"/>
    <x v="0"/>
    <x v="0"/>
    <x v="1"/>
    <x v="0"/>
    <n v="118"/>
    <x v="2"/>
    <x v="10"/>
    <s v="03 9520 4555"/>
    <s v="636 St Kilda Road"/>
    <s v="Level 3"/>
    <x v="8"/>
    <s v="Victoria"/>
    <n v="3004"/>
    <x v="3"/>
    <x v="2"/>
    <s v="Ferguson"/>
    <s v="Peter"/>
    <x v="1"/>
  </r>
  <r>
    <n v="10236"/>
    <n v="22"/>
    <n v="100"/>
    <n v="1"/>
    <n v="2852.08"/>
    <d v="2004-04-03T00:00:00"/>
    <x v="0"/>
    <n v="2"/>
    <x v="8"/>
    <x v="8"/>
    <x v="1"/>
    <x v="0"/>
    <n v="118"/>
    <x v="2"/>
    <x v="45"/>
    <n v="2155559857"/>
    <s v="11328 Douglas Av."/>
    <m/>
    <x v="24"/>
    <s v="PA"/>
    <n v="71270"/>
    <x v="0"/>
    <x v="0"/>
    <s v="Hernandez"/>
    <s v="Rosa"/>
    <x v="0"/>
  </r>
  <r>
    <n v="10251"/>
    <n v="44"/>
    <n v="100"/>
    <n v="5"/>
    <n v="5756.52"/>
    <d v="2004-05-18T00:00:00"/>
    <x v="0"/>
    <n v="2"/>
    <x v="1"/>
    <x v="1"/>
    <x v="1"/>
    <x v="0"/>
    <n v="118"/>
    <x v="2"/>
    <x v="12"/>
    <n v="2015559350"/>
    <s v="7476 Moss Rd."/>
    <m/>
    <x v="9"/>
    <s v="NJ"/>
    <n v="94019"/>
    <x v="0"/>
    <x v="0"/>
    <s v="Brown"/>
    <s v="William"/>
    <x v="1"/>
  </r>
  <r>
    <n v="10263"/>
    <n v="40"/>
    <n v="100"/>
    <n v="5"/>
    <n v="4472"/>
    <d v="2004-06-28T00:00:00"/>
    <x v="0"/>
    <n v="2"/>
    <x v="9"/>
    <x v="9"/>
    <x v="1"/>
    <x v="0"/>
    <n v="118"/>
    <x v="2"/>
    <x v="13"/>
    <n v="2035552570"/>
    <s v="25593 South Bay Ln."/>
    <m/>
    <x v="10"/>
    <s v="CT"/>
    <n v="97562"/>
    <x v="0"/>
    <x v="0"/>
    <s v="King"/>
    <s v="Julie"/>
    <x v="1"/>
  </r>
  <r>
    <n v="10275"/>
    <n v="22"/>
    <n v="100"/>
    <n v="4"/>
    <n v="2904.44"/>
    <d v="2004-07-23T00:00:00"/>
    <x v="0"/>
    <n v="3"/>
    <x v="2"/>
    <x v="2"/>
    <x v="1"/>
    <x v="0"/>
    <n v="118"/>
    <x v="2"/>
    <x v="14"/>
    <s v="40.67.8555"/>
    <s v="67, rue des Cinquante Otages"/>
    <m/>
    <x v="11"/>
    <m/>
    <n v="44000"/>
    <x v="1"/>
    <x v="1"/>
    <s v="Labrune"/>
    <s v="Janine"/>
    <x v="0"/>
  </r>
  <r>
    <n v="10285"/>
    <n v="47"/>
    <n v="100"/>
    <n v="9"/>
    <n v="6484.59"/>
    <d v="2004-08-27T00:00:00"/>
    <x v="0"/>
    <n v="3"/>
    <x v="3"/>
    <x v="3"/>
    <x v="1"/>
    <x v="0"/>
    <n v="118"/>
    <x v="2"/>
    <x v="15"/>
    <n v="6175558555"/>
    <s v="39323 Spinnaker Dr."/>
    <m/>
    <x v="12"/>
    <s v="MA"/>
    <n v="51247"/>
    <x v="0"/>
    <x v="0"/>
    <s v="Hernandez"/>
    <s v="Marta"/>
    <x v="1"/>
  </r>
  <r>
    <n v="10298"/>
    <n v="39"/>
    <n v="96.34"/>
    <n v="1"/>
    <n v="3757.26"/>
    <d v="2004-09-27T00:00:00"/>
    <x v="0"/>
    <n v="3"/>
    <x v="10"/>
    <x v="10"/>
    <x v="1"/>
    <x v="0"/>
    <n v="118"/>
    <x v="2"/>
    <x v="46"/>
    <s v="40.32.2555"/>
    <s v="54, rue Royale"/>
    <m/>
    <x v="11"/>
    <m/>
    <n v="44000"/>
    <x v="1"/>
    <x v="1"/>
    <s v="Schmitt"/>
    <s v="Carine"/>
    <x v="1"/>
  </r>
  <r>
    <n v="10308"/>
    <n v="34"/>
    <n v="100"/>
    <n v="2"/>
    <n v="4043.96"/>
    <d v="2004-10-15T00:00:00"/>
    <x v="0"/>
    <n v="4"/>
    <x v="4"/>
    <x v="4"/>
    <x v="1"/>
    <x v="0"/>
    <n v="118"/>
    <x v="2"/>
    <x v="47"/>
    <n v="9145554562"/>
    <s v="3758 North Pendale Street"/>
    <m/>
    <x v="39"/>
    <s v="NY"/>
    <n v="24067"/>
    <x v="0"/>
    <x v="0"/>
    <s v="Frick"/>
    <s v="Steve"/>
    <x v="1"/>
  </r>
  <r>
    <n v="10318"/>
    <n v="45"/>
    <n v="100"/>
    <n v="4"/>
    <n v="5566.5"/>
    <d v="2004-11-02T00:00:00"/>
    <x v="0"/>
    <n v="4"/>
    <x v="5"/>
    <x v="5"/>
    <x v="1"/>
    <x v="0"/>
    <n v="118"/>
    <x v="2"/>
    <x v="18"/>
    <n v="2155551555"/>
    <s v="7586 Pompton St."/>
    <m/>
    <x v="15"/>
    <s v="PA"/>
    <n v="70267"/>
    <x v="0"/>
    <x v="0"/>
    <s v="Yu"/>
    <s v="Kyung"/>
    <x v="1"/>
  </r>
  <r>
    <n v="10329"/>
    <n v="20"/>
    <n v="100"/>
    <n v="2"/>
    <n v="3176"/>
    <d v="2004-11-15T00:00:00"/>
    <x v="0"/>
    <n v="4"/>
    <x v="5"/>
    <x v="5"/>
    <x v="1"/>
    <x v="0"/>
    <n v="118"/>
    <x v="2"/>
    <x v="0"/>
    <n v="2125557818"/>
    <s v="897 Long Airport Avenue"/>
    <m/>
    <x v="0"/>
    <s v="NY"/>
    <n v="10022"/>
    <x v="0"/>
    <x v="0"/>
    <s v="Yu"/>
    <s v="Kwai"/>
    <x v="1"/>
  </r>
  <r>
    <n v="10339"/>
    <n v="40"/>
    <n v="68.92"/>
    <n v="4"/>
    <n v="2756.8"/>
    <d v="2004-11-23T00:00:00"/>
    <x v="0"/>
    <n v="4"/>
    <x v="5"/>
    <x v="5"/>
    <x v="1"/>
    <x v="0"/>
    <n v="118"/>
    <x v="2"/>
    <x v="35"/>
    <s v="+81 3 3584 0555"/>
    <s v="2-2-8 Roppongi"/>
    <m/>
    <x v="29"/>
    <s v="Tokyo"/>
    <s v="106-0032"/>
    <x v="11"/>
    <x v="3"/>
    <s v="Shimamura"/>
    <s v="Akiko"/>
    <x v="0"/>
  </r>
  <r>
    <n v="10361"/>
    <n v="26"/>
    <n v="51.15"/>
    <n v="8"/>
    <n v="1329.9"/>
    <d v="2004-12-17T00:00:00"/>
    <x v="0"/>
    <n v="4"/>
    <x v="6"/>
    <x v="6"/>
    <x v="1"/>
    <x v="0"/>
    <n v="118"/>
    <x v="2"/>
    <x v="20"/>
    <s v="+61 2 9495 8555"/>
    <s v="Monitor Money Building, 815 Pacific Hwy"/>
    <s v="Level 6"/>
    <x v="17"/>
    <s v="NSW"/>
    <n v="2067"/>
    <x v="3"/>
    <x v="2"/>
    <s v="Huxley"/>
    <s v="Adrian"/>
    <x v="0"/>
  </r>
  <r>
    <n v="10374"/>
    <n v="39"/>
    <n v="100"/>
    <n v="5"/>
    <n v="5288.01"/>
    <d v="2005-02-02T00:00:00"/>
    <x v="0"/>
    <n v="1"/>
    <x v="0"/>
    <x v="0"/>
    <x v="2"/>
    <x v="0"/>
    <n v="118"/>
    <x v="2"/>
    <x v="28"/>
    <s v="61-7-3844-6555"/>
    <s v="31 Duncan St. West End"/>
    <m/>
    <x v="23"/>
    <s v="Queensland"/>
    <n v="4101"/>
    <x v="3"/>
    <x v="2"/>
    <s v="Calaghan"/>
    <s v="Tony"/>
    <x v="1"/>
  </r>
  <r>
    <n v="10388"/>
    <n v="50"/>
    <n v="44.51"/>
    <n v="5"/>
    <n v="2225.5"/>
    <d v="2005-03-03T00:00:00"/>
    <x v="0"/>
    <n v="1"/>
    <x v="11"/>
    <x v="11"/>
    <x v="2"/>
    <x v="0"/>
    <n v="118"/>
    <x v="2"/>
    <x v="21"/>
    <n v="5085552555"/>
    <s v="1785 First Street"/>
    <m/>
    <x v="18"/>
    <s v="MA"/>
    <n v="50553"/>
    <x v="0"/>
    <x v="0"/>
    <s v="Benitez"/>
    <s v="Violeta"/>
    <x v="0"/>
  </r>
  <r>
    <n v="10402"/>
    <n v="45"/>
    <n v="100"/>
    <n v="1"/>
    <n v="5833.8"/>
    <d v="2005-04-07T00:00:00"/>
    <x v="0"/>
    <n v="2"/>
    <x v="8"/>
    <x v="8"/>
    <x v="2"/>
    <x v="0"/>
    <n v="118"/>
    <x v="2"/>
    <x v="9"/>
    <s v="(1) 47.55.6555"/>
    <s v="25, rue Lauriston"/>
    <m/>
    <x v="2"/>
    <m/>
    <n v="75016"/>
    <x v="1"/>
    <x v="1"/>
    <s v="Perrier"/>
    <s v="Dominique"/>
    <x v="1"/>
  </r>
  <r>
    <n v="10417"/>
    <n v="45"/>
    <n v="100"/>
    <n v="5"/>
    <n v="5887.35"/>
    <d v="2005-05-13T00:00:00"/>
    <x v="1"/>
    <n v="2"/>
    <x v="1"/>
    <x v="1"/>
    <x v="2"/>
    <x v="0"/>
    <n v="118"/>
    <x v="2"/>
    <x v="23"/>
    <s v="(91) 555 94 44"/>
    <s v="C/ Moralzarzal, 86"/>
    <m/>
    <x v="20"/>
    <m/>
    <n v="28034"/>
    <x v="7"/>
    <x v="1"/>
    <s v="Freyre"/>
    <s v="Diego"/>
    <x v="1"/>
  </r>
  <r>
    <n v="10107"/>
    <n v="27"/>
    <n v="100"/>
    <n v="4"/>
    <n v="6065.55"/>
    <d v="2003-02-24T00:00:00"/>
    <x v="0"/>
    <n v="1"/>
    <x v="0"/>
    <x v="0"/>
    <x v="0"/>
    <x v="0"/>
    <n v="193"/>
    <x v="3"/>
    <x v="0"/>
    <n v="2125557818"/>
    <s v="897 Long Airport Avenue"/>
    <m/>
    <x v="0"/>
    <s v="NY"/>
    <n v="10022"/>
    <x v="0"/>
    <x v="0"/>
    <s v="Yu"/>
    <s v="Kwai"/>
    <x v="1"/>
  </r>
  <r>
    <n v="10120"/>
    <n v="46"/>
    <n v="100"/>
    <n v="2"/>
    <n v="9264.86"/>
    <d v="2003-04-29T00:00:00"/>
    <x v="0"/>
    <n v="2"/>
    <x v="8"/>
    <x v="8"/>
    <x v="0"/>
    <x v="0"/>
    <n v="193"/>
    <x v="3"/>
    <x v="10"/>
    <s v="03 9520 4555"/>
    <s v="636 St Kilda Road"/>
    <s v="Level 3"/>
    <x v="8"/>
    <s v="Victoria"/>
    <n v="3004"/>
    <x v="3"/>
    <x v="2"/>
    <s v="Ferguson"/>
    <s v="Peter"/>
    <x v="2"/>
  </r>
  <r>
    <n v="10134"/>
    <n v="31"/>
    <n v="100"/>
    <n v="4"/>
    <n v="7023.98"/>
    <d v="2003-07-01T00:00:00"/>
    <x v="0"/>
    <n v="3"/>
    <x v="2"/>
    <x v="2"/>
    <x v="0"/>
    <x v="0"/>
    <n v="193"/>
    <x v="3"/>
    <x v="2"/>
    <s v="+33 1 46 62 7555"/>
    <s v="27 rue du Colonel Pierre Avia"/>
    <m/>
    <x v="2"/>
    <m/>
    <n v="75508"/>
    <x v="1"/>
    <x v="1"/>
    <s v="Da Cunha"/>
    <s v="Daniel"/>
    <x v="2"/>
  </r>
  <r>
    <n v="10145"/>
    <n v="33"/>
    <n v="100"/>
    <n v="8"/>
    <n v="5176.38"/>
    <d v="2003-08-25T00:00:00"/>
    <x v="0"/>
    <n v="3"/>
    <x v="3"/>
    <x v="3"/>
    <x v="0"/>
    <x v="0"/>
    <n v="193"/>
    <x v="3"/>
    <x v="3"/>
    <n v="6265557265"/>
    <s v="78934 Hillside Dr."/>
    <m/>
    <x v="3"/>
    <s v="CA"/>
    <n v="90003"/>
    <x v="0"/>
    <x v="0"/>
    <s v="Young"/>
    <s v="Julie"/>
    <x v="1"/>
  </r>
  <r>
    <n v="10159"/>
    <n v="22"/>
    <n v="100"/>
    <n v="16"/>
    <n v="4132.7"/>
    <d v="2003-10-10T00:00:00"/>
    <x v="0"/>
    <n v="4"/>
    <x v="4"/>
    <x v="4"/>
    <x v="0"/>
    <x v="0"/>
    <n v="193"/>
    <x v="3"/>
    <x v="4"/>
    <n v="6505551386"/>
    <s v="7734 Strong St."/>
    <m/>
    <x v="4"/>
    <s v="CA"/>
    <m/>
    <x v="0"/>
    <x v="0"/>
    <s v="Brown"/>
    <s v="Julie"/>
    <x v="1"/>
  </r>
  <r>
    <n v="10168"/>
    <n v="20"/>
    <n v="100"/>
    <n v="3"/>
    <n v="4183"/>
    <d v="2003-10-28T00:00:00"/>
    <x v="0"/>
    <n v="4"/>
    <x v="4"/>
    <x v="4"/>
    <x v="0"/>
    <x v="0"/>
    <n v="193"/>
    <x v="3"/>
    <x v="5"/>
    <n v="6505556809"/>
    <s v="9408 Furth Circle"/>
    <m/>
    <x v="5"/>
    <s v="CA"/>
    <n v="94217"/>
    <x v="0"/>
    <x v="0"/>
    <s v="Hirano"/>
    <s v="Juri"/>
    <x v="1"/>
  </r>
  <r>
    <n v="10180"/>
    <n v="41"/>
    <n v="100"/>
    <n v="11"/>
    <n v="8892.9"/>
    <d v="2003-11-11T00:00:00"/>
    <x v="0"/>
    <n v="4"/>
    <x v="5"/>
    <x v="5"/>
    <x v="0"/>
    <x v="0"/>
    <n v="193"/>
    <x v="3"/>
    <x v="6"/>
    <s v="20.16.1555"/>
    <s v="184, chausse de Tournai"/>
    <m/>
    <x v="6"/>
    <m/>
    <n v="59000"/>
    <x v="1"/>
    <x v="1"/>
    <s v="Rance"/>
    <s v="Martine"/>
    <x v="2"/>
  </r>
  <r>
    <n v="10188"/>
    <n v="45"/>
    <n v="100"/>
    <n v="3"/>
    <n v="8714.7000000000007"/>
    <d v="2003-11-18T00:00:00"/>
    <x v="0"/>
    <n v="4"/>
    <x v="5"/>
    <x v="5"/>
    <x v="0"/>
    <x v="0"/>
    <n v="193"/>
    <x v="3"/>
    <x v="7"/>
    <s v="+47 2267 3215"/>
    <s v="Drammen 121, PR 744 Sentrum"/>
    <m/>
    <x v="7"/>
    <m/>
    <s v="N 5804"/>
    <x v="2"/>
    <x v="1"/>
    <s v="Oeztan"/>
    <s v="Veysel"/>
    <x v="2"/>
  </r>
  <r>
    <n v="10201"/>
    <n v="49"/>
    <n v="100"/>
    <n v="4"/>
    <n v="8065.89"/>
    <d v="2003-12-01T00:00:00"/>
    <x v="0"/>
    <n v="4"/>
    <x v="6"/>
    <x v="6"/>
    <x v="0"/>
    <x v="0"/>
    <n v="193"/>
    <x v="3"/>
    <x v="8"/>
    <n v="6505555787"/>
    <s v="5557 North Pendale Street"/>
    <m/>
    <x v="4"/>
    <s v="CA"/>
    <m/>
    <x v="0"/>
    <x v="0"/>
    <s v="Murphy"/>
    <s v="Julie"/>
    <x v="2"/>
  </r>
  <r>
    <n v="10210"/>
    <n v="34"/>
    <n v="100"/>
    <n v="1"/>
    <n v="6123.4"/>
    <d v="2004-01-12T00:00:00"/>
    <x v="0"/>
    <n v="1"/>
    <x v="7"/>
    <x v="7"/>
    <x v="1"/>
    <x v="0"/>
    <n v="193"/>
    <x v="3"/>
    <x v="44"/>
    <s v="+81 06 6342 5555"/>
    <s v="Dojima Avanza 4F, 1-6-20 Dojima, Kita-ku"/>
    <m/>
    <x v="38"/>
    <s v="Osaka"/>
    <s v="530-0003"/>
    <x v="11"/>
    <x v="3"/>
    <s v="Kentary"/>
    <s v="Mory"/>
    <x v="1"/>
  </r>
  <r>
    <n v="10223"/>
    <n v="49"/>
    <n v="100"/>
    <n v="3"/>
    <n v="9774.0300000000007"/>
    <d v="2004-02-20T00:00:00"/>
    <x v="0"/>
    <n v="1"/>
    <x v="0"/>
    <x v="0"/>
    <x v="1"/>
    <x v="0"/>
    <n v="193"/>
    <x v="3"/>
    <x v="10"/>
    <s v="03 9520 4555"/>
    <s v="636 St Kilda Road"/>
    <s v="Level 3"/>
    <x v="8"/>
    <s v="Victoria"/>
    <n v="3004"/>
    <x v="3"/>
    <x v="2"/>
    <s v="Ferguson"/>
    <s v="Peter"/>
    <x v="2"/>
  </r>
  <r>
    <n v="10237"/>
    <n v="39"/>
    <n v="100"/>
    <n v="9"/>
    <n v="7023.9"/>
    <d v="2004-04-05T00:00:00"/>
    <x v="0"/>
    <n v="2"/>
    <x v="8"/>
    <x v="8"/>
    <x v="1"/>
    <x v="0"/>
    <n v="193"/>
    <x v="3"/>
    <x v="11"/>
    <n v="2125551500"/>
    <s v="2678 Kingston Rd."/>
    <s v="Suite 101"/>
    <x v="0"/>
    <s v="NY"/>
    <n v="10022"/>
    <x v="0"/>
    <x v="0"/>
    <s v="Frick"/>
    <s v="Michael"/>
    <x v="2"/>
  </r>
  <r>
    <n v="10251"/>
    <n v="43"/>
    <n v="100"/>
    <n v="4"/>
    <n v="7078.23"/>
    <d v="2004-05-18T00:00:00"/>
    <x v="0"/>
    <n v="2"/>
    <x v="1"/>
    <x v="1"/>
    <x v="1"/>
    <x v="0"/>
    <n v="193"/>
    <x v="3"/>
    <x v="12"/>
    <n v="2015559350"/>
    <s v="7476 Moss Rd."/>
    <m/>
    <x v="9"/>
    <s v="NJ"/>
    <n v="94019"/>
    <x v="0"/>
    <x v="0"/>
    <s v="Brown"/>
    <s v="William"/>
    <x v="2"/>
  </r>
  <r>
    <n v="10263"/>
    <n v="41"/>
    <n v="100"/>
    <n v="4"/>
    <n v="8336.94"/>
    <d v="2004-06-28T00:00:00"/>
    <x v="0"/>
    <n v="2"/>
    <x v="9"/>
    <x v="9"/>
    <x v="1"/>
    <x v="0"/>
    <n v="193"/>
    <x v="3"/>
    <x v="13"/>
    <n v="2035552570"/>
    <s v="25593 South Bay Ln."/>
    <m/>
    <x v="10"/>
    <s v="CT"/>
    <n v="97562"/>
    <x v="0"/>
    <x v="0"/>
    <s v="King"/>
    <s v="Julie"/>
    <x v="2"/>
  </r>
  <r>
    <n v="10275"/>
    <n v="36"/>
    <n v="100"/>
    <n v="3"/>
    <n v="6901.92"/>
    <d v="2004-07-23T00:00:00"/>
    <x v="0"/>
    <n v="3"/>
    <x v="2"/>
    <x v="2"/>
    <x v="1"/>
    <x v="0"/>
    <n v="193"/>
    <x v="3"/>
    <x v="14"/>
    <s v="40.67.8555"/>
    <s v="67, rue des Cinquante Otages"/>
    <m/>
    <x v="11"/>
    <m/>
    <n v="44000"/>
    <x v="1"/>
    <x v="1"/>
    <s v="Labrune"/>
    <s v="Janine"/>
    <x v="1"/>
  </r>
  <r>
    <n v="10285"/>
    <n v="27"/>
    <n v="100"/>
    <n v="8"/>
    <n v="5438.07"/>
    <d v="2004-08-27T00:00:00"/>
    <x v="0"/>
    <n v="3"/>
    <x v="3"/>
    <x v="3"/>
    <x v="1"/>
    <x v="0"/>
    <n v="193"/>
    <x v="3"/>
    <x v="15"/>
    <n v="6175558555"/>
    <s v="39323 Spinnaker Dr."/>
    <m/>
    <x v="12"/>
    <s v="MA"/>
    <n v="51247"/>
    <x v="0"/>
    <x v="0"/>
    <s v="Hernandez"/>
    <s v="Marta"/>
    <x v="1"/>
  </r>
  <r>
    <n v="10299"/>
    <n v="29"/>
    <n v="100"/>
    <n v="11"/>
    <n v="6683.34"/>
    <d v="2004-09-30T00:00:00"/>
    <x v="0"/>
    <n v="3"/>
    <x v="10"/>
    <x v="10"/>
    <x v="1"/>
    <x v="0"/>
    <n v="193"/>
    <x v="3"/>
    <x v="16"/>
    <s v="90-224 8555"/>
    <s v="Keskuskatu 45"/>
    <m/>
    <x v="13"/>
    <m/>
    <n v="21240"/>
    <x v="4"/>
    <x v="1"/>
    <s v="Karttunen"/>
    <s v="Matti"/>
    <x v="1"/>
  </r>
  <r>
    <n v="10308"/>
    <n v="20"/>
    <n v="100"/>
    <n v="1"/>
    <n v="4570.3999999999996"/>
    <d v="2004-10-15T00:00:00"/>
    <x v="0"/>
    <n v="4"/>
    <x v="4"/>
    <x v="4"/>
    <x v="1"/>
    <x v="0"/>
    <n v="193"/>
    <x v="3"/>
    <x v="47"/>
    <n v="9145554562"/>
    <s v="3758 North Pendale Street"/>
    <m/>
    <x v="39"/>
    <s v="NY"/>
    <n v="24067"/>
    <x v="0"/>
    <x v="0"/>
    <s v="Frick"/>
    <s v="Steve"/>
    <x v="1"/>
  </r>
  <r>
    <n v="10318"/>
    <n v="37"/>
    <n v="100"/>
    <n v="3"/>
    <n v="7667.14"/>
    <d v="2004-11-02T00:00:00"/>
    <x v="0"/>
    <n v="4"/>
    <x v="5"/>
    <x v="5"/>
    <x v="1"/>
    <x v="0"/>
    <n v="193"/>
    <x v="3"/>
    <x v="18"/>
    <n v="2155551555"/>
    <s v="7586 Pompton St."/>
    <m/>
    <x v="15"/>
    <s v="PA"/>
    <n v="70267"/>
    <x v="0"/>
    <x v="0"/>
    <s v="Yu"/>
    <s v="Kyung"/>
    <x v="2"/>
  </r>
  <r>
    <n v="10329"/>
    <n v="26"/>
    <n v="100"/>
    <n v="3"/>
    <n v="5868.2"/>
    <d v="2004-11-15T00:00:00"/>
    <x v="0"/>
    <n v="4"/>
    <x v="5"/>
    <x v="5"/>
    <x v="1"/>
    <x v="0"/>
    <n v="193"/>
    <x v="3"/>
    <x v="0"/>
    <n v="2125557818"/>
    <s v="897 Long Airport Avenue"/>
    <m/>
    <x v="0"/>
    <s v="NY"/>
    <n v="10022"/>
    <x v="0"/>
    <x v="0"/>
    <s v="Yu"/>
    <s v="Kwai"/>
    <x v="1"/>
  </r>
  <r>
    <n v="10339"/>
    <n v="39"/>
    <n v="76.67"/>
    <n v="3"/>
    <n v="2990.13"/>
    <d v="2004-11-23T00:00:00"/>
    <x v="0"/>
    <n v="4"/>
    <x v="5"/>
    <x v="5"/>
    <x v="1"/>
    <x v="0"/>
    <n v="193"/>
    <x v="3"/>
    <x v="35"/>
    <s v="+81 3 3584 0555"/>
    <s v="2-2-8 Roppongi"/>
    <m/>
    <x v="29"/>
    <s v="Tokyo"/>
    <s v="106-0032"/>
    <x v="11"/>
    <x v="3"/>
    <s v="Shimamura"/>
    <s v="Akiko"/>
    <x v="0"/>
  </r>
  <r>
    <n v="10362"/>
    <n v="22"/>
    <n v="100"/>
    <n v="4"/>
    <n v="3664.1"/>
    <d v="2005-01-05T00:00:00"/>
    <x v="0"/>
    <n v="1"/>
    <x v="7"/>
    <x v="7"/>
    <x v="2"/>
    <x v="0"/>
    <n v="193"/>
    <x v="3"/>
    <x v="5"/>
    <n v="6505556809"/>
    <s v="9408 Furth Circle"/>
    <m/>
    <x v="5"/>
    <s v="CA"/>
    <n v="94217"/>
    <x v="0"/>
    <x v="0"/>
    <s v="Hirano"/>
    <s v="Juri"/>
    <x v="1"/>
  </r>
  <r>
    <n v="10374"/>
    <n v="22"/>
    <n v="100"/>
    <n v="1"/>
    <n v="3834.38"/>
    <d v="2005-02-02T00:00:00"/>
    <x v="0"/>
    <n v="1"/>
    <x v="0"/>
    <x v="0"/>
    <x v="2"/>
    <x v="0"/>
    <n v="193"/>
    <x v="3"/>
    <x v="28"/>
    <s v="61-7-3844-6555"/>
    <s v="31 Duncan St. West End"/>
    <m/>
    <x v="23"/>
    <s v="Queensland"/>
    <n v="4101"/>
    <x v="3"/>
    <x v="2"/>
    <s v="Calaghan"/>
    <s v="Tony"/>
    <x v="1"/>
  </r>
  <r>
    <n v="10388"/>
    <n v="21"/>
    <n v="86.77"/>
    <n v="7"/>
    <n v="1822.17"/>
    <d v="2005-03-03T00:00:00"/>
    <x v="0"/>
    <n v="1"/>
    <x v="11"/>
    <x v="11"/>
    <x v="2"/>
    <x v="0"/>
    <n v="193"/>
    <x v="3"/>
    <x v="21"/>
    <n v="5085552555"/>
    <s v="1785 First Street"/>
    <m/>
    <x v="18"/>
    <s v="MA"/>
    <n v="50553"/>
    <x v="0"/>
    <x v="0"/>
    <s v="Benitez"/>
    <s v="Violeta"/>
    <x v="0"/>
  </r>
  <r>
    <n v="10403"/>
    <n v="66"/>
    <n v="100"/>
    <n v="9"/>
    <n v="11886.6"/>
    <d v="2005-04-08T00:00:00"/>
    <x v="0"/>
    <n v="2"/>
    <x v="8"/>
    <x v="8"/>
    <x v="2"/>
    <x v="0"/>
    <n v="193"/>
    <x v="3"/>
    <x v="22"/>
    <s v="(171) 555-2282"/>
    <s v="Berkeley Gardens 12  Brewery"/>
    <m/>
    <x v="19"/>
    <m/>
    <s v="WX1 6LT"/>
    <x v="6"/>
    <x v="1"/>
    <s v="Devon"/>
    <s v="Elizabeth"/>
    <x v="2"/>
  </r>
  <r>
    <n v="10417"/>
    <n v="56"/>
    <n v="100"/>
    <n v="4"/>
    <n v="9218.16"/>
    <d v="2005-05-13T00:00:00"/>
    <x v="1"/>
    <n v="2"/>
    <x v="1"/>
    <x v="1"/>
    <x v="2"/>
    <x v="0"/>
    <n v="193"/>
    <x v="3"/>
    <x v="23"/>
    <s v="(91) 555 94 44"/>
    <s v="C/ Moralzarzal, 86"/>
    <m/>
    <x v="20"/>
    <m/>
    <n v="28034"/>
    <x v="7"/>
    <x v="1"/>
    <s v="Freyre"/>
    <s v="Diego"/>
    <x v="2"/>
  </r>
  <r>
    <n v="10105"/>
    <n v="50"/>
    <n v="100"/>
    <n v="2"/>
    <n v="7208"/>
    <d v="2003-02-11T00:00:00"/>
    <x v="0"/>
    <n v="1"/>
    <x v="0"/>
    <x v="0"/>
    <x v="0"/>
    <x v="1"/>
    <n v="136"/>
    <x v="4"/>
    <x v="48"/>
    <s v="31 12 3555"/>
    <s v="Vinb'ltet 34"/>
    <m/>
    <x v="40"/>
    <m/>
    <n v="1734"/>
    <x v="13"/>
    <x v="1"/>
    <s v="Petersen"/>
    <s v="Jytte"/>
    <x v="2"/>
  </r>
  <r>
    <n v="10119"/>
    <n v="46"/>
    <n v="100"/>
    <n v="11"/>
    <n v="5004.8"/>
    <d v="2003-04-28T00:00:00"/>
    <x v="0"/>
    <n v="2"/>
    <x v="8"/>
    <x v="8"/>
    <x v="0"/>
    <x v="1"/>
    <n v="136"/>
    <x v="4"/>
    <x v="19"/>
    <s v="6562-9555"/>
    <s v="Geislweg 14"/>
    <m/>
    <x v="16"/>
    <m/>
    <n v="5020"/>
    <x v="5"/>
    <x v="1"/>
    <s v="Pipps"/>
    <s v="Georg"/>
    <x v="1"/>
  </r>
  <r>
    <n v="10129"/>
    <n v="33"/>
    <n v="100"/>
    <n v="2"/>
    <n v="4398.24"/>
    <d v="2003-06-12T00:00:00"/>
    <x v="0"/>
    <n v="2"/>
    <x v="9"/>
    <x v="9"/>
    <x v="0"/>
    <x v="1"/>
    <n v="136"/>
    <x v="4"/>
    <x v="49"/>
    <s v="(171) 555-0297"/>
    <s v="35 King George"/>
    <m/>
    <x v="41"/>
    <m/>
    <s v="WX3 6FW"/>
    <x v="6"/>
    <x v="1"/>
    <s v="Brown"/>
    <s v="Ann"/>
    <x v="1"/>
  </r>
  <r>
    <n v="10143"/>
    <n v="49"/>
    <n v="100"/>
    <n v="15"/>
    <n v="5597.76"/>
    <d v="2003-08-10T00:00:00"/>
    <x v="0"/>
    <n v="3"/>
    <x v="3"/>
    <x v="3"/>
    <x v="0"/>
    <x v="1"/>
    <n v="136"/>
    <x v="4"/>
    <x v="50"/>
    <n v="5085559555"/>
    <s v="4575 Hillside Dr."/>
    <m/>
    <x v="18"/>
    <s v="MA"/>
    <n v="50553"/>
    <x v="0"/>
    <x v="0"/>
    <s v="Tam"/>
    <s v="Wing C"/>
    <x v="1"/>
  </r>
  <r>
    <n v="10155"/>
    <n v="32"/>
    <n v="100"/>
    <n v="13"/>
    <n v="4526.08"/>
    <d v="2003-10-06T00:00:00"/>
    <x v="0"/>
    <n v="4"/>
    <x v="4"/>
    <x v="4"/>
    <x v="0"/>
    <x v="1"/>
    <n v="136"/>
    <x v="4"/>
    <x v="16"/>
    <s v="90-224 8555"/>
    <s v="Keskuskatu 45"/>
    <m/>
    <x v="13"/>
    <m/>
    <n v="21240"/>
    <x v="4"/>
    <x v="1"/>
    <s v="Karttunen"/>
    <s v="Matti"/>
    <x v="1"/>
  </r>
  <r>
    <n v="10167"/>
    <n v="44"/>
    <n v="100"/>
    <n v="9"/>
    <n v="5924.16"/>
    <d v="2003-10-23T00:00:00"/>
    <x v="3"/>
    <n v="4"/>
    <x v="4"/>
    <x v="4"/>
    <x v="0"/>
    <x v="1"/>
    <n v="136"/>
    <x v="4"/>
    <x v="37"/>
    <s v="0695-34 6555"/>
    <s v="?kergatan 24"/>
    <m/>
    <x v="31"/>
    <m/>
    <s v="S-844 67"/>
    <x v="8"/>
    <x v="1"/>
    <s v="Larsson"/>
    <s v="Maria"/>
    <x v="1"/>
  </r>
  <r>
    <n v="10178"/>
    <n v="24"/>
    <n v="100"/>
    <n v="12"/>
    <n v="3492.48"/>
    <d v="2003-11-08T00:00:00"/>
    <x v="0"/>
    <n v="4"/>
    <x v="5"/>
    <x v="5"/>
    <x v="0"/>
    <x v="1"/>
    <n v="136"/>
    <x v="4"/>
    <x v="51"/>
    <s v="61.77.6555"/>
    <s v="1 rue Alsace-Lorraine"/>
    <m/>
    <x v="42"/>
    <m/>
    <n v="31000"/>
    <x v="1"/>
    <x v="1"/>
    <s v="Roulet"/>
    <s v="Annette"/>
    <x v="1"/>
  </r>
  <r>
    <n v="10186"/>
    <n v="26"/>
    <n v="100"/>
    <n v="9"/>
    <n v="3854.24"/>
    <d v="2003-11-14T00:00:00"/>
    <x v="0"/>
    <n v="4"/>
    <x v="5"/>
    <x v="5"/>
    <x v="0"/>
    <x v="1"/>
    <n v="136"/>
    <x v="4"/>
    <x v="52"/>
    <s v="(171) 555-7555"/>
    <s v="120 Hanover Sq."/>
    <m/>
    <x v="41"/>
    <m/>
    <s v="WA1 1DP"/>
    <x v="6"/>
    <x v="1"/>
    <s v="Hardy"/>
    <s v="Thomas"/>
    <x v="1"/>
  </r>
  <r>
    <n v="10197"/>
    <n v="45"/>
    <n v="100"/>
    <n v="6"/>
    <n v="5324.4"/>
    <d v="2003-11-26T00:00:00"/>
    <x v="0"/>
    <n v="4"/>
    <x v="5"/>
    <x v="5"/>
    <x v="0"/>
    <x v="1"/>
    <n v="136"/>
    <x v="4"/>
    <x v="53"/>
    <s v="(93) 203 4555"/>
    <s v="Rambla de Catalu¤a, 23"/>
    <m/>
    <x v="43"/>
    <m/>
    <n v="8022"/>
    <x v="7"/>
    <x v="1"/>
    <s v="Saavedra"/>
    <s v="Eduardo"/>
    <x v="1"/>
  </r>
  <r>
    <n v="10209"/>
    <n v="39"/>
    <n v="100"/>
    <n v="8"/>
    <n v="5197.92"/>
    <d v="2004-01-09T00:00:00"/>
    <x v="0"/>
    <n v="1"/>
    <x v="7"/>
    <x v="7"/>
    <x v="1"/>
    <x v="1"/>
    <n v="136"/>
    <x v="4"/>
    <x v="54"/>
    <n v="2155554369"/>
    <s v="6047 Douglas Av."/>
    <m/>
    <x v="44"/>
    <s v="CA"/>
    <m/>
    <x v="0"/>
    <x v="0"/>
    <s v="Chandler"/>
    <s v="Michael"/>
    <x v="1"/>
  </r>
  <r>
    <n v="10222"/>
    <n v="49"/>
    <n v="100"/>
    <n v="12"/>
    <n v="5997.6"/>
    <d v="2004-02-19T00:00:00"/>
    <x v="0"/>
    <n v="1"/>
    <x v="0"/>
    <x v="0"/>
    <x v="1"/>
    <x v="1"/>
    <n v="136"/>
    <x v="4"/>
    <x v="55"/>
    <n v="7605558146"/>
    <s v="361 Furth Circle"/>
    <m/>
    <x v="45"/>
    <s v="CA"/>
    <n v="91217"/>
    <x v="0"/>
    <x v="0"/>
    <s v="Thompson"/>
    <s v="Valarie"/>
    <x v="1"/>
  </r>
  <r>
    <n v="10248"/>
    <n v="20"/>
    <n v="100"/>
    <n v="3"/>
    <n v="2910.4"/>
    <d v="2004-05-07T00:00:00"/>
    <x v="3"/>
    <n v="2"/>
    <x v="1"/>
    <x v="1"/>
    <x v="1"/>
    <x v="1"/>
    <n v="136"/>
    <x v="4"/>
    <x v="0"/>
    <n v="2125557818"/>
    <s v="897 Long Airport Avenue"/>
    <m/>
    <x v="0"/>
    <s v="NY"/>
    <n v="10022"/>
    <x v="0"/>
    <x v="0"/>
    <s v="Yu"/>
    <s v="Kwai"/>
    <x v="0"/>
  </r>
  <r>
    <n v="10261"/>
    <n v="27"/>
    <n v="100"/>
    <n v="1"/>
    <n v="3378.24"/>
    <d v="2004-06-17T00:00:00"/>
    <x v="0"/>
    <n v="2"/>
    <x v="9"/>
    <x v="9"/>
    <x v="1"/>
    <x v="1"/>
    <n v="136"/>
    <x v="4"/>
    <x v="43"/>
    <s v="(514) 555-8054"/>
    <s v="43 rue St. Laurent"/>
    <m/>
    <x v="37"/>
    <s v="Quebec"/>
    <s v="H1J 1C3"/>
    <x v="10"/>
    <x v="0"/>
    <s v="Fresnisre"/>
    <s v="Jean"/>
    <x v="1"/>
  </r>
  <r>
    <n v="10273"/>
    <n v="30"/>
    <n v="100"/>
    <n v="4"/>
    <n v="3508.8"/>
    <d v="2004-07-21T00:00:00"/>
    <x v="0"/>
    <n v="3"/>
    <x v="2"/>
    <x v="2"/>
    <x v="1"/>
    <x v="1"/>
    <n v="136"/>
    <x v="4"/>
    <x v="56"/>
    <s v="(02) 5554 67"/>
    <s v="Rue Joseph-Bens 532"/>
    <m/>
    <x v="46"/>
    <m/>
    <s v="B-1180"/>
    <x v="14"/>
    <x v="1"/>
    <s v="Dewey"/>
    <s v="Catherine"/>
    <x v="1"/>
  </r>
  <r>
    <n v="10283"/>
    <n v="25"/>
    <n v="100"/>
    <n v="6"/>
    <n v="2992"/>
    <d v="2004-08-20T00:00:00"/>
    <x v="0"/>
    <n v="3"/>
    <x v="3"/>
    <x v="3"/>
    <x v="1"/>
    <x v="1"/>
    <n v="136"/>
    <x v="4"/>
    <x v="57"/>
    <s v="(604) 555-4555"/>
    <s v="23 Tsawassen Blvd."/>
    <m/>
    <x v="47"/>
    <s v="BC"/>
    <s v="T2F 8M4"/>
    <x v="10"/>
    <x v="0"/>
    <s v="Lincoln"/>
    <s v="Elizabeth"/>
    <x v="0"/>
  </r>
  <r>
    <n v="10295"/>
    <n v="24"/>
    <n v="100"/>
    <n v="1"/>
    <n v="3427.2"/>
    <d v="2004-09-10T00:00:00"/>
    <x v="0"/>
    <n v="3"/>
    <x v="10"/>
    <x v="10"/>
    <x v="1"/>
    <x v="1"/>
    <n v="136"/>
    <x v="4"/>
    <x v="58"/>
    <n v="6175559555"/>
    <s v="8616 Spinnaker Dr."/>
    <m/>
    <x v="48"/>
    <s v="MA"/>
    <n v="51003"/>
    <x v="0"/>
    <x v="0"/>
    <s v="Yoshido"/>
    <s v="Juri"/>
    <x v="1"/>
  </r>
  <r>
    <n v="10307"/>
    <n v="22"/>
    <n v="100"/>
    <n v="9"/>
    <n v="2692.8"/>
    <d v="2004-10-14T00:00:00"/>
    <x v="0"/>
    <n v="4"/>
    <x v="4"/>
    <x v="4"/>
    <x v="1"/>
    <x v="1"/>
    <n v="136"/>
    <x v="4"/>
    <x v="29"/>
    <n v="2155554695"/>
    <s v="782 First Street"/>
    <m/>
    <x v="24"/>
    <s v="PA"/>
    <n v="71270"/>
    <x v="0"/>
    <x v="0"/>
    <s v="Cervantes"/>
    <s v="Francisca"/>
    <x v="0"/>
  </r>
  <r>
    <n v="10316"/>
    <n v="33"/>
    <n v="100"/>
    <n v="17"/>
    <n v="4128.96"/>
    <d v="2004-11-01T00:00:00"/>
    <x v="0"/>
    <n v="4"/>
    <x v="5"/>
    <x v="5"/>
    <x v="1"/>
    <x v="1"/>
    <n v="136"/>
    <x v="4"/>
    <x v="59"/>
    <s v="(198) 555-8888"/>
    <s v="Garden House Crowther Way"/>
    <m/>
    <x v="49"/>
    <s v="Isle of Wight"/>
    <s v="PO31 7PJ"/>
    <x v="6"/>
    <x v="1"/>
    <s v="Bennett"/>
    <s v="Helen"/>
    <x v="1"/>
  </r>
  <r>
    <n v="10325"/>
    <n v="47"/>
    <n v="64.930000000000007"/>
    <n v="6"/>
    <n v="3051.71"/>
    <d v="2004-11-05T00:00:00"/>
    <x v="0"/>
    <n v="4"/>
    <x v="5"/>
    <x v="5"/>
    <x v="1"/>
    <x v="1"/>
    <n v="136"/>
    <x v="4"/>
    <x v="17"/>
    <s v="07-98 9555"/>
    <s v="Erling Skakkes gate 78"/>
    <m/>
    <x v="14"/>
    <m/>
    <n v="4110"/>
    <x v="2"/>
    <x v="1"/>
    <s v="Bergulfsen"/>
    <s v="Jonas"/>
    <x v="1"/>
  </r>
  <r>
    <n v="10337"/>
    <n v="25"/>
    <n v="48.05"/>
    <n v="8"/>
    <n v="1201.25"/>
    <d v="2004-11-21T00:00:00"/>
    <x v="0"/>
    <n v="4"/>
    <x v="5"/>
    <x v="5"/>
    <x v="1"/>
    <x v="1"/>
    <n v="136"/>
    <x v="4"/>
    <x v="27"/>
    <n v="2125558493"/>
    <s v="5905 Pompton St."/>
    <s v="Suite 750"/>
    <x v="0"/>
    <s v="NY"/>
    <n v="10022"/>
    <x v="0"/>
    <x v="0"/>
    <s v="Hernandez"/>
    <s v="Maria"/>
    <x v="0"/>
  </r>
  <r>
    <n v="10350"/>
    <n v="26"/>
    <n v="75.47"/>
    <n v="5"/>
    <n v="1962.22"/>
    <d v="2004-12-02T00:00:00"/>
    <x v="0"/>
    <n v="4"/>
    <x v="6"/>
    <x v="6"/>
    <x v="1"/>
    <x v="1"/>
    <n v="136"/>
    <x v="4"/>
    <x v="23"/>
    <s v="(91) 555 94 44"/>
    <s v="C/ Moralzarzal, 86"/>
    <m/>
    <x v="20"/>
    <m/>
    <n v="28034"/>
    <x v="7"/>
    <x v="1"/>
    <s v="Freyre"/>
    <s v="Diego"/>
    <x v="0"/>
  </r>
  <r>
    <n v="10359"/>
    <n v="48"/>
    <n v="54.68"/>
    <n v="6"/>
    <n v="2624.64"/>
    <d v="2004-12-15T00:00:00"/>
    <x v="0"/>
    <n v="4"/>
    <x v="6"/>
    <x v="6"/>
    <x v="1"/>
    <x v="1"/>
    <n v="136"/>
    <x v="4"/>
    <x v="1"/>
    <s v="26.47.1555"/>
    <s v="59 rue de l'Abbaye"/>
    <m/>
    <x v="1"/>
    <m/>
    <n v="51100"/>
    <x v="1"/>
    <x v="1"/>
    <s v="Henriot"/>
    <s v="Paul"/>
    <x v="0"/>
  </r>
  <r>
    <n v="10373"/>
    <n v="39"/>
    <n v="100"/>
    <n v="3"/>
    <n v="4046.25"/>
    <d v="2005-01-31T00:00:00"/>
    <x v="0"/>
    <n v="1"/>
    <x v="7"/>
    <x v="7"/>
    <x v="2"/>
    <x v="1"/>
    <n v="136"/>
    <x v="4"/>
    <x v="60"/>
    <s v="981-443655"/>
    <s v="Torikatu 38"/>
    <m/>
    <x v="50"/>
    <m/>
    <n v="90110"/>
    <x v="4"/>
    <x v="1"/>
    <s v="Koskitalo"/>
    <s v="Pirkko"/>
    <x v="1"/>
  </r>
  <r>
    <n v="10384"/>
    <n v="34"/>
    <n v="100"/>
    <n v="4"/>
    <n v="4846.7"/>
    <d v="2005-02-23T00:00:00"/>
    <x v="0"/>
    <n v="1"/>
    <x v="0"/>
    <x v="0"/>
    <x v="2"/>
    <x v="1"/>
    <n v="136"/>
    <x v="4"/>
    <x v="4"/>
    <n v="6505551386"/>
    <s v="7734 Strong St."/>
    <m/>
    <x v="4"/>
    <s v="CA"/>
    <m/>
    <x v="0"/>
    <x v="0"/>
    <s v="Brown"/>
    <s v="Julie"/>
    <x v="1"/>
  </r>
  <r>
    <n v="10395"/>
    <n v="32"/>
    <n v="100"/>
    <n v="2"/>
    <n v="3370.56"/>
    <d v="2005-03-17T00:00:00"/>
    <x v="0"/>
    <n v="1"/>
    <x v="11"/>
    <x v="11"/>
    <x v="2"/>
    <x v="1"/>
    <n v="136"/>
    <x v="4"/>
    <x v="2"/>
    <s v="+33 1 46 62 7555"/>
    <s v="27 rue du Colonel Pierre Avia"/>
    <m/>
    <x v="2"/>
    <m/>
    <n v="75508"/>
    <x v="1"/>
    <x v="1"/>
    <s v="Da Cunha"/>
    <s v="Daniel"/>
    <x v="1"/>
  </r>
  <r>
    <n v="10400"/>
    <n v="64"/>
    <n v="100"/>
    <n v="9"/>
    <n v="9661.44"/>
    <d v="2005-04-01T00:00:00"/>
    <x v="0"/>
    <n v="2"/>
    <x v="8"/>
    <x v="8"/>
    <x v="2"/>
    <x v="1"/>
    <n v="136"/>
    <x v="4"/>
    <x v="61"/>
    <n v="4085553659"/>
    <s v="3086 Ingle Ln."/>
    <m/>
    <x v="51"/>
    <s v="CA"/>
    <n v="94217"/>
    <x v="0"/>
    <x v="0"/>
    <s v="Frick"/>
    <s v="Sue"/>
    <x v="2"/>
  </r>
  <r>
    <n v="10414"/>
    <n v="19"/>
    <n v="100"/>
    <n v="3"/>
    <n v="2764.88"/>
    <d v="2005-05-06T00:00:00"/>
    <x v="4"/>
    <n v="2"/>
    <x v="1"/>
    <x v="1"/>
    <x v="2"/>
    <x v="1"/>
    <n v="136"/>
    <x v="4"/>
    <x v="58"/>
    <n v="6175559555"/>
    <s v="8616 Spinnaker Dr."/>
    <m/>
    <x v="48"/>
    <s v="MA"/>
    <n v="51003"/>
    <x v="0"/>
    <x v="0"/>
    <s v="Yoshido"/>
    <s v="Juri"/>
    <x v="0"/>
  </r>
  <r>
    <n v="10103"/>
    <n v="42"/>
    <n v="100"/>
    <n v="4"/>
    <n v="5398.26"/>
    <d v="2003-01-29T00:00:00"/>
    <x v="0"/>
    <n v="1"/>
    <x v="7"/>
    <x v="7"/>
    <x v="0"/>
    <x v="1"/>
    <n v="147"/>
    <x v="5"/>
    <x v="17"/>
    <s v="07-98 9555"/>
    <s v="Erling Skakkes gate 78"/>
    <m/>
    <x v="14"/>
    <m/>
    <n v="4110"/>
    <x v="2"/>
    <x v="1"/>
    <s v="Bergulfsen"/>
    <s v="Jonas"/>
    <x v="1"/>
  </r>
  <r>
    <n v="10114"/>
    <n v="31"/>
    <n v="100"/>
    <n v="8"/>
    <n v="4305.28"/>
    <d v="2003-04-01T00:00:00"/>
    <x v="0"/>
    <n v="2"/>
    <x v="8"/>
    <x v="8"/>
    <x v="0"/>
    <x v="1"/>
    <n v="147"/>
    <x v="5"/>
    <x v="62"/>
    <s v="(1) 42.34.2555"/>
    <s v="265, boulevard Charonne"/>
    <m/>
    <x v="2"/>
    <m/>
    <n v="75012"/>
    <x v="1"/>
    <x v="1"/>
    <s v="Bertrand"/>
    <s v="Marie"/>
    <x v="1"/>
  </r>
  <r>
    <n v="10126"/>
    <n v="22"/>
    <n v="100"/>
    <n v="4"/>
    <n v="3347.74"/>
    <d v="2003-05-28T00:00:00"/>
    <x v="0"/>
    <n v="2"/>
    <x v="1"/>
    <x v="1"/>
    <x v="0"/>
    <x v="1"/>
    <n v="147"/>
    <x v="5"/>
    <x v="25"/>
    <s v="(91) 555 22 82"/>
    <s v="C/ Araquil, 67"/>
    <m/>
    <x v="20"/>
    <m/>
    <n v="28023"/>
    <x v="7"/>
    <x v="1"/>
    <s v="Sommer"/>
    <s v="Mart¡n"/>
    <x v="1"/>
  </r>
  <r>
    <n v="10140"/>
    <n v="26"/>
    <n v="100"/>
    <n v="4"/>
    <n v="3188.12"/>
    <d v="2003-07-24T00:00:00"/>
    <x v="0"/>
    <n v="3"/>
    <x v="2"/>
    <x v="2"/>
    <x v="0"/>
    <x v="1"/>
    <n v="147"/>
    <x v="5"/>
    <x v="5"/>
    <n v="6505556809"/>
    <s v="9408 Furth Circle"/>
    <m/>
    <x v="5"/>
    <s v="CA"/>
    <n v="94217"/>
    <x v="0"/>
    <x v="0"/>
    <s v="Hirano"/>
    <s v="Juri"/>
    <x v="1"/>
  </r>
  <r>
    <n v="10150"/>
    <n v="20"/>
    <n v="100"/>
    <n v="1"/>
    <n v="3191.2"/>
    <d v="2003-09-19T00:00:00"/>
    <x v="0"/>
    <n v="3"/>
    <x v="10"/>
    <x v="10"/>
    <x v="0"/>
    <x v="1"/>
    <n v="147"/>
    <x v="5"/>
    <x v="26"/>
    <s v="+65 221 7555"/>
    <s v="Bronz Sok., Bronz Apt. 3/6 Tesvikiye"/>
    <m/>
    <x v="22"/>
    <m/>
    <n v="79903"/>
    <x v="9"/>
    <x v="3"/>
    <s v="Natividad"/>
    <s v="Eric"/>
    <x v="1"/>
  </r>
  <r>
    <n v="10164"/>
    <n v="21"/>
    <n v="100"/>
    <n v="2"/>
    <n v="3536.82"/>
    <d v="2003-10-21T00:00:00"/>
    <x v="5"/>
    <n v="4"/>
    <x v="4"/>
    <x v="4"/>
    <x v="0"/>
    <x v="1"/>
    <n v="147"/>
    <x v="5"/>
    <x v="63"/>
    <s v="7675-3555"/>
    <s v="Kirchgasse 6"/>
    <m/>
    <x v="52"/>
    <m/>
    <n v="8010"/>
    <x v="5"/>
    <x v="1"/>
    <s v="Mendel"/>
    <s v="Roland"/>
    <x v="1"/>
  </r>
  <r>
    <n v="10175"/>
    <n v="33"/>
    <n v="100"/>
    <n v="9"/>
    <n v="5362.83"/>
    <d v="2003-11-06T00:00:00"/>
    <x v="0"/>
    <n v="4"/>
    <x v="5"/>
    <x v="5"/>
    <x v="0"/>
    <x v="1"/>
    <n v="147"/>
    <x v="5"/>
    <x v="49"/>
    <s v="(171) 555-0297"/>
    <s v="35 King George"/>
    <m/>
    <x v="41"/>
    <m/>
    <s v="WX3 6FW"/>
    <x v="6"/>
    <x v="1"/>
    <s v="Brown"/>
    <s v="Ann"/>
    <x v="1"/>
  </r>
  <r>
    <n v="10183"/>
    <n v="28"/>
    <n v="100"/>
    <n v="1"/>
    <n v="3433.36"/>
    <d v="2003-11-13T00:00:00"/>
    <x v="0"/>
    <n v="4"/>
    <x v="5"/>
    <x v="5"/>
    <x v="0"/>
    <x v="1"/>
    <n v="147"/>
    <x v="5"/>
    <x v="29"/>
    <n v="2155554695"/>
    <s v="782 First Street"/>
    <m/>
    <x v="24"/>
    <s v="PA"/>
    <n v="71270"/>
    <x v="0"/>
    <x v="0"/>
    <s v="Cervantes"/>
    <s v="Francisca"/>
    <x v="1"/>
  </r>
  <r>
    <n v="10194"/>
    <n v="26"/>
    <n v="100"/>
    <n v="4"/>
    <n v="4263.74"/>
    <d v="2003-11-25T00:00:00"/>
    <x v="0"/>
    <n v="4"/>
    <x v="5"/>
    <x v="5"/>
    <x v="0"/>
    <x v="1"/>
    <n v="147"/>
    <x v="5"/>
    <x v="30"/>
    <s v="78.32.5555"/>
    <s v="2, rue du Commerce"/>
    <m/>
    <x v="25"/>
    <m/>
    <n v="69004"/>
    <x v="1"/>
    <x v="1"/>
    <s v="Saveley"/>
    <s v="Mary"/>
    <x v="1"/>
  </r>
  <r>
    <n v="10207"/>
    <n v="31"/>
    <n v="100"/>
    <n v="15"/>
    <n v="4076.19"/>
    <d v="2003-12-09T00:00:00"/>
    <x v="0"/>
    <n v="4"/>
    <x v="6"/>
    <x v="6"/>
    <x v="0"/>
    <x v="1"/>
    <n v="147"/>
    <x v="5"/>
    <x v="64"/>
    <n v="6175552555"/>
    <s v="6251 Ingle Ln."/>
    <m/>
    <x v="48"/>
    <s v="MA"/>
    <n v="51003"/>
    <x v="0"/>
    <x v="0"/>
    <s v="Franco"/>
    <s v="Valarie"/>
    <x v="1"/>
  </r>
  <r>
    <n v="10217"/>
    <n v="48"/>
    <n v="100"/>
    <n v="4"/>
    <n v="7020.48"/>
    <d v="2004-02-04T00:00:00"/>
    <x v="0"/>
    <n v="1"/>
    <x v="0"/>
    <x v="0"/>
    <x v="1"/>
    <x v="1"/>
    <n v="147"/>
    <x v="5"/>
    <x v="65"/>
    <s v="+65 224 1555"/>
    <s v="Village Close - 106 Linden Road Sandown"/>
    <s v="2nd Floor"/>
    <x v="22"/>
    <m/>
    <n v="69045"/>
    <x v="9"/>
    <x v="2"/>
    <s v="Victorino"/>
    <s v="Wendy"/>
    <x v="2"/>
  </r>
  <r>
    <n v="10229"/>
    <n v="50"/>
    <n v="100"/>
    <n v="9"/>
    <n v="6426.5"/>
    <d v="2004-03-11T00:00:00"/>
    <x v="0"/>
    <n v="1"/>
    <x v="11"/>
    <x v="11"/>
    <x v="1"/>
    <x v="1"/>
    <n v="147"/>
    <x v="5"/>
    <x v="39"/>
    <n v="4155551450"/>
    <s v="5677 Strong St."/>
    <m/>
    <x v="33"/>
    <s v="CA"/>
    <n v="97562"/>
    <x v="0"/>
    <x v="0"/>
    <s v="Nelson"/>
    <s v="Valarie"/>
    <x v="1"/>
  </r>
  <r>
    <n v="10245"/>
    <n v="28"/>
    <n v="100"/>
    <n v="2"/>
    <n v="4591.72"/>
    <d v="2004-05-04T00:00:00"/>
    <x v="0"/>
    <n v="2"/>
    <x v="1"/>
    <x v="1"/>
    <x v="1"/>
    <x v="1"/>
    <n v="147"/>
    <x v="5"/>
    <x v="34"/>
    <n v="2035559545"/>
    <s v="567 North Pendale Street"/>
    <m/>
    <x v="28"/>
    <s v="CT"/>
    <n v="97823"/>
    <x v="0"/>
    <x v="0"/>
    <s v="Murphy"/>
    <s v="Leslie"/>
    <x v="1"/>
  </r>
  <r>
    <n v="10259"/>
    <n v="26"/>
    <n v="100"/>
    <n v="12"/>
    <n v="4033.38"/>
    <d v="2004-06-15T00:00:00"/>
    <x v="0"/>
    <n v="2"/>
    <x v="9"/>
    <x v="9"/>
    <x v="1"/>
    <x v="1"/>
    <n v="147"/>
    <x v="5"/>
    <x v="65"/>
    <s v="+65 224 1555"/>
    <s v="Village Close - 106 Linden Road Sandown"/>
    <s v="2nd Floor"/>
    <x v="22"/>
    <m/>
    <n v="69045"/>
    <x v="9"/>
    <x v="2"/>
    <s v="Victorino"/>
    <s v="Wendy"/>
    <x v="1"/>
  </r>
  <r>
    <n v="10270"/>
    <n v="32"/>
    <n v="100"/>
    <n v="2"/>
    <n v="4302.08"/>
    <d v="2004-07-19T00:00:00"/>
    <x v="0"/>
    <n v="3"/>
    <x v="2"/>
    <x v="2"/>
    <x v="1"/>
    <x v="1"/>
    <n v="147"/>
    <x v="5"/>
    <x v="20"/>
    <s v="+61 2 9495 8555"/>
    <s v="Monitor Money Building, 815 Pacific Hwy"/>
    <s v="Level 6"/>
    <x v="17"/>
    <s v="NSW"/>
    <n v="2067"/>
    <x v="3"/>
    <x v="2"/>
    <s v="Huxley"/>
    <s v="Adrian"/>
    <x v="1"/>
  </r>
  <r>
    <n v="10281"/>
    <n v="44"/>
    <n v="100"/>
    <n v="9"/>
    <n v="7020.64"/>
    <d v="2004-08-19T00:00:00"/>
    <x v="0"/>
    <n v="3"/>
    <x v="3"/>
    <x v="3"/>
    <x v="1"/>
    <x v="1"/>
    <n v="147"/>
    <x v="5"/>
    <x v="18"/>
    <n v="2155551555"/>
    <s v="7586 Pompton St."/>
    <m/>
    <x v="15"/>
    <s v="PA"/>
    <n v="70267"/>
    <x v="0"/>
    <x v="0"/>
    <s v="Yu"/>
    <s v="Kyung"/>
    <x v="2"/>
  </r>
  <r>
    <n v="10291"/>
    <n v="30"/>
    <n v="100"/>
    <n v="4"/>
    <n v="3855.9"/>
    <d v="2004-09-08T00:00:00"/>
    <x v="0"/>
    <n v="3"/>
    <x v="10"/>
    <x v="10"/>
    <x v="1"/>
    <x v="1"/>
    <n v="147"/>
    <x v="5"/>
    <x v="37"/>
    <s v="0695-34 6555"/>
    <s v="?kergatan 24"/>
    <m/>
    <x v="31"/>
    <m/>
    <s v="S-844 67"/>
    <x v="8"/>
    <x v="1"/>
    <s v="Larsson"/>
    <s v="Maria"/>
    <x v="1"/>
  </r>
  <r>
    <n v="10305"/>
    <n v="38"/>
    <n v="100"/>
    <n v="13"/>
    <n v="6680.78"/>
    <d v="2004-10-13T00:00:00"/>
    <x v="0"/>
    <n v="4"/>
    <x v="4"/>
    <x v="4"/>
    <x v="1"/>
    <x v="1"/>
    <n v="147"/>
    <x v="5"/>
    <x v="15"/>
    <n v="6175558555"/>
    <s v="39323 Spinnaker Dr."/>
    <m/>
    <x v="12"/>
    <s v="MA"/>
    <n v="51247"/>
    <x v="0"/>
    <x v="0"/>
    <s v="Hernandez"/>
    <s v="Marta"/>
    <x v="1"/>
  </r>
  <r>
    <n v="10313"/>
    <n v="40"/>
    <n v="100"/>
    <n v="7"/>
    <n v="6678"/>
    <d v="2004-10-22T00:00:00"/>
    <x v="0"/>
    <n v="4"/>
    <x v="4"/>
    <x v="4"/>
    <x v="1"/>
    <x v="1"/>
    <n v="147"/>
    <x v="5"/>
    <x v="31"/>
    <s v="(604) 555-3392"/>
    <s v="1900 Oak St."/>
    <m/>
    <x v="26"/>
    <s v="BC"/>
    <s v="V3F 2K1"/>
    <x v="10"/>
    <x v="0"/>
    <s v="Tannamuri"/>
    <s v="Yoshi"/>
    <x v="1"/>
  </r>
  <r>
    <n v="10322"/>
    <n v="46"/>
    <n v="61.99"/>
    <n v="8"/>
    <n v="2851.54"/>
    <d v="2004-11-04T00:00:00"/>
    <x v="0"/>
    <n v="4"/>
    <x v="5"/>
    <x v="5"/>
    <x v="1"/>
    <x v="1"/>
    <n v="147"/>
    <x v="5"/>
    <x v="40"/>
    <n v="6035558647"/>
    <s v="2304 Long Airport Avenue"/>
    <m/>
    <x v="34"/>
    <s v="NH"/>
    <n v="62005"/>
    <x v="0"/>
    <x v="0"/>
    <s v="Young"/>
    <s v="Valarie"/>
    <x v="0"/>
  </r>
  <r>
    <n v="10334"/>
    <n v="26"/>
    <n v="100"/>
    <n v="2"/>
    <n v="3188.12"/>
    <d v="2004-11-19T00:00:00"/>
    <x v="4"/>
    <n v="4"/>
    <x v="5"/>
    <x v="5"/>
    <x v="1"/>
    <x v="1"/>
    <n v="147"/>
    <x v="5"/>
    <x v="24"/>
    <s v="0921-12 3555"/>
    <s v="Berguvsv„gen  8"/>
    <m/>
    <x v="21"/>
    <m/>
    <s v="S-958 22"/>
    <x v="8"/>
    <x v="1"/>
    <s v="Berglund"/>
    <s v="Christina"/>
    <x v="1"/>
  </r>
  <r>
    <n v="10347"/>
    <n v="27"/>
    <n v="100"/>
    <n v="2"/>
    <n v="4428"/>
    <d v="2004-11-29T00:00:00"/>
    <x v="0"/>
    <n v="4"/>
    <x v="5"/>
    <x v="5"/>
    <x v="1"/>
    <x v="1"/>
    <n v="147"/>
    <x v="5"/>
    <x v="10"/>
    <s v="03 9520 4555"/>
    <s v="636 St Kilda Road"/>
    <s v="Level 3"/>
    <x v="8"/>
    <s v="Victoria"/>
    <n v="3004"/>
    <x v="3"/>
    <x v="2"/>
    <s v="Ferguson"/>
    <s v="Peter"/>
    <x v="1"/>
  </r>
  <r>
    <n v="10357"/>
    <n v="43"/>
    <n v="100"/>
    <n v="9"/>
    <n v="5780.92"/>
    <d v="2004-12-10T00:00:00"/>
    <x v="0"/>
    <n v="4"/>
    <x v="6"/>
    <x v="6"/>
    <x v="1"/>
    <x v="1"/>
    <n v="147"/>
    <x v="5"/>
    <x v="39"/>
    <n v="4155551450"/>
    <s v="5677 Strong St."/>
    <m/>
    <x v="33"/>
    <s v="CA"/>
    <n v="97562"/>
    <x v="0"/>
    <x v="0"/>
    <s v="Nelson"/>
    <s v="Valarie"/>
    <x v="1"/>
  </r>
  <r>
    <n v="10370"/>
    <n v="35"/>
    <n v="65.63"/>
    <n v="4"/>
    <n v="2297.0500000000002"/>
    <d v="2005-01-20T00:00:00"/>
    <x v="0"/>
    <n v="1"/>
    <x v="7"/>
    <x v="7"/>
    <x v="2"/>
    <x v="1"/>
    <n v="147"/>
    <x v="5"/>
    <x v="42"/>
    <s v="02 9936 8555"/>
    <s v="201 Miller Street"/>
    <s v="Level 15"/>
    <x v="36"/>
    <s v="NSW"/>
    <n v="2060"/>
    <x v="3"/>
    <x v="2"/>
    <s v="O'Hara"/>
    <s v="Anna"/>
    <x v="0"/>
  </r>
  <r>
    <n v="10381"/>
    <n v="37"/>
    <n v="100"/>
    <n v="6"/>
    <n v="6231.54"/>
    <d v="2005-02-17T00:00:00"/>
    <x v="0"/>
    <n v="1"/>
    <x v="0"/>
    <x v="0"/>
    <x v="2"/>
    <x v="1"/>
    <n v="147"/>
    <x v="5"/>
    <x v="4"/>
    <n v="6505551386"/>
    <s v="7734 Strong St."/>
    <m/>
    <x v="4"/>
    <s v="CA"/>
    <m/>
    <x v="0"/>
    <x v="0"/>
    <s v="Brown"/>
    <s v="Julie"/>
    <x v="1"/>
  </r>
  <r>
    <n v="10391"/>
    <n v="37"/>
    <n v="46.9"/>
    <n v="7"/>
    <n v="1735.3"/>
    <d v="2005-03-09T00:00:00"/>
    <x v="0"/>
    <n v="1"/>
    <x v="11"/>
    <x v="11"/>
    <x v="2"/>
    <x v="1"/>
    <n v="147"/>
    <x v="5"/>
    <x v="42"/>
    <s v="02 9936 8555"/>
    <s v="201 Miller Street"/>
    <s v="Level 15"/>
    <x v="36"/>
    <s v="NSW"/>
    <n v="2060"/>
    <x v="3"/>
    <x v="2"/>
    <s v="O'Hara"/>
    <s v="Anna"/>
    <x v="0"/>
  </r>
  <r>
    <n v="10411"/>
    <n v="27"/>
    <n v="100"/>
    <n v="2"/>
    <n v="4427.7299999999996"/>
    <d v="2005-05-01T00:00:00"/>
    <x v="0"/>
    <n v="2"/>
    <x v="1"/>
    <x v="1"/>
    <x v="2"/>
    <x v="1"/>
    <n v="147"/>
    <x v="5"/>
    <x v="43"/>
    <s v="(514) 555-8054"/>
    <s v="43 rue St. Laurent"/>
    <m/>
    <x v="37"/>
    <s v="Quebec"/>
    <s v="H1J 1C3"/>
    <x v="10"/>
    <x v="0"/>
    <s v="Fresnisre"/>
    <s v="Jean"/>
    <x v="1"/>
  </r>
  <r>
    <n v="10425"/>
    <n v="38"/>
    <n v="100"/>
    <n v="12"/>
    <n v="5894.94"/>
    <d v="2005-05-31T00:00:00"/>
    <x v="2"/>
    <n v="2"/>
    <x v="1"/>
    <x v="1"/>
    <x v="2"/>
    <x v="1"/>
    <n v="147"/>
    <x v="5"/>
    <x v="14"/>
    <s v="40.67.8555"/>
    <s v="67, rue des Cinquante Otages"/>
    <m/>
    <x v="11"/>
    <m/>
    <n v="44000"/>
    <x v="1"/>
    <x v="1"/>
    <s v="Labrune"/>
    <s v="Janine"/>
    <x v="1"/>
  </r>
  <r>
    <n v="10108"/>
    <n v="33"/>
    <n v="100"/>
    <n v="6"/>
    <n v="5265.15"/>
    <d v="2003-03-03T00:00:00"/>
    <x v="0"/>
    <n v="1"/>
    <x v="11"/>
    <x v="11"/>
    <x v="0"/>
    <x v="1"/>
    <n v="194"/>
    <x v="6"/>
    <x v="66"/>
    <s v="+63 2 555 3587"/>
    <s v="15 McCallum Street - NatWest Center #13-03"/>
    <m/>
    <x v="53"/>
    <m/>
    <s v="1227 MM"/>
    <x v="15"/>
    <x v="3"/>
    <s v="Cruz"/>
    <s v="Arnold"/>
    <x v="1"/>
  </r>
  <r>
    <n v="10122"/>
    <n v="42"/>
    <n v="100"/>
    <n v="10"/>
    <n v="7599.9"/>
    <d v="2003-05-08T00:00:00"/>
    <x v="0"/>
    <n v="2"/>
    <x v="1"/>
    <x v="1"/>
    <x v="0"/>
    <x v="1"/>
    <n v="194"/>
    <x v="6"/>
    <x v="67"/>
    <s v="91.24.4555"/>
    <s v="12, rue des Bouchers"/>
    <m/>
    <x v="54"/>
    <m/>
    <n v="13008"/>
    <x v="1"/>
    <x v="1"/>
    <s v="Lebihan"/>
    <s v="Laurence"/>
    <x v="2"/>
  </r>
  <r>
    <n v="10135"/>
    <n v="42"/>
    <n v="100"/>
    <n v="7"/>
    <n v="8008.56"/>
    <d v="2003-07-02T00:00:00"/>
    <x v="0"/>
    <n v="3"/>
    <x v="2"/>
    <x v="2"/>
    <x v="0"/>
    <x v="1"/>
    <n v="194"/>
    <x v="6"/>
    <x v="39"/>
    <n v="4155551450"/>
    <s v="5677 Strong St."/>
    <m/>
    <x v="33"/>
    <s v="CA"/>
    <n v="97562"/>
    <x v="0"/>
    <x v="0"/>
    <s v="Nelson"/>
    <s v="Valarie"/>
    <x v="2"/>
  </r>
  <r>
    <n v="10147"/>
    <n v="48"/>
    <n v="100"/>
    <n v="7"/>
    <n v="9245.76"/>
    <d v="2003-09-05T00:00:00"/>
    <x v="0"/>
    <n v="3"/>
    <x v="10"/>
    <x v="10"/>
    <x v="0"/>
    <x v="1"/>
    <n v="194"/>
    <x v="6"/>
    <x v="41"/>
    <n v="6175558555"/>
    <s v="7825 Douglas Av."/>
    <m/>
    <x v="35"/>
    <s v="MA"/>
    <n v="58339"/>
    <x v="0"/>
    <x v="0"/>
    <s v="Nelson"/>
    <s v="Allen"/>
    <x v="2"/>
  </r>
  <r>
    <n v="10159"/>
    <n v="41"/>
    <n v="100"/>
    <n v="2"/>
    <n v="8296.35"/>
    <d v="2003-10-10T00:00:00"/>
    <x v="0"/>
    <n v="4"/>
    <x v="4"/>
    <x v="4"/>
    <x v="0"/>
    <x v="1"/>
    <n v="194"/>
    <x v="6"/>
    <x v="4"/>
    <n v="6505551386"/>
    <s v="7734 Strong St."/>
    <m/>
    <x v="4"/>
    <s v="CA"/>
    <m/>
    <x v="0"/>
    <x v="0"/>
    <s v="Brown"/>
    <s v="Julie"/>
    <x v="2"/>
  </r>
  <r>
    <n v="10169"/>
    <n v="30"/>
    <n v="100"/>
    <n v="2"/>
    <n v="5019.8999999999996"/>
    <d v="2003-11-04T00:00:00"/>
    <x v="0"/>
    <n v="4"/>
    <x v="5"/>
    <x v="5"/>
    <x v="0"/>
    <x v="1"/>
    <n v="194"/>
    <x v="6"/>
    <x v="42"/>
    <s v="02 9936 8555"/>
    <s v="201 Miller Street"/>
    <s v="Level 15"/>
    <x v="36"/>
    <s v="NSW"/>
    <n v="2060"/>
    <x v="3"/>
    <x v="2"/>
    <s v="O'Hara"/>
    <s v="Anna"/>
    <x v="1"/>
  </r>
  <r>
    <n v="10181"/>
    <n v="27"/>
    <n v="100"/>
    <n v="14"/>
    <n v="5411.07"/>
    <d v="2003-11-12T00:00:00"/>
    <x v="0"/>
    <n v="4"/>
    <x v="5"/>
    <x v="5"/>
    <x v="0"/>
    <x v="1"/>
    <n v="194"/>
    <x v="6"/>
    <x v="7"/>
    <s v="+47 2267 3215"/>
    <s v="Drammen 121, PR 744 Sentrum"/>
    <m/>
    <x v="7"/>
    <m/>
    <s v="N 5804"/>
    <x v="2"/>
    <x v="1"/>
    <s v="Oeztan"/>
    <s v="Veysel"/>
    <x v="1"/>
  </r>
  <r>
    <n v="10191"/>
    <n v="21"/>
    <n v="100"/>
    <n v="3"/>
    <n v="3840.9"/>
    <d v="2003-11-20T00:00:00"/>
    <x v="0"/>
    <n v="4"/>
    <x v="5"/>
    <x v="5"/>
    <x v="0"/>
    <x v="1"/>
    <n v="194"/>
    <x v="6"/>
    <x v="68"/>
    <s v="0221-5554327"/>
    <s v="Mehrheimerstr. 369"/>
    <m/>
    <x v="55"/>
    <m/>
    <n v="50739"/>
    <x v="16"/>
    <x v="1"/>
    <s v="Pfalzheim"/>
    <s v="Henriette"/>
    <x v="1"/>
  </r>
  <r>
    <n v="10203"/>
    <n v="20"/>
    <n v="100"/>
    <n v="8"/>
    <n v="3930.4"/>
    <d v="2003-12-02T00:00:00"/>
    <x v="0"/>
    <n v="4"/>
    <x v="6"/>
    <x v="6"/>
    <x v="0"/>
    <x v="1"/>
    <n v="194"/>
    <x v="6"/>
    <x v="23"/>
    <s v="(91) 555 94 44"/>
    <s v="C/ Moralzarzal, 86"/>
    <m/>
    <x v="20"/>
    <m/>
    <n v="28034"/>
    <x v="7"/>
    <x v="1"/>
    <s v="Freyre"/>
    <s v="Diego"/>
    <x v="1"/>
  </r>
  <r>
    <n v="10211"/>
    <n v="41"/>
    <n v="100"/>
    <n v="2"/>
    <n v="7498.9"/>
    <d v="2004-01-15T00:00:00"/>
    <x v="0"/>
    <n v="1"/>
    <x v="7"/>
    <x v="7"/>
    <x v="1"/>
    <x v="1"/>
    <n v="194"/>
    <x v="6"/>
    <x v="9"/>
    <s v="(1) 47.55.6555"/>
    <s v="25, rue Lauriston"/>
    <m/>
    <x v="2"/>
    <m/>
    <n v="75016"/>
    <x v="1"/>
    <x v="1"/>
    <s v="Perrier"/>
    <s v="Dominique"/>
    <x v="2"/>
  </r>
  <r>
    <n v="10225"/>
    <n v="27"/>
    <n v="100"/>
    <n v="9"/>
    <n v="4517.91"/>
    <d v="2004-02-22T00:00:00"/>
    <x v="0"/>
    <n v="1"/>
    <x v="0"/>
    <x v="0"/>
    <x v="1"/>
    <x v="1"/>
    <n v="194"/>
    <x v="6"/>
    <x v="69"/>
    <s v="0897-034555"/>
    <s v="Grenzacherweg 237"/>
    <m/>
    <x v="56"/>
    <m/>
    <n v="1203"/>
    <x v="17"/>
    <x v="1"/>
    <s v="Holz"/>
    <s v="Michael"/>
    <x v="1"/>
  </r>
  <r>
    <n v="10238"/>
    <n v="28"/>
    <n v="100"/>
    <n v="3"/>
    <n v="5774.72"/>
    <d v="2004-04-09T00:00:00"/>
    <x v="0"/>
    <n v="2"/>
    <x v="8"/>
    <x v="8"/>
    <x v="1"/>
    <x v="1"/>
    <n v="194"/>
    <x v="6"/>
    <x v="48"/>
    <s v="31 12 3555"/>
    <s v="Vinb'ltet 34"/>
    <m/>
    <x v="40"/>
    <m/>
    <n v="1734"/>
    <x v="13"/>
    <x v="1"/>
    <s v="Petersen"/>
    <s v="Jytte"/>
    <x v="1"/>
  </r>
  <r>
    <n v="10253"/>
    <n v="24"/>
    <n v="100"/>
    <n v="13"/>
    <n v="3922.56"/>
    <d v="2004-06-01T00:00:00"/>
    <x v="3"/>
    <n v="2"/>
    <x v="9"/>
    <x v="9"/>
    <x v="1"/>
    <x v="1"/>
    <n v="194"/>
    <x v="6"/>
    <x v="22"/>
    <s v="(171) 555-2282"/>
    <s v="Berkeley Gardens 12  Brewery"/>
    <m/>
    <x v="19"/>
    <m/>
    <s v="WX1 6LT"/>
    <x v="6"/>
    <x v="1"/>
    <s v="Devon"/>
    <s v="Elizabeth"/>
    <x v="1"/>
  </r>
  <r>
    <n v="10266"/>
    <n v="44"/>
    <n v="100"/>
    <n v="14"/>
    <n v="9160.36"/>
    <d v="2004-07-06T00:00:00"/>
    <x v="0"/>
    <n v="3"/>
    <x v="2"/>
    <x v="2"/>
    <x v="1"/>
    <x v="1"/>
    <n v="194"/>
    <x v="6"/>
    <x v="70"/>
    <s v="0522-556555"/>
    <s v="Strada Provinciale 124"/>
    <m/>
    <x v="57"/>
    <m/>
    <n v="42100"/>
    <x v="12"/>
    <x v="1"/>
    <s v="Moroni"/>
    <s v="Maurizio"/>
    <x v="2"/>
  </r>
  <r>
    <n v="10276"/>
    <n v="50"/>
    <n v="100"/>
    <n v="3"/>
    <n v="9631"/>
    <d v="2004-08-02T00:00:00"/>
    <x v="0"/>
    <n v="3"/>
    <x v="3"/>
    <x v="3"/>
    <x v="1"/>
    <x v="1"/>
    <n v="194"/>
    <x v="6"/>
    <x v="71"/>
    <n v="6175557555"/>
    <s v="7635 Spinnaker Dr."/>
    <m/>
    <x v="35"/>
    <s v="MA"/>
    <n v="58339"/>
    <x v="0"/>
    <x v="0"/>
    <s v="Barajas"/>
    <s v="Miguel"/>
    <x v="2"/>
  </r>
  <r>
    <n v="10287"/>
    <n v="21"/>
    <n v="100"/>
    <n v="12"/>
    <n v="3432.24"/>
    <d v="2004-08-30T00:00:00"/>
    <x v="0"/>
    <n v="3"/>
    <x v="3"/>
    <x v="3"/>
    <x v="1"/>
    <x v="1"/>
    <n v="194"/>
    <x v="6"/>
    <x v="69"/>
    <s v="0897-034555"/>
    <s v="Grenzacherweg 237"/>
    <m/>
    <x v="56"/>
    <m/>
    <n v="1203"/>
    <x v="17"/>
    <x v="1"/>
    <s v="Holz"/>
    <s v="Michael"/>
    <x v="1"/>
  </r>
  <r>
    <n v="10300"/>
    <n v="33"/>
    <n v="100"/>
    <n v="5"/>
    <n v="5521.89"/>
    <d v="2003-10-04T00:00:00"/>
    <x v="0"/>
    <n v="4"/>
    <x v="4"/>
    <x v="4"/>
    <x v="0"/>
    <x v="1"/>
    <n v="194"/>
    <x v="6"/>
    <x v="72"/>
    <s v="+49 69 66 90 2555"/>
    <s v="Lyonerstr. 34"/>
    <m/>
    <x v="58"/>
    <m/>
    <n v="60528"/>
    <x v="16"/>
    <x v="1"/>
    <s v="Keitel"/>
    <s v="Roland"/>
    <x v="1"/>
  </r>
  <r>
    <n v="10310"/>
    <n v="33"/>
    <n v="100"/>
    <n v="10"/>
    <n v="6934.62"/>
    <d v="2004-10-16T00:00:00"/>
    <x v="0"/>
    <n v="4"/>
    <x v="4"/>
    <x v="4"/>
    <x v="1"/>
    <x v="1"/>
    <n v="194"/>
    <x v="6"/>
    <x v="68"/>
    <s v="0221-5554327"/>
    <s v="Mehrheimerstr. 369"/>
    <m/>
    <x v="55"/>
    <m/>
    <n v="50739"/>
    <x v="16"/>
    <x v="1"/>
    <s v="Pfalzheim"/>
    <s v="Henriette"/>
    <x v="1"/>
  </r>
  <r>
    <n v="10320"/>
    <n v="31"/>
    <n v="100"/>
    <n v="3"/>
    <n v="6876.11"/>
    <d v="2004-11-03T00:00:00"/>
    <x v="0"/>
    <n v="4"/>
    <x v="5"/>
    <x v="5"/>
    <x v="1"/>
    <x v="1"/>
    <n v="194"/>
    <x v="6"/>
    <x v="24"/>
    <s v="0921-12 3555"/>
    <s v="Berguvsv„gen  8"/>
    <m/>
    <x v="21"/>
    <m/>
    <s v="S-958 22"/>
    <x v="8"/>
    <x v="1"/>
    <s v="Berglund"/>
    <s v="Christina"/>
    <x v="1"/>
  </r>
  <r>
    <n v="10329"/>
    <n v="41"/>
    <n v="71.47"/>
    <n v="5"/>
    <n v="2930.27"/>
    <d v="2004-11-15T00:00:00"/>
    <x v="0"/>
    <n v="4"/>
    <x v="5"/>
    <x v="5"/>
    <x v="1"/>
    <x v="1"/>
    <n v="194"/>
    <x v="6"/>
    <x v="0"/>
    <n v="2125557818"/>
    <s v="897 Long Airport Avenue"/>
    <m/>
    <x v="0"/>
    <s v="NY"/>
    <n v="10022"/>
    <x v="0"/>
    <x v="0"/>
    <s v="Yu"/>
    <s v="Kwai"/>
    <x v="0"/>
  </r>
  <r>
    <n v="10341"/>
    <n v="45"/>
    <n v="79.650000000000006"/>
    <n v="2"/>
    <n v="3584.25"/>
    <d v="2004-11-24T00:00:00"/>
    <x v="0"/>
    <n v="4"/>
    <x v="5"/>
    <x v="5"/>
    <x v="1"/>
    <x v="1"/>
    <n v="194"/>
    <x v="6"/>
    <x v="19"/>
    <s v="6562-9555"/>
    <s v="Geislweg 14"/>
    <m/>
    <x v="16"/>
    <m/>
    <n v="5020"/>
    <x v="5"/>
    <x v="1"/>
    <s v="Pipps"/>
    <s v="Georg"/>
    <x v="1"/>
  </r>
  <r>
    <n v="10363"/>
    <n v="33"/>
    <n v="85.39"/>
    <n v="3"/>
    <n v="2817.87"/>
    <d v="2005-01-06T00:00:00"/>
    <x v="0"/>
    <n v="1"/>
    <x v="7"/>
    <x v="7"/>
    <x v="2"/>
    <x v="1"/>
    <n v="194"/>
    <x v="6"/>
    <x v="73"/>
    <s v="+358 9 8045 555"/>
    <s v="Software Engineering Center, SEC Oy"/>
    <m/>
    <x v="59"/>
    <m/>
    <s v="FIN-02271"/>
    <x v="4"/>
    <x v="1"/>
    <s v="Suominen"/>
    <s v="Kalle"/>
    <x v="0"/>
  </r>
  <r>
    <n v="10375"/>
    <n v="45"/>
    <n v="76"/>
    <n v="7"/>
    <n v="3420"/>
    <d v="2005-02-03T00:00:00"/>
    <x v="0"/>
    <n v="1"/>
    <x v="0"/>
    <x v="0"/>
    <x v="2"/>
    <x v="1"/>
    <n v="194"/>
    <x v="6"/>
    <x v="14"/>
    <s v="40.67.8555"/>
    <s v="67, rue des Cinquante Otages"/>
    <m/>
    <x v="11"/>
    <m/>
    <n v="44000"/>
    <x v="1"/>
    <x v="1"/>
    <s v="Labrune"/>
    <s v="Janine"/>
    <x v="1"/>
  </r>
  <r>
    <n v="10389"/>
    <n v="26"/>
    <n v="99.04"/>
    <n v="4"/>
    <n v="2575.04"/>
    <d v="2005-03-03T00:00:00"/>
    <x v="0"/>
    <n v="1"/>
    <x v="11"/>
    <x v="11"/>
    <x v="2"/>
    <x v="1"/>
    <n v="194"/>
    <x v="6"/>
    <x v="37"/>
    <s v="0695-34 6555"/>
    <s v="?kergatan 24"/>
    <m/>
    <x v="31"/>
    <m/>
    <s v="S-844 67"/>
    <x v="8"/>
    <x v="1"/>
    <s v="Larsson"/>
    <s v="Maria"/>
    <x v="0"/>
  </r>
  <r>
    <n v="10419"/>
    <n v="12"/>
    <n v="100"/>
    <n v="13"/>
    <n v="1961.28"/>
    <d v="2005-05-17T00:00:00"/>
    <x v="0"/>
    <n v="2"/>
    <x v="1"/>
    <x v="1"/>
    <x v="2"/>
    <x v="1"/>
    <n v="194"/>
    <x v="6"/>
    <x v="19"/>
    <s v="6562-9555"/>
    <s v="Geislweg 14"/>
    <m/>
    <x v="16"/>
    <m/>
    <n v="5020"/>
    <x v="5"/>
    <x v="1"/>
    <s v="Pipps"/>
    <s v="Georg"/>
    <x v="0"/>
  </r>
  <r>
    <n v="10105"/>
    <n v="41"/>
    <n v="100"/>
    <n v="15"/>
    <n v="8690.36"/>
    <d v="2003-02-11T00:00:00"/>
    <x v="0"/>
    <n v="1"/>
    <x v="0"/>
    <x v="0"/>
    <x v="0"/>
    <x v="1"/>
    <n v="207"/>
    <x v="7"/>
    <x v="48"/>
    <s v="31 12 3555"/>
    <s v="Vinb'ltet 34"/>
    <m/>
    <x v="40"/>
    <m/>
    <n v="1734"/>
    <x v="13"/>
    <x v="1"/>
    <s v="Petersen"/>
    <s v="Jytte"/>
    <x v="2"/>
  </r>
  <r>
    <n v="10117"/>
    <n v="33"/>
    <n v="100"/>
    <n v="9"/>
    <n v="6034.38"/>
    <d v="2003-04-16T00:00:00"/>
    <x v="0"/>
    <n v="2"/>
    <x v="8"/>
    <x v="8"/>
    <x v="0"/>
    <x v="1"/>
    <n v="207"/>
    <x v="7"/>
    <x v="26"/>
    <s v="+65 221 7555"/>
    <s v="Bronz Sok., Bronz Apt. 3/6 Tesvikiye"/>
    <m/>
    <x v="22"/>
    <m/>
    <n v="79903"/>
    <x v="9"/>
    <x v="3"/>
    <s v="Natividad"/>
    <s v="Eric"/>
    <x v="1"/>
  </r>
  <r>
    <n v="10127"/>
    <n v="46"/>
    <n v="100"/>
    <n v="2"/>
    <n v="11279.2"/>
    <d v="2003-06-03T00:00:00"/>
    <x v="0"/>
    <n v="2"/>
    <x v="9"/>
    <x v="9"/>
    <x v="0"/>
    <x v="1"/>
    <n v="207"/>
    <x v="7"/>
    <x v="74"/>
    <n v="2125557413"/>
    <s v="4092 Furth Circle"/>
    <s v="Suite 400"/>
    <x v="0"/>
    <s v="NY"/>
    <n v="10022"/>
    <x v="0"/>
    <x v="0"/>
    <s v="Young"/>
    <s v="Jeff"/>
    <x v="2"/>
  </r>
  <r>
    <n v="10142"/>
    <n v="33"/>
    <n v="100"/>
    <n v="12"/>
    <n v="8023.29"/>
    <d v="2003-08-08T00:00:00"/>
    <x v="0"/>
    <n v="3"/>
    <x v="3"/>
    <x v="3"/>
    <x v="0"/>
    <x v="1"/>
    <n v="207"/>
    <x v="7"/>
    <x v="39"/>
    <n v="4155551450"/>
    <s v="5677 Strong St."/>
    <m/>
    <x v="33"/>
    <s v="CA"/>
    <n v="97562"/>
    <x v="0"/>
    <x v="0"/>
    <s v="Nelson"/>
    <s v="Valarie"/>
    <x v="2"/>
  </r>
  <r>
    <n v="10153"/>
    <n v="20"/>
    <n v="100"/>
    <n v="11"/>
    <n v="4904"/>
    <d v="2003-09-28T00:00:00"/>
    <x v="0"/>
    <n v="3"/>
    <x v="10"/>
    <x v="10"/>
    <x v="0"/>
    <x v="1"/>
    <n v="207"/>
    <x v="7"/>
    <x v="23"/>
    <s v="(91) 555 94 44"/>
    <s v="C/ Moralzarzal, 86"/>
    <m/>
    <x v="20"/>
    <m/>
    <n v="28034"/>
    <x v="7"/>
    <x v="1"/>
    <s v="Freyre"/>
    <s v="Diego"/>
    <x v="1"/>
  </r>
  <r>
    <n v="10165"/>
    <n v="44"/>
    <n v="100"/>
    <n v="3"/>
    <n v="8594.52"/>
    <d v="2003-10-22T00:00:00"/>
    <x v="0"/>
    <n v="4"/>
    <x v="4"/>
    <x v="4"/>
    <x v="0"/>
    <x v="1"/>
    <n v="207"/>
    <x v="7"/>
    <x v="26"/>
    <s v="+65 221 7555"/>
    <s v="Bronz Sok., Bronz Apt. 3/6 Tesvikiye"/>
    <m/>
    <x v="22"/>
    <m/>
    <n v="79903"/>
    <x v="9"/>
    <x v="3"/>
    <s v="Natividad"/>
    <s v="Eric"/>
    <x v="2"/>
  </r>
  <r>
    <n v="10176"/>
    <n v="33"/>
    <n v="100"/>
    <n v="2"/>
    <n v="7474.5"/>
    <d v="2003-11-06T00:00:00"/>
    <x v="0"/>
    <n v="4"/>
    <x v="5"/>
    <x v="5"/>
    <x v="0"/>
    <x v="1"/>
    <n v="207"/>
    <x v="7"/>
    <x v="70"/>
    <s v="0522-556555"/>
    <s v="Strada Provinciale 124"/>
    <m/>
    <x v="57"/>
    <m/>
    <n v="42100"/>
    <x v="12"/>
    <x v="1"/>
    <s v="Moroni"/>
    <s v="Maurizio"/>
    <x v="2"/>
  </r>
  <r>
    <n v="10185"/>
    <n v="21"/>
    <n v="100"/>
    <n v="13"/>
    <n v="3883.74"/>
    <d v="2003-11-14T00:00:00"/>
    <x v="0"/>
    <n v="4"/>
    <x v="5"/>
    <x v="5"/>
    <x v="0"/>
    <x v="1"/>
    <n v="207"/>
    <x v="7"/>
    <x v="50"/>
    <n v="5085559555"/>
    <s v="4575 Hillside Dr."/>
    <m/>
    <x v="18"/>
    <s v="MA"/>
    <n v="50553"/>
    <x v="0"/>
    <x v="0"/>
    <s v="Tam"/>
    <s v="Wing C"/>
    <x v="1"/>
  </r>
  <r>
    <n v="10196"/>
    <n v="47"/>
    <n v="100"/>
    <n v="5"/>
    <n v="8887.7000000000007"/>
    <d v="2003-11-26T00:00:00"/>
    <x v="0"/>
    <n v="4"/>
    <x v="5"/>
    <x v="5"/>
    <x v="0"/>
    <x v="1"/>
    <n v="207"/>
    <x v="7"/>
    <x v="34"/>
    <n v="2035559545"/>
    <s v="567 North Pendale Street"/>
    <m/>
    <x v="28"/>
    <s v="CT"/>
    <n v="97823"/>
    <x v="0"/>
    <x v="0"/>
    <s v="Murphy"/>
    <s v="Leslie"/>
    <x v="2"/>
  </r>
  <r>
    <n v="10208"/>
    <n v="46"/>
    <n v="100"/>
    <n v="13"/>
    <n v="8602.92"/>
    <d v="2004-01-02T00:00:00"/>
    <x v="0"/>
    <n v="1"/>
    <x v="7"/>
    <x v="7"/>
    <x v="1"/>
    <x v="1"/>
    <n v="207"/>
    <x v="7"/>
    <x v="30"/>
    <s v="78.32.5555"/>
    <s v="2, rue du Commerce"/>
    <m/>
    <x v="25"/>
    <m/>
    <n v="69004"/>
    <x v="1"/>
    <x v="1"/>
    <s v="Saveley"/>
    <s v="Mary"/>
    <x v="2"/>
  </r>
  <r>
    <n v="10220"/>
    <n v="32"/>
    <n v="100"/>
    <n v="2"/>
    <n v="7181.44"/>
    <d v="2004-02-12T00:00:00"/>
    <x v="0"/>
    <n v="1"/>
    <x v="0"/>
    <x v="0"/>
    <x v="1"/>
    <x v="1"/>
    <n v="207"/>
    <x v="7"/>
    <x v="75"/>
    <s v="+353 1862 1555"/>
    <s v="25 Maiden Lane"/>
    <s v="Floor No. 4"/>
    <x v="60"/>
    <m/>
    <n v="2"/>
    <x v="18"/>
    <x v="1"/>
    <s v="Cassidy"/>
    <s v="Dean"/>
    <x v="2"/>
  </r>
  <r>
    <n v="10231"/>
    <n v="42"/>
    <n v="100"/>
    <n v="2"/>
    <n v="8378.58"/>
    <d v="2004-03-19T00:00:00"/>
    <x v="0"/>
    <n v="1"/>
    <x v="11"/>
    <x v="11"/>
    <x v="1"/>
    <x v="1"/>
    <n v="207"/>
    <x v="7"/>
    <x v="76"/>
    <s v="+34 913 728 555"/>
    <s v="Merchants House, 27-30 Merchant's Quay"/>
    <m/>
    <x v="20"/>
    <m/>
    <n v="28023"/>
    <x v="7"/>
    <x v="1"/>
    <s v="Fernandez"/>
    <s v="Jesus"/>
    <x v="2"/>
  </r>
  <r>
    <n v="10247"/>
    <n v="44"/>
    <n v="100"/>
    <n v="2"/>
    <n v="10606.2"/>
    <d v="2004-05-05T00:00:00"/>
    <x v="0"/>
    <n v="2"/>
    <x v="1"/>
    <x v="1"/>
    <x v="1"/>
    <x v="1"/>
    <n v="207"/>
    <x v="7"/>
    <x v="73"/>
    <s v="+358 9 8045 555"/>
    <s v="Software Engineering Center, SEC Oy"/>
    <m/>
    <x v="59"/>
    <m/>
    <s v="FIN-02271"/>
    <x v="4"/>
    <x v="1"/>
    <s v="Suominen"/>
    <s v="Kalle"/>
    <x v="2"/>
  </r>
  <r>
    <n v="10272"/>
    <n v="35"/>
    <n v="100"/>
    <n v="2"/>
    <n v="5818.4"/>
    <d v="2004-07-20T00:00:00"/>
    <x v="0"/>
    <n v="3"/>
    <x v="2"/>
    <x v="2"/>
    <x v="1"/>
    <x v="1"/>
    <n v="207"/>
    <x v="7"/>
    <x v="18"/>
    <n v="2155551555"/>
    <s v="7586 Pompton St."/>
    <m/>
    <x v="15"/>
    <s v="PA"/>
    <n v="70267"/>
    <x v="0"/>
    <x v="0"/>
    <s v="Yu"/>
    <s v="Kyung"/>
    <x v="1"/>
  </r>
  <r>
    <n v="10282"/>
    <n v="41"/>
    <n v="100"/>
    <n v="5"/>
    <n v="7071.27"/>
    <d v="2004-08-20T00:00:00"/>
    <x v="0"/>
    <n v="3"/>
    <x v="3"/>
    <x v="3"/>
    <x v="1"/>
    <x v="1"/>
    <n v="207"/>
    <x v="7"/>
    <x v="39"/>
    <n v="4155551450"/>
    <s v="5677 Strong St."/>
    <m/>
    <x v="33"/>
    <s v="CA"/>
    <n v="97562"/>
    <x v="0"/>
    <x v="0"/>
    <s v="Nelson"/>
    <s v="Valarie"/>
    <x v="2"/>
  </r>
  <r>
    <n v="10293"/>
    <n v="46"/>
    <n v="100"/>
    <n v="8"/>
    <n v="8411.56"/>
    <d v="2004-09-09T00:00:00"/>
    <x v="0"/>
    <n v="3"/>
    <x v="10"/>
    <x v="10"/>
    <x v="1"/>
    <x v="1"/>
    <n v="207"/>
    <x v="7"/>
    <x v="36"/>
    <s v="011-4988555"/>
    <s v="Via Monte Bianco 34"/>
    <m/>
    <x v="30"/>
    <m/>
    <n v="10100"/>
    <x v="12"/>
    <x v="1"/>
    <s v="Accorti"/>
    <s v="Paolo"/>
    <x v="2"/>
  </r>
  <r>
    <n v="10306"/>
    <n v="31"/>
    <n v="100"/>
    <n v="13"/>
    <n v="6570.76"/>
    <d v="2004-10-14T00:00:00"/>
    <x v="0"/>
    <n v="4"/>
    <x v="4"/>
    <x v="4"/>
    <x v="1"/>
    <x v="1"/>
    <n v="207"/>
    <x v="7"/>
    <x v="77"/>
    <s v="(171) 555-1555"/>
    <s v="Fauntleroy Circus"/>
    <m/>
    <x v="61"/>
    <m/>
    <s v="EC2 5NT"/>
    <x v="6"/>
    <x v="1"/>
    <s v="Ashworth"/>
    <s v="Victoria"/>
    <x v="1"/>
  </r>
  <r>
    <n v="10314"/>
    <n v="38"/>
    <n v="100"/>
    <n v="5"/>
    <n v="7975.44"/>
    <d v="2004-10-22T00:00:00"/>
    <x v="0"/>
    <n v="4"/>
    <x v="4"/>
    <x v="4"/>
    <x v="1"/>
    <x v="1"/>
    <n v="207"/>
    <x v="7"/>
    <x v="78"/>
    <s v="86 21 3555"/>
    <s v="Smagsloget 45"/>
    <m/>
    <x v="62"/>
    <m/>
    <n v="8200"/>
    <x v="13"/>
    <x v="1"/>
    <s v="Ibsen"/>
    <s v="Palle"/>
    <x v="2"/>
  </r>
  <r>
    <n v="10325"/>
    <n v="42"/>
    <n v="64"/>
    <n v="8"/>
    <n v="2688"/>
    <d v="2004-11-05T00:00:00"/>
    <x v="0"/>
    <n v="4"/>
    <x v="5"/>
    <x v="5"/>
    <x v="1"/>
    <x v="1"/>
    <n v="207"/>
    <x v="7"/>
    <x v="17"/>
    <s v="07-98 9555"/>
    <s v="Erling Skakkes gate 78"/>
    <m/>
    <x v="14"/>
    <m/>
    <n v="4110"/>
    <x v="2"/>
    <x v="1"/>
    <s v="Bergulfsen"/>
    <s v="Jonas"/>
    <x v="0"/>
  </r>
  <r>
    <n v="10336"/>
    <n v="33"/>
    <n v="57.22"/>
    <n v="10"/>
    <n v="1888.26"/>
    <d v="2004-11-20T00:00:00"/>
    <x v="0"/>
    <n v="4"/>
    <x v="5"/>
    <x v="5"/>
    <x v="1"/>
    <x v="1"/>
    <n v="207"/>
    <x v="7"/>
    <x v="62"/>
    <s v="(1) 42.34.2555"/>
    <s v="265, boulevard Charonne"/>
    <m/>
    <x v="2"/>
    <m/>
    <n v="75012"/>
    <x v="1"/>
    <x v="1"/>
    <s v="Bertrand"/>
    <s v="Marie"/>
    <x v="0"/>
  </r>
  <r>
    <n v="10348"/>
    <n v="48"/>
    <n v="52.36"/>
    <n v="8"/>
    <n v="2513.2800000000002"/>
    <d v="2004-11-01T00:00:00"/>
    <x v="0"/>
    <n v="4"/>
    <x v="5"/>
    <x v="5"/>
    <x v="1"/>
    <x v="1"/>
    <n v="207"/>
    <x v="7"/>
    <x v="25"/>
    <s v="(91) 555 22 82"/>
    <s v="C/ Araquil, 67"/>
    <m/>
    <x v="20"/>
    <m/>
    <n v="28023"/>
    <x v="7"/>
    <x v="1"/>
    <s v="Sommer"/>
    <s v="Mart¡n"/>
    <x v="0"/>
  </r>
  <r>
    <n v="10359"/>
    <n v="42"/>
    <n v="100"/>
    <n v="8"/>
    <n v="4764.4799999999996"/>
    <d v="2004-12-15T00:00:00"/>
    <x v="0"/>
    <n v="4"/>
    <x v="6"/>
    <x v="6"/>
    <x v="1"/>
    <x v="1"/>
    <n v="207"/>
    <x v="7"/>
    <x v="1"/>
    <s v="26.47.1555"/>
    <s v="59 rue de l'Abbaye"/>
    <m/>
    <x v="1"/>
    <m/>
    <n v="51100"/>
    <x v="1"/>
    <x v="1"/>
    <s v="Henriot"/>
    <s v="Paul"/>
    <x v="1"/>
  </r>
  <r>
    <n v="10371"/>
    <n v="32"/>
    <n v="100"/>
    <n v="6"/>
    <n v="3560.64"/>
    <d v="2005-01-23T00:00:00"/>
    <x v="0"/>
    <n v="1"/>
    <x v="7"/>
    <x v="7"/>
    <x v="2"/>
    <x v="1"/>
    <n v="207"/>
    <x v="7"/>
    <x v="39"/>
    <n v="4155551450"/>
    <s v="5677 Strong St."/>
    <m/>
    <x v="33"/>
    <s v="CA"/>
    <n v="97562"/>
    <x v="0"/>
    <x v="0"/>
    <s v="Nelson"/>
    <s v="Valarie"/>
    <x v="1"/>
  </r>
  <r>
    <n v="10382"/>
    <n v="34"/>
    <n v="100"/>
    <n v="10"/>
    <n v="3823.64"/>
    <d v="2005-02-17T00:00:00"/>
    <x v="0"/>
    <n v="1"/>
    <x v="0"/>
    <x v="0"/>
    <x v="2"/>
    <x v="1"/>
    <n v="207"/>
    <x v="7"/>
    <x v="39"/>
    <n v="4155551450"/>
    <s v="5677 Strong St."/>
    <m/>
    <x v="33"/>
    <s v="CA"/>
    <n v="97562"/>
    <x v="0"/>
    <x v="0"/>
    <s v="Nelson"/>
    <s v="Valarie"/>
    <x v="1"/>
  </r>
  <r>
    <n v="10395"/>
    <n v="33"/>
    <n v="69.12"/>
    <n v="1"/>
    <n v="2280.96"/>
    <d v="2005-03-17T00:00:00"/>
    <x v="0"/>
    <n v="1"/>
    <x v="11"/>
    <x v="11"/>
    <x v="2"/>
    <x v="1"/>
    <n v="207"/>
    <x v="7"/>
    <x v="2"/>
    <s v="+33 1 46 62 7555"/>
    <s v="27 rue du Colonel Pierre Avia"/>
    <m/>
    <x v="2"/>
    <m/>
    <n v="75508"/>
    <x v="1"/>
    <x v="1"/>
    <s v="Da Cunha"/>
    <s v="Daniel"/>
    <x v="0"/>
  </r>
  <r>
    <n v="10413"/>
    <n v="36"/>
    <n v="100"/>
    <n v="2"/>
    <n v="8677.7999999999993"/>
    <d v="2005-05-05T00:00:00"/>
    <x v="0"/>
    <n v="2"/>
    <x v="1"/>
    <x v="1"/>
    <x v="2"/>
    <x v="1"/>
    <n v="207"/>
    <x v="7"/>
    <x v="13"/>
    <n v="2035552570"/>
    <s v="25593 South Bay Ln."/>
    <m/>
    <x v="10"/>
    <s v="CT"/>
    <n v="97562"/>
    <x v="0"/>
    <x v="0"/>
    <s v="King"/>
    <s v="Julie"/>
    <x v="2"/>
  </r>
  <r>
    <n v="10103"/>
    <n v="27"/>
    <n v="100"/>
    <n v="8"/>
    <n v="3394.98"/>
    <d v="2003-01-29T00:00:00"/>
    <x v="0"/>
    <n v="1"/>
    <x v="7"/>
    <x v="7"/>
    <x v="0"/>
    <x v="2"/>
    <n v="136"/>
    <x v="8"/>
    <x v="17"/>
    <s v="07-98 9555"/>
    <s v="Erling Skakkes gate 78"/>
    <m/>
    <x v="14"/>
    <m/>
    <n v="4110"/>
    <x v="2"/>
    <x v="1"/>
    <s v="Bergulfsen"/>
    <s v="Jonas"/>
    <x v="1"/>
  </r>
  <r>
    <n v="10113"/>
    <n v="21"/>
    <n v="100"/>
    <n v="2"/>
    <n v="3415.44"/>
    <d v="2003-03-26T00:00:00"/>
    <x v="0"/>
    <n v="1"/>
    <x v="11"/>
    <x v="11"/>
    <x v="0"/>
    <x v="2"/>
    <n v="136"/>
    <x v="8"/>
    <x v="39"/>
    <n v="4155551450"/>
    <s v="5677 Strong St."/>
    <m/>
    <x v="33"/>
    <s v="CA"/>
    <n v="97562"/>
    <x v="0"/>
    <x v="0"/>
    <s v="Nelson"/>
    <s v="Valarie"/>
    <x v="1"/>
  </r>
  <r>
    <n v="10126"/>
    <n v="21"/>
    <n v="100"/>
    <n v="8"/>
    <n v="2439.5700000000002"/>
    <d v="2003-05-28T00:00:00"/>
    <x v="0"/>
    <n v="2"/>
    <x v="1"/>
    <x v="1"/>
    <x v="0"/>
    <x v="2"/>
    <n v="136"/>
    <x v="8"/>
    <x v="25"/>
    <s v="(91) 555 22 82"/>
    <s v="C/ Araquil, 67"/>
    <m/>
    <x v="20"/>
    <m/>
    <n v="28023"/>
    <x v="7"/>
    <x v="1"/>
    <s v="Sommer"/>
    <s v="Mart¡n"/>
    <x v="0"/>
  </r>
  <r>
    <n v="10140"/>
    <n v="38"/>
    <n v="100"/>
    <n v="8"/>
    <n v="4829.8"/>
    <d v="2003-07-24T00:00:00"/>
    <x v="0"/>
    <n v="3"/>
    <x v="2"/>
    <x v="2"/>
    <x v="0"/>
    <x v="2"/>
    <n v="136"/>
    <x v="8"/>
    <x v="5"/>
    <n v="6505556809"/>
    <s v="9408 Furth Circle"/>
    <m/>
    <x v="5"/>
    <s v="CA"/>
    <n v="94217"/>
    <x v="0"/>
    <x v="0"/>
    <s v="Hirano"/>
    <s v="Juri"/>
    <x v="1"/>
  </r>
  <r>
    <n v="10150"/>
    <n v="30"/>
    <n v="100"/>
    <n v="5"/>
    <n v="4100.1000000000004"/>
    <d v="2003-09-19T00:00:00"/>
    <x v="0"/>
    <n v="3"/>
    <x v="10"/>
    <x v="10"/>
    <x v="0"/>
    <x v="2"/>
    <n v="136"/>
    <x v="8"/>
    <x v="26"/>
    <s v="+65 221 7555"/>
    <s v="Bronz Sok., Bronz Apt. 3/6 Tesvikiye"/>
    <m/>
    <x v="22"/>
    <m/>
    <n v="79903"/>
    <x v="9"/>
    <x v="3"/>
    <s v="Natividad"/>
    <s v="Eric"/>
    <x v="1"/>
  </r>
  <r>
    <n v="10164"/>
    <n v="49"/>
    <n v="100"/>
    <n v="6"/>
    <n v="6563.06"/>
    <d v="2003-10-21T00:00:00"/>
    <x v="5"/>
    <n v="4"/>
    <x v="4"/>
    <x v="4"/>
    <x v="0"/>
    <x v="2"/>
    <n v="136"/>
    <x v="8"/>
    <x v="63"/>
    <s v="7675-3555"/>
    <s v="Kirchgasse 6"/>
    <m/>
    <x v="52"/>
    <m/>
    <n v="8010"/>
    <x v="5"/>
    <x v="1"/>
    <s v="Mendel"/>
    <s v="Roland"/>
    <x v="1"/>
  </r>
  <r>
    <n v="10174"/>
    <n v="43"/>
    <n v="100"/>
    <n v="1"/>
    <n v="6817.22"/>
    <d v="2003-11-06T00:00:00"/>
    <x v="0"/>
    <n v="4"/>
    <x v="5"/>
    <x v="5"/>
    <x v="0"/>
    <x v="2"/>
    <n v="136"/>
    <x v="8"/>
    <x v="28"/>
    <s v="61-7-3844-6555"/>
    <s v="31 Duncan St. West End"/>
    <m/>
    <x v="23"/>
    <s v="Queensland"/>
    <n v="4101"/>
    <x v="3"/>
    <x v="2"/>
    <s v="Calaghan"/>
    <s v="Tony"/>
    <x v="1"/>
  </r>
  <r>
    <n v="10183"/>
    <n v="41"/>
    <n v="100"/>
    <n v="5"/>
    <n v="6163.94"/>
    <d v="2003-11-13T00:00:00"/>
    <x v="0"/>
    <n v="4"/>
    <x v="5"/>
    <x v="5"/>
    <x v="0"/>
    <x v="2"/>
    <n v="136"/>
    <x v="8"/>
    <x v="29"/>
    <n v="2155554695"/>
    <s v="782 First Street"/>
    <m/>
    <x v="24"/>
    <s v="PA"/>
    <n v="71270"/>
    <x v="0"/>
    <x v="0"/>
    <s v="Cervantes"/>
    <s v="Francisca"/>
    <x v="1"/>
  </r>
  <r>
    <n v="10194"/>
    <n v="38"/>
    <n v="100"/>
    <n v="8"/>
    <n v="4933.92"/>
    <d v="2003-11-25T00:00:00"/>
    <x v="0"/>
    <n v="4"/>
    <x v="5"/>
    <x v="5"/>
    <x v="0"/>
    <x v="2"/>
    <n v="136"/>
    <x v="8"/>
    <x v="30"/>
    <s v="78.32.5555"/>
    <s v="2, rue du Commerce"/>
    <m/>
    <x v="25"/>
    <m/>
    <n v="69004"/>
    <x v="1"/>
    <x v="1"/>
    <s v="Saveley"/>
    <s v="Mary"/>
    <x v="1"/>
  </r>
  <r>
    <n v="10206"/>
    <n v="28"/>
    <n v="100"/>
    <n v="3"/>
    <n v="4056.36"/>
    <d v="2003-12-05T00:00:00"/>
    <x v="0"/>
    <n v="4"/>
    <x v="6"/>
    <x v="6"/>
    <x v="0"/>
    <x v="2"/>
    <n v="136"/>
    <x v="8"/>
    <x v="31"/>
    <s v="(604) 555-3392"/>
    <s v="1900 Oak St."/>
    <m/>
    <x v="26"/>
    <s v="BC"/>
    <s v="V3F 2K1"/>
    <x v="10"/>
    <x v="0"/>
    <s v="Tannamuri"/>
    <s v="Yoshi"/>
    <x v="1"/>
  </r>
  <r>
    <n v="10216"/>
    <n v="43"/>
    <n v="100"/>
    <n v="1"/>
    <n v="5759.42"/>
    <d v="2004-02-02T00:00:00"/>
    <x v="0"/>
    <n v="1"/>
    <x v="0"/>
    <x v="0"/>
    <x v="1"/>
    <x v="2"/>
    <n v="136"/>
    <x v="8"/>
    <x v="38"/>
    <s v="30.59.8555"/>
    <s v="67, avenue de l'Europe"/>
    <m/>
    <x v="32"/>
    <m/>
    <n v="78000"/>
    <x v="1"/>
    <x v="1"/>
    <s v="Tonini"/>
    <s v="Daniel"/>
    <x v="1"/>
  </r>
  <r>
    <n v="10229"/>
    <n v="25"/>
    <n v="100"/>
    <n v="13"/>
    <n v="3451"/>
    <d v="2004-03-11T00:00:00"/>
    <x v="0"/>
    <n v="1"/>
    <x v="11"/>
    <x v="11"/>
    <x v="1"/>
    <x v="2"/>
    <n v="136"/>
    <x v="8"/>
    <x v="39"/>
    <n v="4155551450"/>
    <s v="5677 Strong St."/>
    <m/>
    <x v="33"/>
    <s v="CA"/>
    <n v="97562"/>
    <x v="0"/>
    <x v="0"/>
    <s v="Nelson"/>
    <s v="Valarie"/>
    <x v="1"/>
  </r>
  <r>
    <n v="10245"/>
    <n v="38"/>
    <n v="100"/>
    <n v="6"/>
    <n v="5920.4"/>
    <d v="2004-05-04T00:00:00"/>
    <x v="0"/>
    <n v="2"/>
    <x v="1"/>
    <x v="1"/>
    <x v="1"/>
    <x v="2"/>
    <n v="136"/>
    <x v="8"/>
    <x v="34"/>
    <n v="2035559545"/>
    <s v="567 North Pendale Street"/>
    <m/>
    <x v="28"/>
    <s v="CT"/>
    <n v="97823"/>
    <x v="0"/>
    <x v="0"/>
    <s v="Murphy"/>
    <s v="Leslie"/>
    <x v="1"/>
  </r>
  <r>
    <n v="10258"/>
    <n v="41"/>
    <n v="100"/>
    <n v="3"/>
    <n v="6668.24"/>
    <d v="2004-06-15T00:00:00"/>
    <x v="0"/>
    <n v="2"/>
    <x v="9"/>
    <x v="9"/>
    <x v="1"/>
    <x v="2"/>
    <n v="136"/>
    <x v="8"/>
    <x v="35"/>
    <s v="+81 3 3584 0555"/>
    <s v="2-2-8 Roppongi"/>
    <m/>
    <x v="29"/>
    <s v="Tokyo"/>
    <s v="106-0032"/>
    <x v="11"/>
    <x v="3"/>
    <s v="Shimamura"/>
    <s v="Akiko"/>
    <x v="1"/>
  </r>
  <r>
    <n v="10270"/>
    <n v="28"/>
    <n v="100"/>
    <n v="6"/>
    <n v="4094.72"/>
    <d v="2004-07-19T00:00:00"/>
    <x v="0"/>
    <n v="3"/>
    <x v="2"/>
    <x v="2"/>
    <x v="1"/>
    <x v="2"/>
    <n v="136"/>
    <x v="8"/>
    <x v="20"/>
    <s v="+61 2 9495 8555"/>
    <s v="Monitor Money Building, 815 Pacific Hwy"/>
    <s v="Level 6"/>
    <x v="17"/>
    <s v="NSW"/>
    <n v="2067"/>
    <x v="3"/>
    <x v="2"/>
    <s v="Huxley"/>
    <s v="Adrian"/>
    <x v="1"/>
  </r>
  <r>
    <n v="10281"/>
    <n v="25"/>
    <n v="100"/>
    <n v="13"/>
    <n v="2938.5"/>
    <d v="2004-08-19T00:00:00"/>
    <x v="0"/>
    <n v="3"/>
    <x v="3"/>
    <x v="3"/>
    <x v="1"/>
    <x v="2"/>
    <n v="136"/>
    <x v="8"/>
    <x v="18"/>
    <n v="2155551555"/>
    <s v="7586 Pompton St."/>
    <m/>
    <x v="15"/>
    <s v="PA"/>
    <n v="70267"/>
    <x v="0"/>
    <x v="0"/>
    <s v="Yu"/>
    <s v="Kyung"/>
    <x v="0"/>
  </r>
  <r>
    <n v="10291"/>
    <n v="41"/>
    <n v="100"/>
    <n v="8"/>
    <n v="6387.8"/>
    <d v="2004-09-08T00:00:00"/>
    <x v="0"/>
    <n v="3"/>
    <x v="10"/>
    <x v="10"/>
    <x v="1"/>
    <x v="2"/>
    <n v="136"/>
    <x v="8"/>
    <x v="37"/>
    <s v="0695-34 6555"/>
    <s v="?kergatan 24"/>
    <m/>
    <x v="31"/>
    <m/>
    <s v="S-844 67"/>
    <x v="8"/>
    <x v="1"/>
    <s v="Larsson"/>
    <s v="Maria"/>
    <x v="1"/>
  </r>
  <r>
    <n v="10304"/>
    <n v="39"/>
    <n v="100"/>
    <n v="3"/>
    <n v="6396"/>
    <d v="2004-10-11T00:00:00"/>
    <x v="0"/>
    <n v="4"/>
    <x v="4"/>
    <x v="4"/>
    <x v="1"/>
    <x v="2"/>
    <n v="136"/>
    <x v="8"/>
    <x v="38"/>
    <s v="30.59.8555"/>
    <s v="67, avenue de l'Europe"/>
    <m/>
    <x v="32"/>
    <m/>
    <n v="78000"/>
    <x v="1"/>
    <x v="1"/>
    <s v="Tonini"/>
    <s v="Daniel"/>
    <x v="1"/>
  </r>
  <r>
    <n v="10313"/>
    <n v="21"/>
    <n v="100"/>
    <n v="11"/>
    <n v="2669.1"/>
    <d v="2004-10-22T00:00:00"/>
    <x v="0"/>
    <n v="4"/>
    <x v="4"/>
    <x v="4"/>
    <x v="1"/>
    <x v="2"/>
    <n v="136"/>
    <x v="8"/>
    <x v="31"/>
    <s v="(604) 555-3392"/>
    <s v="1900 Oak St."/>
    <m/>
    <x v="26"/>
    <s v="BC"/>
    <s v="V3F 2K1"/>
    <x v="10"/>
    <x v="0"/>
    <s v="Tannamuri"/>
    <s v="Yoshi"/>
    <x v="0"/>
  </r>
  <r>
    <n v="10322"/>
    <n v="27"/>
    <n v="100"/>
    <n v="9"/>
    <n v="4784.13"/>
    <d v="2004-11-04T00:00:00"/>
    <x v="0"/>
    <n v="4"/>
    <x v="5"/>
    <x v="5"/>
    <x v="1"/>
    <x v="2"/>
    <n v="136"/>
    <x v="8"/>
    <x v="40"/>
    <n v="6035558647"/>
    <s v="2304 Long Airport Avenue"/>
    <m/>
    <x v="34"/>
    <s v="NH"/>
    <n v="62005"/>
    <x v="0"/>
    <x v="0"/>
    <s v="Young"/>
    <s v="Valarie"/>
    <x v="1"/>
  </r>
  <r>
    <n v="10333"/>
    <n v="33"/>
    <n v="99.21"/>
    <n v="6"/>
    <n v="3273.93"/>
    <d v="2004-11-18T00:00:00"/>
    <x v="0"/>
    <n v="4"/>
    <x v="5"/>
    <x v="5"/>
    <x v="1"/>
    <x v="2"/>
    <n v="136"/>
    <x v="8"/>
    <x v="8"/>
    <n v="6505555787"/>
    <s v="5557 North Pendale Street"/>
    <m/>
    <x v="4"/>
    <s v="CA"/>
    <m/>
    <x v="0"/>
    <x v="0"/>
    <s v="Murphy"/>
    <s v="Julie"/>
    <x v="1"/>
  </r>
  <r>
    <n v="10347"/>
    <n v="29"/>
    <n v="100"/>
    <n v="3"/>
    <n v="3586.43"/>
    <d v="2004-11-29T00:00:00"/>
    <x v="0"/>
    <n v="4"/>
    <x v="5"/>
    <x v="5"/>
    <x v="1"/>
    <x v="2"/>
    <n v="136"/>
    <x v="8"/>
    <x v="10"/>
    <s v="03 9520 4555"/>
    <s v="636 St Kilda Road"/>
    <s v="Level 3"/>
    <x v="8"/>
    <s v="Victoria"/>
    <n v="3004"/>
    <x v="3"/>
    <x v="2"/>
    <s v="Ferguson"/>
    <s v="Peter"/>
    <x v="1"/>
  </r>
  <r>
    <n v="10357"/>
    <n v="49"/>
    <n v="100"/>
    <n v="8"/>
    <n v="5960.36"/>
    <d v="2004-12-10T00:00:00"/>
    <x v="0"/>
    <n v="4"/>
    <x v="6"/>
    <x v="6"/>
    <x v="1"/>
    <x v="2"/>
    <n v="136"/>
    <x v="8"/>
    <x v="39"/>
    <n v="4155551450"/>
    <s v="5677 Strong St."/>
    <m/>
    <x v="33"/>
    <s v="CA"/>
    <n v="97562"/>
    <x v="0"/>
    <x v="0"/>
    <s v="Nelson"/>
    <s v="Valarie"/>
    <x v="1"/>
  </r>
  <r>
    <n v="10370"/>
    <n v="49"/>
    <n v="100"/>
    <n v="8"/>
    <n v="8470.14"/>
    <d v="2005-01-20T00:00:00"/>
    <x v="0"/>
    <n v="1"/>
    <x v="7"/>
    <x v="7"/>
    <x v="2"/>
    <x v="2"/>
    <n v="136"/>
    <x v="8"/>
    <x v="42"/>
    <s v="02 9936 8555"/>
    <s v="201 Miller Street"/>
    <s v="Level 15"/>
    <x v="36"/>
    <s v="NSW"/>
    <n v="2060"/>
    <x v="3"/>
    <x v="2"/>
    <s v="O'Hara"/>
    <s v="Anna"/>
    <x v="2"/>
  </r>
  <r>
    <n v="10381"/>
    <n v="20"/>
    <n v="100"/>
    <n v="1"/>
    <n v="2952"/>
    <d v="2005-02-17T00:00:00"/>
    <x v="0"/>
    <n v="1"/>
    <x v="0"/>
    <x v="0"/>
    <x v="2"/>
    <x v="2"/>
    <n v="136"/>
    <x v="8"/>
    <x v="4"/>
    <n v="6505551386"/>
    <s v="7734 Strong St."/>
    <m/>
    <x v="4"/>
    <s v="CA"/>
    <m/>
    <x v="0"/>
    <x v="0"/>
    <s v="Brown"/>
    <s v="Julie"/>
    <x v="0"/>
  </r>
  <r>
    <n v="10391"/>
    <n v="39"/>
    <n v="63.2"/>
    <n v="9"/>
    <n v="2464.8000000000002"/>
    <d v="2005-03-09T00:00:00"/>
    <x v="0"/>
    <n v="1"/>
    <x v="11"/>
    <x v="11"/>
    <x v="2"/>
    <x v="2"/>
    <n v="136"/>
    <x v="8"/>
    <x v="42"/>
    <s v="02 9936 8555"/>
    <s v="201 Miller Street"/>
    <s v="Level 15"/>
    <x v="36"/>
    <s v="NSW"/>
    <n v="2060"/>
    <x v="3"/>
    <x v="2"/>
    <s v="O'Hara"/>
    <s v="Anna"/>
    <x v="0"/>
  </r>
  <r>
    <n v="10411"/>
    <n v="40"/>
    <n v="100"/>
    <n v="6"/>
    <n v="6232"/>
    <d v="2005-05-01T00:00:00"/>
    <x v="0"/>
    <n v="2"/>
    <x v="1"/>
    <x v="1"/>
    <x v="2"/>
    <x v="2"/>
    <n v="136"/>
    <x v="8"/>
    <x v="43"/>
    <s v="(514) 555-8054"/>
    <s v="43 rue St. Laurent"/>
    <m/>
    <x v="37"/>
    <s v="Quebec"/>
    <s v="H1J 1C3"/>
    <x v="10"/>
    <x v="0"/>
    <s v="Fresnisre"/>
    <s v="Jean"/>
    <x v="1"/>
  </r>
  <r>
    <n v="10424"/>
    <n v="49"/>
    <n v="100"/>
    <n v="3"/>
    <n v="7969.36"/>
    <d v="2005-05-31T00:00:00"/>
    <x v="2"/>
    <n v="2"/>
    <x v="1"/>
    <x v="1"/>
    <x v="2"/>
    <x v="2"/>
    <n v="136"/>
    <x v="8"/>
    <x v="23"/>
    <s v="(91) 555 94 44"/>
    <s v="C/ Moralzarzal, 86"/>
    <m/>
    <x v="20"/>
    <m/>
    <n v="28034"/>
    <x v="7"/>
    <x v="1"/>
    <s v="Freyre"/>
    <s v="Diego"/>
    <x v="2"/>
  </r>
  <r>
    <n v="10107"/>
    <n v="21"/>
    <n v="100"/>
    <n v="1"/>
    <n v="3036.6"/>
    <d v="2003-02-24T00:00:00"/>
    <x v="0"/>
    <n v="1"/>
    <x v="0"/>
    <x v="0"/>
    <x v="0"/>
    <x v="0"/>
    <n v="150"/>
    <x v="9"/>
    <x v="0"/>
    <n v="2125557818"/>
    <s v="897 Long Airport Avenue"/>
    <m/>
    <x v="0"/>
    <s v="NY"/>
    <n v="10022"/>
    <x v="0"/>
    <x v="0"/>
    <s v="Yu"/>
    <s v="Kwai"/>
    <x v="1"/>
  </r>
  <r>
    <n v="10121"/>
    <n v="50"/>
    <n v="100"/>
    <n v="4"/>
    <n v="8284"/>
    <d v="2003-05-07T00:00:00"/>
    <x v="0"/>
    <n v="2"/>
    <x v="1"/>
    <x v="1"/>
    <x v="0"/>
    <x v="0"/>
    <n v="150"/>
    <x v="9"/>
    <x v="1"/>
    <s v="26.47.1555"/>
    <s v="59 rue de l'Abbaye"/>
    <m/>
    <x v="1"/>
    <m/>
    <n v="51100"/>
    <x v="1"/>
    <x v="1"/>
    <s v="Henriot"/>
    <s v="Paul"/>
    <x v="2"/>
  </r>
  <r>
    <n v="10134"/>
    <n v="20"/>
    <n v="100"/>
    <n v="1"/>
    <n v="2711.2"/>
    <d v="2003-07-01T00:00:00"/>
    <x v="0"/>
    <n v="3"/>
    <x v="2"/>
    <x v="2"/>
    <x v="0"/>
    <x v="0"/>
    <n v="150"/>
    <x v="9"/>
    <x v="2"/>
    <s v="+33 1 46 62 7555"/>
    <s v="27 rue du Colonel Pierre Avia"/>
    <m/>
    <x v="2"/>
    <m/>
    <n v="75508"/>
    <x v="1"/>
    <x v="1"/>
    <s v="Da Cunha"/>
    <s v="Daniel"/>
    <x v="0"/>
  </r>
  <r>
    <n v="10145"/>
    <n v="49"/>
    <n v="100"/>
    <n v="5"/>
    <n v="8339.7999999999993"/>
    <d v="2003-08-25T00:00:00"/>
    <x v="0"/>
    <n v="3"/>
    <x v="3"/>
    <x v="3"/>
    <x v="0"/>
    <x v="0"/>
    <n v="150"/>
    <x v="9"/>
    <x v="3"/>
    <n v="6265557265"/>
    <s v="78934 Hillside Dr."/>
    <m/>
    <x v="3"/>
    <s v="CA"/>
    <n v="90003"/>
    <x v="0"/>
    <x v="0"/>
    <s v="Young"/>
    <s v="Julie"/>
    <x v="2"/>
  </r>
  <r>
    <n v="10159"/>
    <n v="38"/>
    <n v="100"/>
    <n v="13"/>
    <n v="6238.84"/>
    <d v="2003-10-10T00:00:00"/>
    <x v="0"/>
    <n v="4"/>
    <x v="4"/>
    <x v="4"/>
    <x v="0"/>
    <x v="0"/>
    <n v="150"/>
    <x v="9"/>
    <x v="4"/>
    <n v="6505551386"/>
    <s v="7734 Strong St."/>
    <m/>
    <x v="4"/>
    <s v="CA"/>
    <m/>
    <x v="0"/>
    <x v="0"/>
    <s v="Brown"/>
    <s v="Julie"/>
    <x v="1"/>
  </r>
  <r>
    <n v="10169"/>
    <n v="35"/>
    <n v="100"/>
    <n v="13"/>
    <n v="4639.25"/>
    <d v="2003-11-04T00:00:00"/>
    <x v="0"/>
    <n v="4"/>
    <x v="5"/>
    <x v="5"/>
    <x v="0"/>
    <x v="0"/>
    <n v="150"/>
    <x v="9"/>
    <x v="42"/>
    <s v="02 9936 8555"/>
    <s v="201 Miller Street"/>
    <s v="Level 15"/>
    <x v="36"/>
    <s v="NSW"/>
    <n v="2060"/>
    <x v="3"/>
    <x v="2"/>
    <s v="O'Hara"/>
    <s v="Anna"/>
    <x v="1"/>
  </r>
  <r>
    <n v="10180"/>
    <n v="40"/>
    <n v="100"/>
    <n v="8"/>
    <n v="6747.6"/>
    <d v="2003-11-11T00:00:00"/>
    <x v="0"/>
    <n v="4"/>
    <x v="5"/>
    <x v="5"/>
    <x v="0"/>
    <x v="0"/>
    <n v="150"/>
    <x v="9"/>
    <x v="6"/>
    <s v="20.16.1555"/>
    <s v="184, chausse de Tournai"/>
    <m/>
    <x v="6"/>
    <m/>
    <n v="59000"/>
    <x v="1"/>
    <x v="1"/>
    <s v="Rance"/>
    <s v="Martine"/>
    <x v="1"/>
  </r>
  <r>
    <n v="10189"/>
    <n v="28"/>
    <n v="100"/>
    <n v="1"/>
    <n v="4512.4799999999996"/>
    <d v="2003-11-18T00:00:00"/>
    <x v="0"/>
    <n v="4"/>
    <x v="5"/>
    <x v="5"/>
    <x v="0"/>
    <x v="0"/>
    <n v="150"/>
    <x v="9"/>
    <x v="3"/>
    <n v="6265557265"/>
    <s v="78934 Hillside Dr."/>
    <m/>
    <x v="3"/>
    <s v="CA"/>
    <n v="90003"/>
    <x v="0"/>
    <x v="0"/>
    <s v="Young"/>
    <s v="Julie"/>
    <x v="1"/>
  </r>
  <r>
    <n v="10201"/>
    <n v="25"/>
    <n v="100"/>
    <n v="1"/>
    <n v="4029"/>
    <d v="2003-12-01T00:00:00"/>
    <x v="0"/>
    <n v="4"/>
    <x v="6"/>
    <x v="6"/>
    <x v="0"/>
    <x v="0"/>
    <n v="150"/>
    <x v="9"/>
    <x v="8"/>
    <n v="6505555787"/>
    <s v="5557 North Pendale Street"/>
    <m/>
    <x v="4"/>
    <s v="CA"/>
    <m/>
    <x v="0"/>
    <x v="0"/>
    <s v="Murphy"/>
    <s v="Julie"/>
    <x v="1"/>
  </r>
  <r>
    <n v="10211"/>
    <n v="36"/>
    <n v="100"/>
    <n v="13"/>
    <n v="4771.8"/>
    <d v="2004-01-15T00:00:00"/>
    <x v="0"/>
    <n v="1"/>
    <x v="7"/>
    <x v="7"/>
    <x v="1"/>
    <x v="0"/>
    <n v="150"/>
    <x v="9"/>
    <x v="9"/>
    <s v="(1) 47.55.6555"/>
    <s v="25, rue Lauriston"/>
    <m/>
    <x v="2"/>
    <m/>
    <n v="75016"/>
    <x v="1"/>
    <x v="1"/>
    <s v="Perrier"/>
    <s v="Dominique"/>
    <x v="1"/>
  </r>
  <r>
    <n v="10224"/>
    <n v="43"/>
    <n v="100"/>
    <n v="6"/>
    <n v="6087.94"/>
    <d v="2004-02-21T00:00:00"/>
    <x v="0"/>
    <n v="1"/>
    <x v="0"/>
    <x v="0"/>
    <x v="1"/>
    <x v="0"/>
    <n v="150"/>
    <x v="9"/>
    <x v="6"/>
    <s v="20.16.1555"/>
    <s v="184, chausse de Tournai"/>
    <m/>
    <x v="6"/>
    <m/>
    <n v="59000"/>
    <x v="1"/>
    <x v="1"/>
    <s v="Rance"/>
    <s v="Martine"/>
    <x v="1"/>
  </r>
  <r>
    <n v="10237"/>
    <n v="32"/>
    <n v="100"/>
    <n v="6"/>
    <n v="4193.28"/>
    <d v="2004-04-05T00:00:00"/>
    <x v="0"/>
    <n v="2"/>
    <x v="8"/>
    <x v="8"/>
    <x v="1"/>
    <x v="0"/>
    <n v="150"/>
    <x v="9"/>
    <x v="11"/>
    <n v="2125551500"/>
    <s v="2678 Kingston Rd."/>
    <s v="Suite 101"/>
    <x v="0"/>
    <s v="NY"/>
    <n v="10022"/>
    <x v="0"/>
    <x v="0"/>
    <s v="Frick"/>
    <s v="Michael"/>
    <x v="1"/>
  </r>
  <r>
    <n v="10251"/>
    <n v="46"/>
    <n v="100"/>
    <n v="1"/>
    <n v="7552.28"/>
    <d v="2004-05-18T00:00:00"/>
    <x v="0"/>
    <n v="2"/>
    <x v="1"/>
    <x v="1"/>
    <x v="1"/>
    <x v="0"/>
    <n v="150"/>
    <x v="9"/>
    <x v="12"/>
    <n v="2015559350"/>
    <s v="7476 Moss Rd."/>
    <m/>
    <x v="9"/>
    <s v="NJ"/>
    <n v="94019"/>
    <x v="0"/>
    <x v="0"/>
    <s v="Brown"/>
    <s v="William"/>
    <x v="2"/>
  </r>
  <r>
    <n v="10263"/>
    <n v="48"/>
    <n v="100"/>
    <n v="1"/>
    <n v="6434.4"/>
    <d v="2004-06-28T00:00:00"/>
    <x v="0"/>
    <n v="2"/>
    <x v="9"/>
    <x v="9"/>
    <x v="1"/>
    <x v="0"/>
    <n v="150"/>
    <x v="9"/>
    <x v="13"/>
    <n v="2035552570"/>
    <s v="25593 South Bay Ln."/>
    <m/>
    <x v="10"/>
    <s v="CT"/>
    <n v="97562"/>
    <x v="0"/>
    <x v="0"/>
    <s v="King"/>
    <s v="Julie"/>
    <x v="1"/>
  </r>
  <r>
    <n v="10276"/>
    <n v="43"/>
    <n v="100"/>
    <n v="14"/>
    <n v="5181.5"/>
    <d v="2004-08-02T00:00:00"/>
    <x v="0"/>
    <n v="3"/>
    <x v="3"/>
    <x v="3"/>
    <x v="1"/>
    <x v="0"/>
    <n v="150"/>
    <x v="9"/>
    <x v="71"/>
    <n v="6175557555"/>
    <s v="7635 Spinnaker Dr."/>
    <m/>
    <x v="35"/>
    <s v="MA"/>
    <n v="58339"/>
    <x v="0"/>
    <x v="0"/>
    <s v="Barajas"/>
    <s v="Miguel"/>
    <x v="1"/>
  </r>
  <r>
    <n v="10285"/>
    <n v="49"/>
    <n v="100"/>
    <n v="5"/>
    <n v="6863.92"/>
    <d v="2004-08-27T00:00:00"/>
    <x v="0"/>
    <n v="3"/>
    <x v="3"/>
    <x v="3"/>
    <x v="1"/>
    <x v="0"/>
    <n v="150"/>
    <x v="9"/>
    <x v="15"/>
    <n v="6175558555"/>
    <s v="39323 Spinnaker Dr."/>
    <m/>
    <x v="12"/>
    <s v="MA"/>
    <n v="51247"/>
    <x v="0"/>
    <x v="0"/>
    <s v="Hernandez"/>
    <s v="Marta"/>
    <x v="1"/>
  </r>
  <r>
    <n v="10299"/>
    <n v="24"/>
    <n v="100"/>
    <n v="8"/>
    <n v="4157.04"/>
    <d v="2004-09-30T00:00:00"/>
    <x v="0"/>
    <n v="3"/>
    <x v="10"/>
    <x v="10"/>
    <x v="1"/>
    <x v="0"/>
    <n v="150"/>
    <x v="9"/>
    <x v="16"/>
    <s v="90-224 8555"/>
    <s v="Keskuskatu 45"/>
    <m/>
    <x v="13"/>
    <m/>
    <n v="21240"/>
    <x v="4"/>
    <x v="1"/>
    <s v="Karttunen"/>
    <s v="Matti"/>
    <x v="1"/>
  </r>
  <r>
    <n v="10309"/>
    <n v="26"/>
    <n v="100"/>
    <n v="4"/>
    <n v="4660.24"/>
    <d v="2004-10-15T00:00:00"/>
    <x v="0"/>
    <n v="4"/>
    <x v="4"/>
    <x v="4"/>
    <x v="1"/>
    <x v="0"/>
    <n v="150"/>
    <x v="9"/>
    <x v="17"/>
    <s v="07-98 9555"/>
    <s v="Erling Skakkes gate 78"/>
    <m/>
    <x v="14"/>
    <m/>
    <n v="4110"/>
    <x v="2"/>
    <x v="1"/>
    <s v="Bergulfsen"/>
    <s v="Jonas"/>
    <x v="1"/>
  </r>
  <r>
    <n v="10319"/>
    <n v="30"/>
    <n v="100"/>
    <n v="9"/>
    <n v="4111.8"/>
    <d v="2004-11-03T00:00:00"/>
    <x v="0"/>
    <n v="4"/>
    <x v="5"/>
    <x v="5"/>
    <x v="1"/>
    <x v="0"/>
    <n v="150"/>
    <x v="9"/>
    <x v="79"/>
    <n v="2125551957"/>
    <s v="5290 North Pendale Street"/>
    <s v="Suite 200"/>
    <x v="0"/>
    <s v="NY"/>
    <n v="10022"/>
    <x v="0"/>
    <x v="0"/>
    <s v="Kuo"/>
    <s v="Kee"/>
    <x v="1"/>
  </r>
  <r>
    <n v="10329"/>
    <n v="24"/>
    <n v="100"/>
    <n v="6"/>
    <n v="3542.64"/>
    <d v="2004-11-15T00:00:00"/>
    <x v="0"/>
    <n v="4"/>
    <x v="5"/>
    <x v="5"/>
    <x v="1"/>
    <x v="0"/>
    <n v="150"/>
    <x v="9"/>
    <x v="0"/>
    <n v="2125557818"/>
    <s v="897 Long Airport Avenue"/>
    <m/>
    <x v="0"/>
    <s v="NY"/>
    <n v="10022"/>
    <x v="0"/>
    <x v="0"/>
    <s v="Yu"/>
    <s v="Kwai"/>
    <x v="1"/>
  </r>
  <r>
    <n v="10341"/>
    <n v="55"/>
    <n v="100"/>
    <n v="8"/>
    <n v="8118.55"/>
    <d v="2004-11-24T00:00:00"/>
    <x v="0"/>
    <n v="4"/>
    <x v="5"/>
    <x v="5"/>
    <x v="1"/>
    <x v="0"/>
    <n v="150"/>
    <x v="9"/>
    <x v="19"/>
    <s v="6562-9555"/>
    <s v="Geislweg 14"/>
    <m/>
    <x v="16"/>
    <m/>
    <n v="5020"/>
    <x v="5"/>
    <x v="1"/>
    <s v="Pipps"/>
    <s v="Georg"/>
    <x v="2"/>
  </r>
  <r>
    <n v="10362"/>
    <n v="22"/>
    <n v="100"/>
    <n v="1"/>
    <n v="3877.06"/>
    <d v="2005-01-05T00:00:00"/>
    <x v="0"/>
    <n v="1"/>
    <x v="7"/>
    <x v="7"/>
    <x v="2"/>
    <x v="0"/>
    <n v="150"/>
    <x v="9"/>
    <x v="5"/>
    <n v="6505556809"/>
    <s v="9408 Furth Circle"/>
    <m/>
    <x v="5"/>
    <s v="CA"/>
    <n v="94217"/>
    <x v="0"/>
    <x v="0"/>
    <s v="Hirano"/>
    <s v="Juri"/>
    <x v="1"/>
  </r>
  <r>
    <n v="10375"/>
    <n v="49"/>
    <n v="78.92"/>
    <n v="13"/>
    <n v="3867.08"/>
    <d v="2005-02-03T00:00:00"/>
    <x v="0"/>
    <n v="1"/>
    <x v="0"/>
    <x v="0"/>
    <x v="2"/>
    <x v="0"/>
    <n v="150"/>
    <x v="9"/>
    <x v="14"/>
    <s v="40.67.8555"/>
    <s v="67, rue des Cinquante Otages"/>
    <m/>
    <x v="11"/>
    <m/>
    <n v="44000"/>
    <x v="1"/>
    <x v="1"/>
    <s v="Labrune"/>
    <s v="Janine"/>
    <x v="1"/>
  </r>
  <r>
    <n v="10388"/>
    <n v="44"/>
    <n v="100"/>
    <n v="6"/>
    <n v="5951.44"/>
    <d v="2005-03-03T00:00:00"/>
    <x v="0"/>
    <n v="1"/>
    <x v="11"/>
    <x v="11"/>
    <x v="2"/>
    <x v="0"/>
    <n v="150"/>
    <x v="9"/>
    <x v="21"/>
    <n v="5085552555"/>
    <s v="1785 First Street"/>
    <m/>
    <x v="18"/>
    <s v="MA"/>
    <n v="50553"/>
    <x v="0"/>
    <x v="0"/>
    <s v="Benitez"/>
    <s v="Violeta"/>
    <x v="1"/>
  </r>
  <r>
    <n v="10403"/>
    <n v="66"/>
    <n v="100"/>
    <n v="6"/>
    <n v="8648.64"/>
    <d v="2005-04-08T00:00:00"/>
    <x v="0"/>
    <n v="2"/>
    <x v="8"/>
    <x v="8"/>
    <x v="2"/>
    <x v="0"/>
    <n v="150"/>
    <x v="9"/>
    <x v="22"/>
    <s v="(171) 555-2282"/>
    <s v="Berkeley Gardens 12  Brewery"/>
    <m/>
    <x v="19"/>
    <m/>
    <s v="WX1 6LT"/>
    <x v="6"/>
    <x v="1"/>
    <s v="Devon"/>
    <s v="Elizabeth"/>
    <x v="2"/>
  </r>
  <r>
    <n v="10417"/>
    <n v="21"/>
    <n v="100"/>
    <n v="1"/>
    <n v="3447.78"/>
    <d v="2005-05-13T00:00:00"/>
    <x v="1"/>
    <n v="2"/>
    <x v="1"/>
    <x v="1"/>
    <x v="2"/>
    <x v="0"/>
    <n v="150"/>
    <x v="9"/>
    <x v="23"/>
    <s v="(91) 555 94 44"/>
    <s v="C/ Moralzarzal, 86"/>
    <m/>
    <x v="20"/>
    <m/>
    <n v="28034"/>
    <x v="7"/>
    <x v="1"/>
    <s v="Freyre"/>
    <s v="Diego"/>
    <x v="1"/>
  </r>
  <r>
    <n v="10104"/>
    <n v="34"/>
    <n v="100"/>
    <n v="1"/>
    <n v="5958.5"/>
    <d v="2003-01-31T00:00:00"/>
    <x v="0"/>
    <n v="1"/>
    <x v="7"/>
    <x v="7"/>
    <x v="0"/>
    <x v="1"/>
    <n v="151"/>
    <x v="10"/>
    <x v="23"/>
    <s v="(91) 555 94 44"/>
    <s v="C/ Moralzarzal, 86"/>
    <m/>
    <x v="20"/>
    <m/>
    <n v="28034"/>
    <x v="7"/>
    <x v="1"/>
    <s v="Freyre"/>
    <s v="Diego"/>
    <x v="1"/>
  </r>
  <r>
    <n v="10117"/>
    <n v="43"/>
    <n v="100"/>
    <n v="10"/>
    <n v="5911.64"/>
    <d v="2003-04-16T00:00:00"/>
    <x v="0"/>
    <n v="2"/>
    <x v="8"/>
    <x v="8"/>
    <x v="0"/>
    <x v="1"/>
    <n v="151"/>
    <x v="10"/>
    <x v="26"/>
    <s v="+65 221 7555"/>
    <s v="Bronz Sok., Bronz Apt. 3/6 Tesvikiye"/>
    <m/>
    <x v="22"/>
    <m/>
    <n v="79903"/>
    <x v="9"/>
    <x v="3"/>
    <s v="Natividad"/>
    <s v="Eric"/>
    <x v="1"/>
  </r>
  <r>
    <n v="10127"/>
    <n v="46"/>
    <n v="100"/>
    <n v="3"/>
    <n v="7366.44"/>
    <d v="2003-06-03T00:00:00"/>
    <x v="0"/>
    <n v="2"/>
    <x v="9"/>
    <x v="9"/>
    <x v="0"/>
    <x v="1"/>
    <n v="151"/>
    <x v="10"/>
    <x v="74"/>
    <n v="2125557413"/>
    <s v="4092 Furth Circle"/>
    <s v="Suite 400"/>
    <x v="0"/>
    <s v="NY"/>
    <n v="10022"/>
    <x v="0"/>
    <x v="0"/>
    <s v="Young"/>
    <s v="Jeff"/>
    <x v="2"/>
  </r>
  <r>
    <n v="10142"/>
    <n v="33"/>
    <n v="100"/>
    <n v="13"/>
    <n v="4985.6400000000003"/>
    <d v="2003-08-08T00:00:00"/>
    <x v="0"/>
    <n v="3"/>
    <x v="3"/>
    <x v="3"/>
    <x v="0"/>
    <x v="1"/>
    <n v="151"/>
    <x v="10"/>
    <x v="39"/>
    <n v="4155551450"/>
    <s v="5677 Strong St."/>
    <m/>
    <x v="33"/>
    <s v="CA"/>
    <n v="97562"/>
    <x v="0"/>
    <x v="0"/>
    <s v="Nelson"/>
    <s v="Valarie"/>
    <x v="1"/>
  </r>
  <r>
    <n v="10153"/>
    <n v="42"/>
    <n v="100"/>
    <n v="12"/>
    <n v="5393.64"/>
    <d v="2003-09-28T00:00:00"/>
    <x v="0"/>
    <n v="3"/>
    <x v="10"/>
    <x v="10"/>
    <x v="0"/>
    <x v="1"/>
    <n v="151"/>
    <x v="10"/>
    <x v="23"/>
    <s v="(91) 555 94 44"/>
    <s v="C/ Moralzarzal, 86"/>
    <m/>
    <x v="20"/>
    <m/>
    <n v="28034"/>
    <x v="7"/>
    <x v="1"/>
    <s v="Freyre"/>
    <s v="Diego"/>
    <x v="1"/>
  </r>
  <r>
    <n v="10165"/>
    <n v="34"/>
    <n v="100"/>
    <n v="4"/>
    <n v="4880.0200000000004"/>
    <d v="2003-10-22T00:00:00"/>
    <x v="0"/>
    <n v="4"/>
    <x v="4"/>
    <x v="4"/>
    <x v="0"/>
    <x v="1"/>
    <n v="151"/>
    <x v="10"/>
    <x v="26"/>
    <s v="+65 221 7555"/>
    <s v="Bronz Sok., Bronz Apt. 3/6 Tesvikiye"/>
    <m/>
    <x v="22"/>
    <m/>
    <n v="79903"/>
    <x v="9"/>
    <x v="3"/>
    <s v="Natividad"/>
    <s v="Eric"/>
    <x v="1"/>
  </r>
  <r>
    <n v="10176"/>
    <n v="47"/>
    <n v="100"/>
    <n v="3"/>
    <n v="8378.69"/>
    <d v="2003-11-06T00:00:00"/>
    <x v="0"/>
    <n v="4"/>
    <x v="5"/>
    <x v="5"/>
    <x v="0"/>
    <x v="1"/>
    <n v="151"/>
    <x v="10"/>
    <x v="70"/>
    <s v="0522-556555"/>
    <s v="Strada Provinciale 124"/>
    <m/>
    <x v="57"/>
    <m/>
    <n v="42100"/>
    <x v="12"/>
    <x v="1"/>
    <s v="Moroni"/>
    <s v="Maurizio"/>
    <x v="2"/>
  </r>
  <r>
    <n v="10185"/>
    <n v="33"/>
    <n v="100"/>
    <n v="14"/>
    <n v="4038.21"/>
    <d v="2003-11-14T00:00:00"/>
    <x v="0"/>
    <n v="4"/>
    <x v="5"/>
    <x v="5"/>
    <x v="0"/>
    <x v="1"/>
    <n v="151"/>
    <x v="10"/>
    <x v="50"/>
    <n v="5085559555"/>
    <s v="4575 Hillside Dr."/>
    <m/>
    <x v="18"/>
    <s v="MA"/>
    <n v="50553"/>
    <x v="0"/>
    <x v="0"/>
    <s v="Tam"/>
    <s v="Wing C"/>
    <x v="1"/>
  </r>
  <r>
    <n v="10196"/>
    <n v="24"/>
    <n v="100"/>
    <n v="6"/>
    <n v="3807.12"/>
    <d v="2003-11-26T00:00:00"/>
    <x v="0"/>
    <n v="4"/>
    <x v="5"/>
    <x v="5"/>
    <x v="0"/>
    <x v="1"/>
    <n v="151"/>
    <x v="10"/>
    <x v="34"/>
    <n v="2035559545"/>
    <s v="567 North Pendale Street"/>
    <m/>
    <x v="28"/>
    <s v="CT"/>
    <n v="97823"/>
    <x v="0"/>
    <x v="0"/>
    <s v="Murphy"/>
    <s v="Leslie"/>
    <x v="1"/>
  </r>
  <r>
    <n v="10208"/>
    <n v="26"/>
    <n v="100"/>
    <n v="14"/>
    <n v="3142.36"/>
    <d v="2004-01-02T00:00:00"/>
    <x v="0"/>
    <n v="1"/>
    <x v="7"/>
    <x v="7"/>
    <x v="1"/>
    <x v="1"/>
    <n v="151"/>
    <x v="10"/>
    <x v="30"/>
    <s v="78.32.5555"/>
    <s v="2, rue du Commerce"/>
    <m/>
    <x v="25"/>
    <m/>
    <n v="69004"/>
    <x v="1"/>
    <x v="1"/>
    <s v="Saveley"/>
    <s v="Mary"/>
    <x v="1"/>
  </r>
  <r>
    <n v="10220"/>
    <n v="30"/>
    <n v="100"/>
    <n v="3"/>
    <n v="4713.6000000000004"/>
    <d v="2004-02-12T00:00:00"/>
    <x v="0"/>
    <n v="1"/>
    <x v="0"/>
    <x v="0"/>
    <x v="1"/>
    <x v="1"/>
    <n v="151"/>
    <x v="10"/>
    <x v="75"/>
    <s v="+353 1862 1555"/>
    <s v="25 Maiden Lane"/>
    <s v="Floor No. 4"/>
    <x v="60"/>
    <m/>
    <n v="2"/>
    <x v="18"/>
    <x v="1"/>
    <s v="Cassidy"/>
    <s v="Dean"/>
    <x v="1"/>
  </r>
  <r>
    <n v="10230"/>
    <n v="43"/>
    <n v="100"/>
    <n v="1"/>
    <n v="7016.31"/>
    <d v="2004-03-15T00:00:00"/>
    <x v="0"/>
    <n v="1"/>
    <x v="11"/>
    <x v="11"/>
    <x v="1"/>
    <x v="1"/>
    <n v="151"/>
    <x v="10"/>
    <x v="72"/>
    <s v="+49 69 66 90 2555"/>
    <s v="Lyonerstr. 34"/>
    <m/>
    <x v="58"/>
    <m/>
    <n v="60528"/>
    <x v="16"/>
    <x v="1"/>
    <s v="Keitel"/>
    <s v="Roland"/>
    <x v="2"/>
  </r>
  <r>
    <n v="10247"/>
    <n v="25"/>
    <n v="100"/>
    <n v="3"/>
    <n v="4381.25"/>
    <d v="2004-05-05T00:00:00"/>
    <x v="0"/>
    <n v="2"/>
    <x v="1"/>
    <x v="1"/>
    <x v="1"/>
    <x v="1"/>
    <n v="151"/>
    <x v="10"/>
    <x v="73"/>
    <s v="+358 9 8045 555"/>
    <s v="Software Engineering Center, SEC Oy"/>
    <m/>
    <x v="59"/>
    <m/>
    <s v="FIN-02271"/>
    <x v="4"/>
    <x v="1"/>
    <s v="Suominen"/>
    <s v="Kalle"/>
    <x v="1"/>
  </r>
  <r>
    <n v="10272"/>
    <n v="27"/>
    <n v="100"/>
    <n v="3"/>
    <n v="4283.01"/>
    <d v="2004-07-20T00:00:00"/>
    <x v="0"/>
    <n v="3"/>
    <x v="2"/>
    <x v="2"/>
    <x v="1"/>
    <x v="1"/>
    <n v="151"/>
    <x v="10"/>
    <x v="18"/>
    <n v="2155551555"/>
    <s v="7586 Pompton St."/>
    <m/>
    <x v="15"/>
    <s v="PA"/>
    <n v="70267"/>
    <x v="0"/>
    <x v="0"/>
    <s v="Yu"/>
    <s v="Kyung"/>
    <x v="1"/>
  </r>
  <r>
    <n v="10282"/>
    <n v="27"/>
    <n v="100"/>
    <n v="6"/>
    <n v="4364.82"/>
    <d v="2004-08-20T00:00:00"/>
    <x v="0"/>
    <n v="3"/>
    <x v="3"/>
    <x v="3"/>
    <x v="1"/>
    <x v="1"/>
    <n v="151"/>
    <x v="10"/>
    <x v="39"/>
    <n v="4155551450"/>
    <s v="5677 Strong St."/>
    <m/>
    <x v="33"/>
    <s v="CA"/>
    <n v="97562"/>
    <x v="0"/>
    <x v="0"/>
    <s v="Nelson"/>
    <s v="Valarie"/>
    <x v="1"/>
  </r>
  <r>
    <n v="10293"/>
    <n v="24"/>
    <n v="100"/>
    <n v="9"/>
    <n v="4242.24"/>
    <d v="2004-09-09T00:00:00"/>
    <x v="0"/>
    <n v="3"/>
    <x v="10"/>
    <x v="10"/>
    <x v="1"/>
    <x v="1"/>
    <n v="151"/>
    <x v="10"/>
    <x v="36"/>
    <s v="011-4988555"/>
    <s v="Via Monte Bianco 34"/>
    <m/>
    <x v="30"/>
    <m/>
    <n v="10100"/>
    <x v="12"/>
    <x v="1"/>
    <s v="Accorti"/>
    <s v="Paolo"/>
    <x v="1"/>
  </r>
  <r>
    <n v="10306"/>
    <n v="34"/>
    <n v="100"/>
    <n v="14"/>
    <n v="4982.7"/>
    <d v="2004-10-14T00:00:00"/>
    <x v="0"/>
    <n v="4"/>
    <x v="4"/>
    <x v="4"/>
    <x v="1"/>
    <x v="1"/>
    <n v="151"/>
    <x v="10"/>
    <x v="77"/>
    <s v="(171) 555-1555"/>
    <s v="Fauntleroy Circus"/>
    <m/>
    <x v="61"/>
    <m/>
    <s v="EC2 5NT"/>
    <x v="6"/>
    <x v="1"/>
    <s v="Ashworth"/>
    <s v="Victoria"/>
    <x v="1"/>
  </r>
  <r>
    <n v="10314"/>
    <n v="46"/>
    <n v="100"/>
    <n v="6"/>
    <n v="6393.54"/>
    <d v="2004-10-22T00:00:00"/>
    <x v="0"/>
    <n v="4"/>
    <x v="4"/>
    <x v="4"/>
    <x v="1"/>
    <x v="1"/>
    <n v="151"/>
    <x v="10"/>
    <x v="78"/>
    <s v="86 21 3555"/>
    <s v="Smagsloget 45"/>
    <m/>
    <x v="62"/>
    <m/>
    <n v="8200"/>
    <x v="13"/>
    <x v="1"/>
    <s v="Ibsen"/>
    <s v="Palle"/>
    <x v="1"/>
  </r>
  <r>
    <n v="10324"/>
    <n v="27"/>
    <n v="54.33"/>
    <n v="1"/>
    <n v="1466.91"/>
    <d v="2004-11-05T00:00:00"/>
    <x v="0"/>
    <n v="4"/>
    <x v="5"/>
    <x v="5"/>
    <x v="1"/>
    <x v="1"/>
    <n v="151"/>
    <x v="10"/>
    <x v="11"/>
    <n v="2125551500"/>
    <s v="2678 Kingston Rd."/>
    <s v="Suite 101"/>
    <x v="0"/>
    <s v="NY"/>
    <n v="10022"/>
    <x v="0"/>
    <x v="0"/>
    <s v="Frick"/>
    <s v="Michael"/>
    <x v="0"/>
  </r>
  <r>
    <n v="10336"/>
    <n v="33"/>
    <n v="100"/>
    <n v="11"/>
    <n v="4059.33"/>
    <d v="2004-11-20T00:00:00"/>
    <x v="0"/>
    <n v="4"/>
    <x v="5"/>
    <x v="5"/>
    <x v="1"/>
    <x v="1"/>
    <n v="151"/>
    <x v="10"/>
    <x v="62"/>
    <s v="(1) 42.34.2555"/>
    <s v="265, boulevard Charonne"/>
    <m/>
    <x v="2"/>
    <m/>
    <n v="75012"/>
    <x v="1"/>
    <x v="1"/>
    <s v="Bertrand"/>
    <s v="Marie"/>
    <x v="1"/>
  </r>
  <r>
    <n v="10348"/>
    <n v="47"/>
    <n v="100"/>
    <n v="4"/>
    <n v="4801.5200000000004"/>
    <d v="2004-11-01T00:00:00"/>
    <x v="0"/>
    <n v="4"/>
    <x v="5"/>
    <x v="5"/>
    <x v="1"/>
    <x v="1"/>
    <n v="151"/>
    <x v="10"/>
    <x v="25"/>
    <s v="(91) 555 22 82"/>
    <s v="C/ Araquil, 67"/>
    <m/>
    <x v="20"/>
    <m/>
    <n v="28023"/>
    <x v="7"/>
    <x v="1"/>
    <s v="Sommer"/>
    <s v="Mart¡n"/>
    <x v="1"/>
  </r>
  <r>
    <n v="10358"/>
    <n v="49"/>
    <n v="55.34"/>
    <n v="5"/>
    <n v="2711.66"/>
    <d v="2004-12-10T00:00:00"/>
    <x v="0"/>
    <n v="4"/>
    <x v="6"/>
    <x v="6"/>
    <x v="1"/>
    <x v="1"/>
    <n v="151"/>
    <x v="10"/>
    <x v="23"/>
    <s v="(91) 555 94 44"/>
    <s v="C/ Moralzarzal, 86"/>
    <m/>
    <x v="20"/>
    <m/>
    <n v="28034"/>
    <x v="7"/>
    <x v="1"/>
    <s v="Freyre"/>
    <s v="Diego"/>
    <x v="0"/>
  </r>
  <r>
    <n v="10372"/>
    <n v="40"/>
    <n v="100"/>
    <n v="4"/>
    <n v="5862"/>
    <d v="2005-01-26T00:00:00"/>
    <x v="0"/>
    <n v="1"/>
    <x v="7"/>
    <x v="7"/>
    <x v="2"/>
    <x v="1"/>
    <n v="151"/>
    <x v="10"/>
    <x v="35"/>
    <s v="+81 3 3584 0555"/>
    <s v="2-2-8 Roppongi"/>
    <m/>
    <x v="29"/>
    <s v="Tokyo"/>
    <s v="106-0032"/>
    <x v="11"/>
    <x v="3"/>
    <s v="Shimamura"/>
    <s v="Akiko"/>
    <x v="1"/>
  </r>
  <r>
    <n v="10382"/>
    <n v="37"/>
    <n v="100"/>
    <n v="11"/>
    <n v="4071.85"/>
    <d v="2005-02-17T00:00:00"/>
    <x v="0"/>
    <n v="1"/>
    <x v="0"/>
    <x v="0"/>
    <x v="2"/>
    <x v="1"/>
    <n v="151"/>
    <x v="10"/>
    <x v="39"/>
    <n v="4155551450"/>
    <s v="5677 Strong St."/>
    <m/>
    <x v="33"/>
    <s v="CA"/>
    <n v="97562"/>
    <x v="0"/>
    <x v="0"/>
    <s v="Nelson"/>
    <s v="Valarie"/>
    <x v="1"/>
  </r>
  <r>
    <n v="10413"/>
    <n v="47"/>
    <n v="100"/>
    <n v="3"/>
    <n v="8236.75"/>
    <d v="2005-05-05T00:00:00"/>
    <x v="0"/>
    <n v="2"/>
    <x v="1"/>
    <x v="1"/>
    <x v="2"/>
    <x v="1"/>
    <n v="151"/>
    <x v="10"/>
    <x v="13"/>
    <n v="2035552570"/>
    <s v="25593 South Bay Ln."/>
    <m/>
    <x v="10"/>
    <s v="CT"/>
    <n v="97562"/>
    <x v="0"/>
    <x v="0"/>
    <s v="King"/>
    <s v="Julie"/>
    <x v="2"/>
  </r>
  <r>
    <n v="10108"/>
    <n v="45"/>
    <n v="100"/>
    <n v="4"/>
    <n v="6130.35"/>
    <d v="2003-03-03T00:00:00"/>
    <x v="0"/>
    <n v="1"/>
    <x v="11"/>
    <x v="11"/>
    <x v="0"/>
    <x v="1"/>
    <n v="117"/>
    <x v="11"/>
    <x v="66"/>
    <s v="+63 2 555 3587"/>
    <s v="15 McCallum Street - NatWest Center #13-03"/>
    <m/>
    <x v="53"/>
    <m/>
    <s v="1227 MM"/>
    <x v="15"/>
    <x v="3"/>
    <s v="Cruz"/>
    <s v="Arnold"/>
    <x v="1"/>
  </r>
  <r>
    <n v="10122"/>
    <n v="37"/>
    <n v="99.82"/>
    <n v="8"/>
    <n v="3693.34"/>
    <d v="2003-05-08T00:00:00"/>
    <x v="0"/>
    <n v="2"/>
    <x v="1"/>
    <x v="1"/>
    <x v="0"/>
    <x v="1"/>
    <n v="117"/>
    <x v="11"/>
    <x v="67"/>
    <s v="91.24.4555"/>
    <s v="12, rue des Bouchers"/>
    <m/>
    <x v="54"/>
    <m/>
    <n v="13008"/>
    <x v="1"/>
    <x v="1"/>
    <s v="Lebihan"/>
    <s v="Laurence"/>
    <x v="1"/>
  </r>
  <r>
    <n v="10135"/>
    <n v="48"/>
    <n v="100"/>
    <n v="5"/>
    <n v="6031.68"/>
    <d v="2003-07-02T00:00:00"/>
    <x v="0"/>
    <n v="3"/>
    <x v="2"/>
    <x v="2"/>
    <x v="0"/>
    <x v="1"/>
    <n v="117"/>
    <x v="11"/>
    <x v="39"/>
    <n v="4155551450"/>
    <s v="5677 Strong St."/>
    <m/>
    <x v="33"/>
    <s v="CA"/>
    <n v="97562"/>
    <x v="0"/>
    <x v="0"/>
    <s v="Nelson"/>
    <s v="Valarie"/>
    <x v="1"/>
  </r>
  <r>
    <n v="10147"/>
    <n v="31"/>
    <n v="100"/>
    <n v="5"/>
    <n v="3494.94"/>
    <d v="2003-09-05T00:00:00"/>
    <x v="0"/>
    <n v="3"/>
    <x v="10"/>
    <x v="10"/>
    <x v="0"/>
    <x v="1"/>
    <n v="117"/>
    <x v="11"/>
    <x v="41"/>
    <n v="6175558555"/>
    <s v="7825 Douglas Av."/>
    <m/>
    <x v="35"/>
    <s v="MA"/>
    <n v="58339"/>
    <x v="0"/>
    <x v="0"/>
    <s v="Nelson"/>
    <s v="Allen"/>
    <x v="1"/>
  </r>
  <r>
    <n v="10160"/>
    <n v="46"/>
    <n v="100"/>
    <n v="6"/>
    <n v="5294.14"/>
    <d v="2003-10-11T00:00:00"/>
    <x v="0"/>
    <n v="4"/>
    <x v="4"/>
    <x v="4"/>
    <x v="0"/>
    <x v="1"/>
    <n v="117"/>
    <x v="11"/>
    <x v="54"/>
    <n v="2155554369"/>
    <s v="6047 Douglas Av."/>
    <m/>
    <x v="44"/>
    <s v="CA"/>
    <m/>
    <x v="0"/>
    <x v="0"/>
    <s v="Chandler"/>
    <s v="Michael"/>
    <x v="1"/>
  </r>
  <r>
    <n v="10170"/>
    <n v="47"/>
    <n v="100"/>
    <n v="4"/>
    <n v="5464.69"/>
    <d v="2003-11-04T00:00:00"/>
    <x v="0"/>
    <n v="4"/>
    <x v="5"/>
    <x v="5"/>
    <x v="0"/>
    <x v="1"/>
    <n v="117"/>
    <x v="11"/>
    <x v="63"/>
    <s v="7675-3555"/>
    <s v="Kirchgasse 6"/>
    <m/>
    <x v="52"/>
    <m/>
    <n v="8010"/>
    <x v="5"/>
    <x v="1"/>
    <s v="Mendel"/>
    <s v="Roland"/>
    <x v="1"/>
  </r>
  <r>
    <n v="10181"/>
    <n v="28"/>
    <n v="100"/>
    <n v="12"/>
    <n v="2860.76"/>
    <d v="2003-11-12T00:00:00"/>
    <x v="0"/>
    <n v="4"/>
    <x v="5"/>
    <x v="5"/>
    <x v="0"/>
    <x v="1"/>
    <n v="117"/>
    <x v="11"/>
    <x v="7"/>
    <s v="+47 2267 3215"/>
    <s v="Drammen 121, PR 744 Sentrum"/>
    <m/>
    <x v="7"/>
    <m/>
    <s v="N 5804"/>
    <x v="2"/>
    <x v="1"/>
    <s v="Oeztan"/>
    <s v="Veysel"/>
    <x v="0"/>
  </r>
  <r>
    <n v="10191"/>
    <n v="40"/>
    <n v="100"/>
    <n v="1"/>
    <n v="5590"/>
    <d v="2003-11-20T00:00:00"/>
    <x v="0"/>
    <n v="4"/>
    <x v="5"/>
    <x v="5"/>
    <x v="0"/>
    <x v="1"/>
    <n v="117"/>
    <x v="11"/>
    <x v="68"/>
    <s v="0221-5554327"/>
    <s v="Mehrheimerstr. 369"/>
    <m/>
    <x v="55"/>
    <m/>
    <n v="50739"/>
    <x v="16"/>
    <x v="1"/>
    <s v="Pfalzheim"/>
    <s v="Henriette"/>
    <x v="1"/>
  </r>
  <r>
    <n v="10203"/>
    <n v="20"/>
    <n v="100"/>
    <n v="6"/>
    <n v="2254.8000000000002"/>
    <d v="2003-12-02T00:00:00"/>
    <x v="0"/>
    <n v="4"/>
    <x v="6"/>
    <x v="6"/>
    <x v="0"/>
    <x v="1"/>
    <n v="117"/>
    <x v="11"/>
    <x v="23"/>
    <s v="(91) 555 94 44"/>
    <s v="C/ Moralzarzal, 86"/>
    <m/>
    <x v="20"/>
    <m/>
    <n v="28034"/>
    <x v="7"/>
    <x v="1"/>
    <s v="Freyre"/>
    <s v="Diego"/>
    <x v="0"/>
  </r>
  <r>
    <n v="10212"/>
    <n v="39"/>
    <n v="100"/>
    <n v="16"/>
    <n v="4946.76"/>
    <d v="2004-01-16T00:00:00"/>
    <x v="0"/>
    <n v="1"/>
    <x v="7"/>
    <x v="7"/>
    <x v="1"/>
    <x v="1"/>
    <n v="117"/>
    <x v="11"/>
    <x v="23"/>
    <s v="(91) 555 94 44"/>
    <s v="C/ Moralzarzal, 86"/>
    <m/>
    <x v="20"/>
    <m/>
    <n v="28034"/>
    <x v="7"/>
    <x v="1"/>
    <s v="Freyre"/>
    <s v="Diego"/>
    <x v="1"/>
  </r>
  <r>
    <n v="10225"/>
    <n v="25"/>
    <n v="99.82"/>
    <n v="7"/>
    <n v="2495.5"/>
    <d v="2004-02-22T00:00:00"/>
    <x v="0"/>
    <n v="1"/>
    <x v="0"/>
    <x v="0"/>
    <x v="1"/>
    <x v="1"/>
    <n v="117"/>
    <x v="11"/>
    <x v="69"/>
    <s v="0897-034555"/>
    <s v="Grenzacherweg 237"/>
    <m/>
    <x v="56"/>
    <m/>
    <n v="1203"/>
    <x v="17"/>
    <x v="1"/>
    <s v="Holz"/>
    <s v="Michael"/>
    <x v="0"/>
  </r>
  <r>
    <n v="10238"/>
    <n v="29"/>
    <n v="100"/>
    <n v="1"/>
    <n v="3167.38"/>
    <d v="2004-04-09T00:00:00"/>
    <x v="0"/>
    <n v="2"/>
    <x v="8"/>
    <x v="8"/>
    <x v="1"/>
    <x v="1"/>
    <n v="117"/>
    <x v="11"/>
    <x v="48"/>
    <s v="31 12 3555"/>
    <s v="Vinb'ltet 34"/>
    <m/>
    <x v="40"/>
    <m/>
    <n v="1734"/>
    <x v="13"/>
    <x v="1"/>
    <s v="Petersen"/>
    <s v="Jytte"/>
    <x v="1"/>
  </r>
  <r>
    <n v="10253"/>
    <n v="22"/>
    <n v="100"/>
    <n v="11"/>
    <n v="2402.84"/>
    <d v="2004-06-01T00:00:00"/>
    <x v="3"/>
    <n v="2"/>
    <x v="9"/>
    <x v="9"/>
    <x v="1"/>
    <x v="1"/>
    <n v="117"/>
    <x v="11"/>
    <x v="22"/>
    <s v="(171) 555-2282"/>
    <s v="Berkeley Gardens 12  Brewery"/>
    <m/>
    <x v="19"/>
    <m/>
    <s v="WX1 6LT"/>
    <x v="6"/>
    <x v="1"/>
    <s v="Devon"/>
    <s v="Elizabeth"/>
    <x v="0"/>
  </r>
  <r>
    <n v="10266"/>
    <n v="22"/>
    <n v="100"/>
    <n v="12"/>
    <n v="2454.54"/>
    <d v="2004-07-06T00:00:00"/>
    <x v="0"/>
    <n v="3"/>
    <x v="2"/>
    <x v="2"/>
    <x v="1"/>
    <x v="1"/>
    <n v="117"/>
    <x v="11"/>
    <x v="70"/>
    <s v="0522-556555"/>
    <s v="Strada Provinciale 124"/>
    <m/>
    <x v="57"/>
    <m/>
    <n v="42100"/>
    <x v="12"/>
    <x v="1"/>
    <s v="Moroni"/>
    <s v="Maurizio"/>
    <x v="0"/>
  </r>
  <r>
    <n v="10276"/>
    <n v="47"/>
    <n v="100"/>
    <n v="1"/>
    <n v="5464.69"/>
    <d v="2004-08-02T00:00:00"/>
    <x v="0"/>
    <n v="3"/>
    <x v="3"/>
    <x v="3"/>
    <x v="1"/>
    <x v="1"/>
    <n v="117"/>
    <x v="11"/>
    <x v="71"/>
    <n v="6175557555"/>
    <s v="7635 Spinnaker Dr."/>
    <m/>
    <x v="35"/>
    <s v="MA"/>
    <n v="58339"/>
    <x v="0"/>
    <x v="0"/>
    <s v="Barajas"/>
    <s v="Miguel"/>
    <x v="1"/>
  </r>
  <r>
    <n v="10287"/>
    <n v="45"/>
    <n v="100"/>
    <n v="10"/>
    <n v="4756.5"/>
    <d v="2004-08-30T00:00:00"/>
    <x v="0"/>
    <n v="3"/>
    <x v="3"/>
    <x v="3"/>
    <x v="1"/>
    <x v="1"/>
    <n v="117"/>
    <x v="11"/>
    <x v="69"/>
    <s v="0897-034555"/>
    <s v="Grenzacherweg 237"/>
    <m/>
    <x v="56"/>
    <m/>
    <n v="1203"/>
    <x v="17"/>
    <x v="1"/>
    <s v="Holz"/>
    <s v="Michael"/>
    <x v="1"/>
  </r>
  <r>
    <n v="10300"/>
    <n v="29"/>
    <n v="100"/>
    <n v="3"/>
    <n v="3984.6"/>
    <d v="2003-10-04T00:00:00"/>
    <x v="0"/>
    <n v="4"/>
    <x v="4"/>
    <x v="4"/>
    <x v="0"/>
    <x v="1"/>
    <n v="117"/>
    <x v="11"/>
    <x v="72"/>
    <s v="+49 69 66 90 2555"/>
    <s v="Lyonerstr. 34"/>
    <m/>
    <x v="58"/>
    <m/>
    <n v="60528"/>
    <x v="16"/>
    <x v="1"/>
    <s v="Keitel"/>
    <s v="Roland"/>
    <x v="1"/>
  </r>
  <r>
    <n v="10310"/>
    <n v="24"/>
    <n v="100"/>
    <n v="8"/>
    <n v="3100.32"/>
    <d v="2004-10-16T00:00:00"/>
    <x v="0"/>
    <n v="4"/>
    <x v="4"/>
    <x v="4"/>
    <x v="1"/>
    <x v="1"/>
    <n v="117"/>
    <x v="11"/>
    <x v="68"/>
    <s v="0221-5554327"/>
    <s v="Mehrheimerstr. 369"/>
    <m/>
    <x v="55"/>
    <m/>
    <n v="50739"/>
    <x v="16"/>
    <x v="1"/>
    <s v="Pfalzheim"/>
    <s v="Henriette"/>
    <x v="1"/>
  </r>
  <r>
    <n v="10320"/>
    <n v="35"/>
    <n v="100"/>
    <n v="1"/>
    <n v="4850.3"/>
    <d v="2004-11-03T00:00:00"/>
    <x v="0"/>
    <n v="4"/>
    <x v="5"/>
    <x v="5"/>
    <x v="1"/>
    <x v="1"/>
    <n v="117"/>
    <x v="11"/>
    <x v="24"/>
    <s v="0921-12 3555"/>
    <s v="Berguvsv„gen  8"/>
    <m/>
    <x v="21"/>
    <m/>
    <s v="S-958 22"/>
    <x v="8"/>
    <x v="1"/>
    <s v="Berglund"/>
    <s v="Christina"/>
    <x v="1"/>
  </r>
  <r>
    <n v="10329"/>
    <n v="46"/>
    <n v="83.63"/>
    <n v="13"/>
    <n v="3846.98"/>
    <d v="2004-11-15T00:00:00"/>
    <x v="0"/>
    <n v="4"/>
    <x v="5"/>
    <x v="5"/>
    <x v="1"/>
    <x v="1"/>
    <n v="117"/>
    <x v="11"/>
    <x v="0"/>
    <n v="2125557818"/>
    <s v="897 Long Airport Avenue"/>
    <m/>
    <x v="0"/>
    <s v="NY"/>
    <n v="10022"/>
    <x v="0"/>
    <x v="0"/>
    <s v="Yu"/>
    <s v="Kwai"/>
    <x v="1"/>
  </r>
  <r>
    <n v="10341"/>
    <n v="44"/>
    <n v="95.93"/>
    <n v="1"/>
    <n v="4220.92"/>
    <d v="2004-11-24T00:00:00"/>
    <x v="0"/>
    <n v="4"/>
    <x v="5"/>
    <x v="5"/>
    <x v="1"/>
    <x v="1"/>
    <n v="117"/>
    <x v="11"/>
    <x v="19"/>
    <s v="6562-9555"/>
    <s v="Geislweg 14"/>
    <m/>
    <x v="16"/>
    <m/>
    <n v="5020"/>
    <x v="5"/>
    <x v="1"/>
    <s v="Pipps"/>
    <s v="Georg"/>
    <x v="1"/>
  </r>
  <r>
    <n v="10363"/>
    <n v="34"/>
    <n v="96.73"/>
    <n v="4"/>
    <n v="3288.82"/>
    <d v="2005-01-06T00:00:00"/>
    <x v="0"/>
    <n v="1"/>
    <x v="7"/>
    <x v="7"/>
    <x v="2"/>
    <x v="1"/>
    <n v="117"/>
    <x v="11"/>
    <x v="73"/>
    <s v="+358 9 8045 555"/>
    <s v="Software Engineering Center, SEC Oy"/>
    <m/>
    <x v="59"/>
    <m/>
    <s v="FIN-02271"/>
    <x v="4"/>
    <x v="1"/>
    <s v="Suominen"/>
    <s v="Kalle"/>
    <x v="1"/>
  </r>
  <r>
    <n v="10376"/>
    <n v="35"/>
    <n v="100"/>
    <n v="1"/>
    <n v="3987.2"/>
    <d v="2005-02-08T00:00:00"/>
    <x v="0"/>
    <n v="1"/>
    <x v="0"/>
    <x v="0"/>
    <x v="2"/>
    <x v="1"/>
    <n v="117"/>
    <x v="11"/>
    <x v="80"/>
    <n v="3105552373"/>
    <s v="4097 Douglas Av."/>
    <m/>
    <x v="63"/>
    <s v="CA"/>
    <n v="92561"/>
    <x v="0"/>
    <x v="0"/>
    <s v="Young"/>
    <s v="Leslie"/>
    <x v="1"/>
  </r>
  <r>
    <n v="10389"/>
    <n v="25"/>
    <n v="72.38"/>
    <n v="6"/>
    <n v="1809.5"/>
    <d v="2005-03-03T00:00:00"/>
    <x v="0"/>
    <n v="1"/>
    <x v="11"/>
    <x v="11"/>
    <x v="2"/>
    <x v="1"/>
    <n v="117"/>
    <x v="11"/>
    <x v="37"/>
    <s v="0695-34 6555"/>
    <s v="?kergatan 24"/>
    <m/>
    <x v="31"/>
    <m/>
    <s v="S-844 67"/>
    <x v="8"/>
    <x v="1"/>
    <s v="Larsson"/>
    <s v="Maria"/>
    <x v="0"/>
  </r>
  <r>
    <n v="10419"/>
    <n v="10"/>
    <n v="100"/>
    <n v="11"/>
    <n v="1092.2"/>
    <d v="2005-05-17T00:00:00"/>
    <x v="0"/>
    <n v="2"/>
    <x v="1"/>
    <x v="1"/>
    <x v="2"/>
    <x v="1"/>
    <n v="117"/>
    <x v="11"/>
    <x v="19"/>
    <s v="6562-9555"/>
    <s v="Geislweg 14"/>
    <m/>
    <x v="16"/>
    <m/>
    <n v="5020"/>
    <x v="5"/>
    <x v="1"/>
    <s v="Pipps"/>
    <s v="Georg"/>
    <x v="0"/>
  </r>
  <r>
    <n v="10105"/>
    <n v="29"/>
    <n v="100"/>
    <n v="14"/>
    <n v="4566.05"/>
    <d v="2003-02-11T00:00:00"/>
    <x v="0"/>
    <n v="1"/>
    <x v="0"/>
    <x v="0"/>
    <x v="0"/>
    <x v="1"/>
    <n v="173"/>
    <x v="12"/>
    <x v="48"/>
    <s v="31 12 3555"/>
    <s v="Vinb'ltet 34"/>
    <m/>
    <x v="40"/>
    <m/>
    <n v="1734"/>
    <x v="13"/>
    <x v="1"/>
    <s v="Petersen"/>
    <s v="Jytte"/>
    <x v="1"/>
  </r>
  <r>
    <n v="10117"/>
    <n v="39"/>
    <n v="100"/>
    <n v="8"/>
    <n v="5938.14"/>
    <d v="2003-04-16T00:00:00"/>
    <x v="0"/>
    <n v="2"/>
    <x v="8"/>
    <x v="8"/>
    <x v="0"/>
    <x v="1"/>
    <n v="173"/>
    <x v="12"/>
    <x v="26"/>
    <s v="+65 221 7555"/>
    <s v="Bronz Sok., Bronz Apt. 3/6 Tesvikiye"/>
    <m/>
    <x v="22"/>
    <m/>
    <n v="79903"/>
    <x v="9"/>
    <x v="3"/>
    <s v="Natividad"/>
    <s v="Eric"/>
    <x v="1"/>
  </r>
  <r>
    <n v="10127"/>
    <n v="42"/>
    <n v="100"/>
    <n v="1"/>
    <n v="8138.76"/>
    <d v="2003-06-03T00:00:00"/>
    <x v="0"/>
    <n v="2"/>
    <x v="9"/>
    <x v="9"/>
    <x v="0"/>
    <x v="1"/>
    <n v="173"/>
    <x v="12"/>
    <x v="74"/>
    <n v="2125557413"/>
    <s v="4092 Furth Circle"/>
    <s v="Suite 400"/>
    <x v="0"/>
    <s v="NY"/>
    <n v="10022"/>
    <x v="0"/>
    <x v="0"/>
    <s v="Young"/>
    <s v="Jeff"/>
    <x v="2"/>
  </r>
  <r>
    <n v="10142"/>
    <n v="46"/>
    <n v="100"/>
    <n v="11"/>
    <n v="9470.94"/>
    <d v="2003-08-08T00:00:00"/>
    <x v="0"/>
    <n v="3"/>
    <x v="3"/>
    <x v="3"/>
    <x v="0"/>
    <x v="1"/>
    <n v="173"/>
    <x v="12"/>
    <x v="39"/>
    <n v="4155551450"/>
    <s v="5677 Strong St."/>
    <m/>
    <x v="33"/>
    <s v="CA"/>
    <n v="97562"/>
    <x v="0"/>
    <x v="0"/>
    <s v="Nelson"/>
    <s v="Valarie"/>
    <x v="2"/>
  </r>
  <r>
    <n v="10153"/>
    <n v="49"/>
    <n v="100"/>
    <n v="10"/>
    <n v="7036.89"/>
    <d v="2003-09-28T00:00:00"/>
    <x v="0"/>
    <n v="3"/>
    <x v="10"/>
    <x v="10"/>
    <x v="0"/>
    <x v="1"/>
    <n v="173"/>
    <x v="12"/>
    <x v="23"/>
    <s v="(91) 555 94 44"/>
    <s v="C/ Moralzarzal, 86"/>
    <m/>
    <x v="20"/>
    <m/>
    <n v="28034"/>
    <x v="7"/>
    <x v="1"/>
    <s v="Freyre"/>
    <s v="Diego"/>
    <x v="2"/>
  </r>
  <r>
    <n v="10165"/>
    <n v="27"/>
    <n v="100"/>
    <n v="2"/>
    <n v="5559.03"/>
    <d v="2003-10-22T00:00:00"/>
    <x v="0"/>
    <n v="4"/>
    <x v="4"/>
    <x v="4"/>
    <x v="0"/>
    <x v="1"/>
    <n v="173"/>
    <x v="12"/>
    <x v="26"/>
    <s v="+65 221 7555"/>
    <s v="Bronz Sok., Bronz Apt. 3/6 Tesvikiye"/>
    <m/>
    <x v="22"/>
    <m/>
    <n v="79903"/>
    <x v="9"/>
    <x v="3"/>
    <s v="Natividad"/>
    <s v="Eric"/>
    <x v="1"/>
  </r>
  <r>
    <n v="10176"/>
    <n v="50"/>
    <n v="100"/>
    <n v="1"/>
    <n v="7872.5"/>
    <d v="2003-11-06T00:00:00"/>
    <x v="0"/>
    <n v="4"/>
    <x v="5"/>
    <x v="5"/>
    <x v="0"/>
    <x v="1"/>
    <n v="173"/>
    <x v="12"/>
    <x v="70"/>
    <s v="0522-556555"/>
    <s v="Strada Provinciale 124"/>
    <m/>
    <x v="57"/>
    <m/>
    <n v="42100"/>
    <x v="12"/>
    <x v="1"/>
    <s v="Moroni"/>
    <s v="Maurizio"/>
    <x v="2"/>
  </r>
  <r>
    <n v="10185"/>
    <n v="43"/>
    <n v="100"/>
    <n v="12"/>
    <n v="7886.2"/>
    <d v="2003-11-14T00:00:00"/>
    <x v="0"/>
    <n v="4"/>
    <x v="5"/>
    <x v="5"/>
    <x v="0"/>
    <x v="1"/>
    <n v="173"/>
    <x v="12"/>
    <x v="50"/>
    <n v="5085559555"/>
    <s v="4575 Hillside Dr."/>
    <m/>
    <x v="18"/>
    <s v="MA"/>
    <n v="50553"/>
    <x v="0"/>
    <x v="0"/>
    <s v="Tam"/>
    <s v="Wing C"/>
    <x v="2"/>
  </r>
  <r>
    <n v="10196"/>
    <n v="38"/>
    <n v="100"/>
    <n v="4"/>
    <n v="7232.16"/>
    <d v="2003-11-26T00:00:00"/>
    <x v="0"/>
    <n v="4"/>
    <x v="5"/>
    <x v="5"/>
    <x v="0"/>
    <x v="1"/>
    <n v="173"/>
    <x v="12"/>
    <x v="34"/>
    <n v="2035559545"/>
    <s v="567 North Pendale Street"/>
    <m/>
    <x v="28"/>
    <s v="CT"/>
    <n v="97823"/>
    <x v="0"/>
    <x v="0"/>
    <s v="Murphy"/>
    <s v="Leslie"/>
    <x v="2"/>
  </r>
  <r>
    <n v="10208"/>
    <n v="20"/>
    <n v="100"/>
    <n v="12"/>
    <n v="3114.4"/>
    <d v="2004-01-02T00:00:00"/>
    <x v="0"/>
    <n v="1"/>
    <x v="7"/>
    <x v="7"/>
    <x v="1"/>
    <x v="1"/>
    <n v="173"/>
    <x v="12"/>
    <x v="30"/>
    <s v="78.32.5555"/>
    <s v="2, rue du Commerce"/>
    <m/>
    <x v="25"/>
    <m/>
    <n v="69004"/>
    <x v="1"/>
    <x v="1"/>
    <s v="Saveley"/>
    <s v="Mary"/>
    <x v="1"/>
  </r>
  <r>
    <n v="10220"/>
    <n v="27"/>
    <n v="100"/>
    <n v="1"/>
    <n v="5045.22"/>
    <d v="2004-02-12T00:00:00"/>
    <x v="0"/>
    <n v="1"/>
    <x v="0"/>
    <x v="0"/>
    <x v="1"/>
    <x v="1"/>
    <n v="173"/>
    <x v="12"/>
    <x v="75"/>
    <s v="+353 1862 1555"/>
    <s v="25 Maiden Lane"/>
    <s v="Floor No. 4"/>
    <x v="60"/>
    <m/>
    <n v="2"/>
    <x v="18"/>
    <x v="1"/>
    <s v="Cassidy"/>
    <s v="Dean"/>
    <x v="1"/>
  </r>
  <r>
    <n v="10231"/>
    <n v="49"/>
    <n v="100"/>
    <n v="1"/>
    <n v="6952.12"/>
    <d v="2004-03-19T00:00:00"/>
    <x v="0"/>
    <n v="1"/>
    <x v="11"/>
    <x v="11"/>
    <x v="1"/>
    <x v="1"/>
    <n v="173"/>
    <x v="12"/>
    <x v="76"/>
    <s v="+34 913 728 555"/>
    <s v="Merchants House, 27-30 Merchant's Quay"/>
    <m/>
    <x v="20"/>
    <m/>
    <n v="28023"/>
    <x v="7"/>
    <x v="1"/>
    <s v="Fernandez"/>
    <s v="Jesus"/>
    <x v="1"/>
  </r>
  <r>
    <n v="10247"/>
    <n v="27"/>
    <n v="100"/>
    <n v="1"/>
    <n v="4157.7299999999996"/>
    <d v="2004-05-05T00:00:00"/>
    <x v="0"/>
    <n v="2"/>
    <x v="1"/>
    <x v="1"/>
    <x v="1"/>
    <x v="1"/>
    <n v="173"/>
    <x v="12"/>
    <x v="73"/>
    <s v="+358 9 8045 555"/>
    <s v="Software Engineering Center, SEC Oy"/>
    <m/>
    <x v="59"/>
    <m/>
    <s v="FIN-02271"/>
    <x v="4"/>
    <x v="1"/>
    <s v="Suominen"/>
    <s v="Kalle"/>
    <x v="1"/>
  </r>
  <r>
    <n v="10272"/>
    <n v="39"/>
    <n v="100"/>
    <n v="1"/>
    <n v="7962.24"/>
    <d v="2004-07-20T00:00:00"/>
    <x v="0"/>
    <n v="3"/>
    <x v="2"/>
    <x v="2"/>
    <x v="1"/>
    <x v="1"/>
    <n v="173"/>
    <x v="12"/>
    <x v="18"/>
    <n v="2155551555"/>
    <s v="7586 Pompton St."/>
    <m/>
    <x v="15"/>
    <s v="PA"/>
    <n v="70267"/>
    <x v="0"/>
    <x v="0"/>
    <s v="Yu"/>
    <s v="Kyung"/>
    <x v="2"/>
  </r>
  <r>
    <n v="10282"/>
    <n v="24"/>
    <n v="100"/>
    <n v="4"/>
    <n v="3778.8"/>
    <d v="2004-08-20T00:00:00"/>
    <x v="0"/>
    <n v="3"/>
    <x v="3"/>
    <x v="3"/>
    <x v="1"/>
    <x v="1"/>
    <n v="173"/>
    <x v="12"/>
    <x v="39"/>
    <n v="4155551450"/>
    <s v="5677 Strong St."/>
    <m/>
    <x v="33"/>
    <s v="CA"/>
    <n v="97562"/>
    <x v="0"/>
    <x v="0"/>
    <s v="Nelson"/>
    <s v="Valarie"/>
    <x v="1"/>
  </r>
  <r>
    <n v="10293"/>
    <n v="45"/>
    <n v="100"/>
    <n v="7"/>
    <n v="8253"/>
    <d v="2004-09-09T00:00:00"/>
    <x v="0"/>
    <n v="3"/>
    <x v="10"/>
    <x v="10"/>
    <x v="1"/>
    <x v="1"/>
    <n v="173"/>
    <x v="12"/>
    <x v="36"/>
    <s v="011-4988555"/>
    <s v="Via Monte Bianco 34"/>
    <m/>
    <x v="30"/>
    <m/>
    <n v="10100"/>
    <x v="12"/>
    <x v="1"/>
    <s v="Accorti"/>
    <s v="Paolo"/>
    <x v="2"/>
  </r>
  <r>
    <n v="10306"/>
    <n v="20"/>
    <n v="100"/>
    <n v="12"/>
    <n v="3633.4"/>
    <d v="2004-10-14T00:00:00"/>
    <x v="0"/>
    <n v="4"/>
    <x v="4"/>
    <x v="4"/>
    <x v="1"/>
    <x v="1"/>
    <n v="173"/>
    <x v="12"/>
    <x v="77"/>
    <s v="(171) 555-1555"/>
    <s v="Fauntleroy Circus"/>
    <m/>
    <x v="61"/>
    <m/>
    <s v="EC2 5NT"/>
    <x v="6"/>
    <x v="1"/>
    <s v="Ashworth"/>
    <s v="Victoria"/>
    <x v="1"/>
  </r>
  <r>
    <n v="10314"/>
    <n v="36"/>
    <n v="100"/>
    <n v="4"/>
    <n v="6913.8"/>
    <d v="2004-10-22T00:00:00"/>
    <x v="0"/>
    <n v="4"/>
    <x v="4"/>
    <x v="4"/>
    <x v="1"/>
    <x v="1"/>
    <n v="173"/>
    <x v="12"/>
    <x v="78"/>
    <s v="86 21 3555"/>
    <s v="Smagsloget 45"/>
    <m/>
    <x v="62"/>
    <m/>
    <n v="8200"/>
    <x v="13"/>
    <x v="1"/>
    <s v="Ibsen"/>
    <s v="Palle"/>
    <x v="1"/>
  </r>
  <r>
    <n v="10325"/>
    <n v="24"/>
    <n v="100"/>
    <n v="1"/>
    <n v="2583.6"/>
    <d v="2004-11-05T00:00:00"/>
    <x v="0"/>
    <n v="4"/>
    <x v="5"/>
    <x v="5"/>
    <x v="1"/>
    <x v="1"/>
    <n v="173"/>
    <x v="12"/>
    <x v="17"/>
    <s v="07-98 9555"/>
    <s v="Erling Skakkes gate 78"/>
    <m/>
    <x v="14"/>
    <m/>
    <n v="4110"/>
    <x v="2"/>
    <x v="1"/>
    <s v="Bergulfsen"/>
    <s v="Jonas"/>
    <x v="0"/>
  </r>
  <r>
    <n v="10336"/>
    <n v="49"/>
    <n v="63.38"/>
    <n v="1"/>
    <n v="3105.62"/>
    <d v="2004-11-20T00:00:00"/>
    <x v="0"/>
    <n v="4"/>
    <x v="5"/>
    <x v="5"/>
    <x v="1"/>
    <x v="1"/>
    <n v="173"/>
    <x v="12"/>
    <x v="62"/>
    <s v="(1) 42.34.2555"/>
    <s v="265, boulevard Charonne"/>
    <m/>
    <x v="2"/>
    <m/>
    <n v="75012"/>
    <x v="1"/>
    <x v="1"/>
    <s v="Bertrand"/>
    <s v="Marie"/>
    <x v="1"/>
  </r>
  <r>
    <n v="10349"/>
    <n v="26"/>
    <n v="100"/>
    <n v="10"/>
    <n v="4408.5600000000004"/>
    <d v="2004-12-01T00:00:00"/>
    <x v="0"/>
    <n v="4"/>
    <x v="6"/>
    <x v="6"/>
    <x v="1"/>
    <x v="1"/>
    <n v="173"/>
    <x v="12"/>
    <x v="74"/>
    <n v="2125557413"/>
    <s v="4092 Furth Circle"/>
    <s v="Suite 400"/>
    <x v="0"/>
    <s v="NY"/>
    <n v="10022"/>
    <x v="0"/>
    <x v="0"/>
    <s v="Young"/>
    <s v="Jeff"/>
    <x v="1"/>
  </r>
  <r>
    <n v="10359"/>
    <n v="49"/>
    <n v="62.09"/>
    <n v="5"/>
    <n v="3042.41"/>
    <d v="2004-12-15T00:00:00"/>
    <x v="0"/>
    <n v="4"/>
    <x v="6"/>
    <x v="6"/>
    <x v="1"/>
    <x v="1"/>
    <n v="173"/>
    <x v="12"/>
    <x v="1"/>
    <s v="26.47.1555"/>
    <s v="59 rue de l'Abbaye"/>
    <m/>
    <x v="1"/>
    <m/>
    <n v="51100"/>
    <x v="1"/>
    <x v="1"/>
    <s v="Henriot"/>
    <s v="Paul"/>
    <x v="1"/>
  </r>
  <r>
    <n v="10372"/>
    <n v="34"/>
    <n v="100"/>
    <n v="1"/>
    <n v="5941.5"/>
    <d v="2005-01-26T00:00:00"/>
    <x v="0"/>
    <n v="1"/>
    <x v="7"/>
    <x v="7"/>
    <x v="2"/>
    <x v="1"/>
    <n v="173"/>
    <x v="12"/>
    <x v="35"/>
    <s v="+81 3 3584 0555"/>
    <s v="2-2-8 Roppongi"/>
    <m/>
    <x v="29"/>
    <s v="Tokyo"/>
    <s v="106-0032"/>
    <x v="11"/>
    <x v="3"/>
    <s v="Shimamura"/>
    <s v="Akiko"/>
    <x v="1"/>
  </r>
  <r>
    <n v="10382"/>
    <n v="34"/>
    <n v="95.35"/>
    <n v="12"/>
    <n v="3241.9"/>
    <d v="2005-02-17T00:00:00"/>
    <x v="0"/>
    <n v="1"/>
    <x v="0"/>
    <x v="0"/>
    <x v="2"/>
    <x v="1"/>
    <n v="173"/>
    <x v="12"/>
    <x v="39"/>
    <n v="4155551450"/>
    <s v="5677 Strong St."/>
    <m/>
    <x v="33"/>
    <s v="CA"/>
    <n v="97562"/>
    <x v="0"/>
    <x v="0"/>
    <s v="Nelson"/>
    <s v="Valarie"/>
    <x v="1"/>
  </r>
  <r>
    <n v="10396"/>
    <n v="33"/>
    <n v="100"/>
    <n v="3"/>
    <n v="6109.29"/>
    <d v="2005-03-23T00:00:00"/>
    <x v="0"/>
    <n v="1"/>
    <x v="11"/>
    <x v="11"/>
    <x v="2"/>
    <x v="1"/>
    <n v="173"/>
    <x v="12"/>
    <x v="39"/>
    <n v="4155551450"/>
    <s v="5677 Strong St."/>
    <m/>
    <x v="33"/>
    <s v="CA"/>
    <n v="97562"/>
    <x v="0"/>
    <x v="0"/>
    <s v="Nelson"/>
    <s v="Valarie"/>
    <x v="1"/>
  </r>
  <r>
    <n v="10413"/>
    <n v="22"/>
    <n v="100"/>
    <n v="1"/>
    <n v="3387.78"/>
    <d v="2005-05-05T00:00:00"/>
    <x v="0"/>
    <n v="2"/>
    <x v="1"/>
    <x v="1"/>
    <x v="2"/>
    <x v="1"/>
    <n v="173"/>
    <x v="12"/>
    <x v="13"/>
    <n v="2035552570"/>
    <s v="25593 South Bay Ln."/>
    <m/>
    <x v="10"/>
    <s v="CT"/>
    <n v="97562"/>
    <x v="0"/>
    <x v="0"/>
    <s v="King"/>
    <s v="Julie"/>
    <x v="1"/>
  </r>
  <r>
    <n v="10108"/>
    <n v="39"/>
    <n v="89.38"/>
    <n v="7"/>
    <n v="3485.82"/>
    <d v="2003-03-03T00:00:00"/>
    <x v="0"/>
    <n v="1"/>
    <x v="11"/>
    <x v="11"/>
    <x v="0"/>
    <x v="1"/>
    <n v="79"/>
    <x v="13"/>
    <x v="66"/>
    <s v="+63 2 555 3587"/>
    <s v="15 McCallum Street - NatWest Center #13-03"/>
    <m/>
    <x v="53"/>
    <m/>
    <s v="1227 MM"/>
    <x v="15"/>
    <x v="3"/>
    <s v="Cruz"/>
    <s v="Arnold"/>
    <x v="1"/>
  </r>
  <r>
    <n v="10122"/>
    <n v="32"/>
    <n v="63.84"/>
    <n v="11"/>
    <n v="2042.88"/>
    <d v="2003-05-08T00:00:00"/>
    <x v="0"/>
    <n v="2"/>
    <x v="1"/>
    <x v="1"/>
    <x v="0"/>
    <x v="1"/>
    <n v="79"/>
    <x v="13"/>
    <x v="67"/>
    <s v="91.24.4555"/>
    <s v="12, rue des Bouchers"/>
    <m/>
    <x v="54"/>
    <m/>
    <n v="13008"/>
    <x v="1"/>
    <x v="1"/>
    <s v="Lebihan"/>
    <s v="Laurence"/>
    <x v="0"/>
  </r>
  <r>
    <n v="10135"/>
    <n v="24"/>
    <n v="75.010000000000005"/>
    <n v="8"/>
    <n v="1800.24"/>
    <d v="2003-07-02T00:00:00"/>
    <x v="0"/>
    <n v="3"/>
    <x v="2"/>
    <x v="2"/>
    <x v="0"/>
    <x v="1"/>
    <n v="79"/>
    <x v="13"/>
    <x v="39"/>
    <n v="4155551450"/>
    <s v="5677 Strong St."/>
    <m/>
    <x v="33"/>
    <s v="CA"/>
    <n v="97562"/>
    <x v="0"/>
    <x v="0"/>
    <s v="Nelson"/>
    <s v="Valarie"/>
    <x v="0"/>
  </r>
  <r>
    <n v="10147"/>
    <n v="21"/>
    <n v="63.84"/>
    <n v="8"/>
    <n v="1340.64"/>
    <d v="2003-09-05T00:00:00"/>
    <x v="0"/>
    <n v="3"/>
    <x v="10"/>
    <x v="10"/>
    <x v="0"/>
    <x v="1"/>
    <n v="79"/>
    <x v="13"/>
    <x v="41"/>
    <n v="6175558555"/>
    <s v="7825 Douglas Av."/>
    <m/>
    <x v="35"/>
    <s v="MA"/>
    <n v="58339"/>
    <x v="0"/>
    <x v="0"/>
    <s v="Nelson"/>
    <s v="Allen"/>
    <x v="0"/>
  </r>
  <r>
    <n v="10159"/>
    <n v="24"/>
    <n v="73.42"/>
    <n v="3"/>
    <n v="1762.08"/>
    <d v="2003-10-10T00:00:00"/>
    <x v="0"/>
    <n v="4"/>
    <x v="4"/>
    <x v="4"/>
    <x v="0"/>
    <x v="1"/>
    <n v="79"/>
    <x v="13"/>
    <x v="4"/>
    <n v="6505551386"/>
    <s v="7734 Strong St."/>
    <m/>
    <x v="4"/>
    <s v="CA"/>
    <m/>
    <x v="0"/>
    <x v="0"/>
    <s v="Brown"/>
    <s v="Julie"/>
    <x v="0"/>
  </r>
  <r>
    <n v="10169"/>
    <n v="36"/>
    <n v="63.84"/>
    <n v="3"/>
    <n v="2298.2399999999998"/>
    <d v="2003-11-04T00:00:00"/>
    <x v="0"/>
    <n v="4"/>
    <x v="5"/>
    <x v="5"/>
    <x v="0"/>
    <x v="1"/>
    <n v="79"/>
    <x v="13"/>
    <x v="42"/>
    <s v="02 9936 8555"/>
    <s v="201 Miller Street"/>
    <s v="Level 15"/>
    <x v="36"/>
    <s v="NSW"/>
    <n v="2060"/>
    <x v="3"/>
    <x v="2"/>
    <s v="O'Hara"/>
    <s v="Anna"/>
    <x v="0"/>
  </r>
  <r>
    <n v="10181"/>
    <n v="20"/>
    <n v="81.400000000000006"/>
    <n v="15"/>
    <n v="1628"/>
    <d v="2003-11-12T00:00:00"/>
    <x v="0"/>
    <n v="4"/>
    <x v="5"/>
    <x v="5"/>
    <x v="0"/>
    <x v="1"/>
    <n v="79"/>
    <x v="13"/>
    <x v="7"/>
    <s v="+47 2267 3215"/>
    <s v="Drammen 121, PR 744 Sentrum"/>
    <m/>
    <x v="7"/>
    <m/>
    <s v="N 5804"/>
    <x v="2"/>
    <x v="1"/>
    <s v="Oeztan"/>
    <s v="Veysel"/>
    <x v="0"/>
  </r>
  <r>
    <n v="10191"/>
    <n v="30"/>
    <n v="64.64"/>
    <n v="4"/>
    <n v="1939.2"/>
    <d v="2003-11-20T00:00:00"/>
    <x v="0"/>
    <n v="4"/>
    <x v="5"/>
    <x v="5"/>
    <x v="0"/>
    <x v="1"/>
    <n v="79"/>
    <x v="13"/>
    <x v="68"/>
    <s v="0221-5554327"/>
    <s v="Mehrheimerstr. 369"/>
    <m/>
    <x v="55"/>
    <m/>
    <n v="50739"/>
    <x v="16"/>
    <x v="1"/>
    <s v="Pfalzheim"/>
    <s v="Henriette"/>
    <x v="0"/>
  </r>
  <r>
    <n v="10203"/>
    <n v="44"/>
    <n v="82.99"/>
    <n v="9"/>
    <n v="3651.56"/>
    <d v="2003-12-02T00:00:00"/>
    <x v="0"/>
    <n v="4"/>
    <x v="6"/>
    <x v="6"/>
    <x v="0"/>
    <x v="1"/>
    <n v="79"/>
    <x v="13"/>
    <x v="23"/>
    <s v="(91) 555 94 44"/>
    <s v="C/ Moralzarzal, 86"/>
    <m/>
    <x v="20"/>
    <m/>
    <n v="28034"/>
    <x v="7"/>
    <x v="1"/>
    <s v="Freyre"/>
    <s v="Diego"/>
    <x v="1"/>
  </r>
  <r>
    <n v="10211"/>
    <n v="28"/>
    <n v="92.57"/>
    <n v="3"/>
    <n v="2591.96"/>
    <d v="2004-01-15T00:00:00"/>
    <x v="0"/>
    <n v="1"/>
    <x v="7"/>
    <x v="7"/>
    <x v="1"/>
    <x v="1"/>
    <n v="79"/>
    <x v="13"/>
    <x v="9"/>
    <s v="(1) 47.55.6555"/>
    <s v="25, rue Lauriston"/>
    <m/>
    <x v="2"/>
    <m/>
    <n v="75016"/>
    <x v="1"/>
    <x v="1"/>
    <s v="Perrier"/>
    <s v="Dominique"/>
    <x v="0"/>
  </r>
  <r>
    <n v="10225"/>
    <n v="37"/>
    <n v="77.41"/>
    <n v="10"/>
    <n v="2864.17"/>
    <d v="2004-02-22T00:00:00"/>
    <x v="0"/>
    <n v="1"/>
    <x v="0"/>
    <x v="0"/>
    <x v="1"/>
    <x v="1"/>
    <n v="79"/>
    <x v="13"/>
    <x v="69"/>
    <s v="0897-034555"/>
    <s v="Grenzacherweg 237"/>
    <m/>
    <x v="56"/>
    <m/>
    <n v="1203"/>
    <x v="17"/>
    <x v="1"/>
    <s v="Holz"/>
    <s v="Michael"/>
    <x v="0"/>
  </r>
  <r>
    <n v="10238"/>
    <n v="20"/>
    <n v="74.209999999999994"/>
    <n v="4"/>
    <n v="1484.2"/>
    <d v="2004-04-09T00:00:00"/>
    <x v="0"/>
    <n v="2"/>
    <x v="8"/>
    <x v="8"/>
    <x v="1"/>
    <x v="1"/>
    <n v="79"/>
    <x v="13"/>
    <x v="48"/>
    <s v="31 12 3555"/>
    <s v="Vinb'ltet 34"/>
    <m/>
    <x v="40"/>
    <m/>
    <n v="1734"/>
    <x v="13"/>
    <x v="1"/>
    <s v="Petersen"/>
    <s v="Jytte"/>
    <x v="0"/>
  </r>
  <r>
    <n v="10253"/>
    <n v="25"/>
    <n v="90.17"/>
    <n v="14"/>
    <n v="2254.25"/>
    <d v="2004-06-01T00:00:00"/>
    <x v="3"/>
    <n v="2"/>
    <x v="9"/>
    <x v="9"/>
    <x v="1"/>
    <x v="1"/>
    <n v="79"/>
    <x v="13"/>
    <x v="22"/>
    <s v="(171) 555-2282"/>
    <s v="Berkeley Gardens 12  Brewery"/>
    <m/>
    <x v="19"/>
    <m/>
    <s v="WX1 6LT"/>
    <x v="6"/>
    <x v="1"/>
    <s v="Devon"/>
    <s v="Elizabeth"/>
    <x v="0"/>
  </r>
  <r>
    <n v="10266"/>
    <n v="35"/>
    <n v="76.61"/>
    <n v="15"/>
    <n v="2681.35"/>
    <d v="2004-07-06T00:00:00"/>
    <x v="0"/>
    <n v="3"/>
    <x v="2"/>
    <x v="2"/>
    <x v="1"/>
    <x v="1"/>
    <n v="79"/>
    <x v="13"/>
    <x v="70"/>
    <s v="0522-556555"/>
    <s v="Strada Provinciale 124"/>
    <m/>
    <x v="57"/>
    <m/>
    <n v="42100"/>
    <x v="12"/>
    <x v="1"/>
    <s v="Moroni"/>
    <s v="Maurizio"/>
    <x v="0"/>
  </r>
  <r>
    <n v="10276"/>
    <n v="38"/>
    <n v="83.79"/>
    <n v="4"/>
    <n v="3184.02"/>
    <d v="2004-08-02T00:00:00"/>
    <x v="0"/>
    <n v="3"/>
    <x v="3"/>
    <x v="3"/>
    <x v="1"/>
    <x v="1"/>
    <n v="79"/>
    <x v="13"/>
    <x v="71"/>
    <n v="6175557555"/>
    <s v="7635 Spinnaker Dr."/>
    <m/>
    <x v="35"/>
    <s v="MA"/>
    <n v="58339"/>
    <x v="0"/>
    <x v="0"/>
    <s v="Barajas"/>
    <s v="Miguel"/>
    <x v="1"/>
  </r>
  <r>
    <n v="10287"/>
    <n v="41"/>
    <n v="69.430000000000007"/>
    <n v="13"/>
    <n v="2846.63"/>
    <d v="2004-08-30T00:00:00"/>
    <x v="0"/>
    <n v="3"/>
    <x v="3"/>
    <x v="3"/>
    <x v="1"/>
    <x v="1"/>
    <n v="79"/>
    <x v="13"/>
    <x v="69"/>
    <s v="0897-034555"/>
    <s v="Grenzacherweg 237"/>
    <m/>
    <x v="56"/>
    <m/>
    <n v="1203"/>
    <x v="17"/>
    <x v="1"/>
    <s v="Holz"/>
    <s v="Michael"/>
    <x v="0"/>
  </r>
  <r>
    <n v="10300"/>
    <n v="22"/>
    <n v="76.61"/>
    <n v="6"/>
    <n v="1685.42"/>
    <d v="2003-10-04T00:00:00"/>
    <x v="0"/>
    <n v="4"/>
    <x v="4"/>
    <x v="4"/>
    <x v="0"/>
    <x v="1"/>
    <n v="79"/>
    <x v="13"/>
    <x v="72"/>
    <s v="+49 69 66 90 2555"/>
    <s v="Lyonerstr. 34"/>
    <m/>
    <x v="58"/>
    <m/>
    <n v="60528"/>
    <x v="16"/>
    <x v="1"/>
    <s v="Keitel"/>
    <s v="Roland"/>
    <x v="0"/>
  </r>
  <r>
    <n v="10310"/>
    <n v="49"/>
    <n v="81.400000000000006"/>
    <n v="11"/>
    <n v="3988.6"/>
    <d v="2004-10-16T00:00:00"/>
    <x v="0"/>
    <n v="4"/>
    <x v="4"/>
    <x v="4"/>
    <x v="1"/>
    <x v="1"/>
    <n v="79"/>
    <x v="13"/>
    <x v="68"/>
    <s v="0221-5554327"/>
    <s v="Mehrheimerstr. 369"/>
    <m/>
    <x v="55"/>
    <m/>
    <n v="50739"/>
    <x v="16"/>
    <x v="1"/>
    <s v="Pfalzheim"/>
    <s v="Henriette"/>
    <x v="1"/>
  </r>
  <r>
    <n v="10320"/>
    <n v="38"/>
    <n v="73.42"/>
    <n v="4"/>
    <n v="2789.96"/>
    <d v="2004-11-03T00:00:00"/>
    <x v="0"/>
    <n v="4"/>
    <x v="5"/>
    <x v="5"/>
    <x v="1"/>
    <x v="1"/>
    <n v="79"/>
    <x v="13"/>
    <x v="24"/>
    <s v="0921-12 3555"/>
    <s v="Berguvsv„gen  8"/>
    <m/>
    <x v="21"/>
    <m/>
    <s v="S-958 22"/>
    <x v="8"/>
    <x v="1"/>
    <s v="Berglund"/>
    <s v="Christina"/>
    <x v="0"/>
  </r>
  <r>
    <n v="10329"/>
    <n v="33"/>
    <n v="100"/>
    <n v="14"/>
    <n v="3607.56"/>
    <d v="2004-11-15T00:00:00"/>
    <x v="0"/>
    <n v="4"/>
    <x v="5"/>
    <x v="5"/>
    <x v="1"/>
    <x v="1"/>
    <n v="79"/>
    <x v="13"/>
    <x v="0"/>
    <n v="2125557818"/>
    <s v="897 Long Airport Avenue"/>
    <m/>
    <x v="0"/>
    <s v="NY"/>
    <n v="10022"/>
    <x v="0"/>
    <x v="0"/>
    <s v="Yu"/>
    <s v="Kwai"/>
    <x v="1"/>
  </r>
  <r>
    <n v="10341"/>
    <n v="36"/>
    <n v="93.56"/>
    <n v="10"/>
    <n v="3368.16"/>
    <d v="2004-11-24T00:00:00"/>
    <x v="0"/>
    <n v="4"/>
    <x v="5"/>
    <x v="5"/>
    <x v="1"/>
    <x v="1"/>
    <n v="79"/>
    <x v="13"/>
    <x v="19"/>
    <s v="6562-9555"/>
    <s v="Geislweg 14"/>
    <m/>
    <x v="16"/>
    <m/>
    <n v="5020"/>
    <x v="5"/>
    <x v="1"/>
    <s v="Pipps"/>
    <s v="Georg"/>
    <x v="1"/>
  </r>
  <r>
    <n v="10363"/>
    <n v="34"/>
    <n v="81.62"/>
    <n v="5"/>
    <n v="2775.08"/>
    <d v="2005-01-06T00:00:00"/>
    <x v="0"/>
    <n v="1"/>
    <x v="7"/>
    <x v="7"/>
    <x v="2"/>
    <x v="1"/>
    <n v="79"/>
    <x v="13"/>
    <x v="73"/>
    <s v="+358 9 8045 555"/>
    <s v="Software Engineering Center, SEC Oy"/>
    <m/>
    <x v="59"/>
    <m/>
    <s v="FIN-02271"/>
    <x v="4"/>
    <x v="1"/>
    <s v="Suominen"/>
    <s v="Kalle"/>
    <x v="0"/>
  </r>
  <r>
    <n v="10377"/>
    <n v="24"/>
    <n v="67.83"/>
    <n v="5"/>
    <n v="1627.92"/>
    <d v="2005-02-09T00:00:00"/>
    <x v="0"/>
    <n v="1"/>
    <x v="0"/>
    <x v="0"/>
    <x v="2"/>
    <x v="1"/>
    <n v="79"/>
    <x v="13"/>
    <x v="16"/>
    <s v="90-224 8555"/>
    <s v="Keskuskatu 45"/>
    <m/>
    <x v="13"/>
    <m/>
    <n v="21240"/>
    <x v="4"/>
    <x v="1"/>
    <s v="Karttunen"/>
    <s v="Matti"/>
    <x v="0"/>
  </r>
  <r>
    <n v="10389"/>
    <n v="36"/>
    <n v="70.260000000000005"/>
    <n v="7"/>
    <n v="2529.36"/>
    <d v="2005-03-03T00:00:00"/>
    <x v="0"/>
    <n v="1"/>
    <x v="11"/>
    <x v="11"/>
    <x v="2"/>
    <x v="1"/>
    <n v="79"/>
    <x v="13"/>
    <x v="37"/>
    <s v="0695-34 6555"/>
    <s v="?kergatan 24"/>
    <m/>
    <x v="31"/>
    <m/>
    <s v="S-844 67"/>
    <x v="8"/>
    <x v="1"/>
    <s v="Larsson"/>
    <s v="Maria"/>
    <x v="0"/>
  </r>
  <r>
    <n v="10419"/>
    <n v="34"/>
    <n v="90.17"/>
    <n v="14"/>
    <n v="3065.78"/>
    <d v="2005-05-17T00:00:00"/>
    <x v="0"/>
    <n v="2"/>
    <x v="1"/>
    <x v="1"/>
    <x v="2"/>
    <x v="1"/>
    <n v="79"/>
    <x v="13"/>
    <x v="19"/>
    <s v="6562-9555"/>
    <s v="Geislweg 14"/>
    <m/>
    <x v="16"/>
    <m/>
    <n v="5020"/>
    <x v="5"/>
    <x v="1"/>
    <s v="Pipps"/>
    <s v="Georg"/>
    <x v="1"/>
  </r>
  <r>
    <n v="10104"/>
    <n v="41"/>
    <n v="100"/>
    <n v="9"/>
    <n v="4615.78"/>
    <d v="2003-01-31T00:00:00"/>
    <x v="0"/>
    <n v="1"/>
    <x v="7"/>
    <x v="7"/>
    <x v="0"/>
    <x v="2"/>
    <n v="118"/>
    <x v="14"/>
    <x v="23"/>
    <s v="(91) 555 94 44"/>
    <s v="C/ Moralzarzal, 86"/>
    <m/>
    <x v="20"/>
    <m/>
    <n v="28034"/>
    <x v="7"/>
    <x v="1"/>
    <s v="Freyre"/>
    <s v="Diego"/>
    <x v="1"/>
  </r>
  <r>
    <n v="10115"/>
    <n v="46"/>
    <n v="100"/>
    <n v="5"/>
    <n v="5723.78"/>
    <d v="2003-04-04T00:00:00"/>
    <x v="0"/>
    <n v="2"/>
    <x v="8"/>
    <x v="8"/>
    <x v="0"/>
    <x v="2"/>
    <n v="118"/>
    <x v="14"/>
    <x v="27"/>
    <n v="2125558493"/>
    <s v="5905 Pompton St."/>
    <s v="Suite 750"/>
    <x v="0"/>
    <s v="NY"/>
    <n v="10022"/>
    <x v="0"/>
    <x v="0"/>
    <s v="Hernandez"/>
    <s v="Maria"/>
    <x v="1"/>
  </r>
  <r>
    <n v="10127"/>
    <n v="24"/>
    <n v="100"/>
    <n v="11"/>
    <n v="2559.6"/>
    <d v="2003-06-03T00:00:00"/>
    <x v="0"/>
    <n v="2"/>
    <x v="9"/>
    <x v="9"/>
    <x v="0"/>
    <x v="2"/>
    <n v="118"/>
    <x v="14"/>
    <x v="74"/>
    <n v="2125557413"/>
    <s v="4092 Furth Circle"/>
    <s v="Suite 400"/>
    <x v="0"/>
    <s v="NY"/>
    <n v="10022"/>
    <x v="0"/>
    <x v="0"/>
    <s v="Young"/>
    <s v="Jeff"/>
    <x v="0"/>
  </r>
  <r>
    <n v="10141"/>
    <n v="21"/>
    <n v="100"/>
    <n v="5"/>
    <n v="2140.11"/>
    <d v="2003-08-01T00:00:00"/>
    <x v="0"/>
    <n v="3"/>
    <x v="3"/>
    <x v="3"/>
    <x v="0"/>
    <x v="2"/>
    <n v="118"/>
    <x v="14"/>
    <x v="73"/>
    <s v="+358 9 8045 555"/>
    <s v="Software Engineering Center, SEC Oy"/>
    <m/>
    <x v="59"/>
    <m/>
    <s v="FIN-02271"/>
    <x v="4"/>
    <x v="1"/>
    <s v="Suominen"/>
    <s v="Kalle"/>
    <x v="0"/>
  </r>
  <r>
    <n v="10151"/>
    <n v="24"/>
    <n v="100"/>
    <n v="3"/>
    <n v="3327.6"/>
    <d v="2003-09-21T00:00:00"/>
    <x v="0"/>
    <n v="3"/>
    <x v="10"/>
    <x v="10"/>
    <x v="0"/>
    <x v="2"/>
    <n v="118"/>
    <x v="14"/>
    <x v="60"/>
    <s v="981-443655"/>
    <s v="Torikatu 38"/>
    <m/>
    <x v="50"/>
    <m/>
    <n v="90110"/>
    <x v="4"/>
    <x v="1"/>
    <s v="Koskitalo"/>
    <s v="Pirkko"/>
    <x v="1"/>
  </r>
  <r>
    <n v="10165"/>
    <n v="48"/>
    <n v="100"/>
    <n v="12"/>
    <n v="6825.6"/>
    <d v="2003-10-22T00:00:00"/>
    <x v="0"/>
    <n v="4"/>
    <x v="4"/>
    <x v="4"/>
    <x v="0"/>
    <x v="2"/>
    <n v="118"/>
    <x v="14"/>
    <x v="26"/>
    <s v="+65 221 7555"/>
    <s v="Bronz Sok., Bronz Apt. 3/6 Tesvikiye"/>
    <m/>
    <x v="22"/>
    <m/>
    <n v="79903"/>
    <x v="9"/>
    <x v="3"/>
    <s v="Natividad"/>
    <s v="Eric"/>
    <x v="1"/>
  </r>
  <r>
    <n v="10175"/>
    <n v="26"/>
    <n v="100"/>
    <n v="1"/>
    <n v="3543.28"/>
    <d v="2003-11-06T00:00:00"/>
    <x v="0"/>
    <n v="4"/>
    <x v="5"/>
    <x v="5"/>
    <x v="0"/>
    <x v="2"/>
    <n v="118"/>
    <x v="14"/>
    <x v="49"/>
    <s v="(171) 555-0297"/>
    <s v="35 King George"/>
    <m/>
    <x v="41"/>
    <m/>
    <s v="WX3 6FW"/>
    <x v="6"/>
    <x v="1"/>
    <s v="Brown"/>
    <s v="Ann"/>
    <x v="1"/>
  </r>
  <r>
    <n v="10184"/>
    <n v="37"/>
    <n v="100"/>
    <n v="6"/>
    <n v="4516.22"/>
    <d v="2003-11-14T00:00:00"/>
    <x v="0"/>
    <n v="4"/>
    <x v="5"/>
    <x v="5"/>
    <x v="0"/>
    <x v="2"/>
    <n v="118"/>
    <x v="14"/>
    <x v="81"/>
    <s v="(95) 555 82 82"/>
    <s v="C/ Romero, 33"/>
    <m/>
    <x v="64"/>
    <m/>
    <n v="41101"/>
    <x v="7"/>
    <x v="1"/>
    <s v="Roel"/>
    <s v="Jose Pedro"/>
    <x v="1"/>
  </r>
  <r>
    <n v="10195"/>
    <n v="49"/>
    <n v="100"/>
    <n v="6"/>
    <n v="6445.46"/>
    <d v="2003-11-25T00:00:00"/>
    <x v="0"/>
    <n v="4"/>
    <x v="5"/>
    <x v="5"/>
    <x v="0"/>
    <x v="2"/>
    <n v="118"/>
    <x v="14"/>
    <x v="47"/>
    <n v="9145554562"/>
    <s v="3758 North Pendale Street"/>
    <m/>
    <x v="39"/>
    <s v="NY"/>
    <n v="24067"/>
    <x v="0"/>
    <x v="0"/>
    <s v="Frick"/>
    <s v="Steve"/>
    <x v="1"/>
  </r>
  <r>
    <n v="10207"/>
    <n v="34"/>
    <n v="99.54"/>
    <n v="7"/>
    <n v="3384.36"/>
    <d v="2003-12-09T00:00:00"/>
    <x v="0"/>
    <n v="4"/>
    <x v="6"/>
    <x v="6"/>
    <x v="0"/>
    <x v="2"/>
    <n v="118"/>
    <x v="14"/>
    <x v="64"/>
    <n v="6175552555"/>
    <s v="6251 Ingle Ln."/>
    <m/>
    <x v="48"/>
    <s v="MA"/>
    <n v="51003"/>
    <x v="0"/>
    <x v="0"/>
    <s v="Franco"/>
    <s v="Valarie"/>
    <x v="1"/>
  </r>
  <r>
    <n v="10219"/>
    <n v="48"/>
    <n v="100"/>
    <n v="2"/>
    <n v="4891.68"/>
    <d v="2004-02-10T00:00:00"/>
    <x v="0"/>
    <n v="1"/>
    <x v="0"/>
    <x v="0"/>
    <x v="1"/>
    <x v="2"/>
    <n v="118"/>
    <x v="14"/>
    <x v="82"/>
    <n v="4155554312"/>
    <s v="2793 Furth Circle"/>
    <m/>
    <x v="65"/>
    <s v="CA"/>
    <n v="94217"/>
    <x v="0"/>
    <x v="0"/>
    <s v="Taylor"/>
    <s v="Sue"/>
    <x v="1"/>
  </r>
  <r>
    <n v="10229"/>
    <n v="36"/>
    <n v="100"/>
    <n v="1"/>
    <n v="4521.96"/>
    <d v="2004-03-11T00:00:00"/>
    <x v="0"/>
    <n v="1"/>
    <x v="11"/>
    <x v="11"/>
    <x v="1"/>
    <x v="2"/>
    <n v="118"/>
    <x v="14"/>
    <x v="39"/>
    <n v="4155551450"/>
    <s v="5677 Strong St."/>
    <m/>
    <x v="33"/>
    <s v="CA"/>
    <n v="97562"/>
    <x v="0"/>
    <x v="0"/>
    <s v="Nelson"/>
    <s v="Valarie"/>
    <x v="1"/>
  </r>
  <r>
    <n v="10246"/>
    <n v="46"/>
    <n v="100"/>
    <n v="5"/>
    <n v="5069.66"/>
    <d v="2004-05-05T00:00:00"/>
    <x v="0"/>
    <n v="2"/>
    <x v="1"/>
    <x v="1"/>
    <x v="1"/>
    <x v="2"/>
    <n v="118"/>
    <x v="14"/>
    <x v="23"/>
    <s v="(91) 555 94 44"/>
    <s v="C/ Moralzarzal, 86"/>
    <m/>
    <x v="20"/>
    <m/>
    <n v="28034"/>
    <x v="7"/>
    <x v="1"/>
    <s v="Freyre"/>
    <s v="Diego"/>
    <x v="1"/>
  </r>
  <r>
    <n v="10259"/>
    <n v="46"/>
    <n v="100"/>
    <n v="4"/>
    <n v="6541.2"/>
    <d v="2004-06-15T00:00:00"/>
    <x v="0"/>
    <n v="2"/>
    <x v="9"/>
    <x v="9"/>
    <x v="1"/>
    <x v="2"/>
    <n v="118"/>
    <x v="14"/>
    <x v="65"/>
    <s v="+65 224 1555"/>
    <s v="Village Close - 106 Linden Road Sandown"/>
    <s v="2nd Floor"/>
    <x v="22"/>
    <m/>
    <n v="69045"/>
    <x v="9"/>
    <x v="2"/>
    <s v="Victorino"/>
    <s v="Wendy"/>
    <x v="1"/>
  </r>
  <r>
    <n v="10271"/>
    <n v="31"/>
    <n v="97.17"/>
    <n v="5"/>
    <n v="3012.27"/>
    <d v="2004-07-20T00:00:00"/>
    <x v="0"/>
    <n v="3"/>
    <x v="2"/>
    <x v="2"/>
    <x v="1"/>
    <x v="2"/>
    <n v="118"/>
    <x v="14"/>
    <x v="39"/>
    <n v="4155551450"/>
    <s v="5677 Strong St."/>
    <m/>
    <x v="33"/>
    <s v="CA"/>
    <n v="97562"/>
    <x v="0"/>
    <x v="0"/>
    <s v="Nelson"/>
    <s v="Valarie"/>
    <x v="1"/>
  </r>
  <r>
    <n v="10281"/>
    <n v="41"/>
    <n v="100"/>
    <n v="1"/>
    <n v="5247.18"/>
    <d v="2004-08-19T00:00:00"/>
    <x v="0"/>
    <n v="3"/>
    <x v="3"/>
    <x v="3"/>
    <x v="1"/>
    <x v="2"/>
    <n v="118"/>
    <x v="14"/>
    <x v="18"/>
    <n v="2155551555"/>
    <s v="7586 Pompton St."/>
    <m/>
    <x v="15"/>
    <s v="PA"/>
    <n v="70267"/>
    <x v="0"/>
    <x v="0"/>
    <s v="Yu"/>
    <s v="Kyung"/>
    <x v="1"/>
  </r>
  <r>
    <n v="10292"/>
    <n v="21"/>
    <n v="100"/>
    <n v="8"/>
    <n v="2214.87"/>
    <d v="2004-09-08T00:00:00"/>
    <x v="0"/>
    <n v="3"/>
    <x v="10"/>
    <x v="10"/>
    <x v="1"/>
    <x v="2"/>
    <n v="118"/>
    <x v="14"/>
    <x v="0"/>
    <n v="2125557818"/>
    <s v="897 Long Airport Avenue"/>
    <m/>
    <x v="0"/>
    <s v="NY"/>
    <n v="10022"/>
    <x v="0"/>
    <x v="0"/>
    <s v="Yu"/>
    <s v="Kwai"/>
    <x v="0"/>
  </r>
  <r>
    <n v="10305"/>
    <n v="38"/>
    <n v="100"/>
    <n v="5"/>
    <n v="4773.18"/>
    <d v="2004-10-13T00:00:00"/>
    <x v="0"/>
    <n v="4"/>
    <x v="4"/>
    <x v="4"/>
    <x v="1"/>
    <x v="2"/>
    <n v="118"/>
    <x v="14"/>
    <x v="15"/>
    <n v="6175558555"/>
    <s v="39323 Spinnaker Dr."/>
    <m/>
    <x v="12"/>
    <s v="MA"/>
    <n v="51247"/>
    <x v="0"/>
    <x v="0"/>
    <s v="Hernandez"/>
    <s v="Marta"/>
    <x v="1"/>
  </r>
  <r>
    <n v="10314"/>
    <n v="45"/>
    <n v="100"/>
    <n v="14"/>
    <n v="6185.7"/>
    <d v="2004-10-22T00:00:00"/>
    <x v="0"/>
    <n v="4"/>
    <x v="4"/>
    <x v="4"/>
    <x v="1"/>
    <x v="2"/>
    <n v="118"/>
    <x v="14"/>
    <x v="78"/>
    <s v="86 21 3555"/>
    <s v="Smagsloget 45"/>
    <m/>
    <x v="62"/>
    <m/>
    <n v="8200"/>
    <x v="13"/>
    <x v="1"/>
    <s v="Ibsen"/>
    <s v="Palle"/>
    <x v="1"/>
  </r>
  <r>
    <n v="10324"/>
    <n v="26"/>
    <n v="58.38"/>
    <n v="7"/>
    <n v="1517.88"/>
    <d v="2004-11-05T00:00:00"/>
    <x v="0"/>
    <n v="4"/>
    <x v="5"/>
    <x v="5"/>
    <x v="1"/>
    <x v="2"/>
    <n v="118"/>
    <x v="14"/>
    <x v="11"/>
    <n v="2125551500"/>
    <s v="2678 Kingston Rd."/>
    <s v="Suite 101"/>
    <x v="0"/>
    <s v="NY"/>
    <n v="10022"/>
    <x v="0"/>
    <x v="0"/>
    <s v="Frick"/>
    <s v="Michael"/>
    <x v="0"/>
  </r>
  <r>
    <n v="10336"/>
    <n v="38"/>
    <n v="100"/>
    <n v="3"/>
    <n v="6372.6"/>
    <d v="2004-11-20T00:00:00"/>
    <x v="0"/>
    <n v="4"/>
    <x v="5"/>
    <x v="5"/>
    <x v="1"/>
    <x v="2"/>
    <n v="118"/>
    <x v="14"/>
    <x v="62"/>
    <s v="(1) 42.34.2555"/>
    <s v="265, boulevard Charonne"/>
    <m/>
    <x v="2"/>
    <m/>
    <n v="75012"/>
    <x v="1"/>
    <x v="1"/>
    <s v="Bertrand"/>
    <s v="Marie"/>
    <x v="1"/>
  </r>
  <r>
    <n v="10349"/>
    <n v="48"/>
    <n v="100"/>
    <n v="9"/>
    <n v="5232.96"/>
    <d v="2004-12-01T00:00:00"/>
    <x v="0"/>
    <n v="4"/>
    <x v="6"/>
    <x v="6"/>
    <x v="1"/>
    <x v="2"/>
    <n v="118"/>
    <x v="14"/>
    <x v="74"/>
    <n v="2125557413"/>
    <s v="4092 Furth Circle"/>
    <s v="Suite 400"/>
    <x v="0"/>
    <s v="NY"/>
    <n v="10022"/>
    <x v="0"/>
    <x v="0"/>
    <s v="Young"/>
    <s v="Jeff"/>
    <x v="1"/>
  </r>
  <r>
    <n v="10358"/>
    <n v="42"/>
    <n v="64.16"/>
    <n v="9"/>
    <n v="2694.72"/>
    <d v="2004-12-10T00:00:00"/>
    <x v="0"/>
    <n v="4"/>
    <x v="6"/>
    <x v="6"/>
    <x v="1"/>
    <x v="2"/>
    <n v="118"/>
    <x v="14"/>
    <x v="23"/>
    <s v="(91) 555 94 44"/>
    <s v="C/ Moralzarzal, 86"/>
    <m/>
    <x v="20"/>
    <m/>
    <n v="28034"/>
    <x v="7"/>
    <x v="1"/>
    <s v="Freyre"/>
    <s v="Diego"/>
    <x v="0"/>
  </r>
  <r>
    <n v="10371"/>
    <n v="49"/>
    <n v="35.71"/>
    <n v="4"/>
    <n v="1749.79"/>
    <d v="2005-01-23T00:00:00"/>
    <x v="0"/>
    <n v="1"/>
    <x v="7"/>
    <x v="7"/>
    <x v="2"/>
    <x v="2"/>
    <n v="118"/>
    <x v="14"/>
    <x v="39"/>
    <n v="4155551450"/>
    <s v="5677 Strong St."/>
    <m/>
    <x v="33"/>
    <s v="CA"/>
    <n v="97562"/>
    <x v="0"/>
    <x v="0"/>
    <s v="Nelson"/>
    <s v="Valarie"/>
    <x v="0"/>
  </r>
  <r>
    <n v="10382"/>
    <n v="32"/>
    <n v="66.58"/>
    <n v="13"/>
    <n v="2130.56"/>
    <d v="2005-02-17T00:00:00"/>
    <x v="0"/>
    <n v="1"/>
    <x v="0"/>
    <x v="0"/>
    <x v="2"/>
    <x v="2"/>
    <n v="118"/>
    <x v="14"/>
    <x v="39"/>
    <n v="4155551450"/>
    <s v="5677 Strong St."/>
    <m/>
    <x v="33"/>
    <s v="CA"/>
    <n v="97562"/>
    <x v="0"/>
    <x v="0"/>
    <s v="Nelson"/>
    <s v="Valarie"/>
    <x v="0"/>
  </r>
  <r>
    <n v="10412"/>
    <n v="54"/>
    <n v="100"/>
    <n v="5"/>
    <n v="5951.34"/>
    <d v="2005-05-03T00:00:00"/>
    <x v="0"/>
    <n v="2"/>
    <x v="1"/>
    <x v="1"/>
    <x v="2"/>
    <x v="2"/>
    <n v="118"/>
    <x v="14"/>
    <x v="23"/>
    <s v="(91) 555 94 44"/>
    <s v="C/ Moralzarzal, 86"/>
    <m/>
    <x v="20"/>
    <m/>
    <n v="28034"/>
    <x v="7"/>
    <x v="1"/>
    <s v="Freyre"/>
    <s v="Diego"/>
    <x v="1"/>
  </r>
  <r>
    <n v="10425"/>
    <n v="33"/>
    <n v="100"/>
    <n v="4"/>
    <n v="4692.6000000000004"/>
    <d v="2005-05-31T00:00:00"/>
    <x v="2"/>
    <n v="2"/>
    <x v="1"/>
    <x v="1"/>
    <x v="2"/>
    <x v="2"/>
    <n v="118"/>
    <x v="14"/>
    <x v="14"/>
    <s v="40.67.8555"/>
    <s v="67, rue des Cinquante Otages"/>
    <m/>
    <x v="11"/>
    <m/>
    <n v="44000"/>
    <x v="1"/>
    <x v="1"/>
    <s v="Labrune"/>
    <s v="Janine"/>
    <x v="1"/>
  </r>
  <r>
    <n v="10108"/>
    <n v="36"/>
    <n v="100"/>
    <n v="3"/>
    <n v="3731.04"/>
    <d v="2003-03-03T00:00:00"/>
    <x v="0"/>
    <n v="1"/>
    <x v="11"/>
    <x v="11"/>
    <x v="0"/>
    <x v="1"/>
    <n v="115"/>
    <x v="15"/>
    <x v="66"/>
    <s v="+63 2 555 3587"/>
    <s v="15 McCallum Street - NatWest Center #13-03"/>
    <m/>
    <x v="53"/>
    <m/>
    <s v="1227 MM"/>
    <x v="15"/>
    <x v="3"/>
    <s v="Cruz"/>
    <s v="Arnold"/>
    <x v="1"/>
  </r>
  <r>
    <n v="10122"/>
    <n v="20"/>
    <n v="100"/>
    <n v="7"/>
    <n v="2142"/>
    <d v="2003-05-08T00:00:00"/>
    <x v="0"/>
    <n v="2"/>
    <x v="1"/>
    <x v="1"/>
    <x v="0"/>
    <x v="1"/>
    <n v="115"/>
    <x v="15"/>
    <x v="67"/>
    <s v="91.24.4555"/>
    <s v="12, rue des Bouchers"/>
    <m/>
    <x v="54"/>
    <m/>
    <n v="13008"/>
    <x v="1"/>
    <x v="1"/>
    <s v="Lebihan"/>
    <s v="Laurence"/>
    <x v="0"/>
  </r>
  <r>
    <n v="10135"/>
    <n v="29"/>
    <n v="97.89"/>
    <n v="4"/>
    <n v="2838.81"/>
    <d v="2003-07-02T00:00:00"/>
    <x v="0"/>
    <n v="3"/>
    <x v="2"/>
    <x v="2"/>
    <x v="0"/>
    <x v="1"/>
    <n v="115"/>
    <x v="15"/>
    <x v="39"/>
    <n v="4155551450"/>
    <s v="5677 Strong St."/>
    <m/>
    <x v="33"/>
    <s v="CA"/>
    <n v="97562"/>
    <x v="0"/>
    <x v="0"/>
    <s v="Nelson"/>
    <s v="Valarie"/>
    <x v="0"/>
  </r>
  <r>
    <n v="10147"/>
    <n v="33"/>
    <n v="97.89"/>
    <n v="4"/>
    <n v="3230.37"/>
    <d v="2003-09-05T00:00:00"/>
    <x v="0"/>
    <n v="3"/>
    <x v="10"/>
    <x v="10"/>
    <x v="0"/>
    <x v="1"/>
    <n v="115"/>
    <x v="15"/>
    <x v="41"/>
    <n v="6175558555"/>
    <s v="7825 Douglas Av."/>
    <m/>
    <x v="35"/>
    <s v="MA"/>
    <n v="58339"/>
    <x v="0"/>
    <x v="0"/>
    <s v="Nelson"/>
    <s v="Allen"/>
    <x v="1"/>
  </r>
  <r>
    <n v="10160"/>
    <n v="50"/>
    <n v="100"/>
    <n v="5"/>
    <n v="5182"/>
    <d v="2003-10-11T00:00:00"/>
    <x v="0"/>
    <n v="4"/>
    <x v="4"/>
    <x v="4"/>
    <x v="0"/>
    <x v="1"/>
    <n v="115"/>
    <x v="15"/>
    <x v="54"/>
    <n v="2155554369"/>
    <s v="6047 Douglas Av."/>
    <m/>
    <x v="44"/>
    <s v="CA"/>
    <m/>
    <x v="0"/>
    <x v="0"/>
    <s v="Chandler"/>
    <s v="Michael"/>
    <x v="1"/>
  </r>
  <r>
    <n v="10170"/>
    <n v="41"/>
    <n v="100"/>
    <n v="3"/>
    <n v="4391.1000000000004"/>
    <d v="2003-11-04T00:00:00"/>
    <x v="0"/>
    <n v="4"/>
    <x v="5"/>
    <x v="5"/>
    <x v="0"/>
    <x v="1"/>
    <n v="115"/>
    <x v="15"/>
    <x v="63"/>
    <s v="7675-3555"/>
    <s v="Kirchgasse 6"/>
    <m/>
    <x v="52"/>
    <m/>
    <n v="8010"/>
    <x v="5"/>
    <x v="1"/>
    <s v="Mendel"/>
    <s v="Roland"/>
    <x v="1"/>
  </r>
  <r>
    <n v="10181"/>
    <n v="36"/>
    <n v="100"/>
    <n v="11"/>
    <n v="4477.32"/>
    <d v="2003-11-12T00:00:00"/>
    <x v="0"/>
    <n v="4"/>
    <x v="5"/>
    <x v="5"/>
    <x v="0"/>
    <x v="1"/>
    <n v="115"/>
    <x v="15"/>
    <x v="7"/>
    <s v="+47 2267 3215"/>
    <s v="Drammen 121, PR 744 Sentrum"/>
    <m/>
    <x v="7"/>
    <m/>
    <s v="N 5804"/>
    <x v="2"/>
    <x v="1"/>
    <s v="Oeztan"/>
    <s v="Veysel"/>
    <x v="1"/>
  </r>
  <r>
    <n v="10192"/>
    <n v="27"/>
    <n v="100"/>
    <n v="16"/>
    <n v="3544.56"/>
    <d v="2003-11-20T00:00:00"/>
    <x v="0"/>
    <n v="4"/>
    <x v="5"/>
    <x v="5"/>
    <x v="0"/>
    <x v="1"/>
    <n v="115"/>
    <x v="15"/>
    <x v="40"/>
    <n v="6035558647"/>
    <s v="2304 Long Airport Avenue"/>
    <m/>
    <x v="34"/>
    <s v="NH"/>
    <n v="62005"/>
    <x v="0"/>
    <x v="0"/>
    <s v="Young"/>
    <s v="Valarie"/>
    <x v="1"/>
  </r>
  <r>
    <n v="10203"/>
    <n v="47"/>
    <n v="100"/>
    <n v="5"/>
    <n v="5195.8500000000004"/>
    <d v="2003-12-02T00:00:00"/>
    <x v="0"/>
    <n v="4"/>
    <x v="6"/>
    <x v="6"/>
    <x v="0"/>
    <x v="1"/>
    <n v="115"/>
    <x v="15"/>
    <x v="23"/>
    <s v="(91) 555 94 44"/>
    <s v="C/ Moralzarzal, 86"/>
    <m/>
    <x v="20"/>
    <m/>
    <n v="28034"/>
    <x v="7"/>
    <x v="1"/>
    <s v="Freyre"/>
    <s v="Diego"/>
    <x v="1"/>
  </r>
  <r>
    <n v="10212"/>
    <n v="33"/>
    <n v="100"/>
    <n v="15"/>
    <n v="4180.4399999999996"/>
    <d v="2004-01-16T00:00:00"/>
    <x v="0"/>
    <n v="1"/>
    <x v="7"/>
    <x v="7"/>
    <x v="1"/>
    <x v="1"/>
    <n v="115"/>
    <x v="15"/>
    <x v="23"/>
    <s v="(91) 555 94 44"/>
    <s v="C/ Moralzarzal, 86"/>
    <m/>
    <x v="20"/>
    <m/>
    <n v="28034"/>
    <x v="7"/>
    <x v="1"/>
    <s v="Freyre"/>
    <s v="Diego"/>
    <x v="1"/>
  </r>
  <r>
    <n v="10225"/>
    <n v="21"/>
    <n v="100"/>
    <n v="6"/>
    <n v="2684.43"/>
    <d v="2004-02-22T00:00:00"/>
    <x v="0"/>
    <n v="1"/>
    <x v="0"/>
    <x v="0"/>
    <x v="1"/>
    <x v="1"/>
    <n v="115"/>
    <x v="15"/>
    <x v="69"/>
    <s v="0897-034555"/>
    <s v="Grenzacherweg 237"/>
    <m/>
    <x v="56"/>
    <m/>
    <n v="1203"/>
    <x v="17"/>
    <x v="1"/>
    <s v="Holz"/>
    <s v="Michael"/>
    <x v="0"/>
  </r>
  <r>
    <n v="10239"/>
    <n v="21"/>
    <n v="93.28"/>
    <n v="5"/>
    <n v="1958.88"/>
    <d v="2004-04-12T00:00:00"/>
    <x v="0"/>
    <n v="2"/>
    <x v="8"/>
    <x v="8"/>
    <x v="1"/>
    <x v="1"/>
    <n v="115"/>
    <x v="15"/>
    <x v="60"/>
    <s v="981-443655"/>
    <s v="Torikatu 38"/>
    <m/>
    <x v="50"/>
    <m/>
    <n v="90110"/>
    <x v="4"/>
    <x v="1"/>
    <s v="Koskitalo"/>
    <s v="Pirkko"/>
    <x v="0"/>
  </r>
  <r>
    <n v="10253"/>
    <n v="41"/>
    <n v="100"/>
    <n v="10"/>
    <n v="4910.57"/>
    <d v="2004-06-01T00:00:00"/>
    <x v="3"/>
    <n v="2"/>
    <x v="9"/>
    <x v="9"/>
    <x v="1"/>
    <x v="1"/>
    <n v="115"/>
    <x v="15"/>
    <x v="22"/>
    <s v="(171) 555-2282"/>
    <s v="Berkeley Gardens 12  Brewery"/>
    <m/>
    <x v="19"/>
    <m/>
    <s v="WX1 6LT"/>
    <x v="6"/>
    <x v="1"/>
    <s v="Devon"/>
    <s v="Elizabeth"/>
    <x v="1"/>
  </r>
  <r>
    <n v="10266"/>
    <n v="40"/>
    <n v="100"/>
    <n v="11"/>
    <n v="4468.3999999999996"/>
    <d v="2004-07-06T00:00:00"/>
    <x v="0"/>
    <n v="3"/>
    <x v="2"/>
    <x v="2"/>
    <x v="1"/>
    <x v="1"/>
    <n v="115"/>
    <x v="15"/>
    <x v="70"/>
    <s v="0522-556555"/>
    <s v="Strada Provinciale 124"/>
    <m/>
    <x v="57"/>
    <m/>
    <n v="42100"/>
    <x v="12"/>
    <x v="1"/>
    <s v="Moroni"/>
    <s v="Maurizio"/>
    <x v="1"/>
  </r>
  <r>
    <n v="10277"/>
    <n v="28"/>
    <n v="100"/>
    <n v="1"/>
    <n v="3127.88"/>
    <d v="2004-08-04T00:00:00"/>
    <x v="0"/>
    <n v="3"/>
    <x v="3"/>
    <x v="3"/>
    <x v="1"/>
    <x v="1"/>
    <n v="115"/>
    <x v="15"/>
    <x v="26"/>
    <s v="+65 221 7555"/>
    <s v="Bronz Sok., Bronz Apt. 3/6 Tesvikiye"/>
    <m/>
    <x v="22"/>
    <m/>
    <n v="79903"/>
    <x v="9"/>
    <x v="3"/>
    <s v="Natividad"/>
    <s v="Eric"/>
    <x v="1"/>
  </r>
  <r>
    <n v="10287"/>
    <n v="23"/>
    <n v="100"/>
    <n v="9"/>
    <n v="2675.13"/>
    <d v="2004-08-30T00:00:00"/>
    <x v="0"/>
    <n v="3"/>
    <x v="3"/>
    <x v="3"/>
    <x v="1"/>
    <x v="1"/>
    <n v="115"/>
    <x v="15"/>
    <x v="69"/>
    <s v="0897-034555"/>
    <s v="Grenzacherweg 237"/>
    <m/>
    <x v="56"/>
    <m/>
    <n v="1203"/>
    <x v="17"/>
    <x v="1"/>
    <s v="Holz"/>
    <s v="Michael"/>
    <x v="0"/>
  </r>
  <r>
    <n v="10300"/>
    <n v="23"/>
    <n v="100"/>
    <n v="2"/>
    <n v="2807.61"/>
    <d v="2003-10-04T00:00:00"/>
    <x v="0"/>
    <n v="4"/>
    <x v="4"/>
    <x v="4"/>
    <x v="0"/>
    <x v="1"/>
    <n v="115"/>
    <x v="15"/>
    <x v="72"/>
    <s v="+49 69 66 90 2555"/>
    <s v="Lyonerstr. 34"/>
    <m/>
    <x v="58"/>
    <m/>
    <n v="60528"/>
    <x v="16"/>
    <x v="1"/>
    <s v="Keitel"/>
    <s v="Roland"/>
    <x v="0"/>
  </r>
  <r>
    <n v="10310"/>
    <n v="25"/>
    <n v="100"/>
    <n v="7"/>
    <n v="2504.75"/>
    <d v="2004-10-16T00:00:00"/>
    <x v="0"/>
    <n v="4"/>
    <x v="4"/>
    <x v="4"/>
    <x v="1"/>
    <x v="1"/>
    <n v="115"/>
    <x v="15"/>
    <x v="68"/>
    <s v="0221-5554327"/>
    <s v="Mehrheimerstr. 369"/>
    <m/>
    <x v="55"/>
    <m/>
    <n v="50739"/>
    <x v="16"/>
    <x v="1"/>
    <s v="Pfalzheim"/>
    <s v="Henriette"/>
    <x v="0"/>
  </r>
  <r>
    <n v="10321"/>
    <n v="24"/>
    <n v="100"/>
    <n v="15"/>
    <n v="2984.88"/>
    <d v="2004-11-04T00:00:00"/>
    <x v="0"/>
    <n v="4"/>
    <x v="5"/>
    <x v="5"/>
    <x v="1"/>
    <x v="1"/>
    <n v="115"/>
    <x v="15"/>
    <x v="21"/>
    <n v="5085552555"/>
    <s v="1785 First Street"/>
    <m/>
    <x v="18"/>
    <s v="MA"/>
    <n v="50553"/>
    <x v="0"/>
    <x v="0"/>
    <s v="Benitez"/>
    <s v="Violeta"/>
    <x v="0"/>
  </r>
  <r>
    <n v="10329"/>
    <n v="39"/>
    <n v="64.739999999999995"/>
    <n v="15"/>
    <n v="2524.86"/>
    <d v="2004-11-15T00:00:00"/>
    <x v="0"/>
    <n v="4"/>
    <x v="5"/>
    <x v="5"/>
    <x v="1"/>
    <x v="1"/>
    <n v="115"/>
    <x v="15"/>
    <x v="0"/>
    <n v="2125557818"/>
    <s v="897 Long Airport Avenue"/>
    <m/>
    <x v="0"/>
    <s v="NY"/>
    <n v="10022"/>
    <x v="0"/>
    <x v="0"/>
    <s v="Yu"/>
    <s v="Kwai"/>
    <x v="0"/>
  </r>
  <r>
    <n v="10341"/>
    <n v="55"/>
    <n v="75.2"/>
    <n v="7"/>
    <n v="4136"/>
    <d v="2004-11-24T00:00:00"/>
    <x v="0"/>
    <n v="4"/>
    <x v="5"/>
    <x v="5"/>
    <x v="1"/>
    <x v="1"/>
    <n v="115"/>
    <x v="15"/>
    <x v="19"/>
    <s v="6562-9555"/>
    <s v="Geislweg 14"/>
    <m/>
    <x v="16"/>
    <m/>
    <n v="5020"/>
    <x v="5"/>
    <x v="1"/>
    <s v="Pipps"/>
    <s v="Georg"/>
    <x v="1"/>
  </r>
  <r>
    <n v="10363"/>
    <n v="46"/>
    <n v="88.45"/>
    <n v="6"/>
    <n v="4068.7"/>
    <d v="2005-01-06T00:00:00"/>
    <x v="0"/>
    <n v="1"/>
    <x v="7"/>
    <x v="7"/>
    <x v="2"/>
    <x v="1"/>
    <n v="115"/>
    <x v="15"/>
    <x v="73"/>
    <s v="+358 9 8045 555"/>
    <s v="Software Engineering Center, SEC Oy"/>
    <m/>
    <x v="59"/>
    <m/>
    <s v="FIN-02271"/>
    <x v="4"/>
    <x v="1"/>
    <s v="Suominen"/>
    <s v="Kalle"/>
    <x v="1"/>
  </r>
  <r>
    <n v="10377"/>
    <n v="50"/>
    <n v="100"/>
    <n v="1"/>
    <n v="5182"/>
    <d v="2005-02-09T00:00:00"/>
    <x v="0"/>
    <n v="1"/>
    <x v="0"/>
    <x v="0"/>
    <x v="2"/>
    <x v="1"/>
    <n v="115"/>
    <x v="15"/>
    <x v="16"/>
    <s v="90-224 8555"/>
    <s v="Keskuskatu 45"/>
    <m/>
    <x v="13"/>
    <m/>
    <n v="21240"/>
    <x v="4"/>
    <x v="1"/>
    <s v="Karttunen"/>
    <s v="Matti"/>
    <x v="1"/>
  </r>
  <r>
    <n v="10389"/>
    <n v="47"/>
    <n v="100"/>
    <n v="8"/>
    <n v="5243.79"/>
    <d v="2005-03-03T00:00:00"/>
    <x v="0"/>
    <n v="1"/>
    <x v="11"/>
    <x v="11"/>
    <x v="2"/>
    <x v="1"/>
    <n v="115"/>
    <x v="15"/>
    <x v="37"/>
    <s v="0695-34 6555"/>
    <s v="?kergatan 24"/>
    <m/>
    <x v="31"/>
    <m/>
    <s v="S-844 67"/>
    <x v="8"/>
    <x v="1"/>
    <s v="Larsson"/>
    <s v="Maria"/>
    <x v="1"/>
  </r>
  <r>
    <n v="10405"/>
    <n v="97"/>
    <n v="93.28"/>
    <n v="5"/>
    <n v="9048.16"/>
    <d v="2005-04-14T00:00:00"/>
    <x v="0"/>
    <n v="2"/>
    <x v="8"/>
    <x v="8"/>
    <x v="2"/>
    <x v="1"/>
    <n v="115"/>
    <x v="15"/>
    <x v="83"/>
    <s v="88.60.1555"/>
    <s v="24, place Kluber"/>
    <m/>
    <x v="66"/>
    <m/>
    <n v="67000"/>
    <x v="1"/>
    <x v="1"/>
    <s v="Citeaux"/>
    <s v="Frederique"/>
    <x v="2"/>
  </r>
  <r>
    <n v="10419"/>
    <n v="32"/>
    <n v="100"/>
    <n v="10"/>
    <n v="3832.64"/>
    <d v="2005-05-17T00:00:00"/>
    <x v="0"/>
    <n v="2"/>
    <x v="1"/>
    <x v="1"/>
    <x v="2"/>
    <x v="1"/>
    <n v="115"/>
    <x v="15"/>
    <x v="19"/>
    <s v="6562-9555"/>
    <s v="Geislweg 14"/>
    <m/>
    <x v="16"/>
    <m/>
    <n v="5020"/>
    <x v="5"/>
    <x v="1"/>
    <s v="Pipps"/>
    <s v="Georg"/>
    <x v="1"/>
  </r>
  <r>
    <n v="10103"/>
    <n v="35"/>
    <n v="100"/>
    <n v="10"/>
    <n v="3920"/>
    <d v="2003-01-29T00:00:00"/>
    <x v="0"/>
    <n v="1"/>
    <x v="7"/>
    <x v="7"/>
    <x v="0"/>
    <x v="2"/>
    <n v="116"/>
    <x v="16"/>
    <x v="17"/>
    <s v="07-98 9555"/>
    <s v="Erling Skakkes gate 78"/>
    <m/>
    <x v="14"/>
    <m/>
    <n v="4110"/>
    <x v="2"/>
    <x v="1"/>
    <s v="Bergulfsen"/>
    <s v="Jonas"/>
    <x v="1"/>
  </r>
  <r>
    <n v="10113"/>
    <n v="49"/>
    <n v="100"/>
    <n v="4"/>
    <n v="4916.66"/>
    <d v="2003-03-26T00:00:00"/>
    <x v="0"/>
    <n v="1"/>
    <x v="11"/>
    <x v="11"/>
    <x v="0"/>
    <x v="2"/>
    <n v="116"/>
    <x v="16"/>
    <x v="39"/>
    <n v="4155551450"/>
    <s v="5677 Strong St."/>
    <m/>
    <x v="33"/>
    <s v="CA"/>
    <n v="97562"/>
    <x v="0"/>
    <x v="0"/>
    <s v="Nelson"/>
    <s v="Valarie"/>
    <x v="1"/>
  </r>
  <r>
    <n v="10126"/>
    <n v="38"/>
    <n v="100"/>
    <n v="10"/>
    <n v="3857"/>
    <d v="2003-05-28T00:00:00"/>
    <x v="0"/>
    <n v="2"/>
    <x v="1"/>
    <x v="1"/>
    <x v="0"/>
    <x v="2"/>
    <n v="116"/>
    <x v="16"/>
    <x v="25"/>
    <s v="(91) 555 22 82"/>
    <s v="C/ Araquil, 67"/>
    <m/>
    <x v="20"/>
    <m/>
    <n v="28023"/>
    <x v="7"/>
    <x v="1"/>
    <s v="Sommer"/>
    <s v="Mart¡n"/>
    <x v="1"/>
  </r>
  <r>
    <n v="10140"/>
    <n v="32"/>
    <n v="100"/>
    <n v="10"/>
    <n v="4181.4399999999996"/>
    <d v="2003-07-24T00:00:00"/>
    <x v="0"/>
    <n v="3"/>
    <x v="2"/>
    <x v="2"/>
    <x v="0"/>
    <x v="2"/>
    <n v="116"/>
    <x v="16"/>
    <x v="5"/>
    <n v="6505556809"/>
    <s v="9408 Furth Circle"/>
    <m/>
    <x v="5"/>
    <s v="CA"/>
    <n v="94217"/>
    <x v="0"/>
    <x v="0"/>
    <s v="Hirano"/>
    <s v="Juri"/>
    <x v="1"/>
  </r>
  <r>
    <n v="10150"/>
    <n v="34"/>
    <n v="100"/>
    <n v="7"/>
    <n v="4641"/>
    <d v="2003-09-19T00:00:00"/>
    <x v="0"/>
    <n v="3"/>
    <x v="10"/>
    <x v="10"/>
    <x v="0"/>
    <x v="2"/>
    <n v="116"/>
    <x v="16"/>
    <x v="26"/>
    <s v="+65 221 7555"/>
    <s v="Bronz Sok., Bronz Apt. 3/6 Tesvikiye"/>
    <m/>
    <x v="22"/>
    <m/>
    <n v="79903"/>
    <x v="9"/>
    <x v="3"/>
    <s v="Natividad"/>
    <s v="Eric"/>
    <x v="1"/>
  </r>
  <r>
    <n v="10164"/>
    <n v="36"/>
    <n v="99.17"/>
    <n v="8"/>
    <n v="3570.12"/>
    <d v="2003-10-21T00:00:00"/>
    <x v="5"/>
    <n v="4"/>
    <x v="4"/>
    <x v="4"/>
    <x v="0"/>
    <x v="2"/>
    <n v="116"/>
    <x v="16"/>
    <x v="63"/>
    <s v="7675-3555"/>
    <s v="Kirchgasse 6"/>
    <m/>
    <x v="52"/>
    <m/>
    <n v="8010"/>
    <x v="5"/>
    <x v="1"/>
    <s v="Mendel"/>
    <s v="Roland"/>
    <x v="1"/>
  </r>
  <r>
    <n v="10174"/>
    <n v="48"/>
    <n v="93.34"/>
    <n v="3"/>
    <n v="4480.32"/>
    <d v="2003-11-06T00:00:00"/>
    <x v="0"/>
    <n v="4"/>
    <x v="5"/>
    <x v="5"/>
    <x v="0"/>
    <x v="2"/>
    <n v="116"/>
    <x v="16"/>
    <x v="28"/>
    <s v="61-7-3844-6555"/>
    <s v="31 Duncan St. West End"/>
    <m/>
    <x v="23"/>
    <s v="Queensland"/>
    <n v="4101"/>
    <x v="3"/>
    <x v="2"/>
    <s v="Calaghan"/>
    <s v="Tony"/>
    <x v="1"/>
  </r>
  <r>
    <n v="10183"/>
    <n v="21"/>
    <n v="96.84"/>
    <n v="7"/>
    <n v="2033.64"/>
    <d v="2003-11-13T00:00:00"/>
    <x v="0"/>
    <n v="4"/>
    <x v="5"/>
    <x v="5"/>
    <x v="0"/>
    <x v="2"/>
    <n v="116"/>
    <x v="16"/>
    <x v="29"/>
    <n v="2155554695"/>
    <s v="782 First Street"/>
    <m/>
    <x v="24"/>
    <s v="PA"/>
    <n v="71270"/>
    <x v="0"/>
    <x v="0"/>
    <s v="Cervantes"/>
    <s v="Francisca"/>
    <x v="0"/>
  </r>
  <r>
    <n v="10194"/>
    <n v="21"/>
    <n v="93.34"/>
    <n v="10"/>
    <n v="1960.14"/>
    <d v="2003-11-25T00:00:00"/>
    <x v="0"/>
    <n v="4"/>
    <x v="5"/>
    <x v="5"/>
    <x v="0"/>
    <x v="2"/>
    <n v="116"/>
    <x v="16"/>
    <x v="30"/>
    <s v="78.32.5555"/>
    <s v="2, rue du Commerce"/>
    <m/>
    <x v="25"/>
    <m/>
    <n v="69004"/>
    <x v="1"/>
    <x v="1"/>
    <s v="Saveley"/>
    <s v="Mary"/>
    <x v="0"/>
  </r>
  <r>
    <n v="10206"/>
    <n v="34"/>
    <n v="100"/>
    <n v="5"/>
    <n v="3966.78"/>
    <d v="2003-12-05T00:00:00"/>
    <x v="0"/>
    <n v="4"/>
    <x v="6"/>
    <x v="6"/>
    <x v="0"/>
    <x v="2"/>
    <n v="116"/>
    <x v="16"/>
    <x v="31"/>
    <s v="(604) 555-3392"/>
    <s v="1900 Oak St."/>
    <m/>
    <x v="26"/>
    <s v="BC"/>
    <s v="V3F 2K1"/>
    <x v="10"/>
    <x v="0"/>
    <s v="Tannamuri"/>
    <s v="Yoshi"/>
    <x v="1"/>
  </r>
  <r>
    <n v="10215"/>
    <n v="46"/>
    <n v="100"/>
    <n v="2"/>
    <n v="5152"/>
    <d v="2004-01-29T00:00:00"/>
    <x v="0"/>
    <n v="1"/>
    <x v="7"/>
    <x v="7"/>
    <x v="1"/>
    <x v="2"/>
    <n v="116"/>
    <x v="16"/>
    <x v="32"/>
    <n v="3105553722"/>
    <s v="3675 Furth Circle"/>
    <m/>
    <x v="27"/>
    <s v="CA"/>
    <n v="94019"/>
    <x v="0"/>
    <x v="0"/>
    <s v="Thompson"/>
    <s v="Steve"/>
    <x v="1"/>
  </r>
  <r>
    <n v="10228"/>
    <n v="32"/>
    <n v="100"/>
    <n v="1"/>
    <n v="3360"/>
    <d v="2004-03-10T00:00:00"/>
    <x v="0"/>
    <n v="1"/>
    <x v="11"/>
    <x v="11"/>
    <x v="1"/>
    <x v="2"/>
    <n v="116"/>
    <x v="16"/>
    <x v="33"/>
    <n v="6175555555"/>
    <s v="4658 Baden Av."/>
    <m/>
    <x v="12"/>
    <s v="MA"/>
    <n v="51247"/>
    <x v="0"/>
    <x v="0"/>
    <s v="Tseng"/>
    <s v="Kyung"/>
    <x v="1"/>
  </r>
  <r>
    <n v="10245"/>
    <n v="29"/>
    <n v="100"/>
    <n v="8"/>
    <n v="3451"/>
    <d v="2004-05-04T00:00:00"/>
    <x v="0"/>
    <n v="2"/>
    <x v="1"/>
    <x v="1"/>
    <x v="1"/>
    <x v="2"/>
    <n v="116"/>
    <x v="16"/>
    <x v="34"/>
    <n v="2035559545"/>
    <s v="567 North Pendale Street"/>
    <m/>
    <x v="28"/>
    <s v="CT"/>
    <n v="97823"/>
    <x v="0"/>
    <x v="0"/>
    <s v="Murphy"/>
    <s v="Leslie"/>
    <x v="1"/>
  </r>
  <r>
    <n v="10258"/>
    <n v="41"/>
    <n v="100"/>
    <n v="5"/>
    <n v="5453"/>
    <d v="2004-06-15T00:00:00"/>
    <x v="0"/>
    <n v="2"/>
    <x v="9"/>
    <x v="9"/>
    <x v="1"/>
    <x v="2"/>
    <n v="116"/>
    <x v="16"/>
    <x v="35"/>
    <s v="+81 3 3584 0555"/>
    <s v="2-2-8 Roppongi"/>
    <m/>
    <x v="29"/>
    <s v="Tokyo"/>
    <s v="106-0032"/>
    <x v="11"/>
    <x v="3"/>
    <s v="Shimamura"/>
    <s v="Akiko"/>
    <x v="1"/>
  </r>
  <r>
    <n v="10270"/>
    <n v="43"/>
    <n v="96.84"/>
    <n v="8"/>
    <n v="4164.12"/>
    <d v="2004-07-19T00:00:00"/>
    <x v="0"/>
    <n v="3"/>
    <x v="2"/>
    <x v="2"/>
    <x v="1"/>
    <x v="2"/>
    <n v="116"/>
    <x v="16"/>
    <x v="20"/>
    <s v="+61 2 9495 8555"/>
    <s v="Monitor Money Building, 815 Pacific Hwy"/>
    <s v="Level 6"/>
    <x v="17"/>
    <s v="NSW"/>
    <n v="2067"/>
    <x v="3"/>
    <x v="2"/>
    <s v="Huxley"/>
    <s v="Adrian"/>
    <x v="1"/>
  </r>
  <r>
    <n v="10280"/>
    <n v="24"/>
    <n v="100"/>
    <n v="1"/>
    <n v="2800.08"/>
    <d v="2004-08-17T00:00:00"/>
    <x v="0"/>
    <n v="3"/>
    <x v="3"/>
    <x v="3"/>
    <x v="1"/>
    <x v="2"/>
    <n v="116"/>
    <x v="16"/>
    <x v="36"/>
    <s v="011-4988555"/>
    <s v="Via Monte Bianco 34"/>
    <m/>
    <x v="30"/>
    <m/>
    <n v="10100"/>
    <x v="12"/>
    <x v="1"/>
    <s v="Accorti"/>
    <s v="Paolo"/>
    <x v="0"/>
  </r>
  <r>
    <n v="10291"/>
    <n v="41"/>
    <n v="100"/>
    <n v="10"/>
    <n v="4687.9399999999996"/>
    <d v="2004-09-08T00:00:00"/>
    <x v="0"/>
    <n v="3"/>
    <x v="10"/>
    <x v="10"/>
    <x v="1"/>
    <x v="2"/>
    <n v="116"/>
    <x v="16"/>
    <x v="37"/>
    <s v="0695-34 6555"/>
    <s v="?kergatan 24"/>
    <m/>
    <x v="31"/>
    <m/>
    <s v="S-844 67"/>
    <x v="8"/>
    <x v="1"/>
    <s v="Larsson"/>
    <s v="Maria"/>
    <x v="1"/>
  </r>
  <r>
    <n v="10304"/>
    <n v="46"/>
    <n v="98"/>
    <n v="5"/>
    <n v="4508"/>
    <d v="2004-10-11T00:00:00"/>
    <x v="0"/>
    <n v="4"/>
    <x v="4"/>
    <x v="4"/>
    <x v="1"/>
    <x v="2"/>
    <n v="116"/>
    <x v="16"/>
    <x v="38"/>
    <s v="30.59.8555"/>
    <s v="67, avenue de l'Europe"/>
    <m/>
    <x v="32"/>
    <m/>
    <n v="78000"/>
    <x v="1"/>
    <x v="1"/>
    <s v="Tonini"/>
    <s v="Daniel"/>
    <x v="1"/>
  </r>
  <r>
    <n v="10312"/>
    <n v="32"/>
    <n v="100"/>
    <n v="2"/>
    <n v="4181.4399999999996"/>
    <d v="2004-10-21T00:00:00"/>
    <x v="0"/>
    <n v="4"/>
    <x v="4"/>
    <x v="4"/>
    <x v="1"/>
    <x v="2"/>
    <n v="116"/>
    <x v="16"/>
    <x v="39"/>
    <n v="4155551450"/>
    <s v="5677 Strong St."/>
    <m/>
    <x v="33"/>
    <s v="CA"/>
    <n v="97562"/>
    <x v="0"/>
    <x v="0"/>
    <s v="Nelson"/>
    <s v="Valarie"/>
    <x v="1"/>
  </r>
  <r>
    <n v="10322"/>
    <n v="22"/>
    <n v="100"/>
    <n v="10"/>
    <n v="2251.04"/>
    <d v="2004-11-04T00:00:00"/>
    <x v="0"/>
    <n v="4"/>
    <x v="5"/>
    <x v="5"/>
    <x v="1"/>
    <x v="2"/>
    <n v="116"/>
    <x v="16"/>
    <x v="40"/>
    <n v="6035558647"/>
    <s v="2304 Long Airport Avenue"/>
    <m/>
    <x v="34"/>
    <s v="NH"/>
    <n v="62005"/>
    <x v="0"/>
    <x v="0"/>
    <s v="Young"/>
    <s v="Valarie"/>
    <x v="0"/>
  </r>
  <r>
    <n v="10333"/>
    <n v="29"/>
    <n v="40.25"/>
    <n v="7"/>
    <n v="1167.25"/>
    <d v="2004-11-18T00:00:00"/>
    <x v="0"/>
    <n v="4"/>
    <x v="5"/>
    <x v="5"/>
    <x v="1"/>
    <x v="2"/>
    <n v="116"/>
    <x v="16"/>
    <x v="8"/>
    <n v="6505555787"/>
    <s v="5557 North Pendale Street"/>
    <m/>
    <x v="4"/>
    <s v="CA"/>
    <m/>
    <x v="0"/>
    <x v="0"/>
    <s v="Murphy"/>
    <s v="Julie"/>
    <x v="0"/>
  </r>
  <r>
    <n v="10347"/>
    <n v="42"/>
    <n v="49.6"/>
    <n v="5"/>
    <n v="2083.1999999999998"/>
    <d v="2004-11-29T00:00:00"/>
    <x v="0"/>
    <n v="4"/>
    <x v="5"/>
    <x v="5"/>
    <x v="1"/>
    <x v="2"/>
    <n v="116"/>
    <x v="16"/>
    <x v="10"/>
    <s v="03 9520 4555"/>
    <s v="636 St Kilda Road"/>
    <s v="Level 3"/>
    <x v="8"/>
    <s v="Victoria"/>
    <n v="3004"/>
    <x v="3"/>
    <x v="2"/>
    <s v="Ferguson"/>
    <s v="Peter"/>
    <x v="0"/>
  </r>
  <r>
    <n v="10357"/>
    <n v="39"/>
    <n v="98"/>
    <n v="1"/>
    <n v="3822"/>
    <d v="2004-12-10T00:00:00"/>
    <x v="0"/>
    <n v="4"/>
    <x v="6"/>
    <x v="6"/>
    <x v="1"/>
    <x v="2"/>
    <n v="116"/>
    <x v="16"/>
    <x v="39"/>
    <n v="4155551450"/>
    <s v="5677 Strong St."/>
    <m/>
    <x v="33"/>
    <s v="CA"/>
    <n v="97562"/>
    <x v="0"/>
    <x v="0"/>
    <s v="Nelson"/>
    <s v="Valarie"/>
    <x v="1"/>
  </r>
  <r>
    <n v="10370"/>
    <n v="27"/>
    <n v="100"/>
    <n v="1"/>
    <n v="3911.49"/>
    <d v="2005-01-20T00:00:00"/>
    <x v="0"/>
    <n v="1"/>
    <x v="7"/>
    <x v="7"/>
    <x v="2"/>
    <x v="2"/>
    <n v="116"/>
    <x v="16"/>
    <x v="42"/>
    <s v="02 9936 8555"/>
    <s v="201 Miller Street"/>
    <s v="Level 15"/>
    <x v="36"/>
    <s v="NSW"/>
    <n v="2060"/>
    <x v="3"/>
    <x v="2"/>
    <s v="O'Hara"/>
    <s v="Anna"/>
    <x v="1"/>
  </r>
  <r>
    <n v="10381"/>
    <n v="48"/>
    <n v="98"/>
    <n v="2"/>
    <n v="4704"/>
    <d v="2005-02-17T00:00:00"/>
    <x v="0"/>
    <n v="1"/>
    <x v="0"/>
    <x v="0"/>
    <x v="2"/>
    <x v="2"/>
    <n v="116"/>
    <x v="16"/>
    <x v="4"/>
    <n v="6505551386"/>
    <s v="7734 Strong St."/>
    <m/>
    <x v="4"/>
    <s v="CA"/>
    <m/>
    <x v="0"/>
    <x v="0"/>
    <s v="Brown"/>
    <s v="Julie"/>
    <x v="1"/>
  </r>
  <r>
    <n v="10391"/>
    <n v="29"/>
    <n v="85.1"/>
    <n v="10"/>
    <n v="2467.9"/>
    <d v="2005-03-09T00:00:00"/>
    <x v="0"/>
    <n v="1"/>
    <x v="11"/>
    <x v="11"/>
    <x v="2"/>
    <x v="2"/>
    <n v="116"/>
    <x v="16"/>
    <x v="42"/>
    <s v="02 9936 8555"/>
    <s v="201 Miller Street"/>
    <s v="Level 15"/>
    <x v="36"/>
    <s v="NSW"/>
    <n v="2060"/>
    <x v="3"/>
    <x v="2"/>
    <s v="O'Hara"/>
    <s v="Anna"/>
    <x v="0"/>
  </r>
  <r>
    <n v="10411"/>
    <n v="27"/>
    <n v="100"/>
    <n v="8"/>
    <n v="3213"/>
    <d v="2005-05-01T00:00:00"/>
    <x v="0"/>
    <n v="2"/>
    <x v="1"/>
    <x v="1"/>
    <x v="2"/>
    <x v="2"/>
    <n v="116"/>
    <x v="16"/>
    <x v="43"/>
    <s v="(514) 555-8054"/>
    <s v="43 rue St. Laurent"/>
    <m/>
    <x v="37"/>
    <s v="Quebec"/>
    <s v="H1J 1C3"/>
    <x v="10"/>
    <x v="0"/>
    <s v="Fresnisre"/>
    <s v="Jean"/>
    <x v="1"/>
  </r>
  <r>
    <n v="10424"/>
    <n v="54"/>
    <n v="100"/>
    <n v="5"/>
    <n v="7182"/>
    <d v="2005-05-31T00:00:00"/>
    <x v="2"/>
    <n v="2"/>
    <x v="1"/>
    <x v="1"/>
    <x v="2"/>
    <x v="2"/>
    <n v="116"/>
    <x v="16"/>
    <x v="23"/>
    <s v="(91) 555 94 44"/>
    <s v="C/ Moralzarzal, 86"/>
    <m/>
    <x v="20"/>
    <m/>
    <n v="28034"/>
    <x v="7"/>
    <x v="1"/>
    <s v="Freyre"/>
    <s v="Diego"/>
    <x v="2"/>
  </r>
  <r>
    <n v="10109"/>
    <n v="26"/>
    <n v="100"/>
    <n v="4"/>
    <n v="4379.18"/>
    <d v="2003-03-10T00:00:00"/>
    <x v="0"/>
    <n v="1"/>
    <x v="11"/>
    <x v="11"/>
    <x v="0"/>
    <x v="1"/>
    <n v="141"/>
    <x v="17"/>
    <x v="45"/>
    <n v="2155559857"/>
    <s v="11328 Douglas Av."/>
    <m/>
    <x v="24"/>
    <s v="PA"/>
    <n v="71270"/>
    <x v="0"/>
    <x v="0"/>
    <s v="Hernandez"/>
    <s v="Rosa"/>
    <x v="1"/>
  </r>
  <r>
    <n v="10122"/>
    <n v="34"/>
    <n v="100"/>
    <n v="2"/>
    <n v="5004.8"/>
    <d v="2003-05-08T00:00:00"/>
    <x v="0"/>
    <n v="2"/>
    <x v="1"/>
    <x v="1"/>
    <x v="0"/>
    <x v="1"/>
    <n v="141"/>
    <x v="17"/>
    <x v="67"/>
    <s v="91.24.4555"/>
    <s v="12, rue des Bouchers"/>
    <m/>
    <x v="54"/>
    <m/>
    <n v="13008"/>
    <x v="1"/>
    <x v="1"/>
    <s v="Lebihan"/>
    <s v="Laurence"/>
    <x v="1"/>
  </r>
  <r>
    <n v="10136"/>
    <n v="25"/>
    <n v="100"/>
    <n v="2"/>
    <n v="3644.75"/>
    <d v="2003-07-04T00:00:00"/>
    <x v="0"/>
    <n v="3"/>
    <x v="2"/>
    <x v="2"/>
    <x v="0"/>
    <x v="1"/>
    <n v="141"/>
    <x v="17"/>
    <x v="51"/>
    <s v="61.77.6555"/>
    <s v="1 rue Alsace-Lorraine"/>
    <m/>
    <x v="42"/>
    <m/>
    <n v="31000"/>
    <x v="1"/>
    <x v="1"/>
    <s v="Roulet"/>
    <s v="Annette"/>
    <x v="1"/>
  </r>
  <r>
    <n v="10148"/>
    <n v="23"/>
    <n v="100"/>
    <n v="13"/>
    <n v="2702.04"/>
    <d v="2003-09-11T00:00:00"/>
    <x v="0"/>
    <n v="3"/>
    <x v="10"/>
    <x v="10"/>
    <x v="0"/>
    <x v="1"/>
    <n v="141"/>
    <x v="17"/>
    <x v="42"/>
    <s v="02 9936 8555"/>
    <s v="201 Miller Street"/>
    <s v="Level 15"/>
    <x v="36"/>
    <s v="NSW"/>
    <n v="2060"/>
    <x v="3"/>
    <x v="2"/>
    <s v="O'Hara"/>
    <s v="Anna"/>
    <x v="0"/>
  </r>
  <r>
    <n v="10161"/>
    <n v="28"/>
    <n v="100"/>
    <n v="12"/>
    <n v="3764.88"/>
    <d v="2003-10-17T00:00:00"/>
    <x v="0"/>
    <n v="4"/>
    <x v="4"/>
    <x v="4"/>
    <x v="0"/>
    <x v="1"/>
    <n v="141"/>
    <x v="17"/>
    <x v="78"/>
    <s v="86 21 3555"/>
    <s v="Smagsloget 45"/>
    <m/>
    <x v="62"/>
    <m/>
    <n v="8200"/>
    <x v="13"/>
    <x v="1"/>
    <s v="Ibsen"/>
    <s v="Palle"/>
    <x v="1"/>
  </r>
  <r>
    <n v="10171"/>
    <n v="35"/>
    <n v="100"/>
    <n v="2"/>
    <n v="4508"/>
    <d v="2003-11-05T00:00:00"/>
    <x v="0"/>
    <n v="4"/>
    <x v="5"/>
    <x v="5"/>
    <x v="0"/>
    <x v="1"/>
    <n v="141"/>
    <x v="17"/>
    <x v="43"/>
    <s v="(514) 555-8054"/>
    <s v="43 rue St. Laurent"/>
    <m/>
    <x v="37"/>
    <s v="Quebec"/>
    <s v="H1J 1C3"/>
    <x v="10"/>
    <x v="0"/>
    <s v="Fresnisre"/>
    <s v="Jean"/>
    <x v="1"/>
  </r>
  <r>
    <n v="10181"/>
    <n v="44"/>
    <n v="100"/>
    <n v="6"/>
    <n v="5418.16"/>
    <d v="2003-11-12T00:00:00"/>
    <x v="0"/>
    <n v="4"/>
    <x v="5"/>
    <x v="5"/>
    <x v="0"/>
    <x v="1"/>
    <n v="141"/>
    <x v="17"/>
    <x v="7"/>
    <s v="+47 2267 3215"/>
    <s v="Drammen 121, PR 744 Sentrum"/>
    <m/>
    <x v="7"/>
    <m/>
    <s v="N 5804"/>
    <x v="2"/>
    <x v="1"/>
    <s v="Oeztan"/>
    <s v="Veysel"/>
    <x v="1"/>
  </r>
  <r>
    <n v="10192"/>
    <n v="22"/>
    <n v="100"/>
    <n v="11"/>
    <n v="3300.66"/>
    <d v="2003-11-20T00:00:00"/>
    <x v="0"/>
    <n v="4"/>
    <x v="5"/>
    <x v="5"/>
    <x v="0"/>
    <x v="1"/>
    <n v="141"/>
    <x v="17"/>
    <x v="40"/>
    <n v="6035558647"/>
    <s v="2304 Long Airport Avenue"/>
    <m/>
    <x v="34"/>
    <s v="NH"/>
    <n v="62005"/>
    <x v="0"/>
    <x v="0"/>
    <s v="Young"/>
    <s v="Valarie"/>
    <x v="1"/>
  </r>
  <r>
    <n v="10204"/>
    <n v="42"/>
    <n v="100"/>
    <n v="17"/>
    <n v="6182.4"/>
    <d v="2003-12-02T00:00:00"/>
    <x v="0"/>
    <n v="4"/>
    <x v="6"/>
    <x v="6"/>
    <x v="0"/>
    <x v="1"/>
    <n v="141"/>
    <x v="17"/>
    <x v="74"/>
    <n v="2125557413"/>
    <s v="4092 Furth Circle"/>
    <s v="Suite 400"/>
    <x v="0"/>
    <s v="NY"/>
    <n v="10022"/>
    <x v="0"/>
    <x v="0"/>
    <s v="Young"/>
    <s v="Jeff"/>
    <x v="1"/>
  </r>
  <r>
    <n v="10212"/>
    <n v="29"/>
    <n v="100"/>
    <n v="10"/>
    <n v="4186.7299999999996"/>
    <d v="2004-01-16T00:00:00"/>
    <x v="0"/>
    <n v="1"/>
    <x v="7"/>
    <x v="7"/>
    <x v="1"/>
    <x v="1"/>
    <n v="141"/>
    <x v="17"/>
    <x v="23"/>
    <s v="(91) 555 94 44"/>
    <s v="C/ Moralzarzal, 86"/>
    <m/>
    <x v="20"/>
    <m/>
    <n v="28034"/>
    <x v="7"/>
    <x v="1"/>
    <s v="Freyre"/>
    <s v="Diego"/>
    <x v="1"/>
  </r>
  <r>
    <n v="10225"/>
    <n v="32"/>
    <n v="100"/>
    <n v="1"/>
    <n v="4529.28"/>
    <d v="2004-02-22T00:00:00"/>
    <x v="0"/>
    <n v="1"/>
    <x v="0"/>
    <x v="0"/>
    <x v="1"/>
    <x v="1"/>
    <n v="141"/>
    <x v="17"/>
    <x v="69"/>
    <s v="0897-034555"/>
    <s v="Grenzacherweg 237"/>
    <m/>
    <x v="56"/>
    <m/>
    <n v="1203"/>
    <x v="17"/>
    <x v="1"/>
    <s v="Holz"/>
    <s v="Michael"/>
    <x v="1"/>
  </r>
  <r>
    <n v="10240"/>
    <n v="41"/>
    <n v="100"/>
    <n v="3"/>
    <n v="5628.89"/>
    <d v="2004-04-13T00:00:00"/>
    <x v="0"/>
    <n v="2"/>
    <x v="8"/>
    <x v="8"/>
    <x v="1"/>
    <x v="1"/>
    <n v="141"/>
    <x v="17"/>
    <x v="44"/>
    <s v="+81 06 6342 5555"/>
    <s v="Dojima Avanza 4F, 1-6-20 Dojima, Kita-ku"/>
    <m/>
    <x v="38"/>
    <s v="Osaka"/>
    <s v="530-0003"/>
    <x v="11"/>
    <x v="3"/>
    <s v="Kentary"/>
    <s v="Mory"/>
    <x v="1"/>
  </r>
  <r>
    <n v="10253"/>
    <n v="26"/>
    <n v="100"/>
    <n v="5"/>
    <n v="3054.48"/>
    <d v="2004-06-01T00:00:00"/>
    <x v="3"/>
    <n v="2"/>
    <x v="9"/>
    <x v="9"/>
    <x v="1"/>
    <x v="1"/>
    <n v="141"/>
    <x v="17"/>
    <x v="22"/>
    <s v="(171) 555-2282"/>
    <s v="Berkeley Gardens 12  Brewery"/>
    <m/>
    <x v="19"/>
    <m/>
    <s v="WX1 6LT"/>
    <x v="6"/>
    <x v="1"/>
    <s v="Devon"/>
    <s v="Elizabeth"/>
    <x v="1"/>
  </r>
  <r>
    <n v="10266"/>
    <n v="21"/>
    <n v="100"/>
    <n v="6"/>
    <n v="2526.5100000000002"/>
    <d v="2004-07-06T00:00:00"/>
    <x v="0"/>
    <n v="3"/>
    <x v="2"/>
    <x v="2"/>
    <x v="1"/>
    <x v="1"/>
    <n v="141"/>
    <x v="17"/>
    <x v="70"/>
    <s v="0522-556555"/>
    <s v="Strada Provinciale 124"/>
    <m/>
    <x v="57"/>
    <m/>
    <n v="42100"/>
    <x v="12"/>
    <x v="1"/>
    <s v="Moroni"/>
    <s v="Maurizio"/>
    <x v="0"/>
  </r>
  <r>
    <n v="10278"/>
    <n v="34"/>
    <n v="100"/>
    <n v="6"/>
    <n v="4667.8599999999997"/>
    <d v="2004-08-06T00:00:00"/>
    <x v="0"/>
    <n v="3"/>
    <x v="3"/>
    <x v="3"/>
    <x v="1"/>
    <x v="1"/>
    <n v="141"/>
    <x v="17"/>
    <x v="84"/>
    <n v="7025551838"/>
    <s v="8489 Strong St."/>
    <m/>
    <x v="67"/>
    <s v="NV"/>
    <n v="83030"/>
    <x v="0"/>
    <x v="0"/>
    <s v="King"/>
    <s v="Sue"/>
    <x v="1"/>
  </r>
  <r>
    <n v="10287"/>
    <n v="41"/>
    <n v="100"/>
    <n v="4"/>
    <n v="6499.32"/>
    <d v="2004-08-30T00:00:00"/>
    <x v="0"/>
    <n v="3"/>
    <x v="3"/>
    <x v="3"/>
    <x v="1"/>
    <x v="1"/>
    <n v="141"/>
    <x v="17"/>
    <x v="69"/>
    <s v="0897-034555"/>
    <s v="Grenzacherweg 237"/>
    <m/>
    <x v="56"/>
    <m/>
    <n v="1203"/>
    <x v="17"/>
    <x v="1"/>
    <s v="Holz"/>
    <s v="Michael"/>
    <x v="1"/>
  </r>
  <r>
    <n v="10301"/>
    <n v="37"/>
    <n v="100"/>
    <n v="8"/>
    <n v="5917.78"/>
    <d v="2003-10-05T00:00:00"/>
    <x v="0"/>
    <n v="4"/>
    <x v="4"/>
    <x v="4"/>
    <x v="0"/>
    <x v="1"/>
    <n v="141"/>
    <x v="17"/>
    <x v="85"/>
    <s v="+47 2212 1555"/>
    <s v="Drammensveien 126 A, PB 744 Sentrum"/>
    <m/>
    <x v="68"/>
    <m/>
    <s v="N 0106"/>
    <x v="2"/>
    <x v="1"/>
    <s v="Klaeboe"/>
    <s v="Jan"/>
    <x v="1"/>
  </r>
  <r>
    <n v="10310"/>
    <n v="37"/>
    <n v="100"/>
    <n v="2"/>
    <n v="6231.91"/>
    <d v="2004-10-16T00:00:00"/>
    <x v="0"/>
    <n v="4"/>
    <x v="4"/>
    <x v="4"/>
    <x v="1"/>
    <x v="1"/>
    <n v="141"/>
    <x v="17"/>
    <x v="68"/>
    <s v="0221-5554327"/>
    <s v="Mehrheimerstr. 369"/>
    <m/>
    <x v="55"/>
    <m/>
    <n v="50739"/>
    <x v="16"/>
    <x v="1"/>
    <s v="Pfalzheim"/>
    <s v="Henriette"/>
    <x v="1"/>
  </r>
  <r>
    <n v="10321"/>
    <n v="41"/>
    <n v="100"/>
    <n v="10"/>
    <n v="5803.14"/>
    <d v="2004-11-04T00:00:00"/>
    <x v="0"/>
    <n v="4"/>
    <x v="5"/>
    <x v="5"/>
    <x v="1"/>
    <x v="1"/>
    <n v="141"/>
    <x v="17"/>
    <x v="21"/>
    <n v="5085552555"/>
    <s v="1785 First Street"/>
    <m/>
    <x v="18"/>
    <s v="MA"/>
    <n v="50553"/>
    <x v="0"/>
    <x v="0"/>
    <s v="Benitez"/>
    <s v="Violeta"/>
    <x v="1"/>
  </r>
  <r>
    <n v="10331"/>
    <n v="46"/>
    <n v="100"/>
    <n v="6"/>
    <n v="6434.02"/>
    <d v="2004-11-17T00:00:00"/>
    <x v="0"/>
    <n v="4"/>
    <x v="5"/>
    <x v="5"/>
    <x v="1"/>
    <x v="1"/>
    <n v="141"/>
    <x v="17"/>
    <x v="45"/>
    <n v="2155559857"/>
    <s v="11328 Douglas Av."/>
    <m/>
    <x v="24"/>
    <s v="PA"/>
    <n v="71270"/>
    <x v="0"/>
    <x v="0"/>
    <s v="Hernandez"/>
    <s v="Rosa"/>
    <x v="1"/>
  </r>
  <r>
    <n v="10342"/>
    <n v="40"/>
    <n v="100"/>
    <n v="2"/>
    <n v="6454.4"/>
    <d v="2004-11-24T00:00:00"/>
    <x v="0"/>
    <n v="4"/>
    <x v="5"/>
    <x v="5"/>
    <x v="1"/>
    <x v="1"/>
    <n v="141"/>
    <x v="17"/>
    <x v="10"/>
    <s v="03 9520 4555"/>
    <s v="636 St Kilda Road"/>
    <s v="Level 3"/>
    <x v="8"/>
    <s v="Victoria"/>
    <n v="3004"/>
    <x v="3"/>
    <x v="2"/>
    <s v="Ferguson"/>
    <s v="Peter"/>
    <x v="1"/>
  </r>
  <r>
    <n v="10356"/>
    <n v="43"/>
    <n v="97.6"/>
    <n v="8"/>
    <n v="4196.8"/>
    <d v="2004-12-09T00:00:00"/>
    <x v="0"/>
    <n v="4"/>
    <x v="6"/>
    <x v="6"/>
    <x v="1"/>
    <x v="1"/>
    <n v="141"/>
    <x v="17"/>
    <x v="2"/>
    <s v="+33 1 46 62 7555"/>
    <s v="27 rue du Colonel Pierre Avia"/>
    <m/>
    <x v="2"/>
    <m/>
    <n v="75508"/>
    <x v="1"/>
    <x v="1"/>
    <s v="Da Cunha"/>
    <s v="Daniel"/>
    <x v="1"/>
  </r>
  <r>
    <n v="10365"/>
    <n v="30"/>
    <n v="87.06"/>
    <n v="1"/>
    <n v="2611.8000000000002"/>
    <d v="2005-01-07T00:00:00"/>
    <x v="0"/>
    <n v="1"/>
    <x v="7"/>
    <x v="7"/>
    <x v="2"/>
    <x v="1"/>
    <n v="141"/>
    <x v="17"/>
    <x v="50"/>
    <n v="5085559555"/>
    <s v="4575 Hillside Dr."/>
    <m/>
    <x v="18"/>
    <s v="MA"/>
    <n v="50553"/>
    <x v="0"/>
    <x v="0"/>
    <s v="Tam"/>
    <s v="Wing C"/>
    <x v="0"/>
  </r>
  <r>
    <n v="10377"/>
    <n v="35"/>
    <n v="100"/>
    <n v="2"/>
    <n v="5895.05"/>
    <d v="2005-02-09T00:00:00"/>
    <x v="0"/>
    <n v="1"/>
    <x v="0"/>
    <x v="0"/>
    <x v="2"/>
    <x v="1"/>
    <n v="141"/>
    <x v="17"/>
    <x v="16"/>
    <s v="90-224 8555"/>
    <s v="Keskuskatu 45"/>
    <m/>
    <x v="13"/>
    <m/>
    <n v="21240"/>
    <x v="4"/>
    <x v="1"/>
    <s v="Karttunen"/>
    <s v="Matti"/>
    <x v="1"/>
  </r>
  <r>
    <n v="10390"/>
    <n v="36"/>
    <n v="93.77"/>
    <n v="14"/>
    <n v="3375.72"/>
    <d v="2005-03-04T00:00:00"/>
    <x v="0"/>
    <n v="1"/>
    <x v="11"/>
    <x v="11"/>
    <x v="2"/>
    <x v="1"/>
    <n v="141"/>
    <x v="17"/>
    <x v="39"/>
    <n v="4155551450"/>
    <s v="5677 Strong St."/>
    <m/>
    <x v="33"/>
    <s v="CA"/>
    <n v="97562"/>
    <x v="0"/>
    <x v="0"/>
    <s v="Nelson"/>
    <s v="Valarie"/>
    <x v="1"/>
  </r>
  <r>
    <n v="10406"/>
    <n v="61"/>
    <n v="100"/>
    <n v="3"/>
    <n v="8374.69"/>
    <d v="2005-04-15T00:00:00"/>
    <x v="1"/>
    <n v="2"/>
    <x v="8"/>
    <x v="8"/>
    <x v="2"/>
    <x v="1"/>
    <n v="141"/>
    <x v="17"/>
    <x v="48"/>
    <s v="31 12 3555"/>
    <s v="Vinb'ltet 34"/>
    <m/>
    <x v="40"/>
    <m/>
    <n v="1734"/>
    <x v="13"/>
    <x v="1"/>
    <s v="Petersen"/>
    <s v="Jytte"/>
    <x v="2"/>
  </r>
  <r>
    <n v="10419"/>
    <n v="38"/>
    <n v="100"/>
    <n v="5"/>
    <n v="4464.24"/>
    <d v="2005-05-17T00:00:00"/>
    <x v="0"/>
    <n v="2"/>
    <x v="1"/>
    <x v="1"/>
    <x v="2"/>
    <x v="1"/>
    <n v="141"/>
    <x v="17"/>
    <x v="19"/>
    <s v="6562-9555"/>
    <s v="Geislweg 14"/>
    <m/>
    <x v="16"/>
    <m/>
    <n v="5020"/>
    <x v="5"/>
    <x v="1"/>
    <s v="Pipps"/>
    <s v="Georg"/>
    <x v="1"/>
  </r>
  <r>
    <n v="10102"/>
    <n v="39"/>
    <n v="100"/>
    <n v="2"/>
    <n v="4808.3100000000004"/>
    <d v="2003-01-10T00:00:00"/>
    <x v="0"/>
    <n v="1"/>
    <x v="7"/>
    <x v="7"/>
    <x v="0"/>
    <x v="3"/>
    <n v="102"/>
    <x v="18"/>
    <x v="11"/>
    <n v="2125551500"/>
    <s v="2678 Kingston Rd."/>
    <s v="Suite 101"/>
    <x v="0"/>
    <s v="NY"/>
    <n v="10022"/>
    <x v="0"/>
    <x v="0"/>
    <s v="Frick"/>
    <s v="Michael"/>
    <x v="1"/>
  </r>
  <r>
    <n v="10111"/>
    <n v="33"/>
    <n v="99.66"/>
    <n v="6"/>
    <n v="3288.78"/>
    <d v="2003-03-25T00:00:00"/>
    <x v="0"/>
    <n v="1"/>
    <x v="11"/>
    <x v="11"/>
    <x v="0"/>
    <x v="3"/>
    <n v="102"/>
    <x v="18"/>
    <x v="8"/>
    <n v="6505555787"/>
    <s v="5557 North Pendale Street"/>
    <m/>
    <x v="4"/>
    <s v="CA"/>
    <m/>
    <x v="0"/>
    <x v="0"/>
    <s v="Murphy"/>
    <s v="Julie"/>
    <x v="1"/>
  </r>
  <r>
    <n v="10125"/>
    <n v="32"/>
    <n v="100"/>
    <n v="1"/>
    <n v="3254.72"/>
    <d v="2003-05-21T00:00:00"/>
    <x v="0"/>
    <n v="2"/>
    <x v="1"/>
    <x v="1"/>
    <x v="0"/>
    <x v="3"/>
    <n v="102"/>
    <x v="18"/>
    <x v="10"/>
    <s v="03 9520 4555"/>
    <s v="636 St Kilda Road"/>
    <s v="Level 3"/>
    <x v="8"/>
    <s v="Victoria"/>
    <n v="3004"/>
    <x v="3"/>
    <x v="2"/>
    <s v="Ferguson"/>
    <s v="Peter"/>
    <x v="1"/>
  </r>
  <r>
    <n v="10139"/>
    <n v="31"/>
    <n v="100"/>
    <n v="7"/>
    <n v="3184.94"/>
    <d v="2003-07-16T00:00:00"/>
    <x v="0"/>
    <n v="3"/>
    <x v="2"/>
    <x v="2"/>
    <x v="0"/>
    <x v="3"/>
    <n v="102"/>
    <x v="18"/>
    <x v="20"/>
    <s v="+61 2 9495 8555"/>
    <s v="Monitor Money Building, 815 Pacific Hwy"/>
    <s v="Level 6"/>
    <x v="17"/>
    <s v="NSW"/>
    <n v="2067"/>
    <x v="3"/>
    <x v="2"/>
    <s v="Huxley"/>
    <s v="Adrian"/>
    <x v="1"/>
  </r>
  <r>
    <n v="10149"/>
    <n v="50"/>
    <n v="100"/>
    <n v="4"/>
    <n v="5907.5"/>
    <d v="2003-09-12T00:00:00"/>
    <x v="0"/>
    <n v="3"/>
    <x v="10"/>
    <x v="10"/>
    <x v="0"/>
    <x v="3"/>
    <n v="102"/>
    <x v="18"/>
    <x v="82"/>
    <n v="4155554312"/>
    <s v="2793 Furth Circle"/>
    <m/>
    <x v="65"/>
    <s v="CA"/>
    <n v="94217"/>
    <x v="0"/>
    <x v="0"/>
    <s v="Taylor"/>
    <s v="Sue"/>
    <x v="1"/>
  </r>
  <r>
    <n v="10162"/>
    <n v="48"/>
    <n v="91.44"/>
    <n v="2"/>
    <n v="4389.12"/>
    <d v="2003-10-18T00:00:00"/>
    <x v="0"/>
    <n v="4"/>
    <x v="4"/>
    <x v="4"/>
    <x v="0"/>
    <x v="3"/>
    <n v="102"/>
    <x v="18"/>
    <x v="4"/>
    <n v="6505551386"/>
    <s v="7734 Strong St."/>
    <m/>
    <x v="4"/>
    <s v="CA"/>
    <m/>
    <x v="0"/>
    <x v="0"/>
    <s v="Brown"/>
    <s v="Julie"/>
    <x v="1"/>
  </r>
  <r>
    <n v="10173"/>
    <n v="43"/>
    <n v="100"/>
    <n v="6"/>
    <n v="5036.16"/>
    <d v="2003-11-05T00:00:00"/>
    <x v="0"/>
    <n v="4"/>
    <x v="5"/>
    <x v="5"/>
    <x v="0"/>
    <x v="3"/>
    <n v="102"/>
    <x v="18"/>
    <x v="86"/>
    <s v="035-640555"/>
    <s v="Via Ludovico il Moro 22"/>
    <m/>
    <x v="69"/>
    <m/>
    <n v="24100"/>
    <x v="12"/>
    <x v="1"/>
    <s v="Rovelli"/>
    <s v="Giovanni"/>
    <x v="1"/>
  </r>
  <r>
    <n v="10182"/>
    <n v="25"/>
    <n v="87.33"/>
    <n v="3"/>
    <n v="2183.25"/>
    <d v="2003-11-12T00:00:00"/>
    <x v="0"/>
    <n v="4"/>
    <x v="5"/>
    <x v="5"/>
    <x v="0"/>
    <x v="3"/>
    <n v="102"/>
    <x v="18"/>
    <x v="39"/>
    <n v="4155551450"/>
    <s v="5677 Strong St."/>
    <m/>
    <x v="33"/>
    <s v="CA"/>
    <n v="97562"/>
    <x v="0"/>
    <x v="0"/>
    <s v="Nelson"/>
    <s v="Valarie"/>
    <x v="0"/>
  </r>
  <r>
    <n v="10193"/>
    <n v="28"/>
    <n v="100"/>
    <n v="7"/>
    <n v="3106.88"/>
    <d v="2003-11-21T00:00:00"/>
    <x v="0"/>
    <n v="4"/>
    <x v="5"/>
    <x v="5"/>
    <x v="0"/>
    <x v="3"/>
    <n v="102"/>
    <x v="18"/>
    <x v="87"/>
    <s v="61-9-3844-6555"/>
    <s v="7 Allen Street"/>
    <m/>
    <x v="70"/>
    <s v="Victoria"/>
    <n v="3150"/>
    <x v="3"/>
    <x v="2"/>
    <s v="Connery"/>
    <s v="Sean"/>
    <x v="1"/>
  </r>
  <r>
    <n v="10205"/>
    <n v="36"/>
    <n v="100"/>
    <n v="2"/>
    <n v="3735.72"/>
    <d v="2003-12-03T00:00:00"/>
    <x v="0"/>
    <n v="4"/>
    <x v="6"/>
    <x v="6"/>
    <x v="0"/>
    <x v="3"/>
    <n v="102"/>
    <x v="18"/>
    <x v="23"/>
    <s v="(91) 555 94 44"/>
    <s v="C/ Moralzarzal, 86"/>
    <m/>
    <x v="20"/>
    <m/>
    <n v="28034"/>
    <x v="7"/>
    <x v="1"/>
    <s v="Freyre"/>
    <s v="Diego"/>
    <x v="1"/>
  </r>
  <r>
    <n v="10215"/>
    <n v="27"/>
    <n v="89.38"/>
    <n v="10"/>
    <n v="2413.2600000000002"/>
    <d v="2004-01-29T00:00:00"/>
    <x v="0"/>
    <n v="1"/>
    <x v="7"/>
    <x v="7"/>
    <x v="1"/>
    <x v="3"/>
    <n v="102"/>
    <x v="18"/>
    <x v="32"/>
    <n v="3105553722"/>
    <s v="3675 Furth Circle"/>
    <m/>
    <x v="27"/>
    <s v="CA"/>
    <n v="94019"/>
    <x v="0"/>
    <x v="0"/>
    <s v="Thompson"/>
    <s v="Steve"/>
    <x v="0"/>
  </r>
  <r>
    <n v="10227"/>
    <n v="25"/>
    <n v="100"/>
    <n v="3"/>
    <n v="2953.75"/>
    <d v="2004-03-02T00:00:00"/>
    <x v="0"/>
    <n v="1"/>
    <x v="11"/>
    <x v="11"/>
    <x v="1"/>
    <x v="3"/>
    <n v="102"/>
    <x v="18"/>
    <x v="30"/>
    <s v="78.32.5555"/>
    <s v="2, rue du Commerce"/>
    <m/>
    <x v="25"/>
    <m/>
    <n v="69004"/>
    <x v="1"/>
    <x v="1"/>
    <s v="Saveley"/>
    <s v="Mary"/>
    <x v="0"/>
  </r>
  <r>
    <n v="10244"/>
    <n v="40"/>
    <n v="100"/>
    <n v="7"/>
    <n v="4684.8"/>
    <d v="2004-04-29T00:00:00"/>
    <x v="0"/>
    <n v="2"/>
    <x v="8"/>
    <x v="8"/>
    <x v="1"/>
    <x v="3"/>
    <n v="102"/>
    <x v="18"/>
    <x v="23"/>
    <s v="(91) 555 94 44"/>
    <s v="C/ Moralzarzal, 86"/>
    <m/>
    <x v="20"/>
    <m/>
    <n v="28034"/>
    <x v="7"/>
    <x v="1"/>
    <s v="Freyre"/>
    <s v="Diego"/>
    <x v="1"/>
  </r>
  <r>
    <n v="10256"/>
    <n v="34"/>
    <n v="95.55"/>
    <n v="2"/>
    <n v="3248.7"/>
    <d v="2004-06-08T00:00:00"/>
    <x v="0"/>
    <n v="2"/>
    <x v="9"/>
    <x v="9"/>
    <x v="1"/>
    <x v="3"/>
    <n v="102"/>
    <x v="18"/>
    <x v="48"/>
    <s v="31 12 3555"/>
    <s v="Vinb'ltet 34"/>
    <m/>
    <x v="40"/>
    <m/>
    <n v="1734"/>
    <x v="13"/>
    <x v="1"/>
    <s v="Petersen"/>
    <s v="Jytte"/>
    <x v="1"/>
  </r>
  <r>
    <n v="10280"/>
    <n v="50"/>
    <n v="100"/>
    <n v="9"/>
    <n v="5239.5"/>
    <d v="2004-08-17T00:00:00"/>
    <x v="0"/>
    <n v="3"/>
    <x v="3"/>
    <x v="3"/>
    <x v="1"/>
    <x v="3"/>
    <n v="102"/>
    <x v="18"/>
    <x v="36"/>
    <s v="011-4988555"/>
    <s v="Via Monte Bianco 34"/>
    <m/>
    <x v="30"/>
    <m/>
    <n v="10100"/>
    <x v="12"/>
    <x v="1"/>
    <s v="Accorti"/>
    <s v="Paolo"/>
    <x v="1"/>
  </r>
  <r>
    <n v="10289"/>
    <n v="38"/>
    <n v="100"/>
    <n v="2"/>
    <n v="4567.9799999999996"/>
    <d v="2004-09-03T00:00:00"/>
    <x v="0"/>
    <n v="3"/>
    <x v="10"/>
    <x v="10"/>
    <x v="1"/>
    <x v="3"/>
    <n v="102"/>
    <x v="18"/>
    <x v="7"/>
    <s v="+47 2267 3215"/>
    <s v="Drammen 121, PR 744 Sentrum"/>
    <m/>
    <x v="7"/>
    <m/>
    <s v="N 5804"/>
    <x v="2"/>
    <x v="1"/>
    <s v="Oeztan"/>
    <s v="Veysel"/>
    <x v="1"/>
  </r>
  <r>
    <n v="10304"/>
    <n v="37"/>
    <n v="95.55"/>
    <n v="13"/>
    <n v="3535.35"/>
    <d v="2004-10-11T00:00:00"/>
    <x v="0"/>
    <n v="4"/>
    <x v="4"/>
    <x v="4"/>
    <x v="1"/>
    <x v="3"/>
    <n v="102"/>
    <x v="18"/>
    <x v="38"/>
    <s v="30.59.8555"/>
    <s v="67, avenue de l'Europe"/>
    <m/>
    <x v="32"/>
    <m/>
    <n v="78000"/>
    <x v="1"/>
    <x v="1"/>
    <s v="Tonini"/>
    <s v="Daniel"/>
    <x v="1"/>
  </r>
  <r>
    <n v="10312"/>
    <n v="43"/>
    <n v="89.38"/>
    <n v="10"/>
    <n v="3843.34"/>
    <d v="2004-10-21T00:00:00"/>
    <x v="0"/>
    <n v="4"/>
    <x v="4"/>
    <x v="4"/>
    <x v="1"/>
    <x v="3"/>
    <n v="102"/>
    <x v="18"/>
    <x v="39"/>
    <n v="4155551450"/>
    <s v="5677 Strong St."/>
    <m/>
    <x v="33"/>
    <s v="CA"/>
    <n v="97562"/>
    <x v="0"/>
    <x v="0"/>
    <s v="Nelson"/>
    <s v="Valarie"/>
    <x v="1"/>
  </r>
  <r>
    <n v="10322"/>
    <n v="43"/>
    <n v="86.3"/>
    <n v="14"/>
    <n v="3710.9"/>
    <d v="2004-11-04T00:00:00"/>
    <x v="0"/>
    <n v="4"/>
    <x v="5"/>
    <x v="5"/>
    <x v="1"/>
    <x v="3"/>
    <n v="102"/>
    <x v="18"/>
    <x v="40"/>
    <n v="6035558647"/>
    <s v="2304 Long Airport Avenue"/>
    <m/>
    <x v="34"/>
    <s v="NH"/>
    <n v="62005"/>
    <x v="0"/>
    <x v="0"/>
    <s v="Young"/>
    <s v="Valarie"/>
    <x v="1"/>
  </r>
  <r>
    <n v="10332"/>
    <n v="46"/>
    <n v="95.13"/>
    <n v="15"/>
    <n v="4375.9799999999996"/>
    <d v="2004-11-17T00:00:00"/>
    <x v="0"/>
    <n v="4"/>
    <x v="5"/>
    <x v="5"/>
    <x v="1"/>
    <x v="3"/>
    <n v="102"/>
    <x v="18"/>
    <x v="77"/>
    <s v="(171) 555-1555"/>
    <s v="Fauntleroy Circus"/>
    <m/>
    <x v="61"/>
    <m/>
    <s v="EC2 5NT"/>
    <x v="6"/>
    <x v="1"/>
    <s v="Ashworth"/>
    <s v="Victoria"/>
    <x v="1"/>
  </r>
  <r>
    <n v="10346"/>
    <n v="42"/>
    <n v="36.11"/>
    <n v="3"/>
    <n v="1516.62"/>
    <d v="2004-11-29T00:00:00"/>
    <x v="0"/>
    <n v="4"/>
    <x v="5"/>
    <x v="5"/>
    <x v="1"/>
    <x v="3"/>
    <n v="102"/>
    <x v="18"/>
    <x v="84"/>
    <n v="7025551838"/>
    <s v="8489 Strong St."/>
    <m/>
    <x v="67"/>
    <s v="NV"/>
    <n v="83030"/>
    <x v="0"/>
    <x v="0"/>
    <s v="King"/>
    <s v="Sue"/>
    <x v="0"/>
  </r>
  <r>
    <n v="10356"/>
    <n v="50"/>
    <n v="50.18"/>
    <n v="9"/>
    <n v="2509"/>
    <d v="2004-12-09T00:00:00"/>
    <x v="0"/>
    <n v="4"/>
    <x v="6"/>
    <x v="6"/>
    <x v="1"/>
    <x v="3"/>
    <n v="102"/>
    <x v="18"/>
    <x v="2"/>
    <s v="+33 1 46 62 7555"/>
    <s v="27 rue du Colonel Pierre Avia"/>
    <m/>
    <x v="2"/>
    <m/>
    <n v="75508"/>
    <x v="1"/>
    <x v="1"/>
    <s v="Da Cunha"/>
    <s v="Daniel"/>
    <x v="0"/>
  </r>
  <r>
    <n v="10369"/>
    <n v="44"/>
    <n v="100"/>
    <n v="8"/>
    <n v="9240.44"/>
    <d v="2005-01-20T00:00:00"/>
    <x v="0"/>
    <n v="1"/>
    <x v="7"/>
    <x v="7"/>
    <x v="2"/>
    <x v="3"/>
    <n v="102"/>
    <x v="18"/>
    <x v="41"/>
    <n v="6175558555"/>
    <s v="7825 Douglas Av."/>
    <m/>
    <x v="35"/>
    <s v="MA"/>
    <n v="58339"/>
    <x v="0"/>
    <x v="0"/>
    <s v="Nelson"/>
    <s v="Allen"/>
    <x v="2"/>
  </r>
  <r>
    <n v="10380"/>
    <n v="27"/>
    <n v="93.16"/>
    <n v="13"/>
    <n v="2515.3200000000002"/>
    <d v="2005-02-16T00:00:00"/>
    <x v="0"/>
    <n v="1"/>
    <x v="0"/>
    <x v="0"/>
    <x v="2"/>
    <x v="3"/>
    <n v="102"/>
    <x v="18"/>
    <x v="23"/>
    <s v="(91) 555 94 44"/>
    <s v="C/ Moralzarzal, 86"/>
    <m/>
    <x v="20"/>
    <m/>
    <n v="28034"/>
    <x v="7"/>
    <x v="1"/>
    <s v="Freyre"/>
    <s v="Diego"/>
    <x v="0"/>
  </r>
  <r>
    <n v="10391"/>
    <n v="35"/>
    <n v="100"/>
    <n v="2"/>
    <n v="5548.9"/>
    <d v="2005-03-09T00:00:00"/>
    <x v="0"/>
    <n v="1"/>
    <x v="11"/>
    <x v="11"/>
    <x v="2"/>
    <x v="3"/>
    <n v="102"/>
    <x v="18"/>
    <x v="42"/>
    <s v="02 9936 8555"/>
    <s v="201 Miller Street"/>
    <s v="Level 15"/>
    <x v="36"/>
    <s v="NSW"/>
    <n v="2060"/>
    <x v="3"/>
    <x v="2"/>
    <s v="O'Hara"/>
    <s v="Anna"/>
    <x v="1"/>
  </r>
  <r>
    <n v="10422"/>
    <n v="51"/>
    <n v="95.55"/>
    <n v="2"/>
    <n v="4873.05"/>
    <d v="2005-05-30T00:00:00"/>
    <x v="2"/>
    <n v="2"/>
    <x v="1"/>
    <x v="1"/>
    <x v="2"/>
    <x v="3"/>
    <n v="102"/>
    <x v="18"/>
    <x v="18"/>
    <n v="2155551555"/>
    <s v="7586 Pompton St."/>
    <m/>
    <x v="15"/>
    <s v="PA"/>
    <n v="70267"/>
    <x v="0"/>
    <x v="0"/>
    <s v="Yu"/>
    <s v="Kyung"/>
    <x v="1"/>
  </r>
  <r>
    <n v="10102"/>
    <n v="41"/>
    <n v="50.14"/>
    <n v="1"/>
    <n v="2055.7399999999998"/>
    <d v="2003-01-10T00:00:00"/>
    <x v="0"/>
    <n v="1"/>
    <x v="7"/>
    <x v="7"/>
    <x v="0"/>
    <x v="3"/>
    <n v="53"/>
    <x v="19"/>
    <x v="11"/>
    <n v="2125551500"/>
    <s v="2678 Kingston Rd."/>
    <s v="Suite 101"/>
    <x v="0"/>
    <s v="NY"/>
    <n v="10022"/>
    <x v="0"/>
    <x v="0"/>
    <s v="Frick"/>
    <s v="Michael"/>
    <x v="0"/>
  </r>
  <r>
    <n v="10111"/>
    <n v="48"/>
    <n v="49.06"/>
    <n v="5"/>
    <n v="2354.88"/>
    <d v="2003-03-25T00:00:00"/>
    <x v="0"/>
    <n v="1"/>
    <x v="11"/>
    <x v="11"/>
    <x v="0"/>
    <x v="3"/>
    <n v="53"/>
    <x v="19"/>
    <x v="8"/>
    <n v="6505555787"/>
    <s v="5557 North Pendale Street"/>
    <m/>
    <x v="4"/>
    <s v="CA"/>
    <m/>
    <x v="0"/>
    <x v="0"/>
    <s v="Murphy"/>
    <s v="Julie"/>
    <x v="0"/>
  </r>
  <r>
    <n v="10126"/>
    <n v="42"/>
    <n v="54.99"/>
    <n v="17"/>
    <n v="2309.58"/>
    <d v="2003-05-28T00:00:00"/>
    <x v="0"/>
    <n v="2"/>
    <x v="1"/>
    <x v="1"/>
    <x v="0"/>
    <x v="3"/>
    <n v="53"/>
    <x v="19"/>
    <x v="25"/>
    <s v="(91) 555 22 82"/>
    <s v="C/ Araquil, 67"/>
    <m/>
    <x v="20"/>
    <m/>
    <n v="28023"/>
    <x v="7"/>
    <x v="1"/>
    <s v="Sommer"/>
    <s v="Mart¡n"/>
    <x v="0"/>
  </r>
  <r>
    <n v="10139"/>
    <n v="49"/>
    <n v="43.13"/>
    <n v="6"/>
    <n v="2113.37"/>
    <d v="2003-07-16T00:00:00"/>
    <x v="0"/>
    <n v="3"/>
    <x v="2"/>
    <x v="2"/>
    <x v="0"/>
    <x v="3"/>
    <n v="53"/>
    <x v="19"/>
    <x v="20"/>
    <s v="+61 2 9495 8555"/>
    <s v="Monitor Money Building, 815 Pacific Hwy"/>
    <s v="Level 6"/>
    <x v="17"/>
    <s v="NSW"/>
    <n v="2067"/>
    <x v="3"/>
    <x v="2"/>
    <s v="Huxley"/>
    <s v="Adrian"/>
    <x v="0"/>
  </r>
  <r>
    <n v="10149"/>
    <n v="30"/>
    <n v="58.22"/>
    <n v="3"/>
    <n v="1746.6"/>
    <d v="2003-09-12T00:00:00"/>
    <x v="0"/>
    <n v="3"/>
    <x v="10"/>
    <x v="10"/>
    <x v="0"/>
    <x v="3"/>
    <n v="53"/>
    <x v="19"/>
    <x v="82"/>
    <n v="4155554312"/>
    <s v="2793 Furth Circle"/>
    <m/>
    <x v="65"/>
    <s v="CA"/>
    <n v="94217"/>
    <x v="0"/>
    <x v="0"/>
    <s v="Taylor"/>
    <s v="Sue"/>
    <x v="0"/>
  </r>
  <r>
    <n v="10162"/>
    <n v="45"/>
    <n v="51.21"/>
    <n v="1"/>
    <n v="2304.4499999999998"/>
    <d v="2003-10-18T00:00:00"/>
    <x v="0"/>
    <n v="4"/>
    <x v="4"/>
    <x v="4"/>
    <x v="0"/>
    <x v="3"/>
    <n v="53"/>
    <x v="19"/>
    <x v="4"/>
    <n v="6505551386"/>
    <s v="7734 Strong St."/>
    <m/>
    <x v="4"/>
    <s v="CA"/>
    <m/>
    <x v="0"/>
    <x v="0"/>
    <s v="Brown"/>
    <s v="Julie"/>
    <x v="0"/>
  </r>
  <r>
    <n v="10173"/>
    <n v="48"/>
    <n v="44.21"/>
    <n v="5"/>
    <n v="2122.08"/>
    <d v="2003-11-05T00:00:00"/>
    <x v="0"/>
    <n v="4"/>
    <x v="5"/>
    <x v="5"/>
    <x v="0"/>
    <x v="3"/>
    <n v="53"/>
    <x v="19"/>
    <x v="86"/>
    <s v="035-640555"/>
    <s v="Via Ludovico il Moro 22"/>
    <m/>
    <x v="69"/>
    <m/>
    <n v="24100"/>
    <x v="12"/>
    <x v="1"/>
    <s v="Rovelli"/>
    <s v="Giovanni"/>
    <x v="0"/>
  </r>
  <r>
    <n v="10182"/>
    <n v="32"/>
    <n v="54.45"/>
    <n v="2"/>
    <n v="1742.4"/>
    <d v="2003-11-12T00:00:00"/>
    <x v="0"/>
    <n v="4"/>
    <x v="5"/>
    <x v="5"/>
    <x v="0"/>
    <x v="3"/>
    <n v="53"/>
    <x v="19"/>
    <x v="39"/>
    <n v="4155551450"/>
    <s v="5677 Strong St."/>
    <m/>
    <x v="33"/>
    <s v="CA"/>
    <n v="97562"/>
    <x v="0"/>
    <x v="0"/>
    <s v="Nelson"/>
    <s v="Valarie"/>
    <x v="0"/>
  </r>
  <r>
    <n v="10193"/>
    <n v="46"/>
    <n v="53.37"/>
    <n v="6"/>
    <n v="2455.02"/>
    <d v="2003-11-21T00:00:00"/>
    <x v="0"/>
    <n v="4"/>
    <x v="5"/>
    <x v="5"/>
    <x v="0"/>
    <x v="3"/>
    <n v="53"/>
    <x v="19"/>
    <x v="87"/>
    <s v="61-9-3844-6555"/>
    <s v="7 Allen Street"/>
    <m/>
    <x v="70"/>
    <s v="Victoria"/>
    <n v="3150"/>
    <x v="3"/>
    <x v="2"/>
    <s v="Connery"/>
    <s v="Sean"/>
    <x v="0"/>
  </r>
  <r>
    <n v="10205"/>
    <n v="48"/>
    <n v="63.61"/>
    <n v="1"/>
    <n v="3053.28"/>
    <d v="2003-12-03T00:00:00"/>
    <x v="0"/>
    <n v="4"/>
    <x v="6"/>
    <x v="6"/>
    <x v="0"/>
    <x v="3"/>
    <n v="53"/>
    <x v="19"/>
    <x v="23"/>
    <s v="(91) 555 94 44"/>
    <s v="C/ Moralzarzal, 86"/>
    <m/>
    <x v="20"/>
    <m/>
    <n v="28034"/>
    <x v="7"/>
    <x v="1"/>
    <s v="Freyre"/>
    <s v="Diego"/>
    <x v="1"/>
  </r>
  <r>
    <n v="10215"/>
    <n v="33"/>
    <n v="43.13"/>
    <n v="9"/>
    <n v="1423.29"/>
    <d v="2004-01-29T00:00:00"/>
    <x v="0"/>
    <n v="1"/>
    <x v="7"/>
    <x v="7"/>
    <x v="1"/>
    <x v="3"/>
    <n v="53"/>
    <x v="19"/>
    <x v="32"/>
    <n v="3105553722"/>
    <s v="3675 Furth Circle"/>
    <m/>
    <x v="27"/>
    <s v="CA"/>
    <n v="94019"/>
    <x v="0"/>
    <x v="0"/>
    <s v="Thompson"/>
    <s v="Steve"/>
    <x v="0"/>
  </r>
  <r>
    <n v="10227"/>
    <n v="31"/>
    <n v="48.52"/>
    <n v="2"/>
    <n v="1504.12"/>
    <d v="2004-03-02T00:00:00"/>
    <x v="0"/>
    <n v="1"/>
    <x v="11"/>
    <x v="11"/>
    <x v="1"/>
    <x v="3"/>
    <n v="53"/>
    <x v="19"/>
    <x v="30"/>
    <s v="78.32.5555"/>
    <s v="2, rue du Commerce"/>
    <m/>
    <x v="25"/>
    <m/>
    <n v="69004"/>
    <x v="1"/>
    <x v="1"/>
    <s v="Saveley"/>
    <s v="Mary"/>
    <x v="0"/>
  </r>
  <r>
    <n v="10244"/>
    <n v="20"/>
    <n v="58.22"/>
    <n v="6"/>
    <n v="1164.4000000000001"/>
    <d v="2004-04-29T00:00:00"/>
    <x v="0"/>
    <n v="2"/>
    <x v="8"/>
    <x v="8"/>
    <x v="1"/>
    <x v="3"/>
    <n v="53"/>
    <x v="19"/>
    <x v="23"/>
    <s v="(91) 555 94 44"/>
    <s v="C/ Moralzarzal, 86"/>
    <m/>
    <x v="20"/>
    <m/>
    <n v="28034"/>
    <x v="7"/>
    <x v="1"/>
    <s v="Freyre"/>
    <s v="Diego"/>
    <x v="0"/>
  </r>
  <r>
    <n v="10256"/>
    <n v="29"/>
    <n v="51.75"/>
    <n v="1"/>
    <n v="1500.75"/>
    <d v="2004-06-08T00:00:00"/>
    <x v="0"/>
    <n v="2"/>
    <x v="9"/>
    <x v="9"/>
    <x v="1"/>
    <x v="3"/>
    <n v="53"/>
    <x v="19"/>
    <x v="48"/>
    <s v="31 12 3555"/>
    <s v="Vinb'ltet 34"/>
    <m/>
    <x v="40"/>
    <m/>
    <n v="1734"/>
    <x v="13"/>
    <x v="1"/>
    <s v="Petersen"/>
    <s v="Jytte"/>
    <x v="0"/>
  </r>
  <r>
    <n v="10280"/>
    <n v="27"/>
    <n v="57.68"/>
    <n v="8"/>
    <n v="1557.36"/>
    <d v="2004-08-17T00:00:00"/>
    <x v="0"/>
    <n v="3"/>
    <x v="3"/>
    <x v="3"/>
    <x v="1"/>
    <x v="3"/>
    <n v="53"/>
    <x v="19"/>
    <x v="36"/>
    <s v="011-4988555"/>
    <s v="Via Monte Bianco 34"/>
    <m/>
    <x v="30"/>
    <m/>
    <n v="10100"/>
    <x v="12"/>
    <x v="1"/>
    <s v="Accorti"/>
    <s v="Paolo"/>
    <x v="0"/>
  </r>
  <r>
    <n v="10289"/>
    <n v="24"/>
    <n v="56.07"/>
    <n v="1"/>
    <n v="1345.68"/>
    <d v="2004-09-03T00:00:00"/>
    <x v="0"/>
    <n v="3"/>
    <x v="10"/>
    <x v="10"/>
    <x v="1"/>
    <x v="3"/>
    <n v="53"/>
    <x v="19"/>
    <x v="7"/>
    <s v="+47 2267 3215"/>
    <s v="Drammen 121, PR 744 Sentrum"/>
    <m/>
    <x v="7"/>
    <m/>
    <s v="N 5804"/>
    <x v="2"/>
    <x v="1"/>
    <s v="Oeztan"/>
    <s v="Veysel"/>
    <x v="0"/>
  </r>
  <r>
    <n v="10304"/>
    <n v="37"/>
    <n v="48.52"/>
    <n v="12"/>
    <n v="1795.24"/>
    <d v="2004-10-11T00:00:00"/>
    <x v="0"/>
    <n v="4"/>
    <x v="4"/>
    <x v="4"/>
    <x v="1"/>
    <x v="3"/>
    <n v="53"/>
    <x v="19"/>
    <x v="38"/>
    <s v="30.59.8555"/>
    <s v="67, avenue de l'Europe"/>
    <m/>
    <x v="32"/>
    <m/>
    <n v="78000"/>
    <x v="1"/>
    <x v="1"/>
    <s v="Tonini"/>
    <s v="Daniel"/>
    <x v="0"/>
  </r>
  <r>
    <n v="10312"/>
    <n v="25"/>
    <n v="44.21"/>
    <n v="9"/>
    <n v="1105.25"/>
    <d v="2004-10-21T00:00:00"/>
    <x v="0"/>
    <n v="4"/>
    <x v="4"/>
    <x v="4"/>
    <x v="1"/>
    <x v="3"/>
    <n v="53"/>
    <x v="19"/>
    <x v="39"/>
    <n v="4155551450"/>
    <s v="5677 Strong St."/>
    <m/>
    <x v="33"/>
    <s v="CA"/>
    <n v="97562"/>
    <x v="0"/>
    <x v="0"/>
    <s v="Nelson"/>
    <s v="Valarie"/>
    <x v="0"/>
  </r>
  <r>
    <n v="10322"/>
    <n v="41"/>
    <n v="57.68"/>
    <n v="5"/>
    <n v="2364.88"/>
    <d v="2004-11-04T00:00:00"/>
    <x v="0"/>
    <n v="4"/>
    <x v="5"/>
    <x v="5"/>
    <x v="1"/>
    <x v="3"/>
    <n v="53"/>
    <x v="19"/>
    <x v="40"/>
    <n v="6035558647"/>
    <s v="2304 Long Airport Avenue"/>
    <m/>
    <x v="34"/>
    <s v="NH"/>
    <n v="62005"/>
    <x v="0"/>
    <x v="0"/>
    <s v="Young"/>
    <s v="Valarie"/>
    <x v="0"/>
  </r>
  <r>
    <n v="10332"/>
    <n v="27"/>
    <n v="89.89"/>
    <n v="16"/>
    <n v="2427.0300000000002"/>
    <d v="2004-11-17T00:00:00"/>
    <x v="0"/>
    <n v="4"/>
    <x v="5"/>
    <x v="5"/>
    <x v="1"/>
    <x v="3"/>
    <n v="53"/>
    <x v="19"/>
    <x v="77"/>
    <s v="(171) 555-1555"/>
    <s v="Fauntleroy Circus"/>
    <m/>
    <x v="61"/>
    <m/>
    <s v="EC2 5NT"/>
    <x v="6"/>
    <x v="1"/>
    <s v="Ashworth"/>
    <s v="Victoria"/>
    <x v="0"/>
  </r>
  <r>
    <n v="10347"/>
    <n v="21"/>
    <n v="58.95"/>
    <n v="7"/>
    <n v="1237.95"/>
    <d v="2004-11-29T00:00:00"/>
    <x v="0"/>
    <n v="4"/>
    <x v="5"/>
    <x v="5"/>
    <x v="1"/>
    <x v="3"/>
    <n v="53"/>
    <x v="19"/>
    <x v="10"/>
    <s v="03 9520 4555"/>
    <s v="636 St Kilda Road"/>
    <s v="Level 3"/>
    <x v="8"/>
    <s v="Victoria"/>
    <n v="3004"/>
    <x v="3"/>
    <x v="2"/>
    <s v="Ferguson"/>
    <s v="Peter"/>
    <x v="0"/>
  </r>
  <r>
    <n v="10356"/>
    <n v="22"/>
    <n v="72.41"/>
    <n v="6"/>
    <n v="1593.02"/>
    <d v="2004-12-09T00:00:00"/>
    <x v="0"/>
    <n v="4"/>
    <x v="6"/>
    <x v="6"/>
    <x v="1"/>
    <x v="3"/>
    <n v="53"/>
    <x v="19"/>
    <x v="2"/>
    <s v="+33 1 46 62 7555"/>
    <s v="27 rue du Colonel Pierre Avia"/>
    <m/>
    <x v="2"/>
    <m/>
    <n v="75508"/>
    <x v="1"/>
    <x v="1"/>
    <s v="Da Cunha"/>
    <s v="Daniel"/>
    <x v="0"/>
  </r>
  <r>
    <n v="10369"/>
    <n v="32"/>
    <n v="98.63"/>
    <n v="7"/>
    <n v="3156.16"/>
    <d v="2005-01-20T00:00:00"/>
    <x v="0"/>
    <n v="1"/>
    <x v="7"/>
    <x v="7"/>
    <x v="2"/>
    <x v="3"/>
    <n v="53"/>
    <x v="19"/>
    <x v="41"/>
    <n v="6175558555"/>
    <s v="7825 Douglas Av."/>
    <m/>
    <x v="35"/>
    <s v="MA"/>
    <n v="58339"/>
    <x v="0"/>
    <x v="0"/>
    <s v="Nelson"/>
    <s v="Allen"/>
    <x v="1"/>
  </r>
  <r>
    <n v="10381"/>
    <n v="25"/>
    <n v="52.83"/>
    <n v="9"/>
    <n v="1320.75"/>
    <d v="2005-02-17T00:00:00"/>
    <x v="0"/>
    <n v="1"/>
    <x v="0"/>
    <x v="0"/>
    <x v="2"/>
    <x v="3"/>
    <n v="53"/>
    <x v="19"/>
    <x v="4"/>
    <n v="6505551386"/>
    <s v="7734 Strong St."/>
    <m/>
    <x v="4"/>
    <s v="CA"/>
    <m/>
    <x v="0"/>
    <x v="0"/>
    <s v="Brown"/>
    <s v="Julie"/>
    <x v="0"/>
  </r>
  <r>
    <n v="10391"/>
    <n v="42"/>
    <n v="100"/>
    <n v="3"/>
    <n v="4998"/>
    <d v="2005-03-09T00:00:00"/>
    <x v="0"/>
    <n v="1"/>
    <x v="11"/>
    <x v="11"/>
    <x v="2"/>
    <x v="3"/>
    <n v="53"/>
    <x v="19"/>
    <x v="42"/>
    <s v="02 9936 8555"/>
    <s v="201 Miller Street"/>
    <s v="Level 15"/>
    <x v="36"/>
    <s v="NSW"/>
    <n v="2060"/>
    <x v="3"/>
    <x v="2"/>
    <s v="O'Hara"/>
    <s v="Anna"/>
    <x v="1"/>
  </r>
  <r>
    <n v="10422"/>
    <n v="25"/>
    <n v="51.75"/>
    <n v="1"/>
    <n v="1293.75"/>
    <d v="2005-05-30T00:00:00"/>
    <x v="2"/>
    <n v="2"/>
    <x v="1"/>
    <x v="1"/>
    <x v="2"/>
    <x v="3"/>
    <n v="53"/>
    <x v="19"/>
    <x v="18"/>
    <n v="2155551555"/>
    <s v="7586 Pompton St."/>
    <m/>
    <x v="15"/>
    <s v="PA"/>
    <n v="70267"/>
    <x v="0"/>
    <x v="0"/>
    <s v="Yu"/>
    <s v="Kyung"/>
    <x v="0"/>
  </r>
  <r>
    <n v="10110"/>
    <n v="37"/>
    <n v="100"/>
    <n v="16"/>
    <n v="5433.08"/>
    <d v="2003-03-18T00:00:00"/>
    <x v="0"/>
    <n v="1"/>
    <x v="11"/>
    <x v="11"/>
    <x v="0"/>
    <x v="1"/>
    <n v="124"/>
    <x v="20"/>
    <x v="77"/>
    <s v="(171) 555-1555"/>
    <s v="Fauntleroy Circus"/>
    <m/>
    <x v="61"/>
    <m/>
    <s v="EC2 5NT"/>
    <x v="6"/>
    <x v="1"/>
    <s v="Ashworth"/>
    <s v="Victoria"/>
    <x v="1"/>
  </r>
  <r>
    <n v="10123"/>
    <n v="26"/>
    <n v="100"/>
    <n v="2"/>
    <n v="3073.72"/>
    <d v="2003-05-20T00:00:00"/>
    <x v="0"/>
    <n v="2"/>
    <x v="1"/>
    <x v="1"/>
    <x v="0"/>
    <x v="1"/>
    <n v="124"/>
    <x v="20"/>
    <x v="46"/>
    <s v="40.32.2555"/>
    <s v="54, rue Royale"/>
    <m/>
    <x v="11"/>
    <m/>
    <n v="44000"/>
    <x v="1"/>
    <x v="1"/>
    <s v="Schmitt"/>
    <s v="Carine"/>
    <x v="1"/>
  </r>
  <r>
    <n v="10137"/>
    <n v="44"/>
    <n v="99.55"/>
    <n v="2"/>
    <n v="4380.2"/>
    <d v="2003-07-10T00:00:00"/>
    <x v="0"/>
    <n v="3"/>
    <x v="2"/>
    <x v="2"/>
    <x v="0"/>
    <x v="1"/>
    <n v="124"/>
    <x v="20"/>
    <x v="1"/>
    <s v="26.47.1555"/>
    <s v="59 rue de l'Abbaye"/>
    <m/>
    <x v="1"/>
    <m/>
    <n v="51100"/>
    <x v="1"/>
    <x v="1"/>
    <s v="Henriot"/>
    <s v="Paul"/>
    <x v="1"/>
  </r>
  <r>
    <n v="10148"/>
    <n v="47"/>
    <n v="100"/>
    <n v="9"/>
    <n v="5848.68"/>
    <d v="2003-09-11T00:00:00"/>
    <x v="0"/>
    <n v="3"/>
    <x v="10"/>
    <x v="10"/>
    <x v="0"/>
    <x v="1"/>
    <n v="124"/>
    <x v="20"/>
    <x v="42"/>
    <s v="02 9936 8555"/>
    <s v="201 Miller Street"/>
    <s v="Level 15"/>
    <x v="36"/>
    <s v="NSW"/>
    <n v="2060"/>
    <x v="3"/>
    <x v="2"/>
    <s v="O'Hara"/>
    <s v="Anna"/>
    <x v="1"/>
  </r>
  <r>
    <n v="10161"/>
    <n v="43"/>
    <n v="100"/>
    <n v="8"/>
    <n v="6153.73"/>
    <d v="2003-10-17T00:00:00"/>
    <x v="0"/>
    <n v="4"/>
    <x v="4"/>
    <x v="4"/>
    <x v="0"/>
    <x v="1"/>
    <n v="124"/>
    <x v="20"/>
    <x v="78"/>
    <s v="86 21 3555"/>
    <s v="Smagsloget 45"/>
    <m/>
    <x v="62"/>
    <m/>
    <n v="8200"/>
    <x v="13"/>
    <x v="1"/>
    <s v="Ibsen"/>
    <s v="Palle"/>
    <x v="1"/>
  </r>
  <r>
    <n v="10172"/>
    <n v="42"/>
    <n v="100"/>
    <n v="6"/>
    <n v="4965.24"/>
    <d v="2003-11-05T00:00:00"/>
    <x v="0"/>
    <n v="4"/>
    <x v="5"/>
    <x v="5"/>
    <x v="0"/>
    <x v="1"/>
    <n v="124"/>
    <x v="20"/>
    <x v="13"/>
    <n v="2035552570"/>
    <s v="25593 South Bay Ln."/>
    <m/>
    <x v="10"/>
    <s v="CT"/>
    <n v="97562"/>
    <x v="0"/>
    <x v="0"/>
    <s v="King"/>
    <s v="Julie"/>
    <x v="1"/>
  </r>
  <r>
    <n v="10181"/>
    <n v="42"/>
    <n v="100"/>
    <n v="2"/>
    <n v="5435.64"/>
    <d v="2003-11-12T00:00:00"/>
    <x v="0"/>
    <n v="4"/>
    <x v="5"/>
    <x v="5"/>
    <x v="0"/>
    <x v="1"/>
    <n v="124"/>
    <x v="20"/>
    <x v="7"/>
    <s v="+47 2267 3215"/>
    <s v="Drammen 121, PR 744 Sentrum"/>
    <m/>
    <x v="7"/>
    <m/>
    <s v="N 5804"/>
    <x v="2"/>
    <x v="1"/>
    <s v="Oeztan"/>
    <s v="Veysel"/>
    <x v="1"/>
  </r>
  <r>
    <n v="10192"/>
    <n v="29"/>
    <n v="100"/>
    <n v="7"/>
    <n v="4258.3599999999997"/>
    <d v="2003-11-20T00:00:00"/>
    <x v="0"/>
    <n v="4"/>
    <x v="5"/>
    <x v="5"/>
    <x v="0"/>
    <x v="1"/>
    <n v="124"/>
    <x v="20"/>
    <x v="40"/>
    <n v="6035558647"/>
    <s v="2304 Long Airport Avenue"/>
    <m/>
    <x v="34"/>
    <s v="NH"/>
    <n v="62005"/>
    <x v="0"/>
    <x v="0"/>
    <s v="Young"/>
    <s v="Valarie"/>
    <x v="1"/>
  </r>
  <r>
    <n v="10204"/>
    <n v="40"/>
    <n v="100"/>
    <n v="13"/>
    <n v="4032"/>
    <d v="2003-12-02T00:00:00"/>
    <x v="0"/>
    <n v="4"/>
    <x v="6"/>
    <x v="6"/>
    <x v="0"/>
    <x v="1"/>
    <n v="124"/>
    <x v="20"/>
    <x v="74"/>
    <n v="2125557413"/>
    <s v="4092 Furth Circle"/>
    <s v="Suite 400"/>
    <x v="0"/>
    <s v="NY"/>
    <n v="10022"/>
    <x v="0"/>
    <x v="0"/>
    <s v="Young"/>
    <s v="Jeff"/>
    <x v="1"/>
  </r>
  <r>
    <n v="10212"/>
    <n v="38"/>
    <n v="100"/>
    <n v="6"/>
    <n v="4492.3599999999997"/>
    <d v="2004-01-16T00:00:00"/>
    <x v="0"/>
    <n v="1"/>
    <x v="7"/>
    <x v="7"/>
    <x v="1"/>
    <x v="1"/>
    <n v="124"/>
    <x v="20"/>
    <x v="23"/>
    <s v="(91) 555 94 44"/>
    <s v="C/ Moralzarzal, 86"/>
    <m/>
    <x v="20"/>
    <m/>
    <n v="28034"/>
    <x v="7"/>
    <x v="1"/>
    <s v="Freyre"/>
    <s v="Diego"/>
    <x v="1"/>
  </r>
  <r>
    <n v="10226"/>
    <n v="38"/>
    <n v="100"/>
    <n v="4"/>
    <n v="4161.38"/>
    <d v="2004-02-26T00:00:00"/>
    <x v="0"/>
    <n v="1"/>
    <x v="0"/>
    <x v="0"/>
    <x v="1"/>
    <x v="1"/>
    <n v="124"/>
    <x v="20"/>
    <x v="55"/>
    <n v="7605558146"/>
    <s v="361 Furth Circle"/>
    <m/>
    <x v="45"/>
    <s v="CA"/>
    <n v="91217"/>
    <x v="0"/>
    <x v="0"/>
    <s v="Thompson"/>
    <s v="Valarie"/>
    <x v="1"/>
  </r>
  <r>
    <n v="10241"/>
    <n v="21"/>
    <n v="100"/>
    <n v="11"/>
    <n v="2508.66"/>
    <d v="2004-04-13T00:00:00"/>
    <x v="0"/>
    <n v="2"/>
    <x v="8"/>
    <x v="8"/>
    <x v="1"/>
    <x v="1"/>
    <n v="124"/>
    <x v="20"/>
    <x v="83"/>
    <s v="88.60.1555"/>
    <s v="24, place Kluber"/>
    <m/>
    <x v="66"/>
    <m/>
    <n v="67000"/>
    <x v="1"/>
    <x v="1"/>
    <s v="Citeaux"/>
    <s v="Frederique"/>
    <x v="0"/>
  </r>
  <r>
    <n v="10253"/>
    <n v="24"/>
    <n v="100"/>
    <n v="1"/>
    <n v="3374.88"/>
    <d v="2004-06-01T00:00:00"/>
    <x v="3"/>
    <n v="2"/>
    <x v="9"/>
    <x v="9"/>
    <x v="1"/>
    <x v="1"/>
    <n v="124"/>
    <x v="20"/>
    <x v="22"/>
    <s v="(171) 555-2282"/>
    <s v="Berkeley Gardens 12  Brewery"/>
    <m/>
    <x v="19"/>
    <m/>
    <s v="WX1 6LT"/>
    <x v="6"/>
    <x v="1"/>
    <s v="Devon"/>
    <s v="Elizabeth"/>
    <x v="1"/>
  </r>
  <r>
    <n v="10266"/>
    <n v="36"/>
    <n v="100"/>
    <n v="2"/>
    <n v="5196.6000000000004"/>
    <d v="2004-07-06T00:00:00"/>
    <x v="0"/>
    <n v="3"/>
    <x v="2"/>
    <x v="2"/>
    <x v="1"/>
    <x v="1"/>
    <n v="124"/>
    <x v="20"/>
    <x v="70"/>
    <s v="0522-556555"/>
    <s v="Strada Provinciale 124"/>
    <m/>
    <x v="57"/>
    <m/>
    <n v="42100"/>
    <x v="12"/>
    <x v="1"/>
    <s v="Moroni"/>
    <s v="Maurizio"/>
    <x v="1"/>
  </r>
  <r>
    <n v="10278"/>
    <n v="23"/>
    <n v="100"/>
    <n v="2"/>
    <n v="2604.52"/>
    <d v="2004-08-06T00:00:00"/>
    <x v="0"/>
    <n v="3"/>
    <x v="3"/>
    <x v="3"/>
    <x v="1"/>
    <x v="1"/>
    <n v="124"/>
    <x v="20"/>
    <x v="84"/>
    <n v="7025551838"/>
    <s v="8489 Strong St."/>
    <m/>
    <x v="67"/>
    <s v="NV"/>
    <n v="83030"/>
    <x v="0"/>
    <x v="0"/>
    <s v="King"/>
    <s v="Sue"/>
    <x v="0"/>
  </r>
  <r>
    <n v="10288"/>
    <n v="20"/>
    <n v="100"/>
    <n v="14"/>
    <n v="2936.8"/>
    <d v="2004-09-01T00:00:00"/>
    <x v="0"/>
    <n v="3"/>
    <x v="10"/>
    <x v="10"/>
    <x v="1"/>
    <x v="1"/>
    <n v="124"/>
    <x v="20"/>
    <x v="65"/>
    <s v="+65 224 1555"/>
    <s v="Village Close - 106 Linden Road Sandown"/>
    <s v="2nd Floor"/>
    <x v="22"/>
    <m/>
    <n v="69045"/>
    <x v="9"/>
    <x v="2"/>
    <s v="Victorino"/>
    <s v="Wendy"/>
    <x v="0"/>
  </r>
  <r>
    <n v="10301"/>
    <n v="32"/>
    <n v="100"/>
    <n v="4"/>
    <n v="3424.64"/>
    <d v="2003-10-05T00:00:00"/>
    <x v="0"/>
    <n v="4"/>
    <x v="4"/>
    <x v="4"/>
    <x v="0"/>
    <x v="1"/>
    <n v="124"/>
    <x v="20"/>
    <x v="85"/>
    <s v="+47 2212 1555"/>
    <s v="Drammensveien 126 A, PB 744 Sentrum"/>
    <m/>
    <x v="68"/>
    <m/>
    <s v="N 0106"/>
    <x v="2"/>
    <x v="1"/>
    <s v="Klaeboe"/>
    <s v="Jan"/>
    <x v="1"/>
  </r>
  <r>
    <n v="10311"/>
    <n v="29"/>
    <n v="100"/>
    <n v="9"/>
    <n v="2923.2"/>
    <d v="2004-10-16T00:00:00"/>
    <x v="0"/>
    <n v="4"/>
    <x v="4"/>
    <x v="4"/>
    <x v="1"/>
    <x v="1"/>
    <n v="124"/>
    <x v="20"/>
    <x v="23"/>
    <s v="(91) 555 94 44"/>
    <s v="C/ Moralzarzal, 86"/>
    <m/>
    <x v="20"/>
    <m/>
    <n v="28034"/>
    <x v="7"/>
    <x v="1"/>
    <s v="Freyre"/>
    <s v="Diego"/>
    <x v="0"/>
  </r>
  <r>
    <n v="10321"/>
    <n v="44"/>
    <n v="100"/>
    <n v="6"/>
    <n v="4489.76"/>
    <d v="2004-11-04T00:00:00"/>
    <x v="0"/>
    <n v="4"/>
    <x v="5"/>
    <x v="5"/>
    <x v="1"/>
    <x v="1"/>
    <n v="124"/>
    <x v="20"/>
    <x v="21"/>
    <n v="5085552555"/>
    <s v="1785 First Street"/>
    <m/>
    <x v="18"/>
    <s v="MA"/>
    <n v="50553"/>
    <x v="0"/>
    <x v="0"/>
    <s v="Benitez"/>
    <s v="Violeta"/>
    <x v="1"/>
  </r>
  <r>
    <n v="10331"/>
    <n v="44"/>
    <n v="100"/>
    <n v="14"/>
    <n v="4849.24"/>
    <d v="2004-11-17T00:00:00"/>
    <x v="0"/>
    <n v="4"/>
    <x v="5"/>
    <x v="5"/>
    <x v="1"/>
    <x v="1"/>
    <n v="124"/>
    <x v="20"/>
    <x v="45"/>
    <n v="2155559857"/>
    <s v="11328 Douglas Av."/>
    <m/>
    <x v="24"/>
    <s v="PA"/>
    <n v="71270"/>
    <x v="0"/>
    <x v="0"/>
    <s v="Hernandez"/>
    <s v="Rosa"/>
    <x v="1"/>
  </r>
  <r>
    <n v="10343"/>
    <n v="36"/>
    <n v="100"/>
    <n v="4"/>
    <n v="5848.92"/>
    <d v="2004-11-24T00:00:00"/>
    <x v="0"/>
    <n v="4"/>
    <x v="5"/>
    <x v="5"/>
    <x v="1"/>
    <x v="1"/>
    <n v="124"/>
    <x v="20"/>
    <x v="1"/>
    <s v="26.47.1555"/>
    <s v="59 rue de l'Abbaye"/>
    <m/>
    <x v="1"/>
    <m/>
    <n v="51100"/>
    <x v="1"/>
    <x v="1"/>
    <s v="Henriot"/>
    <s v="Paul"/>
    <x v="1"/>
  </r>
  <r>
    <n v="10367"/>
    <n v="49"/>
    <n v="56.3"/>
    <n v="1"/>
    <n v="2758.7"/>
    <d v="2005-01-12T00:00:00"/>
    <x v="5"/>
    <n v="1"/>
    <x v="7"/>
    <x v="7"/>
    <x v="2"/>
    <x v="1"/>
    <n v="124"/>
    <x v="20"/>
    <x v="3"/>
    <n v="6265557265"/>
    <s v="78934 Hillside Dr."/>
    <m/>
    <x v="3"/>
    <s v="CA"/>
    <n v="90003"/>
    <x v="0"/>
    <x v="0"/>
    <s v="Young"/>
    <s v="Julie"/>
    <x v="0"/>
  </r>
  <r>
    <n v="10378"/>
    <n v="34"/>
    <n v="42.64"/>
    <n v="5"/>
    <n v="1449.76"/>
    <d v="2005-02-10T00:00:00"/>
    <x v="0"/>
    <n v="1"/>
    <x v="0"/>
    <x v="0"/>
    <x v="2"/>
    <x v="1"/>
    <n v="124"/>
    <x v="20"/>
    <x v="23"/>
    <s v="(91) 555 94 44"/>
    <s v="C/ Moralzarzal, 86"/>
    <m/>
    <x v="20"/>
    <m/>
    <n v="28034"/>
    <x v="7"/>
    <x v="1"/>
    <s v="Freyre"/>
    <s v="Diego"/>
    <x v="0"/>
  </r>
  <r>
    <n v="10407"/>
    <n v="59"/>
    <n v="100"/>
    <n v="11"/>
    <n v="7048.14"/>
    <d v="2005-04-22T00:00:00"/>
    <x v="4"/>
    <n v="2"/>
    <x v="8"/>
    <x v="8"/>
    <x v="2"/>
    <x v="1"/>
    <n v="124"/>
    <x v="20"/>
    <x v="61"/>
    <n v="4085553659"/>
    <s v="3086 Ingle Ln."/>
    <m/>
    <x v="51"/>
    <s v="CA"/>
    <n v="94217"/>
    <x v="0"/>
    <x v="0"/>
    <s v="Frick"/>
    <s v="Sue"/>
    <x v="2"/>
  </r>
  <r>
    <n v="10419"/>
    <n v="37"/>
    <n v="100"/>
    <n v="1"/>
    <n v="5202.9399999999996"/>
    <d v="2005-05-17T00:00:00"/>
    <x v="0"/>
    <n v="2"/>
    <x v="1"/>
    <x v="1"/>
    <x v="2"/>
    <x v="1"/>
    <n v="124"/>
    <x v="20"/>
    <x v="19"/>
    <s v="6562-9555"/>
    <s v="Geislweg 14"/>
    <m/>
    <x v="16"/>
    <m/>
    <n v="5020"/>
    <x v="5"/>
    <x v="1"/>
    <s v="Pipps"/>
    <s v="Georg"/>
    <x v="1"/>
  </r>
  <r>
    <n v="10106"/>
    <n v="36"/>
    <n v="100"/>
    <n v="12"/>
    <n v="5279.4"/>
    <d v="2003-02-17T00:00:00"/>
    <x v="0"/>
    <n v="1"/>
    <x v="0"/>
    <x v="0"/>
    <x v="0"/>
    <x v="4"/>
    <n v="157"/>
    <x v="21"/>
    <x v="86"/>
    <s v="035-640555"/>
    <s v="Via Ludovico il Moro 22"/>
    <m/>
    <x v="69"/>
    <m/>
    <n v="24100"/>
    <x v="12"/>
    <x v="1"/>
    <s v="Rovelli"/>
    <s v="Giovanni"/>
    <x v="1"/>
  </r>
  <r>
    <n v="10119"/>
    <n v="43"/>
    <n v="100"/>
    <n v="3"/>
    <n v="6916.12"/>
    <d v="2003-04-28T00:00:00"/>
    <x v="0"/>
    <n v="2"/>
    <x v="8"/>
    <x v="8"/>
    <x v="0"/>
    <x v="4"/>
    <n v="157"/>
    <x v="21"/>
    <x v="19"/>
    <s v="6562-9555"/>
    <s v="Geislweg 14"/>
    <m/>
    <x v="16"/>
    <m/>
    <n v="5020"/>
    <x v="5"/>
    <x v="1"/>
    <s v="Pipps"/>
    <s v="Georg"/>
    <x v="1"/>
  </r>
  <r>
    <n v="10131"/>
    <n v="21"/>
    <n v="100"/>
    <n v="4"/>
    <n v="2781.66"/>
    <d v="2003-06-16T00:00:00"/>
    <x v="0"/>
    <n v="2"/>
    <x v="9"/>
    <x v="9"/>
    <x v="0"/>
    <x v="4"/>
    <n v="157"/>
    <x v="21"/>
    <x v="88"/>
    <n v="2035554407"/>
    <s v="2440 Pompton St."/>
    <m/>
    <x v="63"/>
    <s v="CT"/>
    <n v="97561"/>
    <x v="0"/>
    <x v="0"/>
    <s v="Lewis"/>
    <s v="Dan"/>
    <x v="0"/>
  </r>
  <r>
    <n v="10143"/>
    <n v="32"/>
    <n v="100"/>
    <n v="7"/>
    <n v="5248"/>
    <d v="2003-08-10T00:00:00"/>
    <x v="0"/>
    <n v="3"/>
    <x v="3"/>
    <x v="3"/>
    <x v="0"/>
    <x v="4"/>
    <n v="157"/>
    <x v="21"/>
    <x v="50"/>
    <n v="5085559555"/>
    <s v="4575 Hillside Dr."/>
    <m/>
    <x v="18"/>
    <s v="MA"/>
    <n v="50553"/>
    <x v="0"/>
    <x v="0"/>
    <s v="Tam"/>
    <s v="Wing C"/>
    <x v="1"/>
  </r>
  <r>
    <n v="10155"/>
    <n v="38"/>
    <n v="100"/>
    <n v="5"/>
    <n v="6531.44"/>
    <d v="2003-10-06T00:00:00"/>
    <x v="0"/>
    <n v="4"/>
    <x v="4"/>
    <x v="4"/>
    <x v="0"/>
    <x v="4"/>
    <n v="157"/>
    <x v="21"/>
    <x v="16"/>
    <s v="90-224 8555"/>
    <s v="Keskuskatu 45"/>
    <m/>
    <x v="13"/>
    <m/>
    <n v="21240"/>
    <x v="4"/>
    <x v="1"/>
    <s v="Karttunen"/>
    <s v="Matti"/>
    <x v="1"/>
  </r>
  <r>
    <n v="10167"/>
    <n v="43"/>
    <n v="100"/>
    <n v="1"/>
    <n v="5763.72"/>
    <d v="2003-10-23T00:00:00"/>
    <x v="3"/>
    <n v="4"/>
    <x v="4"/>
    <x v="4"/>
    <x v="0"/>
    <x v="4"/>
    <n v="157"/>
    <x v="21"/>
    <x v="37"/>
    <s v="0695-34 6555"/>
    <s v="?kergatan 24"/>
    <m/>
    <x v="31"/>
    <m/>
    <s v="S-844 67"/>
    <x v="8"/>
    <x v="1"/>
    <s v="Larsson"/>
    <s v="Maria"/>
    <x v="1"/>
  </r>
  <r>
    <n v="10178"/>
    <n v="42"/>
    <n v="100"/>
    <n v="4"/>
    <n v="6490.68"/>
    <d v="2003-11-08T00:00:00"/>
    <x v="0"/>
    <n v="4"/>
    <x v="5"/>
    <x v="5"/>
    <x v="0"/>
    <x v="4"/>
    <n v="157"/>
    <x v="21"/>
    <x v="51"/>
    <s v="61.77.6555"/>
    <s v="1 rue Alsace-Lorraine"/>
    <m/>
    <x v="42"/>
    <m/>
    <n v="31000"/>
    <x v="1"/>
    <x v="1"/>
    <s v="Roulet"/>
    <s v="Annette"/>
    <x v="1"/>
  </r>
  <r>
    <n v="10186"/>
    <n v="32"/>
    <n v="100"/>
    <n v="1"/>
    <n v="6004.8"/>
    <d v="2003-11-14T00:00:00"/>
    <x v="0"/>
    <n v="4"/>
    <x v="5"/>
    <x v="5"/>
    <x v="0"/>
    <x v="4"/>
    <n v="157"/>
    <x v="21"/>
    <x v="52"/>
    <s v="(171) 555-7555"/>
    <s v="120 Hanover Sq."/>
    <m/>
    <x v="41"/>
    <m/>
    <s v="WA1 1DP"/>
    <x v="6"/>
    <x v="1"/>
    <s v="Hardy"/>
    <s v="Thomas"/>
    <x v="1"/>
  </r>
  <r>
    <n v="10198"/>
    <n v="42"/>
    <n v="100"/>
    <n v="4"/>
    <n v="7483.98"/>
    <d v="2003-11-27T00:00:00"/>
    <x v="0"/>
    <n v="4"/>
    <x v="5"/>
    <x v="5"/>
    <x v="0"/>
    <x v="4"/>
    <n v="157"/>
    <x v="21"/>
    <x v="66"/>
    <s v="+63 2 555 3587"/>
    <s v="15 McCallum Street - NatWest Center #13-03"/>
    <m/>
    <x v="53"/>
    <m/>
    <s v="1227 MM"/>
    <x v="15"/>
    <x v="3"/>
    <s v="Cruz"/>
    <s v="Arnold"/>
    <x v="2"/>
  </r>
  <r>
    <n v="10210"/>
    <n v="31"/>
    <n v="100"/>
    <n v="17"/>
    <n v="5719.5"/>
    <d v="2004-01-12T00:00:00"/>
    <x v="0"/>
    <n v="1"/>
    <x v="7"/>
    <x v="7"/>
    <x v="1"/>
    <x v="4"/>
    <n v="157"/>
    <x v="21"/>
    <x v="44"/>
    <s v="+81 06 6342 5555"/>
    <s v="Dojima Avanza 4F, 1-6-20 Dojima, Kita-ku"/>
    <m/>
    <x v="38"/>
    <s v="Osaka"/>
    <s v="530-0003"/>
    <x v="11"/>
    <x v="3"/>
    <s v="Kentary"/>
    <s v="Mory"/>
    <x v="1"/>
  </r>
  <r>
    <n v="10222"/>
    <n v="49"/>
    <n v="100"/>
    <n v="4"/>
    <n v="6954.08"/>
    <d v="2004-02-19T00:00:00"/>
    <x v="0"/>
    <n v="1"/>
    <x v="0"/>
    <x v="0"/>
    <x v="1"/>
    <x v="4"/>
    <n v="157"/>
    <x v="21"/>
    <x v="55"/>
    <n v="7605558146"/>
    <s v="361 Furth Circle"/>
    <m/>
    <x v="45"/>
    <s v="CA"/>
    <n v="91217"/>
    <x v="0"/>
    <x v="0"/>
    <s v="Thompson"/>
    <s v="Valarie"/>
    <x v="1"/>
  </r>
  <r>
    <n v="10250"/>
    <n v="45"/>
    <n v="100"/>
    <n v="14"/>
    <n v="8160.3"/>
    <d v="2004-05-11T00:00:00"/>
    <x v="0"/>
    <n v="2"/>
    <x v="1"/>
    <x v="1"/>
    <x v="1"/>
    <x v="4"/>
    <n v="157"/>
    <x v="21"/>
    <x v="61"/>
    <n v="4085553659"/>
    <s v="3086 Ingle Ln."/>
    <m/>
    <x v="51"/>
    <s v="CA"/>
    <n v="94217"/>
    <x v="0"/>
    <x v="0"/>
    <s v="Frick"/>
    <s v="Sue"/>
    <x v="2"/>
  </r>
  <r>
    <n v="10262"/>
    <n v="49"/>
    <n v="100"/>
    <n v="9"/>
    <n v="6567.96"/>
    <d v="2004-06-24T00:00:00"/>
    <x v="3"/>
    <n v="2"/>
    <x v="9"/>
    <x v="9"/>
    <x v="1"/>
    <x v="4"/>
    <n v="157"/>
    <x v="21"/>
    <x v="23"/>
    <s v="(91) 555 94 44"/>
    <s v="C/ Moralzarzal, 86"/>
    <m/>
    <x v="20"/>
    <m/>
    <n v="28034"/>
    <x v="7"/>
    <x v="1"/>
    <s v="Freyre"/>
    <s v="Diego"/>
    <x v="1"/>
  </r>
  <r>
    <n v="10274"/>
    <n v="41"/>
    <n v="100"/>
    <n v="1"/>
    <n v="6724"/>
    <d v="2004-07-21T00:00:00"/>
    <x v="0"/>
    <n v="3"/>
    <x v="2"/>
    <x v="2"/>
    <x v="1"/>
    <x v="4"/>
    <n v="157"/>
    <x v="21"/>
    <x v="41"/>
    <n v="6175558555"/>
    <s v="7825 Douglas Av."/>
    <m/>
    <x v="35"/>
    <s v="MA"/>
    <n v="58339"/>
    <x v="0"/>
    <x v="0"/>
    <s v="Nelson"/>
    <s v="Allen"/>
    <x v="1"/>
  </r>
  <r>
    <n v="10284"/>
    <n v="45"/>
    <n v="100"/>
    <n v="11"/>
    <n v="5747.85"/>
    <d v="2004-08-21T00:00:00"/>
    <x v="0"/>
    <n v="3"/>
    <x v="3"/>
    <x v="3"/>
    <x v="1"/>
    <x v="4"/>
    <n v="157"/>
    <x v="21"/>
    <x v="85"/>
    <s v="+47 2212 1555"/>
    <s v="Drammensveien 126 A, PB 744 Sentrum"/>
    <m/>
    <x v="68"/>
    <m/>
    <s v="N 0106"/>
    <x v="2"/>
    <x v="1"/>
    <s v="Klaeboe"/>
    <s v="Jan"/>
    <x v="1"/>
  </r>
  <r>
    <n v="10296"/>
    <n v="36"/>
    <n v="100"/>
    <n v="7"/>
    <n v="5676.84"/>
    <d v="2004-09-15T00:00:00"/>
    <x v="0"/>
    <n v="3"/>
    <x v="10"/>
    <x v="10"/>
    <x v="1"/>
    <x v="4"/>
    <n v="157"/>
    <x v="21"/>
    <x v="89"/>
    <s v="+49 89 61 08 9555"/>
    <s v="Hansastr. 15"/>
    <m/>
    <x v="71"/>
    <m/>
    <n v="80686"/>
    <x v="16"/>
    <x v="1"/>
    <s v="Donnermeyer"/>
    <s v="Michael"/>
    <x v="1"/>
  </r>
  <r>
    <n v="10307"/>
    <n v="39"/>
    <n v="100"/>
    <n v="1"/>
    <n v="7379.97"/>
    <d v="2004-10-14T00:00:00"/>
    <x v="0"/>
    <n v="4"/>
    <x v="4"/>
    <x v="4"/>
    <x v="1"/>
    <x v="4"/>
    <n v="157"/>
    <x v="21"/>
    <x v="29"/>
    <n v="2155554695"/>
    <s v="782 First Street"/>
    <m/>
    <x v="24"/>
    <s v="PA"/>
    <n v="71270"/>
    <x v="0"/>
    <x v="0"/>
    <s v="Cervantes"/>
    <s v="Francisca"/>
    <x v="2"/>
  </r>
  <r>
    <n v="10316"/>
    <n v="27"/>
    <n v="100"/>
    <n v="9"/>
    <n v="3704.13"/>
    <d v="2004-11-01T00:00:00"/>
    <x v="0"/>
    <n v="4"/>
    <x v="5"/>
    <x v="5"/>
    <x v="1"/>
    <x v="4"/>
    <n v="157"/>
    <x v="21"/>
    <x v="59"/>
    <s v="(198) 555-8888"/>
    <s v="Garden House Crowther Way"/>
    <m/>
    <x v="49"/>
    <s v="Isle of Wight"/>
    <s v="PO31 7PJ"/>
    <x v="6"/>
    <x v="1"/>
    <s v="Bennett"/>
    <s v="Helen"/>
    <x v="1"/>
  </r>
  <r>
    <n v="10327"/>
    <n v="25"/>
    <n v="100"/>
    <n v="6"/>
    <n v="2804.75"/>
    <d v="2004-11-10T00:00:00"/>
    <x v="5"/>
    <n v="4"/>
    <x v="5"/>
    <x v="5"/>
    <x v="1"/>
    <x v="4"/>
    <n v="157"/>
    <x v="21"/>
    <x v="48"/>
    <s v="31 12 3555"/>
    <s v="Vinb'ltet 34"/>
    <m/>
    <x v="40"/>
    <m/>
    <n v="1734"/>
    <x v="13"/>
    <x v="1"/>
    <s v="Petersen"/>
    <s v="Jytte"/>
    <x v="0"/>
  </r>
  <r>
    <n v="10338"/>
    <n v="41"/>
    <n v="100"/>
    <n v="1"/>
    <n v="5624.79"/>
    <d v="2004-11-22T00:00:00"/>
    <x v="0"/>
    <n v="4"/>
    <x v="5"/>
    <x v="5"/>
    <x v="1"/>
    <x v="4"/>
    <n v="157"/>
    <x v="21"/>
    <x v="90"/>
    <s v="(071) 23 67 2555"/>
    <s v="Boulevard Tirou, 255"/>
    <m/>
    <x v="72"/>
    <m/>
    <s v="B-6000"/>
    <x v="14"/>
    <x v="1"/>
    <s v="Cartrain"/>
    <s v="Pascale"/>
    <x v="1"/>
  </r>
  <r>
    <n v="10351"/>
    <n v="39"/>
    <n v="99.52"/>
    <n v="1"/>
    <n v="3881.28"/>
    <d v="2004-12-03T00:00:00"/>
    <x v="0"/>
    <n v="4"/>
    <x v="6"/>
    <x v="6"/>
    <x v="1"/>
    <x v="4"/>
    <n v="157"/>
    <x v="21"/>
    <x v="49"/>
    <s v="(171) 555-0297"/>
    <s v="35 King George"/>
    <m/>
    <x v="41"/>
    <m/>
    <s v="WX3 6FW"/>
    <x v="6"/>
    <x v="1"/>
    <s v="Brown"/>
    <s v="Ann"/>
    <x v="1"/>
  </r>
  <r>
    <n v="10373"/>
    <n v="28"/>
    <n v="57.55"/>
    <n v="4"/>
    <n v="1611.4"/>
    <d v="2005-01-31T00:00:00"/>
    <x v="0"/>
    <n v="1"/>
    <x v="7"/>
    <x v="7"/>
    <x v="2"/>
    <x v="4"/>
    <n v="157"/>
    <x v="21"/>
    <x v="60"/>
    <s v="981-443655"/>
    <s v="Torikatu 38"/>
    <m/>
    <x v="50"/>
    <m/>
    <n v="90110"/>
    <x v="4"/>
    <x v="1"/>
    <s v="Koskitalo"/>
    <s v="Pirkko"/>
    <x v="0"/>
  </r>
  <r>
    <n v="10386"/>
    <n v="25"/>
    <n v="54.57"/>
    <n v="7"/>
    <n v="1364.25"/>
    <d v="2005-03-01T00:00:00"/>
    <x v="5"/>
    <n v="1"/>
    <x v="11"/>
    <x v="11"/>
    <x v="2"/>
    <x v="4"/>
    <n v="157"/>
    <x v="21"/>
    <x v="23"/>
    <s v="(91) 555 94 44"/>
    <s v="C/ Moralzarzal, 86"/>
    <m/>
    <x v="20"/>
    <m/>
    <n v="28034"/>
    <x v="7"/>
    <x v="1"/>
    <s v="Freyre"/>
    <s v="Diego"/>
    <x v="0"/>
  </r>
  <r>
    <n v="10398"/>
    <n v="33"/>
    <n v="100"/>
    <n v="11"/>
    <n v="4215.09"/>
    <d v="2005-03-30T00:00:00"/>
    <x v="0"/>
    <n v="1"/>
    <x v="11"/>
    <x v="11"/>
    <x v="2"/>
    <x v="4"/>
    <n v="157"/>
    <x v="21"/>
    <x v="1"/>
    <s v="26.47.1555"/>
    <s v="59 rue de l'Abbaye"/>
    <m/>
    <x v="1"/>
    <m/>
    <n v="51100"/>
    <x v="1"/>
    <x v="1"/>
    <s v="Henriot"/>
    <s v="Paul"/>
    <x v="1"/>
  </r>
  <r>
    <n v="10400"/>
    <n v="34"/>
    <n v="100"/>
    <n v="1"/>
    <n v="6433.82"/>
    <d v="2005-04-01T00:00:00"/>
    <x v="0"/>
    <n v="2"/>
    <x v="8"/>
    <x v="8"/>
    <x v="2"/>
    <x v="4"/>
    <n v="157"/>
    <x v="21"/>
    <x v="61"/>
    <n v="4085553659"/>
    <s v="3086 Ingle Ln."/>
    <m/>
    <x v="51"/>
    <s v="CA"/>
    <n v="94217"/>
    <x v="0"/>
    <x v="0"/>
    <s v="Frick"/>
    <s v="Sue"/>
    <x v="1"/>
  </r>
  <r>
    <n v="10416"/>
    <n v="24"/>
    <n v="100"/>
    <n v="14"/>
    <n v="4352.16"/>
    <d v="2005-05-10T00:00:00"/>
    <x v="0"/>
    <n v="2"/>
    <x v="1"/>
    <x v="1"/>
    <x v="2"/>
    <x v="4"/>
    <n v="157"/>
    <x v="21"/>
    <x v="70"/>
    <s v="0522-556555"/>
    <s v="Strada Provinciale 124"/>
    <m/>
    <x v="57"/>
    <m/>
    <n v="42100"/>
    <x v="12"/>
    <x v="1"/>
    <s v="Moroni"/>
    <s v="Maurizio"/>
    <x v="1"/>
  </r>
  <r>
    <n v="10100"/>
    <n v="30"/>
    <n v="100"/>
    <n v="3"/>
    <n v="5151"/>
    <d v="2003-01-06T00:00:00"/>
    <x v="0"/>
    <n v="1"/>
    <x v="7"/>
    <x v="7"/>
    <x v="0"/>
    <x v="3"/>
    <n v="170"/>
    <x v="22"/>
    <x v="40"/>
    <n v="6035558647"/>
    <s v="2304 Long Airport Avenue"/>
    <m/>
    <x v="34"/>
    <s v="NH"/>
    <n v="62005"/>
    <x v="0"/>
    <x v="0"/>
    <s v="Young"/>
    <s v="Valarie"/>
    <x v="1"/>
  </r>
  <r>
    <n v="10110"/>
    <n v="42"/>
    <n v="100"/>
    <n v="7"/>
    <n v="6069"/>
    <d v="2003-03-18T00:00:00"/>
    <x v="0"/>
    <n v="1"/>
    <x v="11"/>
    <x v="11"/>
    <x v="0"/>
    <x v="3"/>
    <n v="170"/>
    <x v="22"/>
    <x v="77"/>
    <s v="(171) 555-1555"/>
    <s v="Fauntleroy Circus"/>
    <m/>
    <x v="61"/>
    <m/>
    <s v="EC2 5NT"/>
    <x v="6"/>
    <x v="1"/>
    <s v="Ashworth"/>
    <s v="Victoria"/>
    <x v="1"/>
  </r>
  <r>
    <n v="10124"/>
    <n v="21"/>
    <n v="100"/>
    <n v="6"/>
    <n v="2856"/>
    <d v="2003-05-21T00:00:00"/>
    <x v="0"/>
    <n v="2"/>
    <x v="1"/>
    <x v="1"/>
    <x v="0"/>
    <x v="3"/>
    <n v="170"/>
    <x v="22"/>
    <x v="84"/>
    <n v="7025551838"/>
    <s v="8489 Strong St."/>
    <m/>
    <x v="67"/>
    <s v="NV"/>
    <n v="83030"/>
    <x v="0"/>
    <x v="0"/>
    <s v="King"/>
    <s v="Sue"/>
    <x v="0"/>
  </r>
  <r>
    <n v="10149"/>
    <n v="34"/>
    <n v="100"/>
    <n v="11"/>
    <n v="5375.4"/>
    <d v="2003-09-12T00:00:00"/>
    <x v="0"/>
    <n v="3"/>
    <x v="10"/>
    <x v="10"/>
    <x v="0"/>
    <x v="3"/>
    <n v="170"/>
    <x v="22"/>
    <x v="82"/>
    <n v="4155554312"/>
    <s v="2793 Furth Circle"/>
    <m/>
    <x v="65"/>
    <s v="CA"/>
    <n v="94217"/>
    <x v="0"/>
    <x v="0"/>
    <s v="Taylor"/>
    <s v="Sue"/>
    <x v="1"/>
  </r>
  <r>
    <n v="10162"/>
    <n v="29"/>
    <n v="100"/>
    <n v="9"/>
    <n v="5176.5"/>
    <d v="2003-10-18T00:00:00"/>
    <x v="0"/>
    <n v="4"/>
    <x v="4"/>
    <x v="4"/>
    <x v="0"/>
    <x v="3"/>
    <n v="170"/>
    <x v="22"/>
    <x v="4"/>
    <n v="6505551386"/>
    <s v="7734 Strong St."/>
    <m/>
    <x v="4"/>
    <s v="CA"/>
    <m/>
    <x v="0"/>
    <x v="0"/>
    <s v="Brown"/>
    <s v="Julie"/>
    <x v="1"/>
  </r>
  <r>
    <n v="10173"/>
    <n v="24"/>
    <n v="100"/>
    <n v="13"/>
    <n v="3508.8"/>
    <d v="2003-11-05T00:00:00"/>
    <x v="0"/>
    <n v="4"/>
    <x v="5"/>
    <x v="5"/>
    <x v="0"/>
    <x v="3"/>
    <n v="170"/>
    <x v="22"/>
    <x v="86"/>
    <s v="035-640555"/>
    <s v="Via Ludovico il Moro 22"/>
    <m/>
    <x v="69"/>
    <m/>
    <n v="24100"/>
    <x v="12"/>
    <x v="1"/>
    <s v="Rovelli"/>
    <s v="Giovanni"/>
    <x v="1"/>
  </r>
  <r>
    <n v="10182"/>
    <n v="44"/>
    <n v="100"/>
    <n v="10"/>
    <n v="7554.8"/>
    <d v="2003-11-12T00:00:00"/>
    <x v="0"/>
    <n v="4"/>
    <x v="5"/>
    <x v="5"/>
    <x v="0"/>
    <x v="3"/>
    <n v="170"/>
    <x v="22"/>
    <x v="39"/>
    <n v="4155551450"/>
    <s v="5677 Strong St."/>
    <m/>
    <x v="33"/>
    <s v="CA"/>
    <n v="97562"/>
    <x v="0"/>
    <x v="0"/>
    <s v="Nelson"/>
    <s v="Valarie"/>
    <x v="2"/>
  </r>
  <r>
    <n v="10193"/>
    <n v="21"/>
    <n v="100"/>
    <n v="14"/>
    <n v="3141.6"/>
    <d v="2003-11-21T00:00:00"/>
    <x v="0"/>
    <n v="4"/>
    <x v="5"/>
    <x v="5"/>
    <x v="0"/>
    <x v="3"/>
    <n v="170"/>
    <x v="22"/>
    <x v="87"/>
    <s v="61-9-3844-6555"/>
    <s v="7 Allen Street"/>
    <m/>
    <x v="70"/>
    <s v="Victoria"/>
    <n v="3150"/>
    <x v="3"/>
    <x v="2"/>
    <s v="Connery"/>
    <s v="Sean"/>
    <x v="1"/>
  </r>
  <r>
    <n v="10204"/>
    <n v="33"/>
    <n v="100"/>
    <n v="4"/>
    <n v="5890.5"/>
    <d v="2003-12-02T00:00:00"/>
    <x v="0"/>
    <n v="4"/>
    <x v="6"/>
    <x v="6"/>
    <x v="0"/>
    <x v="3"/>
    <n v="170"/>
    <x v="22"/>
    <x v="74"/>
    <n v="2125557413"/>
    <s v="4092 Furth Circle"/>
    <s v="Suite 400"/>
    <x v="0"/>
    <s v="NY"/>
    <n v="10022"/>
    <x v="0"/>
    <x v="0"/>
    <s v="Young"/>
    <s v="Jeff"/>
    <x v="1"/>
  </r>
  <r>
    <n v="10214"/>
    <n v="30"/>
    <n v="100"/>
    <n v="7"/>
    <n v="5967"/>
    <d v="2004-01-26T00:00:00"/>
    <x v="0"/>
    <n v="1"/>
    <x v="7"/>
    <x v="7"/>
    <x v="1"/>
    <x v="3"/>
    <n v="170"/>
    <x v="22"/>
    <x v="25"/>
    <s v="(91) 555 22 82"/>
    <s v="C/ Araquil, 67"/>
    <m/>
    <x v="20"/>
    <m/>
    <n v="28023"/>
    <x v="7"/>
    <x v="1"/>
    <s v="Sommer"/>
    <s v="Mart¡n"/>
    <x v="1"/>
  </r>
  <r>
    <n v="10227"/>
    <n v="26"/>
    <n v="100"/>
    <n v="10"/>
    <n v="3712.8"/>
    <d v="2004-03-02T00:00:00"/>
    <x v="0"/>
    <n v="1"/>
    <x v="11"/>
    <x v="11"/>
    <x v="1"/>
    <x v="3"/>
    <n v="170"/>
    <x v="22"/>
    <x v="30"/>
    <s v="78.32.5555"/>
    <s v="2, rue du Commerce"/>
    <m/>
    <x v="25"/>
    <m/>
    <n v="69004"/>
    <x v="1"/>
    <x v="1"/>
    <s v="Saveley"/>
    <s v="Mary"/>
    <x v="1"/>
  </r>
  <r>
    <n v="10241"/>
    <n v="41"/>
    <n v="100"/>
    <n v="2"/>
    <n v="7597.3"/>
    <d v="2004-04-13T00:00:00"/>
    <x v="0"/>
    <n v="2"/>
    <x v="8"/>
    <x v="8"/>
    <x v="1"/>
    <x v="3"/>
    <n v="170"/>
    <x v="22"/>
    <x v="83"/>
    <s v="88.60.1555"/>
    <s v="24, place Kluber"/>
    <m/>
    <x v="66"/>
    <m/>
    <n v="67000"/>
    <x v="1"/>
    <x v="1"/>
    <s v="Citeaux"/>
    <s v="Frederique"/>
    <x v="2"/>
  </r>
  <r>
    <n v="10280"/>
    <n v="26"/>
    <n v="100"/>
    <n v="16"/>
    <n v="3668.6"/>
    <d v="2004-08-17T00:00:00"/>
    <x v="0"/>
    <n v="3"/>
    <x v="3"/>
    <x v="3"/>
    <x v="1"/>
    <x v="3"/>
    <n v="170"/>
    <x v="22"/>
    <x v="36"/>
    <s v="011-4988555"/>
    <s v="Via Monte Bianco 34"/>
    <m/>
    <x v="30"/>
    <m/>
    <n v="10100"/>
    <x v="12"/>
    <x v="1"/>
    <s v="Accorti"/>
    <s v="Paolo"/>
    <x v="1"/>
  </r>
  <r>
    <n v="10288"/>
    <n v="32"/>
    <n v="100"/>
    <n v="5"/>
    <n v="5875.2"/>
    <d v="2004-09-01T00:00:00"/>
    <x v="0"/>
    <n v="3"/>
    <x v="10"/>
    <x v="10"/>
    <x v="1"/>
    <x v="3"/>
    <n v="170"/>
    <x v="22"/>
    <x v="65"/>
    <s v="+65 224 1555"/>
    <s v="Village Close - 106 Linden Road Sandown"/>
    <s v="2nd Floor"/>
    <x v="22"/>
    <m/>
    <n v="69045"/>
    <x v="9"/>
    <x v="2"/>
    <s v="Victorino"/>
    <s v="Wendy"/>
    <x v="1"/>
  </r>
  <r>
    <n v="10302"/>
    <n v="43"/>
    <n v="100"/>
    <n v="1"/>
    <n v="7310"/>
    <d v="2003-10-06T00:00:00"/>
    <x v="0"/>
    <n v="4"/>
    <x v="4"/>
    <x v="4"/>
    <x v="0"/>
    <x v="3"/>
    <n v="170"/>
    <x v="22"/>
    <x v="22"/>
    <s v="(171) 555-2282"/>
    <s v="Berkeley Gardens 12  Brewery"/>
    <m/>
    <x v="19"/>
    <m/>
    <s v="WX1 6LT"/>
    <x v="6"/>
    <x v="1"/>
    <s v="Devon"/>
    <s v="Elizabeth"/>
    <x v="2"/>
  </r>
  <r>
    <n v="10312"/>
    <n v="48"/>
    <n v="100"/>
    <n v="17"/>
    <n v="8078.4"/>
    <d v="2004-10-21T00:00:00"/>
    <x v="0"/>
    <n v="4"/>
    <x v="4"/>
    <x v="4"/>
    <x v="1"/>
    <x v="3"/>
    <n v="170"/>
    <x v="22"/>
    <x v="39"/>
    <n v="4155551450"/>
    <s v="5677 Strong St."/>
    <m/>
    <x v="33"/>
    <s v="CA"/>
    <n v="97562"/>
    <x v="0"/>
    <x v="0"/>
    <s v="Nelson"/>
    <s v="Valarie"/>
    <x v="2"/>
  </r>
  <r>
    <n v="10331"/>
    <n v="44"/>
    <n v="74.040000000000006"/>
    <n v="7"/>
    <n v="3257.76"/>
    <d v="2004-11-17T00:00:00"/>
    <x v="0"/>
    <n v="4"/>
    <x v="5"/>
    <x v="5"/>
    <x v="1"/>
    <x v="3"/>
    <n v="170"/>
    <x v="22"/>
    <x v="45"/>
    <n v="2155559857"/>
    <s v="11328 Douglas Av."/>
    <m/>
    <x v="24"/>
    <s v="PA"/>
    <n v="71270"/>
    <x v="0"/>
    <x v="0"/>
    <s v="Hernandez"/>
    <s v="Rosa"/>
    <x v="1"/>
  </r>
  <r>
    <n v="10344"/>
    <n v="45"/>
    <n v="100"/>
    <n v="1"/>
    <n v="7650"/>
    <d v="2004-11-25T00:00:00"/>
    <x v="0"/>
    <n v="4"/>
    <x v="5"/>
    <x v="5"/>
    <x v="1"/>
    <x v="3"/>
    <n v="170"/>
    <x v="22"/>
    <x v="67"/>
    <s v="91.24.4555"/>
    <s v="12, rue des Bouchers"/>
    <m/>
    <x v="54"/>
    <m/>
    <n v="13008"/>
    <x v="1"/>
    <x v="1"/>
    <s v="Lebihan"/>
    <s v="Laurence"/>
    <x v="2"/>
  </r>
  <r>
    <n v="10367"/>
    <n v="37"/>
    <n v="100"/>
    <n v="3"/>
    <n v="4703.8100000000004"/>
    <d v="2005-01-12T00:00:00"/>
    <x v="5"/>
    <n v="1"/>
    <x v="7"/>
    <x v="7"/>
    <x v="2"/>
    <x v="3"/>
    <n v="170"/>
    <x v="22"/>
    <x v="3"/>
    <n v="6265557265"/>
    <s v="78934 Hillside Dr."/>
    <m/>
    <x v="3"/>
    <s v="CA"/>
    <n v="90003"/>
    <x v="0"/>
    <x v="0"/>
    <s v="Young"/>
    <s v="Julie"/>
    <x v="1"/>
  </r>
  <r>
    <n v="10379"/>
    <n v="39"/>
    <n v="100"/>
    <n v="2"/>
    <n v="5399.55"/>
    <d v="2005-02-10T00:00:00"/>
    <x v="0"/>
    <n v="1"/>
    <x v="0"/>
    <x v="0"/>
    <x v="2"/>
    <x v="3"/>
    <n v="170"/>
    <x v="22"/>
    <x v="23"/>
    <s v="(91) 555 94 44"/>
    <s v="C/ Moralzarzal, 86"/>
    <m/>
    <x v="20"/>
    <m/>
    <n v="28034"/>
    <x v="7"/>
    <x v="1"/>
    <s v="Freyre"/>
    <s v="Diego"/>
    <x v="1"/>
  </r>
  <r>
    <n v="10407"/>
    <n v="76"/>
    <n v="100"/>
    <n v="2"/>
    <n v="14082.8"/>
    <d v="2005-04-22T00:00:00"/>
    <x v="4"/>
    <n v="2"/>
    <x v="8"/>
    <x v="8"/>
    <x v="2"/>
    <x v="3"/>
    <n v="170"/>
    <x v="22"/>
    <x v="61"/>
    <n v="4085553659"/>
    <s v="3086 Ingle Ln."/>
    <m/>
    <x v="51"/>
    <s v="CA"/>
    <n v="94217"/>
    <x v="0"/>
    <x v="0"/>
    <s v="Frick"/>
    <s v="Sue"/>
    <x v="2"/>
  </r>
  <r>
    <n v="10420"/>
    <n v="37"/>
    <n v="100"/>
    <n v="5"/>
    <n v="5283.6"/>
    <d v="2005-05-29T00:00:00"/>
    <x v="2"/>
    <n v="2"/>
    <x v="1"/>
    <x v="1"/>
    <x v="2"/>
    <x v="3"/>
    <n v="170"/>
    <x v="22"/>
    <x v="20"/>
    <s v="+61 2 9495 8555"/>
    <s v="Monitor Money Building, 815 Pacific Hwy"/>
    <s v="Level 6"/>
    <x v="17"/>
    <s v="NSW"/>
    <n v="2067"/>
    <x v="3"/>
    <x v="2"/>
    <s v="Huxley"/>
    <s v="Adrian"/>
    <x v="1"/>
  </r>
  <r>
    <n v="10108"/>
    <n v="38"/>
    <n v="82.39"/>
    <n v="2"/>
    <n v="3130.82"/>
    <d v="2003-03-03T00:00:00"/>
    <x v="0"/>
    <n v="1"/>
    <x v="11"/>
    <x v="11"/>
    <x v="0"/>
    <x v="1"/>
    <n v="77"/>
    <x v="23"/>
    <x v="66"/>
    <s v="+63 2 555 3587"/>
    <s v="15 McCallum Street - NatWest Center #13-03"/>
    <m/>
    <x v="53"/>
    <m/>
    <s v="1227 MM"/>
    <x v="15"/>
    <x v="3"/>
    <s v="Cruz"/>
    <s v="Arnold"/>
    <x v="1"/>
  </r>
  <r>
    <n v="10122"/>
    <n v="43"/>
    <n v="72.38"/>
    <n v="6"/>
    <n v="3112.34"/>
    <d v="2003-05-08T00:00:00"/>
    <x v="0"/>
    <n v="2"/>
    <x v="1"/>
    <x v="1"/>
    <x v="0"/>
    <x v="1"/>
    <n v="77"/>
    <x v="23"/>
    <x v="67"/>
    <s v="91.24.4555"/>
    <s v="12, rue des Bouchers"/>
    <m/>
    <x v="54"/>
    <m/>
    <n v="13008"/>
    <x v="1"/>
    <x v="1"/>
    <s v="Lebihan"/>
    <s v="Laurence"/>
    <x v="1"/>
  </r>
  <r>
    <n v="10135"/>
    <n v="48"/>
    <n v="79.31"/>
    <n v="3"/>
    <n v="3806.88"/>
    <d v="2003-07-02T00:00:00"/>
    <x v="0"/>
    <n v="3"/>
    <x v="2"/>
    <x v="2"/>
    <x v="0"/>
    <x v="1"/>
    <n v="77"/>
    <x v="23"/>
    <x v="39"/>
    <n v="4155551450"/>
    <s v="5677 Strong St."/>
    <m/>
    <x v="33"/>
    <s v="CA"/>
    <n v="97562"/>
    <x v="0"/>
    <x v="0"/>
    <s v="Nelson"/>
    <s v="Valarie"/>
    <x v="1"/>
  </r>
  <r>
    <n v="10147"/>
    <n v="26"/>
    <n v="82.39"/>
    <n v="3"/>
    <n v="2142.14"/>
    <d v="2003-09-05T00:00:00"/>
    <x v="0"/>
    <n v="3"/>
    <x v="10"/>
    <x v="10"/>
    <x v="0"/>
    <x v="1"/>
    <n v="77"/>
    <x v="23"/>
    <x v="41"/>
    <n v="6175558555"/>
    <s v="7825 Douglas Av."/>
    <m/>
    <x v="35"/>
    <s v="MA"/>
    <n v="58339"/>
    <x v="0"/>
    <x v="0"/>
    <s v="Nelson"/>
    <s v="Allen"/>
    <x v="0"/>
  </r>
  <r>
    <n v="10160"/>
    <n v="38"/>
    <n v="88.55"/>
    <n v="4"/>
    <n v="3364.9"/>
    <d v="2003-10-11T00:00:00"/>
    <x v="0"/>
    <n v="4"/>
    <x v="4"/>
    <x v="4"/>
    <x v="0"/>
    <x v="1"/>
    <n v="77"/>
    <x v="23"/>
    <x v="54"/>
    <n v="2155554369"/>
    <s v="6047 Douglas Av."/>
    <m/>
    <x v="44"/>
    <s v="CA"/>
    <m/>
    <x v="0"/>
    <x v="0"/>
    <s v="Chandler"/>
    <s v="Michael"/>
    <x v="1"/>
  </r>
  <r>
    <n v="10170"/>
    <n v="20"/>
    <n v="63.14"/>
    <n v="2"/>
    <n v="1262.8"/>
    <d v="2003-11-04T00:00:00"/>
    <x v="0"/>
    <n v="4"/>
    <x v="5"/>
    <x v="5"/>
    <x v="0"/>
    <x v="1"/>
    <n v="77"/>
    <x v="23"/>
    <x v="63"/>
    <s v="7675-3555"/>
    <s v="Kirchgasse 6"/>
    <m/>
    <x v="52"/>
    <m/>
    <n v="8010"/>
    <x v="5"/>
    <x v="1"/>
    <s v="Mendel"/>
    <s v="Roland"/>
    <x v="0"/>
  </r>
  <r>
    <n v="10181"/>
    <n v="22"/>
    <n v="73.92"/>
    <n v="10"/>
    <n v="1626.24"/>
    <d v="2003-11-12T00:00:00"/>
    <x v="0"/>
    <n v="4"/>
    <x v="5"/>
    <x v="5"/>
    <x v="0"/>
    <x v="1"/>
    <n v="77"/>
    <x v="23"/>
    <x v="7"/>
    <s v="+47 2267 3215"/>
    <s v="Drammen 121, PR 744 Sentrum"/>
    <m/>
    <x v="7"/>
    <m/>
    <s v="N 5804"/>
    <x v="2"/>
    <x v="1"/>
    <s v="Oeztan"/>
    <s v="Veysel"/>
    <x v="0"/>
  </r>
  <r>
    <n v="10192"/>
    <n v="45"/>
    <n v="90.86"/>
    <n v="15"/>
    <n v="4088.7"/>
    <d v="2003-11-20T00:00:00"/>
    <x v="0"/>
    <n v="4"/>
    <x v="5"/>
    <x v="5"/>
    <x v="0"/>
    <x v="1"/>
    <n v="77"/>
    <x v="23"/>
    <x v="40"/>
    <n v="6035558647"/>
    <s v="2304 Long Airport Avenue"/>
    <m/>
    <x v="34"/>
    <s v="NH"/>
    <n v="62005"/>
    <x v="0"/>
    <x v="0"/>
    <s v="Young"/>
    <s v="Valarie"/>
    <x v="1"/>
  </r>
  <r>
    <n v="10203"/>
    <n v="45"/>
    <n v="85.47"/>
    <n v="4"/>
    <n v="3846.15"/>
    <d v="2003-12-02T00:00:00"/>
    <x v="0"/>
    <n v="4"/>
    <x v="6"/>
    <x v="6"/>
    <x v="0"/>
    <x v="1"/>
    <n v="77"/>
    <x v="23"/>
    <x v="23"/>
    <s v="(91) 555 94 44"/>
    <s v="C/ Moralzarzal, 86"/>
    <m/>
    <x v="20"/>
    <m/>
    <n v="28034"/>
    <x v="7"/>
    <x v="1"/>
    <s v="Freyre"/>
    <s v="Diego"/>
    <x v="1"/>
  </r>
  <r>
    <n v="10212"/>
    <n v="20"/>
    <n v="66.989999999999995"/>
    <n v="14"/>
    <n v="1339.8"/>
    <d v="2004-01-16T00:00:00"/>
    <x v="0"/>
    <n v="1"/>
    <x v="7"/>
    <x v="7"/>
    <x v="1"/>
    <x v="1"/>
    <n v="77"/>
    <x v="23"/>
    <x v="23"/>
    <s v="(91) 555 94 44"/>
    <s v="C/ Moralzarzal, 86"/>
    <m/>
    <x v="20"/>
    <m/>
    <n v="28034"/>
    <x v="7"/>
    <x v="1"/>
    <s v="Freyre"/>
    <s v="Diego"/>
    <x v="0"/>
  </r>
  <r>
    <n v="10225"/>
    <n v="47"/>
    <n v="64.680000000000007"/>
    <n v="5"/>
    <n v="3039.96"/>
    <d v="2004-02-22T00:00:00"/>
    <x v="0"/>
    <n v="1"/>
    <x v="0"/>
    <x v="0"/>
    <x v="1"/>
    <x v="1"/>
    <n v="77"/>
    <x v="23"/>
    <x v="69"/>
    <s v="0897-034555"/>
    <s v="Grenzacherweg 237"/>
    <m/>
    <x v="56"/>
    <m/>
    <n v="1203"/>
    <x v="17"/>
    <x v="1"/>
    <s v="Holz"/>
    <s v="Michael"/>
    <x v="1"/>
  </r>
  <r>
    <n v="10239"/>
    <n v="46"/>
    <n v="73.92"/>
    <n v="4"/>
    <n v="3400.32"/>
    <d v="2004-04-12T00:00:00"/>
    <x v="0"/>
    <n v="2"/>
    <x v="8"/>
    <x v="8"/>
    <x v="1"/>
    <x v="1"/>
    <n v="77"/>
    <x v="23"/>
    <x v="60"/>
    <s v="981-443655"/>
    <s v="Torikatu 38"/>
    <m/>
    <x v="50"/>
    <m/>
    <n v="90110"/>
    <x v="4"/>
    <x v="1"/>
    <s v="Koskitalo"/>
    <s v="Pirkko"/>
    <x v="1"/>
  </r>
  <r>
    <n v="10253"/>
    <n v="23"/>
    <n v="83.93"/>
    <n v="9"/>
    <n v="1930.39"/>
    <d v="2004-06-01T00:00:00"/>
    <x v="3"/>
    <n v="2"/>
    <x v="9"/>
    <x v="9"/>
    <x v="1"/>
    <x v="1"/>
    <n v="77"/>
    <x v="23"/>
    <x v="22"/>
    <s v="(171) 555-2282"/>
    <s v="Berkeley Gardens 12  Brewery"/>
    <m/>
    <x v="19"/>
    <m/>
    <s v="WX1 6LT"/>
    <x v="6"/>
    <x v="1"/>
    <s v="Devon"/>
    <s v="Elizabeth"/>
    <x v="0"/>
  </r>
  <r>
    <n v="10266"/>
    <n v="33"/>
    <n v="74.69"/>
    <n v="10"/>
    <n v="2464.77"/>
    <d v="2004-07-06T00:00:00"/>
    <x v="0"/>
    <n v="3"/>
    <x v="2"/>
    <x v="2"/>
    <x v="1"/>
    <x v="1"/>
    <n v="77"/>
    <x v="23"/>
    <x v="70"/>
    <s v="0522-556555"/>
    <s v="Strada Provinciale 124"/>
    <m/>
    <x v="57"/>
    <m/>
    <n v="42100"/>
    <x v="12"/>
    <x v="1"/>
    <s v="Moroni"/>
    <s v="Maurizio"/>
    <x v="0"/>
  </r>
  <r>
    <n v="10278"/>
    <n v="29"/>
    <n v="90.86"/>
    <n v="10"/>
    <n v="2634.94"/>
    <d v="2004-08-06T00:00:00"/>
    <x v="0"/>
    <n v="3"/>
    <x v="3"/>
    <x v="3"/>
    <x v="1"/>
    <x v="1"/>
    <n v="77"/>
    <x v="23"/>
    <x v="84"/>
    <n v="7025551838"/>
    <s v="8489 Strong St."/>
    <m/>
    <x v="67"/>
    <s v="NV"/>
    <n v="83030"/>
    <x v="0"/>
    <x v="0"/>
    <s v="King"/>
    <s v="Sue"/>
    <x v="0"/>
  </r>
  <r>
    <n v="10287"/>
    <n v="44"/>
    <n v="82.39"/>
    <n v="8"/>
    <n v="3625.16"/>
    <d v="2004-08-30T00:00:00"/>
    <x v="0"/>
    <n v="3"/>
    <x v="3"/>
    <x v="3"/>
    <x v="1"/>
    <x v="1"/>
    <n v="77"/>
    <x v="23"/>
    <x v="69"/>
    <s v="0897-034555"/>
    <s v="Grenzacherweg 237"/>
    <m/>
    <x v="56"/>
    <m/>
    <n v="1203"/>
    <x v="17"/>
    <x v="1"/>
    <s v="Holz"/>
    <s v="Michael"/>
    <x v="1"/>
  </r>
  <r>
    <n v="10300"/>
    <n v="41"/>
    <n v="92.4"/>
    <n v="1"/>
    <n v="3788.4"/>
    <d v="2003-10-04T00:00:00"/>
    <x v="0"/>
    <n v="4"/>
    <x v="4"/>
    <x v="4"/>
    <x v="0"/>
    <x v="1"/>
    <n v="77"/>
    <x v="23"/>
    <x v="72"/>
    <s v="+49 69 66 90 2555"/>
    <s v="Lyonerstr. 34"/>
    <m/>
    <x v="58"/>
    <m/>
    <n v="60528"/>
    <x v="16"/>
    <x v="1"/>
    <s v="Keitel"/>
    <s v="Roland"/>
    <x v="1"/>
  </r>
  <r>
    <n v="10310"/>
    <n v="20"/>
    <n v="91.63"/>
    <n v="6"/>
    <n v="1832.6"/>
    <d v="2004-10-16T00:00:00"/>
    <x v="0"/>
    <n v="4"/>
    <x v="4"/>
    <x v="4"/>
    <x v="1"/>
    <x v="1"/>
    <n v="77"/>
    <x v="23"/>
    <x v="68"/>
    <s v="0221-5554327"/>
    <s v="Mehrheimerstr. 369"/>
    <m/>
    <x v="55"/>
    <m/>
    <n v="50739"/>
    <x v="16"/>
    <x v="1"/>
    <s v="Pfalzheim"/>
    <s v="Henriette"/>
    <x v="0"/>
  </r>
  <r>
    <n v="10321"/>
    <n v="37"/>
    <n v="78.540000000000006"/>
    <n v="14"/>
    <n v="2905.98"/>
    <d v="2004-11-04T00:00:00"/>
    <x v="0"/>
    <n v="4"/>
    <x v="5"/>
    <x v="5"/>
    <x v="1"/>
    <x v="1"/>
    <n v="77"/>
    <x v="23"/>
    <x v="21"/>
    <n v="5085552555"/>
    <s v="1785 First Street"/>
    <m/>
    <x v="18"/>
    <s v="MA"/>
    <n v="50553"/>
    <x v="0"/>
    <x v="0"/>
    <s v="Benitez"/>
    <s v="Violeta"/>
    <x v="0"/>
  </r>
  <r>
    <n v="10329"/>
    <n v="29"/>
    <n v="100"/>
    <n v="9"/>
    <n v="2954.81"/>
    <d v="2004-11-15T00:00:00"/>
    <x v="0"/>
    <n v="4"/>
    <x v="5"/>
    <x v="5"/>
    <x v="1"/>
    <x v="1"/>
    <n v="77"/>
    <x v="23"/>
    <x v="0"/>
    <n v="2125557818"/>
    <s v="897 Long Airport Avenue"/>
    <m/>
    <x v="0"/>
    <s v="NY"/>
    <n v="10022"/>
    <x v="0"/>
    <x v="0"/>
    <s v="Yu"/>
    <s v="Kwai"/>
    <x v="0"/>
  </r>
  <r>
    <n v="10342"/>
    <n v="55"/>
    <n v="65.45"/>
    <n v="1"/>
    <n v="3599.75"/>
    <d v="2004-11-24T00:00:00"/>
    <x v="0"/>
    <n v="4"/>
    <x v="5"/>
    <x v="5"/>
    <x v="1"/>
    <x v="1"/>
    <n v="77"/>
    <x v="23"/>
    <x v="10"/>
    <s v="03 9520 4555"/>
    <s v="636 St Kilda Road"/>
    <s v="Level 3"/>
    <x v="8"/>
    <s v="Victoria"/>
    <n v="3004"/>
    <x v="3"/>
    <x v="2"/>
    <s v="Ferguson"/>
    <s v="Peter"/>
    <x v="1"/>
  </r>
  <r>
    <n v="10363"/>
    <n v="22"/>
    <n v="100"/>
    <n v="7"/>
    <n v="3686.54"/>
    <d v="2005-01-06T00:00:00"/>
    <x v="0"/>
    <n v="1"/>
    <x v="7"/>
    <x v="7"/>
    <x v="2"/>
    <x v="1"/>
    <n v="77"/>
    <x v="23"/>
    <x v="73"/>
    <s v="+358 9 8045 555"/>
    <s v="Software Engineering Center, SEC Oy"/>
    <m/>
    <x v="59"/>
    <m/>
    <s v="FIN-02271"/>
    <x v="4"/>
    <x v="1"/>
    <s v="Suominen"/>
    <s v="Kalle"/>
    <x v="1"/>
  </r>
  <r>
    <n v="10377"/>
    <n v="31"/>
    <n v="67.760000000000005"/>
    <n v="4"/>
    <n v="2100.56"/>
    <d v="2005-02-09T00:00:00"/>
    <x v="0"/>
    <n v="1"/>
    <x v="0"/>
    <x v="0"/>
    <x v="2"/>
    <x v="1"/>
    <n v="77"/>
    <x v="23"/>
    <x v="16"/>
    <s v="90-224 8555"/>
    <s v="Keskuskatu 45"/>
    <m/>
    <x v="13"/>
    <m/>
    <n v="21240"/>
    <x v="4"/>
    <x v="1"/>
    <s v="Karttunen"/>
    <s v="Matti"/>
    <x v="0"/>
  </r>
  <r>
    <n v="10389"/>
    <n v="49"/>
    <n v="79.22"/>
    <n v="3"/>
    <n v="3881.78"/>
    <d v="2005-03-03T00:00:00"/>
    <x v="0"/>
    <n v="1"/>
    <x v="11"/>
    <x v="11"/>
    <x v="2"/>
    <x v="1"/>
    <n v="77"/>
    <x v="23"/>
    <x v="37"/>
    <s v="0695-34 6555"/>
    <s v="?kergatan 24"/>
    <m/>
    <x v="31"/>
    <m/>
    <s v="S-844 67"/>
    <x v="8"/>
    <x v="1"/>
    <s v="Larsson"/>
    <s v="Maria"/>
    <x v="1"/>
  </r>
  <r>
    <n v="10405"/>
    <n v="61"/>
    <n v="73.92"/>
    <n v="4"/>
    <n v="4509.12"/>
    <d v="2005-04-14T00:00:00"/>
    <x v="0"/>
    <n v="2"/>
    <x v="8"/>
    <x v="8"/>
    <x v="2"/>
    <x v="1"/>
    <n v="77"/>
    <x v="23"/>
    <x v="83"/>
    <s v="88.60.1555"/>
    <s v="24, place Kluber"/>
    <m/>
    <x v="66"/>
    <m/>
    <n v="67000"/>
    <x v="1"/>
    <x v="1"/>
    <s v="Citeaux"/>
    <s v="Frederique"/>
    <x v="1"/>
  </r>
  <r>
    <n v="10419"/>
    <n v="39"/>
    <n v="83.93"/>
    <n v="9"/>
    <n v="3273.27"/>
    <d v="2005-05-17T00:00:00"/>
    <x v="0"/>
    <n v="2"/>
    <x v="1"/>
    <x v="1"/>
    <x v="2"/>
    <x v="1"/>
    <n v="77"/>
    <x v="23"/>
    <x v="19"/>
    <s v="6562-9555"/>
    <s v="Geislweg 14"/>
    <m/>
    <x v="16"/>
    <m/>
    <n v="5020"/>
    <x v="5"/>
    <x v="1"/>
    <s v="Pipps"/>
    <s v="Georg"/>
    <x v="1"/>
  </r>
  <r>
    <n v="10109"/>
    <n v="38"/>
    <n v="100"/>
    <n v="3"/>
    <n v="4432.7"/>
    <d v="2003-03-10T00:00:00"/>
    <x v="0"/>
    <n v="1"/>
    <x v="11"/>
    <x v="11"/>
    <x v="0"/>
    <x v="1"/>
    <n v="142"/>
    <x v="24"/>
    <x v="45"/>
    <n v="2155559857"/>
    <s v="11328 Douglas Av."/>
    <m/>
    <x v="24"/>
    <s v="PA"/>
    <n v="71270"/>
    <x v="0"/>
    <x v="0"/>
    <s v="Hernandez"/>
    <s v="Rosa"/>
    <x v="1"/>
  </r>
  <r>
    <n v="10122"/>
    <n v="31"/>
    <n v="100"/>
    <n v="1"/>
    <n v="4100.99"/>
    <d v="2003-05-08T00:00:00"/>
    <x v="0"/>
    <n v="2"/>
    <x v="1"/>
    <x v="1"/>
    <x v="0"/>
    <x v="1"/>
    <n v="142"/>
    <x v="24"/>
    <x v="67"/>
    <s v="91.24.4555"/>
    <s v="12, rue des Bouchers"/>
    <m/>
    <x v="54"/>
    <m/>
    <n v="13008"/>
    <x v="1"/>
    <x v="1"/>
    <s v="Lebihan"/>
    <s v="Laurence"/>
    <x v="1"/>
  </r>
  <r>
    <n v="10136"/>
    <n v="36"/>
    <n v="100"/>
    <n v="1"/>
    <n v="5274.72"/>
    <d v="2003-07-04T00:00:00"/>
    <x v="0"/>
    <n v="3"/>
    <x v="2"/>
    <x v="2"/>
    <x v="0"/>
    <x v="1"/>
    <n v="142"/>
    <x v="24"/>
    <x v="51"/>
    <s v="61.77.6555"/>
    <s v="1 rue Alsace-Lorraine"/>
    <m/>
    <x v="42"/>
    <m/>
    <n v="31000"/>
    <x v="1"/>
    <x v="1"/>
    <s v="Roulet"/>
    <s v="Annette"/>
    <x v="1"/>
  </r>
  <r>
    <n v="10148"/>
    <n v="25"/>
    <n v="100"/>
    <n v="12"/>
    <n v="4232"/>
    <d v="2003-09-11T00:00:00"/>
    <x v="0"/>
    <n v="3"/>
    <x v="10"/>
    <x v="10"/>
    <x v="0"/>
    <x v="1"/>
    <n v="142"/>
    <x v="24"/>
    <x v="42"/>
    <s v="02 9936 8555"/>
    <s v="201 Miller Street"/>
    <s v="Level 15"/>
    <x v="36"/>
    <s v="NSW"/>
    <n v="2060"/>
    <x v="3"/>
    <x v="2"/>
    <s v="O'Hara"/>
    <s v="Anna"/>
    <x v="1"/>
  </r>
  <r>
    <n v="10161"/>
    <n v="48"/>
    <n v="100"/>
    <n v="11"/>
    <n v="6145.44"/>
    <d v="2003-10-17T00:00:00"/>
    <x v="0"/>
    <n v="4"/>
    <x v="4"/>
    <x v="4"/>
    <x v="0"/>
    <x v="1"/>
    <n v="142"/>
    <x v="24"/>
    <x v="78"/>
    <s v="86 21 3555"/>
    <s v="Smagsloget 45"/>
    <m/>
    <x v="62"/>
    <m/>
    <n v="8200"/>
    <x v="13"/>
    <x v="1"/>
    <s v="Ibsen"/>
    <s v="Palle"/>
    <x v="1"/>
  </r>
  <r>
    <n v="10171"/>
    <n v="35"/>
    <n v="100"/>
    <n v="1"/>
    <n v="4680.2"/>
    <d v="2003-11-05T00:00:00"/>
    <x v="0"/>
    <n v="4"/>
    <x v="5"/>
    <x v="5"/>
    <x v="0"/>
    <x v="1"/>
    <n v="142"/>
    <x v="24"/>
    <x v="43"/>
    <s v="(514) 555-8054"/>
    <s v="43 rue St. Laurent"/>
    <m/>
    <x v="37"/>
    <s v="Quebec"/>
    <s v="H1J 1C3"/>
    <x v="10"/>
    <x v="0"/>
    <s v="Fresnisre"/>
    <s v="Jean"/>
    <x v="1"/>
  </r>
  <r>
    <n v="10181"/>
    <n v="21"/>
    <n v="100"/>
    <n v="5"/>
    <n v="3286.08"/>
    <d v="2003-11-12T00:00:00"/>
    <x v="0"/>
    <n v="4"/>
    <x v="5"/>
    <x v="5"/>
    <x v="0"/>
    <x v="1"/>
    <n v="142"/>
    <x v="24"/>
    <x v="7"/>
    <s v="+47 2267 3215"/>
    <s v="Drammen 121, PR 744 Sentrum"/>
    <m/>
    <x v="7"/>
    <m/>
    <s v="N 5804"/>
    <x v="2"/>
    <x v="1"/>
    <s v="Oeztan"/>
    <s v="Veysel"/>
    <x v="1"/>
  </r>
  <r>
    <n v="10192"/>
    <n v="47"/>
    <n v="100"/>
    <n v="10"/>
    <n v="7421.3"/>
    <d v="2003-11-20T00:00:00"/>
    <x v="0"/>
    <n v="4"/>
    <x v="5"/>
    <x v="5"/>
    <x v="0"/>
    <x v="1"/>
    <n v="142"/>
    <x v="24"/>
    <x v="40"/>
    <n v="6035558647"/>
    <s v="2304 Long Airport Avenue"/>
    <m/>
    <x v="34"/>
    <s v="NH"/>
    <n v="62005"/>
    <x v="0"/>
    <x v="0"/>
    <s v="Young"/>
    <s v="Valarie"/>
    <x v="2"/>
  </r>
  <r>
    <n v="10204"/>
    <n v="38"/>
    <n v="100"/>
    <n v="16"/>
    <n v="6432.64"/>
    <d v="2003-12-02T00:00:00"/>
    <x v="0"/>
    <n v="4"/>
    <x v="6"/>
    <x v="6"/>
    <x v="0"/>
    <x v="1"/>
    <n v="142"/>
    <x v="24"/>
    <x v="74"/>
    <n v="2125557413"/>
    <s v="4092 Furth Circle"/>
    <s v="Suite 400"/>
    <x v="0"/>
    <s v="NY"/>
    <n v="10022"/>
    <x v="0"/>
    <x v="0"/>
    <s v="Young"/>
    <s v="Jeff"/>
    <x v="1"/>
  </r>
  <r>
    <n v="10212"/>
    <n v="41"/>
    <n v="100"/>
    <n v="9"/>
    <n v="4840.87"/>
    <d v="2004-01-16T00:00:00"/>
    <x v="0"/>
    <n v="1"/>
    <x v="7"/>
    <x v="7"/>
    <x v="1"/>
    <x v="1"/>
    <n v="142"/>
    <x v="24"/>
    <x v="23"/>
    <s v="(91) 555 94 44"/>
    <s v="C/ Moralzarzal, 86"/>
    <m/>
    <x v="20"/>
    <m/>
    <n v="28034"/>
    <x v="7"/>
    <x v="1"/>
    <s v="Freyre"/>
    <s v="Diego"/>
    <x v="1"/>
  </r>
  <r>
    <n v="10226"/>
    <n v="24"/>
    <n v="100"/>
    <n v="7"/>
    <n v="3892.08"/>
    <d v="2004-02-26T00:00:00"/>
    <x v="0"/>
    <n v="1"/>
    <x v="0"/>
    <x v="0"/>
    <x v="1"/>
    <x v="1"/>
    <n v="142"/>
    <x v="24"/>
    <x v="55"/>
    <n v="7605558146"/>
    <s v="361 Furth Circle"/>
    <m/>
    <x v="45"/>
    <s v="CA"/>
    <n v="91217"/>
    <x v="0"/>
    <x v="0"/>
    <s v="Thompson"/>
    <s v="Valarie"/>
    <x v="1"/>
  </r>
  <r>
    <n v="10240"/>
    <n v="37"/>
    <n v="100"/>
    <n v="2"/>
    <n v="5526.32"/>
    <d v="2004-04-13T00:00:00"/>
    <x v="0"/>
    <n v="2"/>
    <x v="8"/>
    <x v="8"/>
    <x v="1"/>
    <x v="1"/>
    <n v="142"/>
    <x v="24"/>
    <x v="44"/>
    <s v="+81 06 6342 5555"/>
    <s v="Dojima Avanza 4F, 1-6-20 Dojima, Kita-ku"/>
    <m/>
    <x v="38"/>
    <s v="Osaka"/>
    <s v="530-0003"/>
    <x v="11"/>
    <x v="3"/>
    <s v="Kentary"/>
    <s v="Mory"/>
    <x v="1"/>
  </r>
  <r>
    <n v="10253"/>
    <n v="33"/>
    <n v="100"/>
    <n v="4"/>
    <n v="4459.62"/>
    <d v="2004-06-01T00:00:00"/>
    <x v="3"/>
    <n v="2"/>
    <x v="9"/>
    <x v="9"/>
    <x v="1"/>
    <x v="1"/>
    <n v="142"/>
    <x v="24"/>
    <x v="22"/>
    <s v="(171) 555-2282"/>
    <s v="Berkeley Gardens 12  Brewery"/>
    <m/>
    <x v="19"/>
    <m/>
    <s v="WX1 6LT"/>
    <x v="6"/>
    <x v="1"/>
    <s v="Devon"/>
    <s v="Elizabeth"/>
    <x v="1"/>
  </r>
  <r>
    <n v="10266"/>
    <n v="49"/>
    <n v="100"/>
    <n v="5"/>
    <n v="6203.4"/>
    <d v="2004-07-06T00:00:00"/>
    <x v="0"/>
    <n v="3"/>
    <x v="2"/>
    <x v="2"/>
    <x v="1"/>
    <x v="1"/>
    <n v="142"/>
    <x v="24"/>
    <x v="70"/>
    <s v="0522-556555"/>
    <s v="Strada Provinciale 124"/>
    <m/>
    <x v="57"/>
    <m/>
    <n v="42100"/>
    <x v="12"/>
    <x v="1"/>
    <s v="Moroni"/>
    <s v="Maurizio"/>
    <x v="1"/>
  </r>
  <r>
    <n v="10278"/>
    <n v="29"/>
    <n v="100"/>
    <n v="5"/>
    <n v="3754.05"/>
    <d v="2004-08-06T00:00:00"/>
    <x v="0"/>
    <n v="3"/>
    <x v="3"/>
    <x v="3"/>
    <x v="1"/>
    <x v="1"/>
    <n v="142"/>
    <x v="24"/>
    <x v="84"/>
    <n v="7025551838"/>
    <s v="8489 Strong St."/>
    <m/>
    <x v="67"/>
    <s v="NV"/>
    <n v="83030"/>
    <x v="0"/>
    <x v="0"/>
    <s v="King"/>
    <s v="Sue"/>
    <x v="1"/>
  </r>
  <r>
    <n v="10287"/>
    <n v="24"/>
    <n v="100"/>
    <n v="3"/>
    <n v="3516.48"/>
    <d v="2004-08-30T00:00:00"/>
    <x v="0"/>
    <n v="3"/>
    <x v="3"/>
    <x v="3"/>
    <x v="1"/>
    <x v="1"/>
    <n v="142"/>
    <x v="24"/>
    <x v="69"/>
    <s v="0897-034555"/>
    <s v="Grenzacherweg 237"/>
    <m/>
    <x v="56"/>
    <m/>
    <n v="1203"/>
    <x v="17"/>
    <x v="1"/>
    <s v="Holz"/>
    <s v="Michael"/>
    <x v="1"/>
  </r>
  <r>
    <n v="10301"/>
    <n v="47"/>
    <n v="100"/>
    <n v="7"/>
    <n v="7488.04"/>
    <d v="2003-10-05T00:00:00"/>
    <x v="0"/>
    <n v="4"/>
    <x v="4"/>
    <x v="4"/>
    <x v="0"/>
    <x v="1"/>
    <n v="142"/>
    <x v="24"/>
    <x v="85"/>
    <s v="+47 2212 1555"/>
    <s v="Drammensveien 126 A, PB 744 Sentrum"/>
    <m/>
    <x v="68"/>
    <m/>
    <s v="N 0106"/>
    <x v="2"/>
    <x v="1"/>
    <s v="Klaeboe"/>
    <s v="Jan"/>
    <x v="2"/>
  </r>
  <r>
    <n v="10310"/>
    <n v="24"/>
    <n v="100"/>
    <n v="1"/>
    <n v="3448.08"/>
    <d v="2004-10-16T00:00:00"/>
    <x v="0"/>
    <n v="4"/>
    <x v="4"/>
    <x v="4"/>
    <x v="1"/>
    <x v="1"/>
    <n v="142"/>
    <x v="24"/>
    <x v="68"/>
    <s v="0221-5554327"/>
    <s v="Mehrheimerstr. 369"/>
    <m/>
    <x v="55"/>
    <m/>
    <n v="50739"/>
    <x v="16"/>
    <x v="1"/>
    <s v="Pfalzheim"/>
    <s v="Henriette"/>
    <x v="1"/>
  </r>
  <r>
    <n v="10321"/>
    <n v="25"/>
    <n v="100"/>
    <n v="9"/>
    <n v="3734"/>
    <d v="2004-11-04T00:00:00"/>
    <x v="0"/>
    <n v="4"/>
    <x v="5"/>
    <x v="5"/>
    <x v="1"/>
    <x v="1"/>
    <n v="142"/>
    <x v="24"/>
    <x v="21"/>
    <n v="5085552555"/>
    <s v="1785 First Street"/>
    <m/>
    <x v="18"/>
    <s v="MA"/>
    <n v="50553"/>
    <x v="0"/>
    <x v="0"/>
    <s v="Benitez"/>
    <s v="Violeta"/>
    <x v="1"/>
  </r>
  <r>
    <n v="10331"/>
    <n v="30"/>
    <n v="32.47"/>
    <n v="8"/>
    <n v="974.1"/>
    <d v="2004-11-17T00:00:00"/>
    <x v="0"/>
    <n v="4"/>
    <x v="5"/>
    <x v="5"/>
    <x v="1"/>
    <x v="1"/>
    <n v="142"/>
    <x v="24"/>
    <x v="45"/>
    <n v="2155559857"/>
    <s v="11328 Douglas Av."/>
    <m/>
    <x v="24"/>
    <s v="PA"/>
    <n v="71270"/>
    <x v="0"/>
    <x v="0"/>
    <s v="Hernandez"/>
    <s v="Rosa"/>
    <x v="0"/>
  </r>
  <r>
    <n v="10342"/>
    <n v="22"/>
    <n v="100"/>
    <n v="3"/>
    <n v="3160.74"/>
    <d v="2004-11-24T00:00:00"/>
    <x v="0"/>
    <n v="4"/>
    <x v="5"/>
    <x v="5"/>
    <x v="1"/>
    <x v="1"/>
    <n v="142"/>
    <x v="24"/>
    <x v="10"/>
    <s v="03 9520 4555"/>
    <s v="636 St Kilda Road"/>
    <s v="Level 3"/>
    <x v="8"/>
    <s v="Victoria"/>
    <n v="3004"/>
    <x v="3"/>
    <x v="2"/>
    <s v="Ferguson"/>
    <s v="Peter"/>
    <x v="1"/>
  </r>
  <r>
    <n v="10356"/>
    <n v="27"/>
    <n v="64.69"/>
    <n v="2"/>
    <n v="1746.63"/>
    <d v="2004-12-09T00:00:00"/>
    <x v="0"/>
    <n v="4"/>
    <x v="6"/>
    <x v="6"/>
    <x v="1"/>
    <x v="1"/>
    <n v="142"/>
    <x v="24"/>
    <x v="2"/>
    <s v="+33 1 46 62 7555"/>
    <s v="27 rue du Colonel Pierre Avia"/>
    <m/>
    <x v="2"/>
    <m/>
    <n v="75508"/>
    <x v="1"/>
    <x v="1"/>
    <s v="Da Cunha"/>
    <s v="Daniel"/>
    <x v="0"/>
  </r>
  <r>
    <n v="10366"/>
    <n v="34"/>
    <n v="100"/>
    <n v="3"/>
    <n v="4207.84"/>
    <d v="2005-01-10T00:00:00"/>
    <x v="0"/>
    <n v="1"/>
    <x v="7"/>
    <x v="7"/>
    <x v="2"/>
    <x v="1"/>
    <n v="142"/>
    <x v="24"/>
    <x v="90"/>
    <s v="(071) 23 67 2555"/>
    <s v="Boulevard Tirou, 255"/>
    <m/>
    <x v="72"/>
    <m/>
    <s v="B-6000"/>
    <x v="14"/>
    <x v="1"/>
    <s v="Cartrain"/>
    <s v="Pascale"/>
    <x v="1"/>
  </r>
  <r>
    <n v="10377"/>
    <n v="36"/>
    <n v="100"/>
    <n v="6"/>
    <n v="4352.76"/>
    <d v="2005-02-09T00:00:00"/>
    <x v="0"/>
    <n v="1"/>
    <x v="0"/>
    <x v="0"/>
    <x v="2"/>
    <x v="1"/>
    <n v="142"/>
    <x v="24"/>
    <x v="16"/>
    <s v="90-224 8555"/>
    <s v="Keskuskatu 45"/>
    <m/>
    <x v="13"/>
    <m/>
    <n v="21240"/>
    <x v="4"/>
    <x v="1"/>
    <s v="Karttunen"/>
    <s v="Matti"/>
    <x v="1"/>
  </r>
  <r>
    <n v="10390"/>
    <n v="34"/>
    <n v="43.05"/>
    <n v="15"/>
    <n v="1463.7"/>
    <d v="2005-03-04T00:00:00"/>
    <x v="0"/>
    <n v="1"/>
    <x v="11"/>
    <x v="11"/>
    <x v="2"/>
    <x v="1"/>
    <n v="142"/>
    <x v="24"/>
    <x v="39"/>
    <n v="4155551450"/>
    <s v="5677 Strong St."/>
    <m/>
    <x v="33"/>
    <s v="CA"/>
    <n v="97562"/>
    <x v="0"/>
    <x v="0"/>
    <s v="Nelson"/>
    <s v="Valarie"/>
    <x v="0"/>
  </r>
  <r>
    <n v="10406"/>
    <n v="48"/>
    <n v="100"/>
    <n v="2"/>
    <n v="7169.28"/>
    <d v="2005-04-15T00:00:00"/>
    <x v="1"/>
    <n v="2"/>
    <x v="8"/>
    <x v="8"/>
    <x v="2"/>
    <x v="1"/>
    <n v="142"/>
    <x v="24"/>
    <x v="48"/>
    <s v="31 12 3555"/>
    <s v="Vinb'ltet 34"/>
    <m/>
    <x v="40"/>
    <m/>
    <n v="1734"/>
    <x v="13"/>
    <x v="1"/>
    <s v="Petersen"/>
    <s v="Jytte"/>
    <x v="2"/>
  </r>
  <r>
    <n v="10419"/>
    <n v="34"/>
    <n v="100"/>
    <n v="4"/>
    <n v="4594.76"/>
    <d v="2005-05-17T00:00:00"/>
    <x v="0"/>
    <n v="2"/>
    <x v="1"/>
    <x v="1"/>
    <x v="2"/>
    <x v="1"/>
    <n v="142"/>
    <x v="24"/>
    <x v="19"/>
    <s v="6562-9555"/>
    <s v="Geislweg 14"/>
    <m/>
    <x v="16"/>
    <m/>
    <n v="5020"/>
    <x v="5"/>
    <x v="1"/>
    <s v="Pipps"/>
    <s v="Georg"/>
    <x v="1"/>
  </r>
  <r>
    <n v="10104"/>
    <n v="24"/>
    <n v="100"/>
    <n v="8"/>
    <n v="3457.92"/>
    <d v="2003-01-31T00:00:00"/>
    <x v="0"/>
    <n v="1"/>
    <x v="7"/>
    <x v="7"/>
    <x v="0"/>
    <x v="1"/>
    <n v="163"/>
    <x v="25"/>
    <x v="23"/>
    <s v="(91) 555 94 44"/>
    <s v="C/ Moralzarzal, 86"/>
    <m/>
    <x v="20"/>
    <m/>
    <n v="28034"/>
    <x v="7"/>
    <x v="1"/>
    <s v="Freyre"/>
    <s v="Diego"/>
    <x v="1"/>
  </r>
  <r>
    <n v="10115"/>
    <n v="46"/>
    <n v="100"/>
    <n v="4"/>
    <n v="7381.16"/>
    <d v="2003-04-04T00:00:00"/>
    <x v="0"/>
    <n v="2"/>
    <x v="8"/>
    <x v="8"/>
    <x v="0"/>
    <x v="1"/>
    <n v="163"/>
    <x v="25"/>
    <x v="27"/>
    <n v="2125558493"/>
    <s v="5905 Pompton St."/>
    <s v="Suite 750"/>
    <x v="0"/>
    <s v="NY"/>
    <n v="10022"/>
    <x v="0"/>
    <x v="0"/>
    <s v="Hernandez"/>
    <s v="Maria"/>
    <x v="2"/>
  </r>
  <r>
    <n v="10127"/>
    <n v="45"/>
    <n v="100"/>
    <n v="10"/>
    <n v="7146.9"/>
    <d v="2003-06-03T00:00:00"/>
    <x v="0"/>
    <n v="2"/>
    <x v="9"/>
    <x v="9"/>
    <x v="0"/>
    <x v="1"/>
    <n v="163"/>
    <x v="25"/>
    <x v="74"/>
    <n v="2125557413"/>
    <s v="4092 Furth Circle"/>
    <s v="Suite 400"/>
    <x v="0"/>
    <s v="NY"/>
    <n v="10022"/>
    <x v="0"/>
    <x v="0"/>
    <s v="Young"/>
    <s v="Jeff"/>
    <x v="2"/>
  </r>
  <r>
    <n v="10141"/>
    <n v="39"/>
    <n v="100"/>
    <n v="4"/>
    <n v="5938.53"/>
    <d v="2003-08-01T00:00:00"/>
    <x v="0"/>
    <n v="3"/>
    <x v="3"/>
    <x v="3"/>
    <x v="0"/>
    <x v="1"/>
    <n v="163"/>
    <x v="25"/>
    <x v="73"/>
    <s v="+358 9 8045 555"/>
    <s v="Software Engineering Center, SEC Oy"/>
    <m/>
    <x v="59"/>
    <m/>
    <s v="FIN-02271"/>
    <x v="4"/>
    <x v="1"/>
    <s v="Suominen"/>
    <s v="Kalle"/>
    <x v="1"/>
  </r>
  <r>
    <n v="10151"/>
    <n v="43"/>
    <n v="100"/>
    <n v="2"/>
    <n v="7110.91"/>
    <d v="2003-09-21T00:00:00"/>
    <x v="0"/>
    <n v="3"/>
    <x v="10"/>
    <x v="10"/>
    <x v="0"/>
    <x v="1"/>
    <n v="163"/>
    <x v="25"/>
    <x v="60"/>
    <s v="981-443655"/>
    <s v="Torikatu 38"/>
    <m/>
    <x v="50"/>
    <m/>
    <n v="90110"/>
    <x v="4"/>
    <x v="1"/>
    <s v="Koskitalo"/>
    <s v="Pirkko"/>
    <x v="2"/>
  </r>
  <r>
    <n v="10165"/>
    <n v="29"/>
    <n v="100"/>
    <n v="11"/>
    <n v="5032.95"/>
    <d v="2003-10-22T00:00:00"/>
    <x v="0"/>
    <n v="4"/>
    <x v="4"/>
    <x v="4"/>
    <x v="0"/>
    <x v="1"/>
    <n v="163"/>
    <x v="25"/>
    <x v="26"/>
    <s v="+65 221 7555"/>
    <s v="Bronz Sok., Bronz Apt. 3/6 Tesvikiye"/>
    <m/>
    <x v="22"/>
    <m/>
    <n v="79903"/>
    <x v="9"/>
    <x v="3"/>
    <s v="Natividad"/>
    <s v="Eric"/>
    <x v="1"/>
  </r>
  <r>
    <n v="10176"/>
    <n v="20"/>
    <n v="100"/>
    <n v="10"/>
    <n v="3667.6"/>
    <d v="2003-11-06T00:00:00"/>
    <x v="0"/>
    <n v="4"/>
    <x v="5"/>
    <x v="5"/>
    <x v="0"/>
    <x v="1"/>
    <n v="163"/>
    <x v="25"/>
    <x v="70"/>
    <s v="0522-556555"/>
    <s v="Strada Provinciale 124"/>
    <m/>
    <x v="57"/>
    <m/>
    <n v="42100"/>
    <x v="12"/>
    <x v="1"/>
    <s v="Moroni"/>
    <s v="Maurizio"/>
    <x v="1"/>
  </r>
  <r>
    <n v="10184"/>
    <n v="46"/>
    <n v="100"/>
    <n v="5"/>
    <n v="7381.16"/>
    <d v="2003-11-14T00:00:00"/>
    <x v="0"/>
    <n v="4"/>
    <x v="5"/>
    <x v="5"/>
    <x v="0"/>
    <x v="1"/>
    <n v="163"/>
    <x v="25"/>
    <x v="81"/>
    <s v="(95) 555 82 82"/>
    <s v="C/ Romero, 33"/>
    <m/>
    <x v="64"/>
    <m/>
    <n v="41101"/>
    <x v="7"/>
    <x v="1"/>
    <s v="Roel"/>
    <s v="Jose Pedro"/>
    <x v="2"/>
  </r>
  <r>
    <n v="10195"/>
    <n v="27"/>
    <n v="100"/>
    <n v="5"/>
    <n v="5128.1099999999997"/>
    <d v="2003-11-25T00:00:00"/>
    <x v="0"/>
    <n v="4"/>
    <x v="5"/>
    <x v="5"/>
    <x v="0"/>
    <x v="1"/>
    <n v="163"/>
    <x v="25"/>
    <x v="47"/>
    <n v="9145554562"/>
    <s v="3758 North Pendale Street"/>
    <m/>
    <x v="39"/>
    <s v="NY"/>
    <n v="24067"/>
    <x v="0"/>
    <x v="0"/>
    <s v="Frick"/>
    <s v="Steve"/>
    <x v="1"/>
  </r>
  <r>
    <n v="10207"/>
    <n v="44"/>
    <n v="100"/>
    <n v="6"/>
    <n v="7060.24"/>
    <d v="2003-12-09T00:00:00"/>
    <x v="0"/>
    <n v="4"/>
    <x v="6"/>
    <x v="6"/>
    <x v="0"/>
    <x v="1"/>
    <n v="163"/>
    <x v="25"/>
    <x v="64"/>
    <n v="6175552555"/>
    <s v="6251 Ingle Ln."/>
    <m/>
    <x v="48"/>
    <s v="MA"/>
    <n v="51003"/>
    <x v="0"/>
    <x v="0"/>
    <s v="Franco"/>
    <s v="Valarie"/>
    <x v="2"/>
  </r>
  <r>
    <n v="10219"/>
    <n v="43"/>
    <n v="100"/>
    <n v="1"/>
    <n v="8448.64"/>
    <d v="2004-02-10T00:00:00"/>
    <x v="0"/>
    <n v="1"/>
    <x v="0"/>
    <x v="0"/>
    <x v="1"/>
    <x v="1"/>
    <n v="163"/>
    <x v="25"/>
    <x v="82"/>
    <n v="4155554312"/>
    <s v="2793 Furth Circle"/>
    <m/>
    <x v="65"/>
    <s v="CA"/>
    <n v="94217"/>
    <x v="0"/>
    <x v="0"/>
    <s v="Taylor"/>
    <s v="Sue"/>
    <x v="2"/>
  </r>
  <r>
    <n v="10230"/>
    <n v="49"/>
    <n v="100"/>
    <n v="8"/>
    <n v="7300.51"/>
    <d v="2004-03-15T00:00:00"/>
    <x v="0"/>
    <n v="1"/>
    <x v="11"/>
    <x v="11"/>
    <x v="1"/>
    <x v="1"/>
    <n v="163"/>
    <x v="25"/>
    <x v="72"/>
    <s v="+49 69 66 90 2555"/>
    <s v="Lyonerstr. 34"/>
    <m/>
    <x v="58"/>
    <m/>
    <n v="60528"/>
    <x v="16"/>
    <x v="1"/>
    <s v="Keitel"/>
    <s v="Roland"/>
    <x v="2"/>
  </r>
  <r>
    <n v="10246"/>
    <n v="40"/>
    <n v="100"/>
    <n v="4"/>
    <n v="6549.2"/>
    <d v="2004-05-05T00:00:00"/>
    <x v="0"/>
    <n v="2"/>
    <x v="1"/>
    <x v="1"/>
    <x v="1"/>
    <x v="1"/>
    <n v="163"/>
    <x v="25"/>
    <x v="23"/>
    <s v="(91) 555 94 44"/>
    <s v="C/ Moralzarzal, 86"/>
    <m/>
    <x v="20"/>
    <m/>
    <n v="28034"/>
    <x v="7"/>
    <x v="1"/>
    <s v="Freyre"/>
    <s v="Diego"/>
    <x v="1"/>
  </r>
  <r>
    <n v="10259"/>
    <n v="30"/>
    <n v="100"/>
    <n v="3"/>
    <n v="5697.9"/>
    <d v="2004-06-15T00:00:00"/>
    <x v="0"/>
    <n v="2"/>
    <x v="9"/>
    <x v="9"/>
    <x v="1"/>
    <x v="1"/>
    <n v="163"/>
    <x v="25"/>
    <x v="65"/>
    <s v="+65 224 1555"/>
    <s v="Village Close - 106 Linden Road Sandown"/>
    <s v="2nd Floor"/>
    <x v="22"/>
    <m/>
    <n v="69045"/>
    <x v="9"/>
    <x v="2"/>
    <s v="Victorino"/>
    <s v="Wendy"/>
    <x v="1"/>
  </r>
  <r>
    <n v="10271"/>
    <n v="50"/>
    <n v="100"/>
    <n v="4"/>
    <n v="9169"/>
    <d v="2004-07-20T00:00:00"/>
    <x v="0"/>
    <n v="3"/>
    <x v="2"/>
    <x v="2"/>
    <x v="1"/>
    <x v="1"/>
    <n v="163"/>
    <x v="25"/>
    <x v="39"/>
    <n v="4155551450"/>
    <s v="5677 Strong St."/>
    <m/>
    <x v="33"/>
    <s v="CA"/>
    <n v="97562"/>
    <x v="0"/>
    <x v="0"/>
    <s v="Nelson"/>
    <s v="Valarie"/>
    <x v="2"/>
  </r>
  <r>
    <n v="10282"/>
    <n v="23"/>
    <n v="100"/>
    <n v="13"/>
    <n v="3238.63"/>
    <d v="2004-08-20T00:00:00"/>
    <x v="0"/>
    <n v="3"/>
    <x v="3"/>
    <x v="3"/>
    <x v="1"/>
    <x v="1"/>
    <n v="163"/>
    <x v="25"/>
    <x v="39"/>
    <n v="4155551450"/>
    <s v="5677 Strong St."/>
    <m/>
    <x v="33"/>
    <s v="CA"/>
    <n v="97562"/>
    <x v="0"/>
    <x v="0"/>
    <s v="Nelson"/>
    <s v="Valarie"/>
    <x v="1"/>
  </r>
  <r>
    <n v="10292"/>
    <n v="26"/>
    <n v="100"/>
    <n v="7"/>
    <n v="4554.9399999999996"/>
    <d v="2004-09-08T00:00:00"/>
    <x v="0"/>
    <n v="3"/>
    <x v="10"/>
    <x v="10"/>
    <x v="1"/>
    <x v="1"/>
    <n v="163"/>
    <x v="25"/>
    <x v="0"/>
    <n v="2125557818"/>
    <s v="897 Long Airport Avenue"/>
    <m/>
    <x v="0"/>
    <s v="NY"/>
    <n v="10022"/>
    <x v="0"/>
    <x v="0"/>
    <s v="Yu"/>
    <s v="Kwai"/>
    <x v="1"/>
  </r>
  <r>
    <n v="10305"/>
    <n v="27"/>
    <n v="100"/>
    <n v="4"/>
    <n v="3934.44"/>
    <d v="2004-10-13T00:00:00"/>
    <x v="0"/>
    <n v="4"/>
    <x v="4"/>
    <x v="4"/>
    <x v="1"/>
    <x v="1"/>
    <n v="163"/>
    <x v="25"/>
    <x v="15"/>
    <n v="6175558555"/>
    <s v="39323 Spinnaker Dr."/>
    <m/>
    <x v="12"/>
    <s v="MA"/>
    <n v="51247"/>
    <x v="0"/>
    <x v="0"/>
    <s v="Hernandez"/>
    <s v="Marta"/>
    <x v="1"/>
  </r>
  <r>
    <n v="10314"/>
    <n v="42"/>
    <n v="100"/>
    <n v="13"/>
    <n v="5776.26"/>
    <d v="2004-10-22T00:00:00"/>
    <x v="0"/>
    <n v="4"/>
    <x v="4"/>
    <x v="4"/>
    <x v="1"/>
    <x v="1"/>
    <n v="163"/>
    <x v="25"/>
    <x v="78"/>
    <s v="86 21 3555"/>
    <s v="Smagsloget 45"/>
    <m/>
    <x v="62"/>
    <m/>
    <n v="8200"/>
    <x v="13"/>
    <x v="1"/>
    <s v="Ibsen"/>
    <s v="Palle"/>
    <x v="1"/>
  </r>
  <r>
    <n v="10324"/>
    <n v="47"/>
    <n v="100"/>
    <n v="8"/>
    <n v="7207.45"/>
    <d v="2004-11-05T00:00:00"/>
    <x v="0"/>
    <n v="4"/>
    <x v="5"/>
    <x v="5"/>
    <x v="1"/>
    <x v="1"/>
    <n v="163"/>
    <x v="25"/>
    <x v="11"/>
    <n v="2125551500"/>
    <s v="2678 Kingston Rd."/>
    <s v="Suite 101"/>
    <x v="0"/>
    <s v="NY"/>
    <n v="10022"/>
    <x v="0"/>
    <x v="0"/>
    <s v="Frick"/>
    <s v="Michael"/>
    <x v="2"/>
  </r>
  <r>
    <n v="10336"/>
    <n v="49"/>
    <n v="100"/>
    <n v="6"/>
    <n v="7460.74"/>
    <d v="2004-11-20T00:00:00"/>
    <x v="0"/>
    <n v="4"/>
    <x v="5"/>
    <x v="5"/>
    <x v="1"/>
    <x v="1"/>
    <n v="163"/>
    <x v="25"/>
    <x v="62"/>
    <s v="(1) 42.34.2555"/>
    <s v="265, boulevard Charonne"/>
    <m/>
    <x v="2"/>
    <m/>
    <n v="75012"/>
    <x v="1"/>
    <x v="1"/>
    <s v="Bertrand"/>
    <s v="Marie"/>
    <x v="2"/>
  </r>
  <r>
    <n v="10349"/>
    <n v="38"/>
    <n v="100"/>
    <n v="8"/>
    <n v="6719.54"/>
    <d v="2004-12-01T00:00:00"/>
    <x v="0"/>
    <n v="4"/>
    <x v="6"/>
    <x v="6"/>
    <x v="1"/>
    <x v="1"/>
    <n v="163"/>
    <x v="25"/>
    <x v="74"/>
    <n v="2125557413"/>
    <s v="4092 Furth Circle"/>
    <s v="Suite 400"/>
    <x v="0"/>
    <s v="NY"/>
    <n v="10022"/>
    <x v="0"/>
    <x v="0"/>
    <s v="Young"/>
    <s v="Jeff"/>
    <x v="1"/>
  </r>
  <r>
    <n v="10358"/>
    <n v="20"/>
    <n v="100"/>
    <n v="10"/>
    <n v="2428"/>
    <d v="2004-12-10T00:00:00"/>
    <x v="0"/>
    <n v="4"/>
    <x v="6"/>
    <x v="6"/>
    <x v="1"/>
    <x v="1"/>
    <n v="163"/>
    <x v="25"/>
    <x v="23"/>
    <s v="(91) 555 94 44"/>
    <s v="C/ Moralzarzal, 86"/>
    <m/>
    <x v="20"/>
    <m/>
    <n v="28034"/>
    <x v="7"/>
    <x v="1"/>
    <s v="Freyre"/>
    <s v="Diego"/>
    <x v="0"/>
  </r>
  <r>
    <n v="10371"/>
    <n v="25"/>
    <n v="100"/>
    <n v="7"/>
    <n v="2602.25"/>
    <d v="2005-01-23T00:00:00"/>
    <x v="0"/>
    <n v="1"/>
    <x v="7"/>
    <x v="7"/>
    <x v="2"/>
    <x v="1"/>
    <n v="163"/>
    <x v="25"/>
    <x v="39"/>
    <n v="4155551450"/>
    <s v="5677 Strong St."/>
    <m/>
    <x v="33"/>
    <s v="CA"/>
    <n v="97562"/>
    <x v="0"/>
    <x v="0"/>
    <s v="Nelson"/>
    <s v="Valarie"/>
    <x v="0"/>
  </r>
  <r>
    <n v="10382"/>
    <n v="25"/>
    <n v="88"/>
    <n v="5"/>
    <n v="2200"/>
    <d v="2005-02-17T00:00:00"/>
    <x v="0"/>
    <n v="1"/>
    <x v="0"/>
    <x v="0"/>
    <x v="2"/>
    <x v="1"/>
    <n v="163"/>
    <x v="25"/>
    <x v="39"/>
    <n v="4155551450"/>
    <s v="5677 Strong St."/>
    <m/>
    <x v="33"/>
    <s v="CA"/>
    <n v="97562"/>
    <x v="0"/>
    <x v="0"/>
    <s v="Nelson"/>
    <s v="Valarie"/>
    <x v="0"/>
  </r>
  <r>
    <n v="10412"/>
    <n v="41"/>
    <n v="100"/>
    <n v="4"/>
    <n v="6712.93"/>
    <d v="2005-05-03T00:00:00"/>
    <x v="0"/>
    <n v="2"/>
    <x v="1"/>
    <x v="1"/>
    <x v="2"/>
    <x v="1"/>
    <n v="163"/>
    <x v="25"/>
    <x v="23"/>
    <s v="(91) 555 94 44"/>
    <s v="C/ Moralzarzal, 86"/>
    <m/>
    <x v="20"/>
    <m/>
    <n v="28034"/>
    <x v="7"/>
    <x v="1"/>
    <s v="Freyre"/>
    <s v="Diego"/>
    <x v="1"/>
  </r>
  <r>
    <n v="10425"/>
    <n v="28"/>
    <n v="100"/>
    <n v="3"/>
    <n v="5318.04"/>
    <d v="2005-05-31T00:00:00"/>
    <x v="2"/>
    <n v="2"/>
    <x v="1"/>
    <x v="1"/>
    <x v="2"/>
    <x v="1"/>
    <n v="163"/>
    <x v="25"/>
    <x v="14"/>
    <s v="40.67.8555"/>
    <s v="67, rue des Cinquante Otages"/>
    <m/>
    <x v="11"/>
    <m/>
    <n v="44000"/>
    <x v="1"/>
    <x v="1"/>
    <s v="Labrune"/>
    <s v="Janine"/>
    <x v="1"/>
  </r>
  <r>
    <n v="10100"/>
    <n v="50"/>
    <n v="67.8"/>
    <n v="2"/>
    <n v="3390"/>
    <d v="2003-01-06T00:00:00"/>
    <x v="0"/>
    <n v="1"/>
    <x v="7"/>
    <x v="7"/>
    <x v="0"/>
    <x v="3"/>
    <n v="60"/>
    <x v="26"/>
    <x v="40"/>
    <n v="6035558647"/>
    <s v="2304 Long Airport Avenue"/>
    <m/>
    <x v="34"/>
    <s v="NH"/>
    <n v="62005"/>
    <x v="0"/>
    <x v="0"/>
    <s v="Young"/>
    <s v="Valarie"/>
    <x v="1"/>
  </r>
  <r>
    <n v="10110"/>
    <n v="32"/>
    <n v="50.25"/>
    <n v="6"/>
    <n v="1608"/>
    <d v="2003-03-18T00:00:00"/>
    <x v="0"/>
    <n v="1"/>
    <x v="11"/>
    <x v="11"/>
    <x v="0"/>
    <x v="3"/>
    <n v="60"/>
    <x v="26"/>
    <x v="77"/>
    <s v="(171) 555-1555"/>
    <s v="Fauntleroy Circus"/>
    <m/>
    <x v="61"/>
    <m/>
    <s v="EC2 5NT"/>
    <x v="6"/>
    <x v="1"/>
    <s v="Ashworth"/>
    <s v="Victoria"/>
    <x v="0"/>
  </r>
  <r>
    <n v="10124"/>
    <n v="42"/>
    <n v="53.88"/>
    <n v="5"/>
    <n v="2262.96"/>
    <d v="2003-05-21T00:00:00"/>
    <x v="0"/>
    <n v="2"/>
    <x v="1"/>
    <x v="1"/>
    <x v="0"/>
    <x v="3"/>
    <n v="60"/>
    <x v="26"/>
    <x v="84"/>
    <n v="7025551838"/>
    <s v="8489 Strong St."/>
    <m/>
    <x v="67"/>
    <s v="NV"/>
    <n v="83030"/>
    <x v="0"/>
    <x v="0"/>
    <s v="King"/>
    <s v="Sue"/>
    <x v="0"/>
  </r>
  <r>
    <n v="10149"/>
    <n v="24"/>
    <n v="62.36"/>
    <n v="10"/>
    <n v="1496.64"/>
    <d v="2003-09-12T00:00:00"/>
    <x v="0"/>
    <n v="3"/>
    <x v="10"/>
    <x v="10"/>
    <x v="0"/>
    <x v="3"/>
    <n v="60"/>
    <x v="26"/>
    <x v="82"/>
    <n v="4155554312"/>
    <s v="2793 Furth Circle"/>
    <m/>
    <x v="65"/>
    <s v="CA"/>
    <n v="94217"/>
    <x v="0"/>
    <x v="0"/>
    <s v="Taylor"/>
    <s v="Sue"/>
    <x v="0"/>
  </r>
  <r>
    <n v="10162"/>
    <n v="27"/>
    <n v="69.62"/>
    <n v="8"/>
    <n v="1879.74"/>
    <d v="2003-10-18T00:00:00"/>
    <x v="0"/>
    <n v="4"/>
    <x v="4"/>
    <x v="4"/>
    <x v="0"/>
    <x v="3"/>
    <n v="60"/>
    <x v="26"/>
    <x v="4"/>
    <n v="6505551386"/>
    <s v="7734 Strong St."/>
    <m/>
    <x v="4"/>
    <s v="CA"/>
    <m/>
    <x v="0"/>
    <x v="0"/>
    <s v="Brown"/>
    <s v="Julie"/>
    <x v="0"/>
  </r>
  <r>
    <n v="10173"/>
    <n v="26"/>
    <n v="57.51"/>
    <n v="12"/>
    <n v="1495.26"/>
    <d v="2003-11-05T00:00:00"/>
    <x v="0"/>
    <n v="4"/>
    <x v="5"/>
    <x v="5"/>
    <x v="0"/>
    <x v="3"/>
    <n v="60"/>
    <x v="26"/>
    <x v="86"/>
    <s v="035-640555"/>
    <s v="Via Ludovico il Moro 22"/>
    <m/>
    <x v="69"/>
    <m/>
    <n v="24100"/>
    <x v="12"/>
    <x v="1"/>
    <s v="Rovelli"/>
    <s v="Giovanni"/>
    <x v="0"/>
  </r>
  <r>
    <n v="10182"/>
    <n v="38"/>
    <n v="61.15"/>
    <n v="9"/>
    <n v="2323.6999999999998"/>
    <d v="2003-11-12T00:00:00"/>
    <x v="0"/>
    <n v="4"/>
    <x v="5"/>
    <x v="5"/>
    <x v="0"/>
    <x v="3"/>
    <n v="60"/>
    <x v="26"/>
    <x v="39"/>
    <n v="4155551450"/>
    <s v="5677 Strong St."/>
    <m/>
    <x v="33"/>
    <s v="CA"/>
    <n v="97562"/>
    <x v="0"/>
    <x v="0"/>
    <s v="Nelson"/>
    <s v="Valarie"/>
    <x v="0"/>
  </r>
  <r>
    <n v="10193"/>
    <n v="42"/>
    <n v="59.33"/>
    <n v="13"/>
    <n v="2491.86"/>
    <d v="2003-11-21T00:00:00"/>
    <x v="0"/>
    <n v="4"/>
    <x v="5"/>
    <x v="5"/>
    <x v="0"/>
    <x v="3"/>
    <n v="60"/>
    <x v="26"/>
    <x v="87"/>
    <s v="61-9-3844-6555"/>
    <s v="7 Allen Street"/>
    <m/>
    <x v="70"/>
    <s v="Victoria"/>
    <n v="3150"/>
    <x v="3"/>
    <x v="2"/>
    <s v="Connery"/>
    <s v="Sean"/>
    <x v="0"/>
  </r>
  <r>
    <n v="10204"/>
    <n v="23"/>
    <n v="71.44"/>
    <n v="3"/>
    <n v="1643.12"/>
    <d v="2003-12-02T00:00:00"/>
    <x v="0"/>
    <n v="4"/>
    <x v="6"/>
    <x v="6"/>
    <x v="0"/>
    <x v="3"/>
    <n v="60"/>
    <x v="26"/>
    <x v="74"/>
    <n v="2125557413"/>
    <s v="4092 Furth Circle"/>
    <s v="Suite 400"/>
    <x v="0"/>
    <s v="NY"/>
    <n v="10022"/>
    <x v="0"/>
    <x v="0"/>
    <s v="Young"/>
    <s v="Jeff"/>
    <x v="0"/>
  </r>
  <r>
    <n v="10214"/>
    <n v="21"/>
    <n v="62.96"/>
    <n v="6"/>
    <n v="1322.16"/>
    <d v="2004-01-26T00:00:00"/>
    <x v="0"/>
    <n v="1"/>
    <x v="7"/>
    <x v="7"/>
    <x v="1"/>
    <x v="3"/>
    <n v="60"/>
    <x v="26"/>
    <x v="25"/>
    <s v="(91) 555 22 82"/>
    <s v="C/ Araquil, 67"/>
    <m/>
    <x v="20"/>
    <m/>
    <n v="28023"/>
    <x v="7"/>
    <x v="1"/>
    <s v="Sommer"/>
    <s v="Mart¡n"/>
    <x v="0"/>
  </r>
  <r>
    <n v="10227"/>
    <n v="28"/>
    <n v="50.85"/>
    <n v="9"/>
    <n v="1423.8"/>
    <d v="2004-03-02T00:00:00"/>
    <x v="0"/>
    <n v="1"/>
    <x v="11"/>
    <x v="11"/>
    <x v="1"/>
    <x v="3"/>
    <n v="60"/>
    <x v="26"/>
    <x v="30"/>
    <s v="78.32.5555"/>
    <s v="2, rue du Commerce"/>
    <m/>
    <x v="25"/>
    <m/>
    <n v="69004"/>
    <x v="1"/>
    <x v="1"/>
    <s v="Saveley"/>
    <s v="Mary"/>
    <x v="0"/>
  </r>
  <r>
    <n v="10241"/>
    <n v="33"/>
    <n v="72.650000000000006"/>
    <n v="1"/>
    <n v="2397.4499999999998"/>
    <d v="2004-04-13T00:00:00"/>
    <x v="0"/>
    <n v="2"/>
    <x v="8"/>
    <x v="8"/>
    <x v="1"/>
    <x v="3"/>
    <n v="60"/>
    <x v="26"/>
    <x v="83"/>
    <s v="88.60.1555"/>
    <s v="24, place Kluber"/>
    <m/>
    <x v="66"/>
    <m/>
    <n v="67000"/>
    <x v="1"/>
    <x v="1"/>
    <s v="Citeaux"/>
    <s v="Frederique"/>
    <x v="0"/>
  </r>
  <r>
    <n v="10280"/>
    <n v="25"/>
    <n v="62.96"/>
    <n v="15"/>
    <n v="1574"/>
    <d v="2004-08-17T00:00:00"/>
    <x v="0"/>
    <n v="3"/>
    <x v="3"/>
    <x v="3"/>
    <x v="1"/>
    <x v="3"/>
    <n v="60"/>
    <x v="26"/>
    <x v="36"/>
    <s v="011-4988555"/>
    <s v="Via Monte Bianco 34"/>
    <m/>
    <x v="30"/>
    <m/>
    <n v="10100"/>
    <x v="12"/>
    <x v="1"/>
    <s v="Accorti"/>
    <s v="Paolo"/>
    <x v="0"/>
  </r>
  <r>
    <n v="10288"/>
    <n v="28"/>
    <n v="61.75"/>
    <n v="4"/>
    <n v="1729"/>
    <d v="2004-09-01T00:00:00"/>
    <x v="0"/>
    <n v="3"/>
    <x v="10"/>
    <x v="10"/>
    <x v="1"/>
    <x v="3"/>
    <n v="60"/>
    <x v="26"/>
    <x v="65"/>
    <s v="+65 224 1555"/>
    <s v="Village Close - 106 Linden Road Sandown"/>
    <s v="2nd Floor"/>
    <x v="22"/>
    <m/>
    <n v="69045"/>
    <x v="9"/>
    <x v="2"/>
    <s v="Victorino"/>
    <s v="Wendy"/>
    <x v="0"/>
  </r>
  <r>
    <n v="10303"/>
    <n v="46"/>
    <n v="49.04"/>
    <n v="2"/>
    <n v="2255.84"/>
    <d v="2004-10-06T00:00:00"/>
    <x v="0"/>
    <n v="4"/>
    <x v="4"/>
    <x v="4"/>
    <x v="1"/>
    <x v="3"/>
    <n v="60"/>
    <x v="26"/>
    <x v="81"/>
    <s v="(95) 555 82 82"/>
    <s v="C/ Romero, 33"/>
    <m/>
    <x v="64"/>
    <m/>
    <n v="41101"/>
    <x v="7"/>
    <x v="1"/>
    <s v="Roel"/>
    <s v="Jose Pedro"/>
    <x v="0"/>
  </r>
  <r>
    <n v="10312"/>
    <n v="30"/>
    <n v="61.15"/>
    <n v="16"/>
    <n v="1834.5"/>
    <d v="2004-10-21T00:00:00"/>
    <x v="0"/>
    <n v="4"/>
    <x v="4"/>
    <x v="4"/>
    <x v="1"/>
    <x v="3"/>
    <n v="60"/>
    <x v="26"/>
    <x v="39"/>
    <n v="4155551450"/>
    <s v="5677 Strong St."/>
    <m/>
    <x v="33"/>
    <s v="CA"/>
    <n v="97562"/>
    <x v="0"/>
    <x v="0"/>
    <s v="Nelson"/>
    <s v="Valarie"/>
    <x v="0"/>
  </r>
  <r>
    <n v="10332"/>
    <n v="38"/>
    <n v="84.25"/>
    <n v="9"/>
    <n v="3201.5"/>
    <d v="2004-11-17T00:00:00"/>
    <x v="0"/>
    <n v="4"/>
    <x v="5"/>
    <x v="5"/>
    <x v="1"/>
    <x v="3"/>
    <n v="60"/>
    <x v="26"/>
    <x v="77"/>
    <s v="(171) 555-1555"/>
    <s v="Fauntleroy Circus"/>
    <m/>
    <x v="61"/>
    <m/>
    <s v="EC2 5NT"/>
    <x v="6"/>
    <x v="1"/>
    <s v="Ashworth"/>
    <s v="Victoria"/>
    <x v="1"/>
  </r>
  <r>
    <n v="10344"/>
    <n v="40"/>
    <n v="56.91"/>
    <n v="2"/>
    <n v="2276.4"/>
    <d v="2004-11-25T00:00:00"/>
    <x v="0"/>
    <n v="4"/>
    <x v="5"/>
    <x v="5"/>
    <x v="1"/>
    <x v="3"/>
    <n v="60"/>
    <x v="26"/>
    <x v="67"/>
    <s v="91.24.4555"/>
    <s v="12, rue des Bouchers"/>
    <m/>
    <x v="54"/>
    <m/>
    <n v="13008"/>
    <x v="1"/>
    <x v="1"/>
    <s v="Lebihan"/>
    <s v="Laurence"/>
    <x v="0"/>
  </r>
  <r>
    <n v="10367"/>
    <n v="45"/>
    <n v="100"/>
    <n v="4"/>
    <n v="8884.7999999999993"/>
    <d v="2005-01-12T00:00:00"/>
    <x v="5"/>
    <n v="1"/>
    <x v="7"/>
    <x v="7"/>
    <x v="2"/>
    <x v="3"/>
    <n v="60"/>
    <x v="26"/>
    <x v="3"/>
    <n v="6265557265"/>
    <s v="78934 Hillside Dr."/>
    <m/>
    <x v="3"/>
    <s v="CA"/>
    <n v="90003"/>
    <x v="0"/>
    <x v="0"/>
    <s v="Young"/>
    <s v="Julie"/>
    <x v="2"/>
  </r>
  <r>
    <n v="10379"/>
    <n v="27"/>
    <n v="49.3"/>
    <n v="1"/>
    <n v="1331.1"/>
    <d v="2005-02-10T00:00:00"/>
    <x v="0"/>
    <n v="1"/>
    <x v="0"/>
    <x v="0"/>
    <x v="2"/>
    <x v="3"/>
    <n v="60"/>
    <x v="26"/>
    <x v="23"/>
    <s v="(91) 555 94 44"/>
    <s v="C/ Moralzarzal, 86"/>
    <m/>
    <x v="20"/>
    <m/>
    <n v="28034"/>
    <x v="7"/>
    <x v="1"/>
    <s v="Freyre"/>
    <s v="Diego"/>
    <x v="0"/>
  </r>
  <r>
    <n v="10407"/>
    <n v="42"/>
    <n v="72.650000000000006"/>
    <n v="1"/>
    <n v="3051.3"/>
    <d v="2005-04-22T00:00:00"/>
    <x v="4"/>
    <n v="2"/>
    <x v="8"/>
    <x v="8"/>
    <x v="2"/>
    <x v="3"/>
    <n v="60"/>
    <x v="26"/>
    <x v="61"/>
    <n v="4085553659"/>
    <s v="3086 Ingle Ln."/>
    <m/>
    <x v="51"/>
    <s v="CA"/>
    <n v="94217"/>
    <x v="0"/>
    <x v="0"/>
    <s v="Frick"/>
    <s v="Sue"/>
    <x v="1"/>
  </r>
  <r>
    <n v="10420"/>
    <n v="36"/>
    <n v="63.57"/>
    <n v="4"/>
    <n v="2288.52"/>
    <d v="2005-05-29T00:00:00"/>
    <x v="2"/>
    <n v="2"/>
    <x v="1"/>
    <x v="1"/>
    <x v="2"/>
    <x v="3"/>
    <n v="60"/>
    <x v="26"/>
    <x v="20"/>
    <s v="+61 2 9495 8555"/>
    <s v="Monitor Money Building, 815 Pacific Hwy"/>
    <s v="Level 6"/>
    <x v="17"/>
    <s v="NSW"/>
    <n v="2067"/>
    <x v="3"/>
    <x v="2"/>
    <s v="Huxley"/>
    <s v="Adrian"/>
    <x v="0"/>
  </r>
  <r>
    <n v="10104"/>
    <n v="29"/>
    <n v="100"/>
    <n v="12"/>
    <n v="3772.61"/>
    <d v="2003-01-31T00:00:00"/>
    <x v="0"/>
    <n v="1"/>
    <x v="7"/>
    <x v="7"/>
    <x v="0"/>
    <x v="2"/>
    <n v="122"/>
    <x v="27"/>
    <x v="23"/>
    <s v="(91) 555 94 44"/>
    <s v="C/ Moralzarzal, 86"/>
    <m/>
    <x v="20"/>
    <m/>
    <n v="28034"/>
    <x v="7"/>
    <x v="1"/>
    <s v="Freyre"/>
    <s v="Diego"/>
    <x v="1"/>
  </r>
  <r>
    <n v="10114"/>
    <n v="39"/>
    <n v="100"/>
    <n v="3"/>
    <n v="4164.42"/>
    <d v="2003-04-01T00:00:00"/>
    <x v="0"/>
    <n v="2"/>
    <x v="8"/>
    <x v="8"/>
    <x v="0"/>
    <x v="2"/>
    <n v="122"/>
    <x v="27"/>
    <x v="62"/>
    <s v="(1) 42.34.2555"/>
    <s v="265, boulevard Charonne"/>
    <m/>
    <x v="2"/>
    <m/>
    <n v="75012"/>
    <x v="1"/>
    <x v="1"/>
    <s v="Bertrand"/>
    <s v="Marie"/>
    <x v="1"/>
  </r>
  <r>
    <n v="10127"/>
    <n v="45"/>
    <n v="100"/>
    <n v="14"/>
    <n v="6295.95"/>
    <d v="2003-06-03T00:00:00"/>
    <x v="0"/>
    <n v="2"/>
    <x v="9"/>
    <x v="9"/>
    <x v="0"/>
    <x v="2"/>
    <n v="122"/>
    <x v="27"/>
    <x v="74"/>
    <n v="2125557413"/>
    <s v="4092 Furth Circle"/>
    <s v="Suite 400"/>
    <x v="0"/>
    <s v="NY"/>
    <n v="10022"/>
    <x v="0"/>
    <x v="0"/>
    <s v="Young"/>
    <s v="Jeff"/>
    <x v="1"/>
  </r>
  <r>
    <n v="10141"/>
    <n v="47"/>
    <n v="100"/>
    <n v="8"/>
    <n v="6287.66"/>
    <d v="2003-08-01T00:00:00"/>
    <x v="0"/>
    <n v="3"/>
    <x v="3"/>
    <x v="3"/>
    <x v="0"/>
    <x v="2"/>
    <n v="122"/>
    <x v="27"/>
    <x v="73"/>
    <s v="+358 9 8045 555"/>
    <s v="Software Engineering Center, SEC Oy"/>
    <m/>
    <x v="59"/>
    <m/>
    <s v="FIN-02271"/>
    <x v="4"/>
    <x v="1"/>
    <s v="Suominen"/>
    <s v="Kalle"/>
    <x v="1"/>
  </r>
  <r>
    <n v="10151"/>
    <n v="49"/>
    <n v="100"/>
    <n v="6"/>
    <n v="5412.54"/>
    <d v="2003-09-21T00:00:00"/>
    <x v="0"/>
    <n v="3"/>
    <x v="10"/>
    <x v="10"/>
    <x v="0"/>
    <x v="2"/>
    <n v="122"/>
    <x v="27"/>
    <x v="60"/>
    <s v="981-443655"/>
    <s v="Torikatu 38"/>
    <m/>
    <x v="50"/>
    <m/>
    <n v="90110"/>
    <x v="4"/>
    <x v="1"/>
    <s v="Koskitalo"/>
    <s v="Pirkko"/>
    <x v="1"/>
  </r>
  <r>
    <n v="10165"/>
    <n v="46"/>
    <n v="100"/>
    <n v="15"/>
    <n v="5984.14"/>
    <d v="2003-10-22T00:00:00"/>
    <x v="0"/>
    <n v="4"/>
    <x v="4"/>
    <x v="4"/>
    <x v="0"/>
    <x v="2"/>
    <n v="122"/>
    <x v="27"/>
    <x v="26"/>
    <s v="+65 221 7555"/>
    <s v="Bronz Sok., Bronz Apt. 3/6 Tesvikiye"/>
    <m/>
    <x v="22"/>
    <m/>
    <n v="79903"/>
    <x v="9"/>
    <x v="3"/>
    <s v="Natividad"/>
    <s v="Eric"/>
    <x v="1"/>
  </r>
  <r>
    <n v="10175"/>
    <n v="48"/>
    <n v="100"/>
    <n v="4"/>
    <n v="5891.04"/>
    <d v="2003-11-06T00:00:00"/>
    <x v="0"/>
    <n v="4"/>
    <x v="5"/>
    <x v="5"/>
    <x v="0"/>
    <x v="2"/>
    <n v="122"/>
    <x v="27"/>
    <x v="49"/>
    <s v="(171) 555-0297"/>
    <s v="35 King George"/>
    <m/>
    <x v="41"/>
    <m/>
    <s v="WX3 6FW"/>
    <x v="6"/>
    <x v="1"/>
    <s v="Brown"/>
    <s v="Ann"/>
    <x v="1"/>
  </r>
  <r>
    <n v="10184"/>
    <n v="46"/>
    <n v="100"/>
    <n v="9"/>
    <n v="5984.14"/>
    <d v="2003-11-14T00:00:00"/>
    <x v="0"/>
    <n v="4"/>
    <x v="5"/>
    <x v="5"/>
    <x v="0"/>
    <x v="2"/>
    <n v="122"/>
    <x v="27"/>
    <x v="81"/>
    <s v="(95) 555 82 82"/>
    <s v="C/ Romero, 33"/>
    <m/>
    <x v="64"/>
    <m/>
    <n v="41101"/>
    <x v="7"/>
    <x v="1"/>
    <s v="Roel"/>
    <s v="Jose Pedro"/>
    <x v="1"/>
  </r>
  <r>
    <n v="10195"/>
    <n v="35"/>
    <n v="100"/>
    <n v="9"/>
    <n v="3608.15"/>
    <d v="2003-11-25T00:00:00"/>
    <x v="0"/>
    <n v="4"/>
    <x v="5"/>
    <x v="5"/>
    <x v="0"/>
    <x v="2"/>
    <n v="122"/>
    <x v="27"/>
    <x v="47"/>
    <n v="9145554562"/>
    <s v="3758 North Pendale Street"/>
    <m/>
    <x v="39"/>
    <s v="NY"/>
    <n v="24067"/>
    <x v="0"/>
    <x v="0"/>
    <s v="Frick"/>
    <s v="Steve"/>
    <x v="1"/>
  </r>
  <r>
    <n v="10207"/>
    <n v="43"/>
    <n v="100"/>
    <n v="10"/>
    <n v="5752.54"/>
    <d v="2003-12-09T00:00:00"/>
    <x v="0"/>
    <n v="4"/>
    <x v="6"/>
    <x v="6"/>
    <x v="0"/>
    <x v="2"/>
    <n v="122"/>
    <x v="27"/>
    <x v="64"/>
    <n v="6175552555"/>
    <s v="6251 Ingle Ln."/>
    <m/>
    <x v="48"/>
    <s v="MA"/>
    <n v="51003"/>
    <x v="0"/>
    <x v="0"/>
    <s v="Franco"/>
    <s v="Valarie"/>
    <x v="1"/>
  </r>
  <r>
    <n v="10229"/>
    <n v="26"/>
    <n v="100"/>
    <n v="4"/>
    <n v="3765.32"/>
    <d v="2004-03-11T00:00:00"/>
    <x v="0"/>
    <n v="1"/>
    <x v="11"/>
    <x v="11"/>
    <x v="1"/>
    <x v="2"/>
    <n v="122"/>
    <x v="27"/>
    <x v="39"/>
    <n v="4155551450"/>
    <s v="5677 Strong St."/>
    <m/>
    <x v="33"/>
    <s v="CA"/>
    <n v="97562"/>
    <x v="0"/>
    <x v="0"/>
    <s v="Nelson"/>
    <s v="Valarie"/>
    <x v="1"/>
  </r>
  <r>
    <n v="10246"/>
    <n v="22"/>
    <n v="98.18"/>
    <n v="8"/>
    <n v="2159.96"/>
    <d v="2004-05-05T00:00:00"/>
    <x v="0"/>
    <n v="2"/>
    <x v="1"/>
    <x v="1"/>
    <x v="1"/>
    <x v="2"/>
    <n v="122"/>
    <x v="27"/>
    <x v="23"/>
    <s v="(91) 555 94 44"/>
    <s v="C/ Moralzarzal, 86"/>
    <m/>
    <x v="20"/>
    <m/>
    <n v="28034"/>
    <x v="7"/>
    <x v="1"/>
    <s v="Freyre"/>
    <s v="Diego"/>
    <x v="0"/>
  </r>
  <r>
    <n v="10259"/>
    <n v="34"/>
    <n v="99.41"/>
    <n v="7"/>
    <n v="3379.94"/>
    <d v="2004-06-15T00:00:00"/>
    <x v="0"/>
    <n v="2"/>
    <x v="9"/>
    <x v="9"/>
    <x v="1"/>
    <x v="2"/>
    <n v="122"/>
    <x v="27"/>
    <x v="65"/>
    <s v="+65 224 1555"/>
    <s v="Village Close - 106 Linden Road Sandown"/>
    <s v="2nd Floor"/>
    <x v="22"/>
    <m/>
    <n v="69045"/>
    <x v="9"/>
    <x v="2"/>
    <s v="Victorino"/>
    <s v="Wendy"/>
    <x v="1"/>
  </r>
  <r>
    <n v="10271"/>
    <n v="50"/>
    <n v="100"/>
    <n v="8"/>
    <n v="5093.5"/>
    <d v="2004-07-20T00:00:00"/>
    <x v="0"/>
    <n v="3"/>
    <x v="2"/>
    <x v="2"/>
    <x v="1"/>
    <x v="2"/>
    <n v="122"/>
    <x v="27"/>
    <x v="39"/>
    <n v="4155551450"/>
    <s v="5677 Strong St."/>
    <m/>
    <x v="33"/>
    <s v="CA"/>
    <n v="97562"/>
    <x v="0"/>
    <x v="0"/>
    <s v="Nelson"/>
    <s v="Valarie"/>
    <x v="1"/>
  </r>
  <r>
    <n v="10281"/>
    <n v="48"/>
    <n v="100"/>
    <n v="4"/>
    <n v="5773.44"/>
    <d v="2004-08-19T00:00:00"/>
    <x v="0"/>
    <n v="3"/>
    <x v="3"/>
    <x v="3"/>
    <x v="1"/>
    <x v="2"/>
    <n v="122"/>
    <x v="27"/>
    <x v="18"/>
    <n v="2155551555"/>
    <s v="7586 Pompton St."/>
    <m/>
    <x v="15"/>
    <s v="PA"/>
    <n v="70267"/>
    <x v="0"/>
    <x v="0"/>
    <s v="Yu"/>
    <s v="Kyung"/>
    <x v="1"/>
  </r>
  <r>
    <n v="10292"/>
    <n v="41"/>
    <n v="100"/>
    <n v="11"/>
    <n v="4528.8599999999997"/>
    <d v="2004-09-08T00:00:00"/>
    <x v="0"/>
    <n v="3"/>
    <x v="10"/>
    <x v="10"/>
    <x v="1"/>
    <x v="2"/>
    <n v="122"/>
    <x v="27"/>
    <x v="0"/>
    <n v="2125557818"/>
    <s v="897 Long Airport Avenue"/>
    <m/>
    <x v="0"/>
    <s v="NY"/>
    <n v="10022"/>
    <x v="0"/>
    <x v="0"/>
    <s v="Yu"/>
    <s v="Kwai"/>
    <x v="1"/>
  </r>
  <r>
    <n v="10305"/>
    <n v="36"/>
    <n v="100"/>
    <n v="8"/>
    <n v="4816.08"/>
    <d v="2004-10-13T00:00:00"/>
    <x v="0"/>
    <n v="4"/>
    <x v="4"/>
    <x v="4"/>
    <x v="1"/>
    <x v="2"/>
    <n v="122"/>
    <x v="27"/>
    <x v="15"/>
    <n v="6175558555"/>
    <s v="39323 Spinnaker Dr."/>
    <m/>
    <x v="12"/>
    <s v="MA"/>
    <n v="51247"/>
    <x v="0"/>
    <x v="0"/>
    <s v="Hernandez"/>
    <s v="Marta"/>
    <x v="1"/>
  </r>
  <r>
    <n v="10313"/>
    <n v="29"/>
    <n v="100"/>
    <n v="2"/>
    <n v="3416.78"/>
    <d v="2004-10-22T00:00:00"/>
    <x v="0"/>
    <n v="4"/>
    <x v="4"/>
    <x v="4"/>
    <x v="1"/>
    <x v="2"/>
    <n v="122"/>
    <x v="27"/>
    <x v="31"/>
    <s v="(604) 555-3392"/>
    <s v="1900 Oak St."/>
    <m/>
    <x v="26"/>
    <s v="BC"/>
    <s v="V3F 2K1"/>
    <x v="10"/>
    <x v="0"/>
    <s v="Tannamuri"/>
    <s v="Yoshi"/>
    <x v="1"/>
  </r>
  <r>
    <n v="10324"/>
    <n v="33"/>
    <n v="37.479999999999997"/>
    <n v="10"/>
    <n v="1236.8399999999999"/>
    <d v="2004-11-05T00:00:00"/>
    <x v="0"/>
    <n v="4"/>
    <x v="5"/>
    <x v="5"/>
    <x v="1"/>
    <x v="2"/>
    <n v="122"/>
    <x v="27"/>
    <x v="11"/>
    <n v="2125551500"/>
    <s v="2678 Kingston Rd."/>
    <s v="Suite 101"/>
    <x v="0"/>
    <s v="NY"/>
    <n v="10022"/>
    <x v="0"/>
    <x v="0"/>
    <s v="Frick"/>
    <s v="Michael"/>
    <x v="0"/>
  </r>
  <r>
    <n v="10334"/>
    <n v="46"/>
    <n v="100"/>
    <n v="6"/>
    <n v="5814.86"/>
    <d v="2004-11-19T00:00:00"/>
    <x v="4"/>
    <n v="4"/>
    <x v="5"/>
    <x v="5"/>
    <x v="1"/>
    <x v="2"/>
    <n v="122"/>
    <x v="27"/>
    <x v="24"/>
    <s v="0921-12 3555"/>
    <s v="Berguvsv„gen  8"/>
    <m/>
    <x v="21"/>
    <m/>
    <s v="S-958 22"/>
    <x v="8"/>
    <x v="1"/>
    <s v="Berglund"/>
    <s v="Christina"/>
    <x v="1"/>
  </r>
  <r>
    <n v="10349"/>
    <n v="38"/>
    <n v="100"/>
    <n v="7"/>
    <n v="5223.4799999999996"/>
    <d v="2004-12-01T00:00:00"/>
    <x v="0"/>
    <n v="4"/>
    <x v="6"/>
    <x v="6"/>
    <x v="1"/>
    <x v="2"/>
    <n v="122"/>
    <x v="27"/>
    <x v="74"/>
    <n v="2125557413"/>
    <s v="4092 Furth Circle"/>
    <s v="Suite 400"/>
    <x v="0"/>
    <s v="NY"/>
    <n v="10022"/>
    <x v="0"/>
    <x v="0"/>
    <s v="Young"/>
    <s v="Jeff"/>
    <x v="1"/>
  </r>
  <r>
    <n v="10358"/>
    <n v="20"/>
    <n v="36.42"/>
    <n v="11"/>
    <n v="728.4"/>
    <d v="2004-12-10T00:00:00"/>
    <x v="0"/>
    <n v="4"/>
    <x v="6"/>
    <x v="6"/>
    <x v="1"/>
    <x v="2"/>
    <n v="122"/>
    <x v="27"/>
    <x v="23"/>
    <s v="(91) 555 94 44"/>
    <s v="C/ Moralzarzal, 86"/>
    <m/>
    <x v="20"/>
    <m/>
    <n v="28034"/>
    <x v="7"/>
    <x v="1"/>
    <s v="Freyre"/>
    <s v="Diego"/>
    <x v="0"/>
  </r>
  <r>
    <n v="10370"/>
    <n v="22"/>
    <n v="100"/>
    <n v="5"/>
    <n v="3949"/>
    <d v="2005-01-20T00:00:00"/>
    <x v="0"/>
    <n v="1"/>
    <x v="7"/>
    <x v="7"/>
    <x v="2"/>
    <x v="2"/>
    <n v="122"/>
    <x v="27"/>
    <x v="42"/>
    <s v="02 9936 8555"/>
    <s v="201 Miller Street"/>
    <s v="Level 15"/>
    <x v="36"/>
    <s v="NSW"/>
    <n v="2060"/>
    <x v="3"/>
    <x v="2"/>
    <s v="O'Hara"/>
    <s v="Anna"/>
    <x v="1"/>
  </r>
  <r>
    <n v="10383"/>
    <n v="27"/>
    <n v="100"/>
    <n v="11"/>
    <n v="3843.99"/>
    <d v="2005-02-22T00:00:00"/>
    <x v="0"/>
    <n v="1"/>
    <x v="0"/>
    <x v="0"/>
    <x v="2"/>
    <x v="2"/>
    <n v="122"/>
    <x v="27"/>
    <x v="23"/>
    <s v="(91) 555 94 44"/>
    <s v="C/ Moralzarzal, 86"/>
    <m/>
    <x v="20"/>
    <m/>
    <n v="28034"/>
    <x v="7"/>
    <x v="1"/>
    <s v="Freyre"/>
    <s v="Diego"/>
    <x v="1"/>
  </r>
  <r>
    <n v="10412"/>
    <n v="56"/>
    <n v="98.18"/>
    <n v="8"/>
    <n v="5498.08"/>
    <d v="2005-05-03T00:00:00"/>
    <x v="0"/>
    <n v="2"/>
    <x v="1"/>
    <x v="1"/>
    <x v="2"/>
    <x v="2"/>
    <n v="122"/>
    <x v="27"/>
    <x v="23"/>
    <s v="(91) 555 94 44"/>
    <s v="C/ Moralzarzal, 86"/>
    <m/>
    <x v="20"/>
    <m/>
    <n v="28034"/>
    <x v="7"/>
    <x v="1"/>
    <s v="Freyre"/>
    <s v="Diego"/>
    <x v="1"/>
  </r>
  <r>
    <n v="10425"/>
    <n v="38"/>
    <n v="99.41"/>
    <n v="7"/>
    <n v="3777.58"/>
    <d v="2005-05-31T00:00:00"/>
    <x v="2"/>
    <n v="2"/>
    <x v="1"/>
    <x v="1"/>
    <x v="2"/>
    <x v="2"/>
    <n v="122"/>
    <x v="27"/>
    <x v="14"/>
    <s v="40.67.8555"/>
    <s v="67, rue des Cinquante Otages"/>
    <m/>
    <x v="11"/>
    <m/>
    <n v="44000"/>
    <x v="1"/>
    <x v="1"/>
    <s v="Labrune"/>
    <s v="Janine"/>
    <x v="1"/>
  </r>
  <r>
    <n v="10101"/>
    <n v="25"/>
    <n v="100"/>
    <n v="4"/>
    <n v="3782"/>
    <d v="2003-01-09T00:00:00"/>
    <x v="0"/>
    <n v="1"/>
    <x v="7"/>
    <x v="7"/>
    <x v="0"/>
    <x v="3"/>
    <n v="127"/>
    <x v="28"/>
    <x v="72"/>
    <s v="+49 69 66 90 2555"/>
    <s v="Lyonerstr. 34"/>
    <m/>
    <x v="58"/>
    <m/>
    <n v="60528"/>
    <x v="16"/>
    <x v="1"/>
    <s v="Keitel"/>
    <s v="Roland"/>
    <x v="1"/>
  </r>
  <r>
    <n v="10110"/>
    <n v="33"/>
    <n v="100"/>
    <n v="4"/>
    <n v="3859.68"/>
    <d v="2003-03-18T00:00:00"/>
    <x v="0"/>
    <n v="1"/>
    <x v="11"/>
    <x v="11"/>
    <x v="0"/>
    <x v="3"/>
    <n v="127"/>
    <x v="28"/>
    <x v="77"/>
    <s v="(171) 555-1555"/>
    <s v="Fauntleroy Circus"/>
    <m/>
    <x v="61"/>
    <m/>
    <s v="EC2 5NT"/>
    <x v="6"/>
    <x v="1"/>
    <s v="Ashworth"/>
    <s v="Victoria"/>
    <x v="1"/>
  </r>
  <r>
    <n v="10124"/>
    <n v="42"/>
    <n v="100"/>
    <n v="3"/>
    <n v="4431.84"/>
    <d v="2003-05-21T00:00:00"/>
    <x v="0"/>
    <n v="2"/>
    <x v="1"/>
    <x v="1"/>
    <x v="0"/>
    <x v="3"/>
    <n v="127"/>
    <x v="28"/>
    <x v="84"/>
    <n v="7025551838"/>
    <s v="8489 Strong St."/>
    <m/>
    <x v="67"/>
    <s v="NV"/>
    <n v="83030"/>
    <x v="0"/>
    <x v="0"/>
    <s v="King"/>
    <s v="Sue"/>
    <x v="1"/>
  </r>
  <r>
    <n v="10149"/>
    <n v="33"/>
    <n v="100"/>
    <n v="8"/>
    <n v="4950.33"/>
    <d v="2003-09-12T00:00:00"/>
    <x v="0"/>
    <n v="3"/>
    <x v="10"/>
    <x v="10"/>
    <x v="0"/>
    <x v="3"/>
    <n v="127"/>
    <x v="28"/>
    <x v="82"/>
    <n v="4155554312"/>
    <s v="2793 Furth Circle"/>
    <m/>
    <x v="65"/>
    <s v="CA"/>
    <n v="94217"/>
    <x v="0"/>
    <x v="0"/>
    <s v="Taylor"/>
    <s v="Sue"/>
    <x v="1"/>
  </r>
  <r>
    <n v="10162"/>
    <n v="38"/>
    <n v="100"/>
    <n v="6"/>
    <n v="4299.7"/>
    <d v="2003-10-18T00:00:00"/>
    <x v="0"/>
    <n v="4"/>
    <x v="4"/>
    <x v="4"/>
    <x v="0"/>
    <x v="3"/>
    <n v="127"/>
    <x v="28"/>
    <x v="4"/>
    <n v="6505551386"/>
    <s v="7734 Strong St."/>
    <m/>
    <x v="4"/>
    <s v="CA"/>
    <m/>
    <x v="0"/>
    <x v="0"/>
    <s v="Brown"/>
    <s v="Julie"/>
    <x v="1"/>
  </r>
  <r>
    <n v="10173"/>
    <n v="31"/>
    <n v="100"/>
    <n v="10"/>
    <n v="4492.83"/>
    <d v="2003-11-05T00:00:00"/>
    <x v="0"/>
    <n v="4"/>
    <x v="5"/>
    <x v="5"/>
    <x v="0"/>
    <x v="3"/>
    <n v="127"/>
    <x v="28"/>
    <x v="86"/>
    <s v="035-640555"/>
    <s v="Via Ludovico il Moro 22"/>
    <m/>
    <x v="69"/>
    <m/>
    <n v="24100"/>
    <x v="12"/>
    <x v="1"/>
    <s v="Rovelli"/>
    <s v="Giovanni"/>
    <x v="1"/>
  </r>
  <r>
    <n v="10182"/>
    <n v="20"/>
    <n v="100"/>
    <n v="7"/>
    <n v="2212"/>
    <d v="2003-11-12T00:00:00"/>
    <x v="0"/>
    <n v="4"/>
    <x v="5"/>
    <x v="5"/>
    <x v="0"/>
    <x v="3"/>
    <n v="127"/>
    <x v="28"/>
    <x v="39"/>
    <n v="4155551450"/>
    <s v="5677 Strong St."/>
    <m/>
    <x v="33"/>
    <s v="CA"/>
    <n v="97562"/>
    <x v="0"/>
    <x v="0"/>
    <s v="Nelson"/>
    <s v="Valarie"/>
    <x v="0"/>
  </r>
  <r>
    <n v="10193"/>
    <n v="44"/>
    <n v="100"/>
    <n v="11"/>
    <n v="4642.88"/>
    <d v="2003-11-21T00:00:00"/>
    <x v="0"/>
    <n v="4"/>
    <x v="5"/>
    <x v="5"/>
    <x v="0"/>
    <x v="3"/>
    <n v="127"/>
    <x v="28"/>
    <x v="87"/>
    <s v="61-9-3844-6555"/>
    <s v="7 Allen Street"/>
    <m/>
    <x v="70"/>
    <s v="Victoria"/>
    <n v="3150"/>
    <x v="3"/>
    <x v="2"/>
    <s v="Connery"/>
    <s v="Sean"/>
    <x v="1"/>
  </r>
  <r>
    <n v="10204"/>
    <n v="26"/>
    <n v="100"/>
    <n v="1"/>
    <n v="3206.32"/>
    <d v="2003-12-02T00:00:00"/>
    <x v="0"/>
    <n v="4"/>
    <x v="6"/>
    <x v="6"/>
    <x v="0"/>
    <x v="3"/>
    <n v="127"/>
    <x v="28"/>
    <x v="74"/>
    <n v="2125557413"/>
    <s v="4092 Furth Circle"/>
    <s v="Suite 400"/>
    <x v="0"/>
    <s v="NY"/>
    <n v="10022"/>
    <x v="0"/>
    <x v="0"/>
    <s v="Young"/>
    <s v="Jeff"/>
    <x v="1"/>
  </r>
  <r>
    <n v="10214"/>
    <n v="27"/>
    <n v="100"/>
    <n v="4"/>
    <n v="3604.23"/>
    <d v="2004-01-26T00:00:00"/>
    <x v="0"/>
    <n v="1"/>
    <x v="7"/>
    <x v="7"/>
    <x v="1"/>
    <x v="3"/>
    <n v="127"/>
    <x v="28"/>
    <x v="25"/>
    <s v="(91) 555 22 82"/>
    <s v="C/ Araquil, 67"/>
    <m/>
    <x v="20"/>
    <m/>
    <n v="28023"/>
    <x v="7"/>
    <x v="1"/>
    <s v="Sommer"/>
    <s v="Mart¡n"/>
    <x v="1"/>
  </r>
  <r>
    <n v="10227"/>
    <n v="46"/>
    <n v="100"/>
    <n v="7"/>
    <n v="7017.76"/>
    <d v="2004-03-02T00:00:00"/>
    <x v="0"/>
    <n v="1"/>
    <x v="11"/>
    <x v="11"/>
    <x v="1"/>
    <x v="3"/>
    <n v="127"/>
    <x v="28"/>
    <x v="30"/>
    <s v="78.32.5555"/>
    <s v="2, rue du Commerce"/>
    <m/>
    <x v="25"/>
    <m/>
    <n v="69004"/>
    <x v="1"/>
    <x v="1"/>
    <s v="Saveley"/>
    <s v="Mary"/>
    <x v="2"/>
  </r>
  <r>
    <n v="10243"/>
    <n v="47"/>
    <n v="100"/>
    <n v="2"/>
    <n v="6154.18"/>
    <d v="2004-04-26T00:00:00"/>
    <x v="0"/>
    <n v="2"/>
    <x v="8"/>
    <x v="8"/>
    <x v="1"/>
    <x v="3"/>
    <n v="127"/>
    <x v="28"/>
    <x v="64"/>
    <n v="6175552555"/>
    <s v="6251 Ingle Ln."/>
    <m/>
    <x v="48"/>
    <s v="MA"/>
    <n v="51003"/>
    <x v="0"/>
    <x v="0"/>
    <s v="Franco"/>
    <s v="Valarie"/>
    <x v="1"/>
  </r>
  <r>
    <n v="10280"/>
    <n v="37"/>
    <n v="100"/>
    <n v="13"/>
    <n v="4750.8"/>
    <d v="2004-08-17T00:00:00"/>
    <x v="0"/>
    <n v="3"/>
    <x v="3"/>
    <x v="3"/>
    <x v="1"/>
    <x v="3"/>
    <n v="127"/>
    <x v="28"/>
    <x v="36"/>
    <s v="011-4988555"/>
    <s v="Via Monte Bianco 34"/>
    <m/>
    <x v="30"/>
    <m/>
    <n v="10100"/>
    <x v="12"/>
    <x v="1"/>
    <s v="Accorti"/>
    <s v="Paolo"/>
    <x v="1"/>
  </r>
  <r>
    <n v="10288"/>
    <n v="31"/>
    <n v="100"/>
    <n v="2"/>
    <n v="3822.92"/>
    <d v="2004-09-01T00:00:00"/>
    <x v="0"/>
    <n v="3"/>
    <x v="10"/>
    <x v="10"/>
    <x v="1"/>
    <x v="3"/>
    <n v="127"/>
    <x v="28"/>
    <x v="65"/>
    <s v="+65 224 1555"/>
    <s v="Village Close - 106 Linden Road Sandown"/>
    <s v="2nd Floor"/>
    <x v="22"/>
    <m/>
    <n v="69045"/>
    <x v="9"/>
    <x v="2"/>
    <s v="Victorino"/>
    <s v="Wendy"/>
    <x v="1"/>
  </r>
  <r>
    <n v="10304"/>
    <n v="24"/>
    <n v="100"/>
    <n v="17"/>
    <n v="2440.8000000000002"/>
    <d v="2004-10-11T00:00:00"/>
    <x v="0"/>
    <n v="4"/>
    <x v="4"/>
    <x v="4"/>
    <x v="1"/>
    <x v="3"/>
    <n v="127"/>
    <x v="28"/>
    <x v="38"/>
    <s v="30.59.8555"/>
    <s v="67, avenue de l'Europe"/>
    <m/>
    <x v="32"/>
    <m/>
    <n v="78000"/>
    <x v="1"/>
    <x v="1"/>
    <s v="Tonini"/>
    <s v="Daniel"/>
    <x v="0"/>
  </r>
  <r>
    <n v="10312"/>
    <n v="31"/>
    <n v="100"/>
    <n v="14"/>
    <n v="4729.3599999999997"/>
    <d v="2004-10-21T00:00:00"/>
    <x v="0"/>
    <n v="4"/>
    <x v="4"/>
    <x v="4"/>
    <x v="1"/>
    <x v="3"/>
    <n v="127"/>
    <x v="28"/>
    <x v="39"/>
    <n v="4155551450"/>
    <s v="5677 Strong St."/>
    <m/>
    <x v="33"/>
    <s v="CA"/>
    <n v="97562"/>
    <x v="0"/>
    <x v="0"/>
    <s v="Nelson"/>
    <s v="Valarie"/>
    <x v="1"/>
  </r>
  <r>
    <n v="10322"/>
    <n v="50"/>
    <n v="100"/>
    <n v="6"/>
    <n v="12536.5"/>
    <d v="2004-11-04T00:00:00"/>
    <x v="0"/>
    <n v="4"/>
    <x v="5"/>
    <x v="5"/>
    <x v="1"/>
    <x v="3"/>
    <n v="127"/>
    <x v="28"/>
    <x v="40"/>
    <n v="6035558647"/>
    <s v="2304 Long Airport Avenue"/>
    <m/>
    <x v="34"/>
    <s v="NH"/>
    <n v="62005"/>
    <x v="0"/>
    <x v="0"/>
    <s v="Young"/>
    <s v="Valarie"/>
    <x v="2"/>
  </r>
  <r>
    <n v="10332"/>
    <n v="35"/>
    <n v="64.69"/>
    <n v="8"/>
    <n v="2264.15"/>
    <d v="2004-11-17T00:00:00"/>
    <x v="0"/>
    <n v="4"/>
    <x v="5"/>
    <x v="5"/>
    <x v="1"/>
    <x v="3"/>
    <n v="127"/>
    <x v="28"/>
    <x v="77"/>
    <s v="(171) 555-1555"/>
    <s v="Fauntleroy Circus"/>
    <m/>
    <x v="61"/>
    <m/>
    <s v="EC2 5NT"/>
    <x v="6"/>
    <x v="1"/>
    <s v="Ashworth"/>
    <s v="Victoria"/>
    <x v="0"/>
  </r>
  <r>
    <n v="10344"/>
    <n v="30"/>
    <n v="100"/>
    <n v="3"/>
    <n v="3928.2"/>
    <d v="2004-11-25T00:00:00"/>
    <x v="0"/>
    <n v="4"/>
    <x v="5"/>
    <x v="5"/>
    <x v="1"/>
    <x v="3"/>
    <n v="127"/>
    <x v="28"/>
    <x v="67"/>
    <s v="91.24.4555"/>
    <s v="12, rue des Bouchers"/>
    <m/>
    <x v="54"/>
    <m/>
    <n v="13008"/>
    <x v="1"/>
    <x v="1"/>
    <s v="Lebihan"/>
    <s v="Laurence"/>
    <x v="1"/>
  </r>
  <r>
    <n v="10356"/>
    <n v="29"/>
    <n v="100"/>
    <n v="3"/>
    <n v="3630.22"/>
    <d v="2004-12-09T00:00:00"/>
    <x v="0"/>
    <n v="4"/>
    <x v="6"/>
    <x v="6"/>
    <x v="1"/>
    <x v="3"/>
    <n v="127"/>
    <x v="28"/>
    <x v="2"/>
    <s v="+33 1 46 62 7555"/>
    <s v="27 rue du Colonel Pierre Avia"/>
    <m/>
    <x v="2"/>
    <m/>
    <n v="75508"/>
    <x v="1"/>
    <x v="1"/>
    <s v="Da Cunha"/>
    <s v="Daniel"/>
    <x v="1"/>
  </r>
  <r>
    <n v="10367"/>
    <n v="27"/>
    <n v="100"/>
    <n v="5"/>
    <n v="4196.07"/>
    <d v="2005-01-12T00:00:00"/>
    <x v="5"/>
    <n v="1"/>
    <x v="7"/>
    <x v="7"/>
    <x v="2"/>
    <x v="3"/>
    <n v="127"/>
    <x v="28"/>
    <x v="3"/>
    <n v="6265557265"/>
    <s v="78934 Hillside Dr."/>
    <m/>
    <x v="3"/>
    <s v="CA"/>
    <n v="90003"/>
    <x v="0"/>
    <x v="0"/>
    <s v="Young"/>
    <s v="Julie"/>
    <x v="1"/>
  </r>
  <r>
    <n v="10380"/>
    <n v="40"/>
    <n v="100"/>
    <n v="10"/>
    <n v="4931.6000000000004"/>
    <d v="2005-02-16T00:00:00"/>
    <x v="0"/>
    <n v="1"/>
    <x v="0"/>
    <x v="0"/>
    <x v="2"/>
    <x v="3"/>
    <n v="127"/>
    <x v="28"/>
    <x v="23"/>
    <s v="(91) 555 94 44"/>
    <s v="C/ Moralzarzal, 86"/>
    <m/>
    <x v="20"/>
    <m/>
    <n v="28034"/>
    <x v="7"/>
    <x v="1"/>
    <s v="Freyre"/>
    <s v="Diego"/>
    <x v="1"/>
  </r>
  <r>
    <n v="10390"/>
    <n v="31"/>
    <n v="98.99"/>
    <n v="16"/>
    <n v="3068.69"/>
    <d v="2005-03-04T00:00:00"/>
    <x v="0"/>
    <n v="1"/>
    <x v="11"/>
    <x v="11"/>
    <x v="2"/>
    <x v="3"/>
    <n v="127"/>
    <x v="28"/>
    <x v="39"/>
    <n v="4155551450"/>
    <s v="5677 Strong St."/>
    <m/>
    <x v="33"/>
    <s v="CA"/>
    <n v="97562"/>
    <x v="0"/>
    <x v="0"/>
    <s v="Nelson"/>
    <s v="Valarie"/>
    <x v="1"/>
  </r>
  <r>
    <n v="10409"/>
    <n v="6"/>
    <n v="100"/>
    <n v="2"/>
    <n v="785.64"/>
    <d v="2005-04-23T00:00:00"/>
    <x v="0"/>
    <n v="2"/>
    <x v="8"/>
    <x v="8"/>
    <x v="2"/>
    <x v="3"/>
    <n v="127"/>
    <x v="28"/>
    <x v="65"/>
    <s v="+65 224 1555"/>
    <s v="Village Close - 106 Linden Road Sandown"/>
    <s v="2nd Floor"/>
    <x v="22"/>
    <m/>
    <n v="69045"/>
    <x v="9"/>
    <x v="2"/>
    <s v="Victorino"/>
    <s v="Wendy"/>
    <x v="0"/>
  </r>
  <r>
    <n v="10420"/>
    <n v="45"/>
    <n v="100"/>
    <n v="2"/>
    <n v="4977"/>
    <d v="2005-05-29T00:00:00"/>
    <x v="2"/>
    <n v="2"/>
    <x v="1"/>
    <x v="1"/>
    <x v="2"/>
    <x v="3"/>
    <n v="127"/>
    <x v="28"/>
    <x v="20"/>
    <s v="+61 2 9495 8555"/>
    <s v="Monitor Money Building, 815 Pacific Hwy"/>
    <s v="Level 6"/>
    <x v="17"/>
    <s v="NSW"/>
    <n v="2067"/>
    <x v="3"/>
    <x v="2"/>
    <s v="Huxley"/>
    <s v="Adrian"/>
    <x v="1"/>
  </r>
  <r>
    <n v="10103"/>
    <n v="22"/>
    <n v="54.09"/>
    <n v="2"/>
    <n v="1189.98"/>
    <d v="2003-01-29T00:00:00"/>
    <x v="0"/>
    <n v="1"/>
    <x v="7"/>
    <x v="7"/>
    <x v="0"/>
    <x v="2"/>
    <n v="60"/>
    <x v="29"/>
    <x v="17"/>
    <s v="07-98 9555"/>
    <s v="Erling Skakkes gate 78"/>
    <m/>
    <x v="14"/>
    <m/>
    <n v="4110"/>
    <x v="2"/>
    <x v="1"/>
    <s v="Bergulfsen"/>
    <s v="Jonas"/>
    <x v="0"/>
  </r>
  <r>
    <n v="10114"/>
    <n v="45"/>
    <n v="68.67"/>
    <n v="6"/>
    <n v="3090.15"/>
    <d v="2003-04-01T00:00:00"/>
    <x v="0"/>
    <n v="2"/>
    <x v="8"/>
    <x v="8"/>
    <x v="0"/>
    <x v="2"/>
    <n v="60"/>
    <x v="29"/>
    <x v="62"/>
    <s v="(1) 42.34.2555"/>
    <s v="265, boulevard Charonne"/>
    <m/>
    <x v="2"/>
    <m/>
    <n v="75012"/>
    <x v="1"/>
    <x v="1"/>
    <s v="Bertrand"/>
    <s v="Marie"/>
    <x v="1"/>
  </r>
  <r>
    <n v="10126"/>
    <n v="43"/>
    <n v="65.02"/>
    <n v="2"/>
    <n v="2795.86"/>
    <d v="2003-05-28T00:00:00"/>
    <x v="0"/>
    <n v="2"/>
    <x v="1"/>
    <x v="1"/>
    <x v="0"/>
    <x v="2"/>
    <n v="60"/>
    <x v="29"/>
    <x v="25"/>
    <s v="(91) 555 22 82"/>
    <s v="C/ Araquil, 67"/>
    <m/>
    <x v="20"/>
    <m/>
    <n v="28023"/>
    <x v="7"/>
    <x v="1"/>
    <s v="Sommer"/>
    <s v="Mart¡n"/>
    <x v="0"/>
  </r>
  <r>
    <n v="10140"/>
    <n v="46"/>
    <n v="61.99"/>
    <n v="2"/>
    <n v="2851.54"/>
    <d v="2003-07-24T00:00:00"/>
    <x v="0"/>
    <n v="3"/>
    <x v="2"/>
    <x v="2"/>
    <x v="0"/>
    <x v="2"/>
    <n v="60"/>
    <x v="29"/>
    <x v="5"/>
    <n v="6505556809"/>
    <s v="9408 Furth Circle"/>
    <m/>
    <x v="5"/>
    <s v="CA"/>
    <n v="94217"/>
    <x v="0"/>
    <x v="0"/>
    <s v="Hirano"/>
    <s v="Juri"/>
    <x v="0"/>
  </r>
  <r>
    <n v="10151"/>
    <n v="39"/>
    <n v="69.28"/>
    <n v="9"/>
    <n v="2701.92"/>
    <d v="2003-09-21T00:00:00"/>
    <x v="0"/>
    <n v="3"/>
    <x v="10"/>
    <x v="10"/>
    <x v="0"/>
    <x v="2"/>
    <n v="60"/>
    <x v="29"/>
    <x v="60"/>
    <s v="981-443655"/>
    <s v="Torikatu 38"/>
    <m/>
    <x v="50"/>
    <m/>
    <n v="90110"/>
    <x v="4"/>
    <x v="1"/>
    <s v="Koskitalo"/>
    <s v="Pirkko"/>
    <x v="0"/>
  </r>
  <r>
    <n v="10165"/>
    <n v="31"/>
    <n v="71.099999999999994"/>
    <n v="18"/>
    <n v="2204.1"/>
    <d v="2003-10-22T00:00:00"/>
    <x v="0"/>
    <n v="4"/>
    <x v="4"/>
    <x v="4"/>
    <x v="0"/>
    <x v="2"/>
    <n v="60"/>
    <x v="29"/>
    <x v="26"/>
    <s v="+65 221 7555"/>
    <s v="Bronz Sok., Bronz Apt. 3/6 Tesvikiye"/>
    <m/>
    <x v="22"/>
    <m/>
    <n v="79903"/>
    <x v="9"/>
    <x v="3"/>
    <s v="Natividad"/>
    <s v="Eric"/>
    <x v="0"/>
  </r>
  <r>
    <n v="10175"/>
    <n v="41"/>
    <n v="69.28"/>
    <n v="7"/>
    <n v="2840.48"/>
    <d v="2003-11-06T00:00:00"/>
    <x v="0"/>
    <n v="4"/>
    <x v="5"/>
    <x v="5"/>
    <x v="0"/>
    <x v="2"/>
    <n v="60"/>
    <x v="29"/>
    <x v="49"/>
    <s v="(171) 555-0297"/>
    <s v="35 King George"/>
    <m/>
    <x v="41"/>
    <m/>
    <s v="WX3 6FW"/>
    <x v="6"/>
    <x v="1"/>
    <s v="Brown"/>
    <s v="Ann"/>
    <x v="0"/>
  </r>
  <r>
    <n v="10184"/>
    <n v="44"/>
    <n v="60.16"/>
    <n v="12"/>
    <n v="2647.04"/>
    <d v="2003-11-14T00:00:00"/>
    <x v="0"/>
    <n v="4"/>
    <x v="5"/>
    <x v="5"/>
    <x v="0"/>
    <x v="2"/>
    <n v="60"/>
    <x v="29"/>
    <x v="81"/>
    <s v="(95) 555 82 82"/>
    <s v="C/ Romero, 33"/>
    <m/>
    <x v="64"/>
    <m/>
    <n v="41101"/>
    <x v="7"/>
    <x v="1"/>
    <s v="Roel"/>
    <s v="Jose Pedro"/>
    <x v="0"/>
  </r>
  <r>
    <n v="10194"/>
    <n v="45"/>
    <n v="70.489999999999995"/>
    <n v="2"/>
    <n v="3172.05"/>
    <d v="2003-11-25T00:00:00"/>
    <x v="0"/>
    <n v="4"/>
    <x v="5"/>
    <x v="5"/>
    <x v="0"/>
    <x v="2"/>
    <n v="60"/>
    <x v="29"/>
    <x v="30"/>
    <s v="78.32.5555"/>
    <s v="2, rue du Commerce"/>
    <m/>
    <x v="25"/>
    <m/>
    <n v="69004"/>
    <x v="1"/>
    <x v="1"/>
    <s v="Saveley"/>
    <s v="Mary"/>
    <x v="1"/>
  </r>
  <r>
    <n v="10207"/>
    <n v="37"/>
    <n v="69.89"/>
    <n v="13"/>
    <n v="2585.9299999999998"/>
    <d v="2003-12-09T00:00:00"/>
    <x v="0"/>
    <n v="4"/>
    <x v="6"/>
    <x v="6"/>
    <x v="0"/>
    <x v="2"/>
    <n v="60"/>
    <x v="29"/>
    <x v="64"/>
    <n v="6175552555"/>
    <s v="6251 Ingle Ln."/>
    <m/>
    <x v="48"/>
    <s v="MA"/>
    <n v="51003"/>
    <x v="0"/>
    <x v="0"/>
    <s v="Franco"/>
    <s v="Valarie"/>
    <x v="0"/>
  </r>
  <r>
    <n v="10217"/>
    <n v="35"/>
    <n v="61.38"/>
    <n v="2"/>
    <n v="2148.3000000000002"/>
    <d v="2004-02-04T00:00:00"/>
    <x v="0"/>
    <n v="1"/>
    <x v="0"/>
    <x v="0"/>
    <x v="1"/>
    <x v="2"/>
    <n v="60"/>
    <x v="29"/>
    <x v="65"/>
    <s v="+65 224 1555"/>
    <s v="Village Close - 106 Linden Road Sandown"/>
    <s v="2nd Floor"/>
    <x v="22"/>
    <m/>
    <n v="69045"/>
    <x v="9"/>
    <x v="2"/>
    <s v="Victorino"/>
    <s v="Wendy"/>
    <x v="0"/>
  </r>
  <r>
    <n v="10229"/>
    <n v="28"/>
    <n v="59.55"/>
    <n v="7"/>
    <n v="1667.4"/>
    <d v="2004-03-11T00:00:00"/>
    <x v="0"/>
    <n v="1"/>
    <x v="11"/>
    <x v="11"/>
    <x v="1"/>
    <x v="2"/>
    <n v="60"/>
    <x v="29"/>
    <x v="39"/>
    <n v="4155551450"/>
    <s v="5677 Strong St."/>
    <m/>
    <x v="33"/>
    <s v="CA"/>
    <n v="97562"/>
    <x v="0"/>
    <x v="0"/>
    <s v="Nelson"/>
    <s v="Valarie"/>
    <x v="0"/>
  </r>
  <r>
    <n v="10246"/>
    <n v="30"/>
    <n v="61.99"/>
    <n v="11"/>
    <n v="1859.7"/>
    <d v="2004-05-05T00:00:00"/>
    <x v="0"/>
    <n v="2"/>
    <x v="1"/>
    <x v="1"/>
    <x v="1"/>
    <x v="2"/>
    <n v="60"/>
    <x v="29"/>
    <x v="23"/>
    <s v="(91) 555 94 44"/>
    <s v="C/ Moralzarzal, 86"/>
    <m/>
    <x v="20"/>
    <m/>
    <n v="28034"/>
    <x v="7"/>
    <x v="1"/>
    <s v="Freyre"/>
    <s v="Diego"/>
    <x v="0"/>
  </r>
  <r>
    <n v="10259"/>
    <n v="30"/>
    <n v="49.22"/>
    <n v="10"/>
    <n v="1476.6"/>
    <d v="2004-06-15T00:00:00"/>
    <x v="0"/>
    <n v="2"/>
    <x v="9"/>
    <x v="9"/>
    <x v="1"/>
    <x v="2"/>
    <n v="60"/>
    <x v="29"/>
    <x v="65"/>
    <s v="+65 224 1555"/>
    <s v="Village Close - 106 Linden Road Sandown"/>
    <s v="2nd Floor"/>
    <x v="22"/>
    <m/>
    <n v="69045"/>
    <x v="9"/>
    <x v="2"/>
    <s v="Victorino"/>
    <s v="Wendy"/>
    <x v="0"/>
  </r>
  <r>
    <n v="10271"/>
    <n v="25"/>
    <n v="69.28"/>
    <n v="11"/>
    <n v="1732"/>
    <d v="2004-07-20T00:00:00"/>
    <x v="0"/>
    <n v="3"/>
    <x v="2"/>
    <x v="2"/>
    <x v="1"/>
    <x v="2"/>
    <n v="60"/>
    <x v="29"/>
    <x v="39"/>
    <n v="4155551450"/>
    <s v="5677 Strong St."/>
    <m/>
    <x v="33"/>
    <s v="CA"/>
    <n v="97562"/>
    <x v="0"/>
    <x v="0"/>
    <s v="Nelson"/>
    <s v="Valarie"/>
    <x v="0"/>
  </r>
  <r>
    <n v="10281"/>
    <n v="29"/>
    <n v="57.73"/>
    <n v="7"/>
    <n v="1674.17"/>
    <d v="2004-08-19T00:00:00"/>
    <x v="0"/>
    <n v="3"/>
    <x v="3"/>
    <x v="3"/>
    <x v="1"/>
    <x v="2"/>
    <n v="60"/>
    <x v="29"/>
    <x v="18"/>
    <n v="2155551555"/>
    <s v="7586 Pompton St."/>
    <m/>
    <x v="15"/>
    <s v="PA"/>
    <n v="70267"/>
    <x v="0"/>
    <x v="0"/>
    <s v="Yu"/>
    <s v="Kyung"/>
    <x v="0"/>
  </r>
  <r>
    <n v="10291"/>
    <n v="26"/>
    <n v="57.73"/>
    <n v="2"/>
    <n v="1500.98"/>
    <d v="2004-09-08T00:00:00"/>
    <x v="0"/>
    <n v="3"/>
    <x v="10"/>
    <x v="10"/>
    <x v="1"/>
    <x v="2"/>
    <n v="60"/>
    <x v="29"/>
    <x v="37"/>
    <s v="0695-34 6555"/>
    <s v="?kergatan 24"/>
    <m/>
    <x v="31"/>
    <m/>
    <s v="S-844 67"/>
    <x v="8"/>
    <x v="1"/>
    <s v="Larsson"/>
    <s v="Maria"/>
    <x v="0"/>
  </r>
  <r>
    <n v="10305"/>
    <n v="41"/>
    <n v="53.48"/>
    <n v="11"/>
    <n v="2192.6799999999998"/>
    <d v="2004-10-13T00:00:00"/>
    <x v="0"/>
    <n v="4"/>
    <x v="4"/>
    <x v="4"/>
    <x v="1"/>
    <x v="2"/>
    <n v="60"/>
    <x v="29"/>
    <x v="15"/>
    <n v="6175558555"/>
    <s v="39323 Spinnaker Dr."/>
    <m/>
    <x v="12"/>
    <s v="MA"/>
    <n v="51247"/>
    <x v="0"/>
    <x v="0"/>
    <s v="Hernandez"/>
    <s v="Marta"/>
    <x v="0"/>
  </r>
  <r>
    <n v="10313"/>
    <n v="34"/>
    <n v="52.87"/>
    <n v="5"/>
    <n v="1797.58"/>
    <d v="2004-10-22T00:00:00"/>
    <x v="0"/>
    <n v="4"/>
    <x v="4"/>
    <x v="4"/>
    <x v="1"/>
    <x v="2"/>
    <n v="60"/>
    <x v="29"/>
    <x v="31"/>
    <s v="(604) 555-3392"/>
    <s v="1900 Oak St."/>
    <m/>
    <x v="26"/>
    <s v="BC"/>
    <s v="V3F 2K1"/>
    <x v="10"/>
    <x v="0"/>
    <s v="Tannamuri"/>
    <s v="Yoshi"/>
    <x v="0"/>
  </r>
  <r>
    <n v="10322"/>
    <n v="35"/>
    <n v="61.21"/>
    <n v="11"/>
    <n v="2142.35"/>
    <d v="2004-11-04T00:00:00"/>
    <x v="0"/>
    <n v="4"/>
    <x v="5"/>
    <x v="5"/>
    <x v="1"/>
    <x v="2"/>
    <n v="60"/>
    <x v="29"/>
    <x v="40"/>
    <n v="6035558647"/>
    <s v="2304 Long Airport Avenue"/>
    <m/>
    <x v="34"/>
    <s v="NH"/>
    <n v="62005"/>
    <x v="0"/>
    <x v="0"/>
    <s v="Young"/>
    <s v="Valarie"/>
    <x v="0"/>
  </r>
  <r>
    <n v="10334"/>
    <n v="34"/>
    <n v="61.38"/>
    <n v="1"/>
    <n v="2086.92"/>
    <d v="2004-11-19T00:00:00"/>
    <x v="4"/>
    <n v="4"/>
    <x v="5"/>
    <x v="5"/>
    <x v="1"/>
    <x v="2"/>
    <n v="60"/>
    <x v="29"/>
    <x v="24"/>
    <s v="0921-12 3555"/>
    <s v="Berguvsv„gen  8"/>
    <m/>
    <x v="21"/>
    <m/>
    <s v="S-958 22"/>
    <x v="8"/>
    <x v="1"/>
    <s v="Berglund"/>
    <s v="Christina"/>
    <x v="0"/>
  </r>
  <r>
    <n v="10347"/>
    <n v="50"/>
    <n v="100"/>
    <n v="8"/>
    <n v="6834.5"/>
    <d v="2004-11-29T00:00:00"/>
    <x v="0"/>
    <n v="4"/>
    <x v="5"/>
    <x v="5"/>
    <x v="1"/>
    <x v="2"/>
    <n v="60"/>
    <x v="29"/>
    <x v="10"/>
    <s v="03 9520 4555"/>
    <s v="636 St Kilda Road"/>
    <s v="Level 3"/>
    <x v="8"/>
    <s v="Victoria"/>
    <n v="3004"/>
    <x v="3"/>
    <x v="2"/>
    <s v="Ferguson"/>
    <s v="Peter"/>
    <x v="1"/>
  </r>
  <r>
    <n v="10357"/>
    <n v="41"/>
    <n v="61.99"/>
    <n v="7"/>
    <n v="2541.59"/>
    <d v="2004-12-10T00:00:00"/>
    <x v="0"/>
    <n v="4"/>
    <x v="6"/>
    <x v="6"/>
    <x v="1"/>
    <x v="2"/>
    <n v="60"/>
    <x v="29"/>
    <x v="39"/>
    <n v="4155551450"/>
    <s v="5677 Strong St."/>
    <m/>
    <x v="33"/>
    <s v="CA"/>
    <n v="97562"/>
    <x v="0"/>
    <x v="0"/>
    <s v="Nelson"/>
    <s v="Valarie"/>
    <x v="0"/>
  </r>
  <r>
    <n v="10370"/>
    <n v="22"/>
    <n v="96.86"/>
    <n v="7"/>
    <n v="2130.92"/>
    <d v="2005-01-20T00:00:00"/>
    <x v="0"/>
    <n v="1"/>
    <x v="7"/>
    <x v="7"/>
    <x v="2"/>
    <x v="2"/>
    <n v="60"/>
    <x v="29"/>
    <x v="42"/>
    <s v="02 9936 8555"/>
    <s v="201 Miller Street"/>
    <s v="Level 15"/>
    <x v="36"/>
    <s v="NSW"/>
    <n v="2060"/>
    <x v="3"/>
    <x v="2"/>
    <s v="O'Hara"/>
    <s v="Anna"/>
    <x v="0"/>
  </r>
  <r>
    <n v="10381"/>
    <n v="35"/>
    <n v="48.62"/>
    <n v="7"/>
    <n v="1701.7"/>
    <d v="2005-02-17T00:00:00"/>
    <x v="0"/>
    <n v="1"/>
    <x v="0"/>
    <x v="0"/>
    <x v="2"/>
    <x v="2"/>
    <n v="60"/>
    <x v="29"/>
    <x v="4"/>
    <n v="6505551386"/>
    <s v="7734 Strong St."/>
    <m/>
    <x v="4"/>
    <s v="CA"/>
    <m/>
    <x v="0"/>
    <x v="0"/>
    <s v="Brown"/>
    <s v="Julie"/>
    <x v="0"/>
  </r>
  <r>
    <n v="10391"/>
    <n v="44"/>
    <n v="38.5"/>
    <n v="5"/>
    <n v="1694"/>
    <d v="2005-03-09T00:00:00"/>
    <x v="0"/>
    <n v="1"/>
    <x v="11"/>
    <x v="11"/>
    <x v="2"/>
    <x v="2"/>
    <n v="60"/>
    <x v="29"/>
    <x v="42"/>
    <s v="02 9936 8555"/>
    <s v="201 Miller Street"/>
    <s v="Level 15"/>
    <x v="36"/>
    <s v="NSW"/>
    <n v="2060"/>
    <x v="3"/>
    <x v="2"/>
    <s v="O'Hara"/>
    <s v="Anna"/>
    <x v="0"/>
  </r>
  <r>
    <n v="10412"/>
    <n v="47"/>
    <n v="61.99"/>
    <n v="11"/>
    <n v="2913.53"/>
    <d v="2005-05-03T00:00:00"/>
    <x v="0"/>
    <n v="2"/>
    <x v="1"/>
    <x v="1"/>
    <x v="2"/>
    <x v="2"/>
    <n v="60"/>
    <x v="29"/>
    <x v="23"/>
    <s v="(91) 555 94 44"/>
    <s v="C/ Moralzarzal, 86"/>
    <m/>
    <x v="20"/>
    <m/>
    <n v="28034"/>
    <x v="7"/>
    <x v="1"/>
    <s v="Freyre"/>
    <s v="Diego"/>
    <x v="0"/>
  </r>
  <r>
    <n v="10425"/>
    <n v="19"/>
    <n v="49.22"/>
    <n v="10"/>
    <n v="935.18"/>
    <d v="2005-05-31T00:00:00"/>
    <x v="2"/>
    <n v="2"/>
    <x v="1"/>
    <x v="1"/>
    <x v="2"/>
    <x v="2"/>
    <n v="60"/>
    <x v="29"/>
    <x v="14"/>
    <s v="40.67.8555"/>
    <s v="67, rue des Cinquante Otages"/>
    <m/>
    <x v="11"/>
    <m/>
    <n v="44000"/>
    <x v="1"/>
    <x v="1"/>
    <s v="Labrune"/>
    <s v="Janine"/>
    <x v="0"/>
  </r>
  <r>
    <n v="10106"/>
    <n v="34"/>
    <n v="90.39"/>
    <n v="2"/>
    <n v="3073.26"/>
    <d v="2003-02-17T00:00:00"/>
    <x v="0"/>
    <n v="1"/>
    <x v="0"/>
    <x v="0"/>
    <x v="0"/>
    <x v="4"/>
    <n v="84"/>
    <x v="30"/>
    <x v="86"/>
    <s v="035-640555"/>
    <s v="Via Ludovico il Moro 22"/>
    <m/>
    <x v="69"/>
    <m/>
    <n v="24100"/>
    <x v="12"/>
    <x v="1"/>
    <s v="Rovelli"/>
    <s v="Giovanni"/>
    <x v="1"/>
  </r>
  <r>
    <n v="10120"/>
    <n v="29"/>
    <n v="71.81"/>
    <n v="8"/>
    <n v="2082.4899999999998"/>
    <d v="2003-04-29T00:00:00"/>
    <x v="0"/>
    <n v="2"/>
    <x v="8"/>
    <x v="8"/>
    <x v="0"/>
    <x v="4"/>
    <n v="84"/>
    <x v="30"/>
    <x v="10"/>
    <s v="03 9520 4555"/>
    <s v="636 St Kilda Road"/>
    <s v="Level 3"/>
    <x v="8"/>
    <s v="Victoria"/>
    <n v="3004"/>
    <x v="3"/>
    <x v="2"/>
    <s v="Ferguson"/>
    <s v="Peter"/>
    <x v="0"/>
  </r>
  <r>
    <n v="10133"/>
    <n v="49"/>
    <n v="69.27"/>
    <n v="3"/>
    <n v="3394.23"/>
    <d v="2003-06-27T00:00:00"/>
    <x v="0"/>
    <n v="2"/>
    <x v="9"/>
    <x v="9"/>
    <x v="0"/>
    <x v="4"/>
    <n v="84"/>
    <x v="30"/>
    <x v="23"/>
    <s v="(91) 555 94 44"/>
    <s v="C/ Moralzarzal, 86"/>
    <m/>
    <x v="20"/>
    <m/>
    <n v="28034"/>
    <x v="7"/>
    <x v="1"/>
    <s v="Freyre"/>
    <s v="Diego"/>
    <x v="1"/>
  </r>
  <r>
    <n v="10145"/>
    <n v="30"/>
    <n v="85.32"/>
    <n v="14"/>
    <n v="2559.6"/>
    <d v="2003-08-25T00:00:00"/>
    <x v="0"/>
    <n v="3"/>
    <x v="3"/>
    <x v="3"/>
    <x v="0"/>
    <x v="4"/>
    <n v="84"/>
    <x v="30"/>
    <x v="3"/>
    <n v="6265557265"/>
    <s v="78934 Hillside Dr."/>
    <m/>
    <x v="3"/>
    <s v="CA"/>
    <n v="90003"/>
    <x v="0"/>
    <x v="0"/>
    <s v="Young"/>
    <s v="Julie"/>
    <x v="0"/>
  </r>
  <r>
    <n v="10168"/>
    <n v="21"/>
    <n v="70.959999999999994"/>
    <n v="9"/>
    <n v="1490.16"/>
    <d v="2003-10-28T00:00:00"/>
    <x v="0"/>
    <n v="4"/>
    <x v="4"/>
    <x v="4"/>
    <x v="0"/>
    <x v="4"/>
    <n v="84"/>
    <x v="30"/>
    <x v="5"/>
    <n v="6505556809"/>
    <s v="9408 Furth Circle"/>
    <m/>
    <x v="5"/>
    <s v="CA"/>
    <n v="94217"/>
    <x v="0"/>
    <x v="0"/>
    <s v="Hirano"/>
    <s v="Juri"/>
    <x v="0"/>
  </r>
  <r>
    <n v="10210"/>
    <n v="50"/>
    <n v="76.88"/>
    <n v="7"/>
    <n v="3844"/>
    <d v="2004-01-12T00:00:00"/>
    <x v="0"/>
    <n v="1"/>
    <x v="7"/>
    <x v="7"/>
    <x v="1"/>
    <x v="4"/>
    <n v="84"/>
    <x v="30"/>
    <x v="44"/>
    <s v="+81 06 6342 5555"/>
    <s v="Dojima Avanza 4F, 1-6-20 Dojima, Kita-ku"/>
    <m/>
    <x v="38"/>
    <s v="Osaka"/>
    <s v="530-0003"/>
    <x v="11"/>
    <x v="3"/>
    <s v="Kentary"/>
    <s v="Mory"/>
    <x v="1"/>
  </r>
  <r>
    <n v="10223"/>
    <n v="47"/>
    <n v="100"/>
    <n v="9"/>
    <n v="4724.91"/>
    <d v="2004-02-20T00:00:00"/>
    <x v="0"/>
    <n v="1"/>
    <x v="0"/>
    <x v="0"/>
    <x v="1"/>
    <x v="4"/>
    <n v="84"/>
    <x v="30"/>
    <x v="10"/>
    <s v="03 9520 4555"/>
    <s v="636 St Kilda Road"/>
    <s v="Level 3"/>
    <x v="8"/>
    <s v="Victoria"/>
    <n v="3004"/>
    <x v="3"/>
    <x v="2"/>
    <s v="Ferguson"/>
    <s v="Peter"/>
    <x v="1"/>
  </r>
  <r>
    <n v="10235"/>
    <n v="24"/>
    <n v="76.03"/>
    <n v="3"/>
    <n v="1824.72"/>
    <d v="2004-04-02T00:00:00"/>
    <x v="0"/>
    <n v="2"/>
    <x v="8"/>
    <x v="8"/>
    <x v="1"/>
    <x v="4"/>
    <n v="84"/>
    <x v="30"/>
    <x v="57"/>
    <s v="(604) 555-4555"/>
    <s v="23 Tsawassen Blvd."/>
    <m/>
    <x v="47"/>
    <s v="BC"/>
    <s v="T2F 8M4"/>
    <x v="10"/>
    <x v="0"/>
    <s v="Lincoln"/>
    <s v="Elizabeth"/>
    <x v="0"/>
  </r>
  <r>
    <n v="10250"/>
    <n v="27"/>
    <n v="98.84"/>
    <n v="4"/>
    <n v="2668.68"/>
    <d v="2004-05-11T00:00:00"/>
    <x v="0"/>
    <n v="2"/>
    <x v="1"/>
    <x v="1"/>
    <x v="1"/>
    <x v="4"/>
    <n v="84"/>
    <x v="30"/>
    <x v="61"/>
    <n v="4085553659"/>
    <s v="3086 Ingle Ln."/>
    <m/>
    <x v="51"/>
    <s v="CA"/>
    <n v="94217"/>
    <x v="0"/>
    <x v="0"/>
    <s v="Frick"/>
    <s v="Sue"/>
    <x v="0"/>
  </r>
  <r>
    <n v="10263"/>
    <n v="33"/>
    <n v="86.17"/>
    <n v="10"/>
    <n v="2843.61"/>
    <d v="2004-06-28T00:00:00"/>
    <x v="0"/>
    <n v="2"/>
    <x v="9"/>
    <x v="9"/>
    <x v="1"/>
    <x v="4"/>
    <n v="84"/>
    <x v="30"/>
    <x v="13"/>
    <n v="2035552570"/>
    <s v="25593 South Bay Ln."/>
    <m/>
    <x v="10"/>
    <s v="CT"/>
    <n v="97562"/>
    <x v="0"/>
    <x v="0"/>
    <s v="King"/>
    <s v="Julie"/>
    <x v="0"/>
  </r>
  <r>
    <n v="10275"/>
    <n v="35"/>
    <n v="90.39"/>
    <n v="9"/>
    <n v="3163.65"/>
    <d v="2004-07-23T00:00:00"/>
    <x v="0"/>
    <n v="3"/>
    <x v="2"/>
    <x v="2"/>
    <x v="1"/>
    <x v="4"/>
    <n v="84"/>
    <x v="30"/>
    <x v="14"/>
    <s v="40.67.8555"/>
    <s v="67, rue des Cinquante Otages"/>
    <m/>
    <x v="11"/>
    <m/>
    <n v="44000"/>
    <x v="1"/>
    <x v="1"/>
    <s v="Labrune"/>
    <s v="Janine"/>
    <x v="1"/>
  </r>
  <r>
    <n v="10284"/>
    <n v="31"/>
    <n v="71.81"/>
    <n v="1"/>
    <n v="2226.11"/>
    <d v="2004-08-21T00:00:00"/>
    <x v="0"/>
    <n v="3"/>
    <x v="3"/>
    <x v="3"/>
    <x v="1"/>
    <x v="4"/>
    <n v="84"/>
    <x v="30"/>
    <x v="85"/>
    <s v="+47 2212 1555"/>
    <s v="Drammensveien 126 A, PB 744 Sentrum"/>
    <m/>
    <x v="68"/>
    <m/>
    <s v="N 0106"/>
    <x v="2"/>
    <x v="1"/>
    <s v="Klaeboe"/>
    <s v="Jan"/>
    <x v="0"/>
  </r>
  <r>
    <n v="10297"/>
    <n v="25"/>
    <n v="82.79"/>
    <n v="4"/>
    <n v="2069.75"/>
    <d v="2004-09-16T00:00:00"/>
    <x v="0"/>
    <n v="3"/>
    <x v="10"/>
    <x v="10"/>
    <x v="1"/>
    <x v="4"/>
    <n v="84"/>
    <x v="30"/>
    <x v="75"/>
    <s v="+353 1862 1555"/>
    <s v="25 Maiden Lane"/>
    <s v="Floor No. 4"/>
    <x v="60"/>
    <m/>
    <n v="2"/>
    <x v="18"/>
    <x v="1"/>
    <s v="Cassidy"/>
    <s v="Dean"/>
    <x v="0"/>
  </r>
  <r>
    <n v="10308"/>
    <n v="27"/>
    <n v="82.79"/>
    <n v="7"/>
    <n v="2235.33"/>
    <d v="2004-10-15T00:00:00"/>
    <x v="0"/>
    <n v="4"/>
    <x v="4"/>
    <x v="4"/>
    <x v="1"/>
    <x v="4"/>
    <n v="84"/>
    <x v="30"/>
    <x v="47"/>
    <n v="9145554562"/>
    <s v="3758 North Pendale Street"/>
    <m/>
    <x v="39"/>
    <s v="NY"/>
    <n v="24067"/>
    <x v="0"/>
    <x v="0"/>
    <s v="Frick"/>
    <s v="Steve"/>
    <x v="0"/>
  </r>
  <r>
    <n v="10318"/>
    <n v="31"/>
    <n v="100"/>
    <n v="9"/>
    <n v="3116.43"/>
    <d v="2004-11-02T00:00:00"/>
    <x v="0"/>
    <n v="4"/>
    <x v="5"/>
    <x v="5"/>
    <x v="1"/>
    <x v="4"/>
    <n v="84"/>
    <x v="30"/>
    <x v="18"/>
    <n v="2155551555"/>
    <s v="7586 Pompton St."/>
    <m/>
    <x v="15"/>
    <s v="PA"/>
    <n v="70267"/>
    <x v="0"/>
    <x v="0"/>
    <s v="Yu"/>
    <s v="Kyung"/>
    <x v="1"/>
  </r>
  <r>
    <n v="10327"/>
    <n v="45"/>
    <n v="100"/>
    <n v="8"/>
    <n v="4781.7"/>
    <d v="2004-11-10T00:00:00"/>
    <x v="5"/>
    <n v="4"/>
    <x v="5"/>
    <x v="5"/>
    <x v="1"/>
    <x v="4"/>
    <n v="84"/>
    <x v="30"/>
    <x v="48"/>
    <s v="31 12 3555"/>
    <s v="Vinb'ltet 34"/>
    <m/>
    <x v="40"/>
    <m/>
    <n v="1734"/>
    <x v="13"/>
    <x v="1"/>
    <s v="Petersen"/>
    <s v="Jytte"/>
    <x v="1"/>
  </r>
  <r>
    <n v="10339"/>
    <n v="27"/>
    <n v="100"/>
    <n v="2"/>
    <n v="2810.7"/>
    <d v="2004-11-23T00:00:00"/>
    <x v="0"/>
    <n v="4"/>
    <x v="5"/>
    <x v="5"/>
    <x v="1"/>
    <x v="4"/>
    <n v="84"/>
    <x v="30"/>
    <x v="35"/>
    <s v="+81 3 3584 0555"/>
    <s v="2-2-8 Roppongi"/>
    <m/>
    <x v="29"/>
    <s v="Tokyo"/>
    <s v="106-0032"/>
    <x v="11"/>
    <x v="3"/>
    <s v="Shimamura"/>
    <s v="Akiko"/>
    <x v="0"/>
  </r>
  <r>
    <n v="10353"/>
    <n v="27"/>
    <n v="100"/>
    <n v="1"/>
    <n v="3515.67"/>
    <d v="2004-12-04T00:00:00"/>
    <x v="0"/>
    <n v="4"/>
    <x v="6"/>
    <x v="6"/>
    <x v="1"/>
    <x v="4"/>
    <n v="84"/>
    <x v="30"/>
    <x v="88"/>
    <n v="2035554407"/>
    <s v="2440 Pompton St."/>
    <m/>
    <x v="63"/>
    <s v="CT"/>
    <n v="97561"/>
    <x v="0"/>
    <x v="0"/>
    <s v="Lewis"/>
    <s v="Dan"/>
    <x v="1"/>
  </r>
  <r>
    <n v="10374"/>
    <n v="42"/>
    <n v="69.27"/>
    <n v="2"/>
    <n v="2909.34"/>
    <d v="2005-02-02T00:00:00"/>
    <x v="0"/>
    <n v="1"/>
    <x v="0"/>
    <x v="0"/>
    <x v="2"/>
    <x v="4"/>
    <n v="84"/>
    <x v="30"/>
    <x v="28"/>
    <s v="61-7-3844-6555"/>
    <s v="31 Duncan St. West End"/>
    <m/>
    <x v="23"/>
    <s v="Queensland"/>
    <n v="4101"/>
    <x v="3"/>
    <x v="2"/>
    <s v="Calaghan"/>
    <s v="Tony"/>
    <x v="0"/>
  </r>
  <r>
    <n v="10386"/>
    <n v="21"/>
    <n v="74.77"/>
    <n v="18"/>
    <n v="1570.17"/>
    <d v="2005-03-01T00:00:00"/>
    <x v="5"/>
    <n v="1"/>
    <x v="11"/>
    <x v="11"/>
    <x v="2"/>
    <x v="4"/>
    <n v="84"/>
    <x v="30"/>
    <x v="23"/>
    <s v="(91) 555 94 44"/>
    <s v="C/ Moralzarzal, 86"/>
    <m/>
    <x v="20"/>
    <m/>
    <n v="28034"/>
    <x v="7"/>
    <x v="1"/>
    <s v="Freyre"/>
    <s v="Diego"/>
    <x v="0"/>
  </r>
  <r>
    <n v="10398"/>
    <n v="34"/>
    <n v="76.88"/>
    <n v="15"/>
    <n v="2613.92"/>
    <d v="2005-03-30T00:00:00"/>
    <x v="0"/>
    <n v="1"/>
    <x v="11"/>
    <x v="11"/>
    <x v="2"/>
    <x v="4"/>
    <n v="84"/>
    <x v="30"/>
    <x v="1"/>
    <s v="26.47.1555"/>
    <s v="59 rue de l'Abbaye"/>
    <m/>
    <x v="1"/>
    <m/>
    <n v="51100"/>
    <x v="1"/>
    <x v="1"/>
    <s v="Henriot"/>
    <s v="Paul"/>
    <x v="0"/>
  </r>
  <r>
    <n v="10401"/>
    <n v="42"/>
    <n v="76.03"/>
    <n v="3"/>
    <n v="3193.26"/>
    <d v="2005-04-03T00:00:00"/>
    <x v="4"/>
    <n v="2"/>
    <x v="8"/>
    <x v="8"/>
    <x v="2"/>
    <x v="4"/>
    <n v="84"/>
    <x v="30"/>
    <x v="12"/>
    <n v="2015559350"/>
    <s v="7476 Moss Rd."/>
    <m/>
    <x v="9"/>
    <s v="NJ"/>
    <n v="94019"/>
    <x v="0"/>
    <x v="0"/>
    <s v="Brown"/>
    <s v="William"/>
    <x v="1"/>
  </r>
  <r>
    <n v="10416"/>
    <n v="15"/>
    <n v="98.84"/>
    <n v="4"/>
    <n v="1482.6"/>
    <d v="2005-05-10T00:00:00"/>
    <x v="0"/>
    <n v="2"/>
    <x v="1"/>
    <x v="1"/>
    <x v="2"/>
    <x v="4"/>
    <n v="84"/>
    <x v="30"/>
    <x v="70"/>
    <s v="0522-556555"/>
    <s v="Strada Provinciale 124"/>
    <m/>
    <x v="57"/>
    <m/>
    <n v="42100"/>
    <x v="12"/>
    <x v="1"/>
    <s v="Moroni"/>
    <s v="Maurizio"/>
    <x v="0"/>
  </r>
  <r>
    <n v="10107"/>
    <n v="29"/>
    <n v="70.87"/>
    <n v="6"/>
    <n v="2055.23"/>
    <d v="2003-02-24T00:00:00"/>
    <x v="0"/>
    <n v="1"/>
    <x v="0"/>
    <x v="0"/>
    <x v="0"/>
    <x v="0"/>
    <n v="60"/>
    <x v="31"/>
    <x v="0"/>
    <n v="2125557818"/>
    <s v="897 Long Airport Avenue"/>
    <m/>
    <x v="0"/>
    <s v="NY"/>
    <n v="10022"/>
    <x v="0"/>
    <x v="0"/>
    <s v="Yu"/>
    <s v="Kwai"/>
    <x v="0"/>
  </r>
  <r>
    <n v="10120"/>
    <n v="46"/>
    <n v="58.15"/>
    <n v="4"/>
    <n v="2674.9"/>
    <d v="2003-04-29T00:00:00"/>
    <x v="0"/>
    <n v="2"/>
    <x v="8"/>
    <x v="8"/>
    <x v="0"/>
    <x v="0"/>
    <n v="60"/>
    <x v="31"/>
    <x v="10"/>
    <s v="03 9520 4555"/>
    <s v="636 St Kilda Road"/>
    <s v="Level 3"/>
    <x v="8"/>
    <s v="Victoria"/>
    <n v="3004"/>
    <x v="3"/>
    <x v="2"/>
    <s v="Ferguson"/>
    <s v="Peter"/>
    <x v="0"/>
  </r>
  <r>
    <n v="10134"/>
    <n v="30"/>
    <n v="61.78"/>
    <n v="6"/>
    <n v="1853.4"/>
    <d v="2003-07-01T00:00:00"/>
    <x v="0"/>
    <n v="3"/>
    <x v="2"/>
    <x v="2"/>
    <x v="0"/>
    <x v="0"/>
    <n v="60"/>
    <x v="31"/>
    <x v="2"/>
    <s v="+33 1 46 62 7555"/>
    <s v="27 rue du Colonel Pierre Avia"/>
    <m/>
    <x v="2"/>
    <m/>
    <n v="75508"/>
    <x v="1"/>
    <x v="1"/>
    <s v="Da Cunha"/>
    <s v="Daniel"/>
    <x v="0"/>
  </r>
  <r>
    <n v="10145"/>
    <n v="30"/>
    <n v="49.67"/>
    <n v="10"/>
    <n v="1490.1"/>
    <d v="2003-08-25T00:00:00"/>
    <x v="0"/>
    <n v="3"/>
    <x v="3"/>
    <x v="3"/>
    <x v="0"/>
    <x v="0"/>
    <n v="60"/>
    <x v="31"/>
    <x v="3"/>
    <n v="6265557265"/>
    <s v="78934 Hillside Dr."/>
    <m/>
    <x v="3"/>
    <s v="CA"/>
    <n v="90003"/>
    <x v="0"/>
    <x v="0"/>
    <s v="Young"/>
    <s v="Julie"/>
    <x v="0"/>
  </r>
  <r>
    <n v="10159"/>
    <n v="42"/>
    <n v="51.48"/>
    <n v="18"/>
    <n v="2162.16"/>
    <d v="2003-10-10T00:00:00"/>
    <x v="0"/>
    <n v="4"/>
    <x v="4"/>
    <x v="4"/>
    <x v="0"/>
    <x v="0"/>
    <n v="60"/>
    <x v="31"/>
    <x v="4"/>
    <n v="6505551386"/>
    <s v="7734 Strong St."/>
    <m/>
    <x v="4"/>
    <s v="CA"/>
    <m/>
    <x v="0"/>
    <x v="0"/>
    <s v="Brown"/>
    <s v="Julie"/>
    <x v="0"/>
  </r>
  <r>
    <n v="10168"/>
    <n v="46"/>
    <n v="61.18"/>
    <n v="5"/>
    <n v="2814.28"/>
    <d v="2003-10-28T00:00:00"/>
    <x v="0"/>
    <n v="4"/>
    <x v="4"/>
    <x v="4"/>
    <x v="0"/>
    <x v="0"/>
    <n v="60"/>
    <x v="31"/>
    <x v="5"/>
    <n v="6505556809"/>
    <s v="9408 Furth Circle"/>
    <m/>
    <x v="5"/>
    <s v="CA"/>
    <n v="94217"/>
    <x v="0"/>
    <x v="0"/>
    <s v="Hirano"/>
    <s v="Juri"/>
    <x v="0"/>
  </r>
  <r>
    <n v="10180"/>
    <n v="25"/>
    <n v="64.2"/>
    <n v="13"/>
    <n v="1605"/>
    <d v="2003-11-11T00:00:00"/>
    <x v="0"/>
    <n v="4"/>
    <x v="5"/>
    <x v="5"/>
    <x v="0"/>
    <x v="0"/>
    <n v="60"/>
    <x v="31"/>
    <x v="6"/>
    <s v="20.16.1555"/>
    <s v="184, chausse de Tournai"/>
    <m/>
    <x v="6"/>
    <m/>
    <n v="59000"/>
    <x v="1"/>
    <x v="1"/>
    <s v="Rance"/>
    <s v="Martine"/>
    <x v="0"/>
  </r>
  <r>
    <n v="10188"/>
    <n v="32"/>
    <n v="65.42"/>
    <n v="5"/>
    <n v="2093.44"/>
    <d v="2003-11-18T00:00:00"/>
    <x v="0"/>
    <n v="4"/>
    <x v="5"/>
    <x v="5"/>
    <x v="0"/>
    <x v="0"/>
    <n v="60"/>
    <x v="31"/>
    <x v="7"/>
    <s v="+47 2267 3215"/>
    <s v="Drammen 121, PR 744 Sentrum"/>
    <m/>
    <x v="7"/>
    <m/>
    <s v="N 5804"/>
    <x v="2"/>
    <x v="1"/>
    <s v="Oeztan"/>
    <s v="Veysel"/>
    <x v="0"/>
  </r>
  <r>
    <n v="10201"/>
    <n v="30"/>
    <n v="64.81"/>
    <n v="6"/>
    <n v="1944.3"/>
    <d v="2003-12-01T00:00:00"/>
    <x v="0"/>
    <n v="4"/>
    <x v="6"/>
    <x v="6"/>
    <x v="0"/>
    <x v="0"/>
    <n v="60"/>
    <x v="31"/>
    <x v="8"/>
    <n v="6505555787"/>
    <s v="5557 North Pendale Street"/>
    <m/>
    <x v="4"/>
    <s v="CA"/>
    <m/>
    <x v="0"/>
    <x v="0"/>
    <s v="Murphy"/>
    <s v="Julie"/>
    <x v="0"/>
  </r>
  <r>
    <n v="10210"/>
    <n v="40"/>
    <n v="49.67"/>
    <n v="3"/>
    <n v="1986.8"/>
    <d v="2004-01-12T00:00:00"/>
    <x v="0"/>
    <n v="1"/>
    <x v="7"/>
    <x v="7"/>
    <x v="1"/>
    <x v="0"/>
    <n v="60"/>
    <x v="31"/>
    <x v="44"/>
    <s v="+81 06 6342 5555"/>
    <s v="Dojima Avanza 4F, 1-6-20 Dojima, Kita-ku"/>
    <m/>
    <x v="38"/>
    <s v="Osaka"/>
    <s v="530-0003"/>
    <x v="11"/>
    <x v="3"/>
    <s v="Kentary"/>
    <s v="Mory"/>
    <x v="0"/>
  </r>
  <r>
    <n v="10223"/>
    <n v="28"/>
    <n v="60.57"/>
    <n v="5"/>
    <n v="1695.96"/>
    <d v="2004-02-20T00:00:00"/>
    <x v="0"/>
    <n v="1"/>
    <x v="0"/>
    <x v="0"/>
    <x v="1"/>
    <x v="0"/>
    <n v="60"/>
    <x v="31"/>
    <x v="10"/>
    <s v="03 9520 4555"/>
    <s v="636 St Kilda Road"/>
    <s v="Level 3"/>
    <x v="8"/>
    <s v="Victoria"/>
    <n v="3004"/>
    <x v="3"/>
    <x v="2"/>
    <s v="Ferguson"/>
    <s v="Peter"/>
    <x v="0"/>
  </r>
  <r>
    <n v="10236"/>
    <n v="23"/>
    <n v="55.72"/>
    <n v="2"/>
    <n v="1281.56"/>
    <d v="2004-04-03T00:00:00"/>
    <x v="0"/>
    <n v="2"/>
    <x v="8"/>
    <x v="8"/>
    <x v="1"/>
    <x v="0"/>
    <n v="60"/>
    <x v="31"/>
    <x v="45"/>
    <n v="2155559857"/>
    <s v="11328 Douglas Av."/>
    <m/>
    <x v="24"/>
    <s v="PA"/>
    <n v="71270"/>
    <x v="0"/>
    <x v="0"/>
    <s v="Hernandez"/>
    <s v="Rosa"/>
    <x v="0"/>
  </r>
  <r>
    <n v="10251"/>
    <n v="29"/>
    <n v="61.18"/>
    <n v="6"/>
    <n v="1774.22"/>
    <d v="2004-05-18T00:00:00"/>
    <x v="0"/>
    <n v="2"/>
    <x v="1"/>
    <x v="1"/>
    <x v="1"/>
    <x v="0"/>
    <n v="60"/>
    <x v="31"/>
    <x v="12"/>
    <n v="2015559350"/>
    <s v="7476 Moss Rd."/>
    <m/>
    <x v="9"/>
    <s v="NJ"/>
    <n v="94019"/>
    <x v="0"/>
    <x v="0"/>
    <s v="Brown"/>
    <s v="William"/>
    <x v="0"/>
  </r>
  <r>
    <n v="10263"/>
    <n v="34"/>
    <n v="58.75"/>
    <n v="6"/>
    <n v="1997.5"/>
    <d v="2004-06-28T00:00:00"/>
    <x v="0"/>
    <n v="2"/>
    <x v="9"/>
    <x v="9"/>
    <x v="1"/>
    <x v="0"/>
    <n v="60"/>
    <x v="31"/>
    <x v="13"/>
    <n v="2035552570"/>
    <s v="25593 South Bay Ln."/>
    <m/>
    <x v="10"/>
    <s v="CT"/>
    <n v="97562"/>
    <x v="0"/>
    <x v="0"/>
    <s v="King"/>
    <s v="Julie"/>
    <x v="0"/>
  </r>
  <r>
    <n v="10275"/>
    <n v="37"/>
    <n v="63.6"/>
    <n v="5"/>
    <n v="2353.1999999999998"/>
    <d v="2004-07-23T00:00:00"/>
    <x v="0"/>
    <n v="3"/>
    <x v="2"/>
    <x v="2"/>
    <x v="1"/>
    <x v="0"/>
    <n v="60"/>
    <x v="31"/>
    <x v="14"/>
    <s v="40.67.8555"/>
    <s v="67, rue des Cinquante Otages"/>
    <m/>
    <x v="11"/>
    <m/>
    <n v="44000"/>
    <x v="1"/>
    <x v="1"/>
    <s v="Labrune"/>
    <s v="Janine"/>
    <x v="0"/>
  </r>
  <r>
    <n v="10285"/>
    <n v="20"/>
    <n v="49.06"/>
    <n v="10"/>
    <n v="981.2"/>
    <d v="2004-08-27T00:00:00"/>
    <x v="0"/>
    <n v="3"/>
    <x v="3"/>
    <x v="3"/>
    <x v="1"/>
    <x v="0"/>
    <n v="60"/>
    <x v="31"/>
    <x v="15"/>
    <n v="6175558555"/>
    <s v="39323 Spinnaker Dr."/>
    <m/>
    <x v="12"/>
    <s v="MA"/>
    <n v="51247"/>
    <x v="0"/>
    <x v="0"/>
    <s v="Hernandez"/>
    <s v="Marta"/>
    <x v="0"/>
  </r>
  <r>
    <n v="10298"/>
    <n v="32"/>
    <n v="48.46"/>
    <n v="2"/>
    <n v="1550.72"/>
    <d v="2004-09-27T00:00:00"/>
    <x v="0"/>
    <n v="3"/>
    <x v="10"/>
    <x v="10"/>
    <x v="1"/>
    <x v="0"/>
    <n v="60"/>
    <x v="31"/>
    <x v="46"/>
    <s v="40.32.2555"/>
    <s v="54, rue Royale"/>
    <m/>
    <x v="11"/>
    <m/>
    <n v="44000"/>
    <x v="1"/>
    <x v="1"/>
    <s v="Schmitt"/>
    <s v="Carine"/>
    <x v="0"/>
  </r>
  <r>
    <n v="10308"/>
    <n v="34"/>
    <n v="52.09"/>
    <n v="3"/>
    <n v="1771.06"/>
    <d v="2004-10-15T00:00:00"/>
    <x v="0"/>
    <n v="4"/>
    <x v="4"/>
    <x v="4"/>
    <x v="1"/>
    <x v="0"/>
    <n v="60"/>
    <x v="31"/>
    <x v="47"/>
    <n v="9145554562"/>
    <s v="3758 North Pendale Street"/>
    <m/>
    <x v="39"/>
    <s v="NY"/>
    <n v="24067"/>
    <x v="0"/>
    <x v="0"/>
    <s v="Frick"/>
    <s v="Steve"/>
    <x v="0"/>
  </r>
  <r>
    <n v="10318"/>
    <n v="42"/>
    <n v="52.7"/>
    <n v="5"/>
    <n v="2213.4"/>
    <d v="2004-11-02T00:00:00"/>
    <x v="0"/>
    <n v="4"/>
    <x v="5"/>
    <x v="5"/>
    <x v="1"/>
    <x v="0"/>
    <n v="60"/>
    <x v="31"/>
    <x v="18"/>
    <n v="2155551555"/>
    <s v="7586 Pompton St."/>
    <m/>
    <x v="15"/>
    <s v="PA"/>
    <n v="70267"/>
    <x v="0"/>
    <x v="0"/>
    <s v="Yu"/>
    <s v="Kyung"/>
    <x v="0"/>
  </r>
  <r>
    <n v="10329"/>
    <n v="38"/>
    <n v="100"/>
    <n v="12"/>
    <n v="5266.04"/>
    <d v="2004-11-15T00:00:00"/>
    <x v="0"/>
    <n v="4"/>
    <x v="5"/>
    <x v="5"/>
    <x v="1"/>
    <x v="0"/>
    <n v="60"/>
    <x v="31"/>
    <x v="0"/>
    <n v="2125557818"/>
    <s v="897 Long Airport Avenue"/>
    <m/>
    <x v="0"/>
    <s v="NY"/>
    <n v="10022"/>
    <x v="0"/>
    <x v="0"/>
    <s v="Yu"/>
    <s v="Kwai"/>
    <x v="1"/>
  </r>
  <r>
    <n v="10339"/>
    <n v="30"/>
    <n v="62.16"/>
    <n v="1"/>
    <n v="1864.8"/>
    <d v="2004-11-23T00:00:00"/>
    <x v="0"/>
    <n v="4"/>
    <x v="5"/>
    <x v="5"/>
    <x v="1"/>
    <x v="0"/>
    <n v="60"/>
    <x v="31"/>
    <x v="35"/>
    <s v="+81 3 3584 0555"/>
    <s v="2-2-8 Roppongi"/>
    <m/>
    <x v="29"/>
    <s v="Tokyo"/>
    <s v="106-0032"/>
    <x v="11"/>
    <x v="3"/>
    <s v="Shimamura"/>
    <s v="Akiko"/>
    <x v="0"/>
  </r>
  <r>
    <n v="10362"/>
    <n v="23"/>
    <n v="49.67"/>
    <n v="3"/>
    <n v="1142.4100000000001"/>
    <d v="2005-01-05T00:00:00"/>
    <x v="0"/>
    <n v="1"/>
    <x v="7"/>
    <x v="7"/>
    <x v="2"/>
    <x v="0"/>
    <n v="60"/>
    <x v="31"/>
    <x v="5"/>
    <n v="6505556809"/>
    <s v="9408 Furth Circle"/>
    <m/>
    <x v="5"/>
    <s v="CA"/>
    <n v="94217"/>
    <x v="0"/>
    <x v="0"/>
    <s v="Hirano"/>
    <s v="Juri"/>
    <x v="0"/>
  </r>
  <r>
    <n v="10374"/>
    <n v="22"/>
    <n v="53.3"/>
    <n v="4"/>
    <n v="1172.5999999999999"/>
    <d v="2005-02-02T00:00:00"/>
    <x v="0"/>
    <n v="1"/>
    <x v="0"/>
    <x v="0"/>
    <x v="2"/>
    <x v="0"/>
    <n v="60"/>
    <x v="31"/>
    <x v="28"/>
    <s v="61-7-3844-6555"/>
    <s v="31 Duncan St. West End"/>
    <m/>
    <x v="23"/>
    <s v="Queensland"/>
    <n v="4101"/>
    <x v="3"/>
    <x v="2"/>
    <s v="Calaghan"/>
    <s v="Tony"/>
    <x v="0"/>
  </r>
  <r>
    <n v="10389"/>
    <n v="39"/>
    <n v="100"/>
    <n v="5"/>
    <n v="6981"/>
    <d v="2005-03-03T00:00:00"/>
    <x v="0"/>
    <n v="1"/>
    <x v="11"/>
    <x v="11"/>
    <x v="2"/>
    <x v="0"/>
    <n v="60"/>
    <x v="31"/>
    <x v="37"/>
    <s v="0695-34 6555"/>
    <s v="?kergatan 24"/>
    <m/>
    <x v="31"/>
    <m/>
    <s v="S-844 67"/>
    <x v="8"/>
    <x v="1"/>
    <s v="Larsson"/>
    <s v="Maria"/>
    <x v="1"/>
  </r>
  <r>
    <n v="10402"/>
    <n v="55"/>
    <n v="55.72"/>
    <n v="2"/>
    <n v="3064.6"/>
    <d v="2005-04-07T00:00:00"/>
    <x v="0"/>
    <n v="2"/>
    <x v="8"/>
    <x v="8"/>
    <x v="2"/>
    <x v="0"/>
    <n v="60"/>
    <x v="31"/>
    <x v="9"/>
    <s v="(1) 47.55.6555"/>
    <s v="25, rue Lauriston"/>
    <m/>
    <x v="2"/>
    <m/>
    <n v="75016"/>
    <x v="1"/>
    <x v="1"/>
    <s v="Perrier"/>
    <s v="Dominique"/>
    <x v="1"/>
  </r>
  <r>
    <n v="10417"/>
    <n v="36"/>
    <n v="61.18"/>
    <n v="6"/>
    <n v="2202.48"/>
    <d v="2005-05-13T00:00:00"/>
    <x v="1"/>
    <n v="2"/>
    <x v="1"/>
    <x v="1"/>
    <x v="2"/>
    <x v="0"/>
    <n v="60"/>
    <x v="31"/>
    <x v="23"/>
    <s v="(91) 555 94 44"/>
    <s v="C/ Moralzarzal, 86"/>
    <m/>
    <x v="20"/>
    <m/>
    <n v="28034"/>
    <x v="7"/>
    <x v="1"/>
    <s v="Freyre"/>
    <s v="Diego"/>
    <x v="0"/>
  </r>
  <r>
    <n v="10101"/>
    <n v="26"/>
    <n v="100"/>
    <n v="1"/>
    <n v="3773.38"/>
    <d v="2003-01-09T00:00:00"/>
    <x v="0"/>
    <n v="1"/>
    <x v="7"/>
    <x v="7"/>
    <x v="0"/>
    <x v="3"/>
    <n v="168"/>
    <x v="32"/>
    <x v="72"/>
    <s v="+49 69 66 90 2555"/>
    <s v="Lyonerstr. 34"/>
    <m/>
    <x v="58"/>
    <m/>
    <n v="60528"/>
    <x v="16"/>
    <x v="1"/>
    <s v="Keitel"/>
    <s v="Roland"/>
    <x v="1"/>
  </r>
  <r>
    <n v="10110"/>
    <n v="31"/>
    <n v="100"/>
    <n v="1"/>
    <n v="5074.3900000000003"/>
    <d v="2003-03-18T00:00:00"/>
    <x v="0"/>
    <n v="1"/>
    <x v="11"/>
    <x v="11"/>
    <x v="0"/>
    <x v="3"/>
    <n v="168"/>
    <x v="32"/>
    <x v="77"/>
    <s v="(171) 555-1555"/>
    <s v="Fauntleroy Circus"/>
    <m/>
    <x v="61"/>
    <m/>
    <s v="EC2 5NT"/>
    <x v="6"/>
    <x v="1"/>
    <s v="Ashworth"/>
    <s v="Victoria"/>
    <x v="1"/>
  </r>
  <r>
    <n v="10125"/>
    <n v="34"/>
    <n v="100"/>
    <n v="2"/>
    <n v="6483.46"/>
    <d v="2003-05-21T00:00:00"/>
    <x v="0"/>
    <n v="2"/>
    <x v="1"/>
    <x v="1"/>
    <x v="0"/>
    <x v="3"/>
    <n v="168"/>
    <x v="32"/>
    <x v="10"/>
    <s v="03 9520 4555"/>
    <s v="636 St Kilda Road"/>
    <s v="Level 3"/>
    <x v="8"/>
    <s v="Victoria"/>
    <n v="3004"/>
    <x v="3"/>
    <x v="2"/>
    <s v="Ferguson"/>
    <s v="Peter"/>
    <x v="1"/>
  </r>
  <r>
    <n v="10139"/>
    <n v="41"/>
    <n v="100"/>
    <n v="8"/>
    <n v="7956.46"/>
    <d v="2003-07-16T00:00:00"/>
    <x v="0"/>
    <n v="3"/>
    <x v="2"/>
    <x v="2"/>
    <x v="0"/>
    <x v="3"/>
    <n v="168"/>
    <x v="32"/>
    <x v="20"/>
    <s v="+61 2 9495 8555"/>
    <s v="Monitor Money Building, 815 Pacific Hwy"/>
    <s v="Level 6"/>
    <x v="17"/>
    <s v="NSW"/>
    <n v="2067"/>
    <x v="3"/>
    <x v="2"/>
    <s v="Huxley"/>
    <s v="Adrian"/>
    <x v="2"/>
  </r>
  <r>
    <n v="10149"/>
    <n v="23"/>
    <n v="100"/>
    <n v="5"/>
    <n v="4230.62"/>
    <d v="2003-09-12T00:00:00"/>
    <x v="0"/>
    <n v="3"/>
    <x v="10"/>
    <x v="10"/>
    <x v="0"/>
    <x v="3"/>
    <n v="168"/>
    <x v="32"/>
    <x v="82"/>
    <n v="4155554312"/>
    <s v="2793 Furth Circle"/>
    <m/>
    <x v="65"/>
    <s v="CA"/>
    <n v="94217"/>
    <x v="0"/>
    <x v="0"/>
    <s v="Taylor"/>
    <s v="Sue"/>
    <x v="1"/>
  </r>
  <r>
    <n v="10162"/>
    <n v="48"/>
    <n v="100"/>
    <n v="3"/>
    <n v="7209.12"/>
    <d v="2003-10-18T00:00:00"/>
    <x v="0"/>
    <n v="4"/>
    <x v="4"/>
    <x v="4"/>
    <x v="0"/>
    <x v="3"/>
    <n v="168"/>
    <x v="32"/>
    <x v="4"/>
    <n v="6505551386"/>
    <s v="7734 Strong St."/>
    <m/>
    <x v="4"/>
    <s v="CA"/>
    <m/>
    <x v="0"/>
    <x v="0"/>
    <s v="Brown"/>
    <s v="Julie"/>
    <x v="2"/>
  </r>
  <r>
    <n v="10173"/>
    <n v="22"/>
    <n v="100"/>
    <n v="7"/>
    <n v="3452.68"/>
    <d v="2003-11-05T00:00:00"/>
    <x v="0"/>
    <n v="4"/>
    <x v="5"/>
    <x v="5"/>
    <x v="0"/>
    <x v="3"/>
    <n v="168"/>
    <x v="32"/>
    <x v="86"/>
    <s v="035-640555"/>
    <s v="Via Ludovico il Moro 22"/>
    <m/>
    <x v="69"/>
    <m/>
    <n v="24100"/>
    <x v="12"/>
    <x v="1"/>
    <s v="Rovelli"/>
    <s v="Giovanni"/>
    <x v="1"/>
  </r>
  <r>
    <n v="10182"/>
    <n v="21"/>
    <n v="100"/>
    <n v="4"/>
    <n v="3047.73"/>
    <d v="2003-11-12T00:00:00"/>
    <x v="0"/>
    <n v="4"/>
    <x v="5"/>
    <x v="5"/>
    <x v="0"/>
    <x v="3"/>
    <n v="168"/>
    <x v="32"/>
    <x v="39"/>
    <n v="4155551450"/>
    <s v="5677 Strong St."/>
    <m/>
    <x v="33"/>
    <s v="CA"/>
    <n v="97562"/>
    <x v="0"/>
    <x v="0"/>
    <s v="Nelson"/>
    <s v="Valarie"/>
    <x v="1"/>
  </r>
  <r>
    <n v="10193"/>
    <n v="22"/>
    <n v="100"/>
    <n v="8"/>
    <n v="3675.32"/>
    <d v="2003-11-21T00:00:00"/>
    <x v="0"/>
    <n v="4"/>
    <x v="5"/>
    <x v="5"/>
    <x v="0"/>
    <x v="3"/>
    <n v="168"/>
    <x v="32"/>
    <x v="87"/>
    <s v="61-9-3844-6555"/>
    <s v="7 Allen Street"/>
    <m/>
    <x v="70"/>
    <s v="Victoria"/>
    <n v="3150"/>
    <x v="3"/>
    <x v="2"/>
    <s v="Connery"/>
    <s v="Sean"/>
    <x v="1"/>
  </r>
  <r>
    <n v="10205"/>
    <n v="40"/>
    <n v="100"/>
    <n v="3"/>
    <n v="7492.4"/>
    <d v="2003-12-03T00:00:00"/>
    <x v="0"/>
    <n v="4"/>
    <x v="6"/>
    <x v="6"/>
    <x v="0"/>
    <x v="3"/>
    <n v="168"/>
    <x v="32"/>
    <x v="23"/>
    <s v="(91) 555 94 44"/>
    <s v="C/ Moralzarzal, 86"/>
    <m/>
    <x v="20"/>
    <m/>
    <n v="28034"/>
    <x v="7"/>
    <x v="1"/>
    <s v="Freyre"/>
    <s v="Diego"/>
    <x v="2"/>
  </r>
  <r>
    <n v="10214"/>
    <n v="50"/>
    <n v="100"/>
    <n v="1"/>
    <n v="9534.5"/>
    <d v="2004-01-26T00:00:00"/>
    <x v="0"/>
    <n v="1"/>
    <x v="7"/>
    <x v="7"/>
    <x v="1"/>
    <x v="3"/>
    <n v="168"/>
    <x v="32"/>
    <x v="25"/>
    <s v="(91) 555 22 82"/>
    <s v="C/ Araquil, 67"/>
    <m/>
    <x v="20"/>
    <m/>
    <n v="28023"/>
    <x v="7"/>
    <x v="1"/>
    <s v="Sommer"/>
    <s v="Mart¡n"/>
    <x v="2"/>
  </r>
  <r>
    <n v="10227"/>
    <n v="29"/>
    <n v="100"/>
    <n v="4"/>
    <n v="5579.02"/>
    <d v="2004-03-02T00:00:00"/>
    <x v="0"/>
    <n v="1"/>
    <x v="11"/>
    <x v="11"/>
    <x v="1"/>
    <x v="3"/>
    <n v="168"/>
    <x v="32"/>
    <x v="30"/>
    <s v="78.32.5555"/>
    <s v="2, rue du Commerce"/>
    <m/>
    <x v="25"/>
    <m/>
    <n v="69004"/>
    <x v="1"/>
    <x v="1"/>
    <s v="Saveley"/>
    <s v="Mary"/>
    <x v="1"/>
  </r>
  <r>
    <n v="10244"/>
    <n v="43"/>
    <n v="100"/>
    <n v="8"/>
    <n v="5950.34"/>
    <d v="2004-04-29T00:00:00"/>
    <x v="0"/>
    <n v="2"/>
    <x v="8"/>
    <x v="8"/>
    <x v="1"/>
    <x v="3"/>
    <n v="168"/>
    <x v="32"/>
    <x v="23"/>
    <s v="(91) 555 94 44"/>
    <s v="C/ Moralzarzal, 86"/>
    <m/>
    <x v="20"/>
    <m/>
    <n v="28034"/>
    <x v="7"/>
    <x v="1"/>
    <s v="Freyre"/>
    <s v="Diego"/>
    <x v="1"/>
  </r>
  <r>
    <n v="10255"/>
    <n v="24"/>
    <n v="100"/>
    <n v="1"/>
    <n v="3726"/>
    <d v="2004-06-04T00:00:00"/>
    <x v="0"/>
    <n v="2"/>
    <x v="9"/>
    <x v="9"/>
    <x v="1"/>
    <x v="3"/>
    <n v="168"/>
    <x v="32"/>
    <x v="83"/>
    <s v="88.60.1555"/>
    <s v="24, place Kluber"/>
    <m/>
    <x v="66"/>
    <m/>
    <n v="67000"/>
    <x v="1"/>
    <x v="1"/>
    <s v="Citeaux"/>
    <s v="Frederique"/>
    <x v="1"/>
  </r>
  <r>
    <n v="10280"/>
    <n v="22"/>
    <n v="100"/>
    <n v="10"/>
    <n v="4455"/>
    <d v="2004-08-17T00:00:00"/>
    <x v="0"/>
    <n v="3"/>
    <x v="3"/>
    <x v="3"/>
    <x v="1"/>
    <x v="3"/>
    <n v="168"/>
    <x v="32"/>
    <x v="36"/>
    <s v="011-4988555"/>
    <s v="Via Monte Bianco 34"/>
    <m/>
    <x v="30"/>
    <m/>
    <n v="10100"/>
    <x v="12"/>
    <x v="1"/>
    <s v="Accorti"/>
    <s v="Paolo"/>
    <x v="1"/>
  </r>
  <r>
    <n v="10289"/>
    <n v="43"/>
    <n v="100"/>
    <n v="3"/>
    <n v="8272.34"/>
    <d v="2004-09-03T00:00:00"/>
    <x v="0"/>
    <n v="3"/>
    <x v="10"/>
    <x v="10"/>
    <x v="1"/>
    <x v="3"/>
    <n v="168"/>
    <x v="32"/>
    <x v="7"/>
    <s v="+47 2267 3215"/>
    <s v="Drammen 121, PR 744 Sentrum"/>
    <m/>
    <x v="7"/>
    <m/>
    <s v="N 5804"/>
    <x v="2"/>
    <x v="1"/>
    <s v="Oeztan"/>
    <s v="Veysel"/>
    <x v="2"/>
  </r>
  <r>
    <n v="10304"/>
    <n v="20"/>
    <n v="100"/>
    <n v="14"/>
    <n v="3577.6"/>
    <d v="2004-10-11T00:00:00"/>
    <x v="0"/>
    <n v="4"/>
    <x v="4"/>
    <x v="4"/>
    <x v="1"/>
    <x v="3"/>
    <n v="168"/>
    <x v="32"/>
    <x v="38"/>
    <s v="30.59.8555"/>
    <s v="67, avenue de l'Europe"/>
    <m/>
    <x v="32"/>
    <m/>
    <n v="78000"/>
    <x v="1"/>
    <x v="1"/>
    <s v="Tonini"/>
    <s v="Daniel"/>
    <x v="1"/>
  </r>
  <r>
    <n v="10312"/>
    <n v="25"/>
    <n v="100"/>
    <n v="11"/>
    <n v="3881.25"/>
    <d v="2004-10-21T00:00:00"/>
    <x v="0"/>
    <n v="4"/>
    <x v="4"/>
    <x v="4"/>
    <x v="1"/>
    <x v="3"/>
    <n v="168"/>
    <x v="32"/>
    <x v="39"/>
    <n v="4155551450"/>
    <s v="5677 Strong St."/>
    <m/>
    <x v="33"/>
    <s v="CA"/>
    <n v="97562"/>
    <x v="0"/>
    <x v="0"/>
    <s v="Nelson"/>
    <s v="Valarie"/>
    <x v="1"/>
  </r>
  <r>
    <n v="10322"/>
    <n v="36"/>
    <n v="100"/>
    <n v="2"/>
    <n v="5797.44"/>
    <d v="2004-11-04T00:00:00"/>
    <x v="0"/>
    <n v="4"/>
    <x v="5"/>
    <x v="5"/>
    <x v="1"/>
    <x v="3"/>
    <n v="168"/>
    <x v="32"/>
    <x v="40"/>
    <n v="6035558647"/>
    <s v="2304 Long Airport Avenue"/>
    <m/>
    <x v="34"/>
    <s v="NH"/>
    <n v="62005"/>
    <x v="0"/>
    <x v="0"/>
    <s v="Young"/>
    <s v="Valarie"/>
    <x v="1"/>
  </r>
  <r>
    <n v="10332"/>
    <n v="24"/>
    <n v="52.67"/>
    <n v="1"/>
    <n v="1264.08"/>
    <d v="2004-11-17T00:00:00"/>
    <x v="0"/>
    <n v="4"/>
    <x v="5"/>
    <x v="5"/>
    <x v="1"/>
    <x v="3"/>
    <n v="168"/>
    <x v="32"/>
    <x v="77"/>
    <s v="(171) 555-1555"/>
    <s v="Fauntleroy Circus"/>
    <m/>
    <x v="61"/>
    <m/>
    <s v="EC2 5NT"/>
    <x v="6"/>
    <x v="1"/>
    <s v="Ashworth"/>
    <s v="Victoria"/>
    <x v="0"/>
  </r>
  <r>
    <n v="10347"/>
    <n v="21"/>
    <n v="100"/>
    <n v="6"/>
    <n v="4815.3"/>
    <d v="2004-11-29T00:00:00"/>
    <x v="0"/>
    <n v="4"/>
    <x v="5"/>
    <x v="5"/>
    <x v="1"/>
    <x v="3"/>
    <n v="168"/>
    <x v="32"/>
    <x v="10"/>
    <s v="03 9520 4555"/>
    <s v="636 St Kilda Road"/>
    <s v="Level 3"/>
    <x v="8"/>
    <s v="Victoria"/>
    <n v="3004"/>
    <x v="3"/>
    <x v="2"/>
    <s v="Ferguson"/>
    <s v="Peter"/>
    <x v="1"/>
  </r>
  <r>
    <n v="10356"/>
    <n v="30"/>
    <n v="100"/>
    <n v="1"/>
    <n v="4462.2"/>
    <d v="2004-12-09T00:00:00"/>
    <x v="0"/>
    <n v="4"/>
    <x v="6"/>
    <x v="6"/>
    <x v="1"/>
    <x v="3"/>
    <n v="168"/>
    <x v="32"/>
    <x v="2"/>
    <s v="+33 1 46 62 7555"/>
    <s v="27 rue du Colonel Pierre Avia"/>
    <m/>
    <x v="2"/>
    <m/>
    <n v="75508"/>
    <x v="1"/>
    <x v="1"/>
    <s v="Da Cunha"/>
    <s v="Daniel"/>
    <x v="1"/>
  </r>
  <r>
    <n v="10367"/>
    <n v="32"/>
    <n v="94.79"/>
    <n v="7"/>
    <n v="3033.28"/>
    <d v="2005-01-12T00:00:00"/>
    <x v="5"/>
    <n v="1"/>
    <x v="7"/>
    <x v="7"/>
    <x v="2"/>
    <x v="3"/>
    <n v="168"/>
    <x v="32"/>
    <x v="3"/>
    <n v="6265557265"/>
    <s v="78934 Hillside Dr."/>
    <m/>
    <x v="3"/>
    <s v="CA"/>
    <n v="90003"/>
    <x v="0"/>
    <x v="0"/>
    <s v="Young"/>
    <s v="Julie"/>
    <x v="1"/>
  </r>
  <r>
    <n v="10380"/>
    <n v="21"/>
    <n v="47.18"/>
    <n v="8"/>
    <n v="990.78"/>
    <d v="2005-02-16T00:00:00"/>
    <x v="0"/>
    <n v="1"/>
    <x v="0"/>
    <x v="0"/>
    <x v="2"/>
    <x v="3"/>
    <n v="168"/>
    <x v="32"/>
    <x v="23"/>
    <s v="(91) 555 94 44"/>
    <s v="C/ Moralzarzal, 86"/>
    <m/>
    <x v="20"/>
    <m/>
    <n v="28034"/>
    <x v="7"/>
    <x v="1"/>
    <s v="Freyre"/>
    <s v="Diego"/>
    <x v="0"/>
  </r>
  <r>
    <n v="10390"/>
    <n v="26"/>
    <n v="78.11"/>
    <n v="7"/>
    <n v="2030.86"/>
    <d v="2005-03-04T00:00:00"/>
    <x v="0"/>
    <n v="1"/>
    <x v="11"/>
    <x v="11"/>
    <x v="2"/>
    <x v="3"/>
    <n v="168"/>
    <x v="32"/>
    <x v="39"/>
    <n v="4155551450"/>
    <s v="5677 Strong St."/>
    <m/>
    <x v="33"/>
    <s v="CA"/>
    <n v="97562"/>
    <x v="0"/>
    <x v="0"/>
    <s v="Nelson"/>
    <s v="Valarie"/>
    <x v="0"/>
  </r>
  <r>
    <n v="10421"/>
    <n v="35"/>
    <n v="100"/>
    <n v="1"/>
    <n v="5433.75"/>
    <d v="2005-05-29T00:00:00"/>
    <x v="2"/>
    <n v="2"/>
    <x v="1"/>
    <x v="1"/>
    <x v="2"/>
    <x v="3"/>
    <n v="168"/>
    <x v="32"/>
    <x v="39"/>
    <n v="4155551450"/>
    <s v="5677 Strong St."/>
    <m/>
    <x v="33"/>
    <s v="CA"/>
    <n v="97562"/>
    <x v="0"/>
    <x v="0"/>
    <s v="Nelson"/>
    <s v="Valarie"/>
    <x v="1"/>
  </r>
  <r>
    <n v="10109"/>
    <n v="26"/>
    <n v="100"/>
    <n v="1"/>
    <n v="3157.44"/>
    <d v="2003-03-10T00:00:00"/>
    <x v="0"/>
    <n v="1"/>
    <x v="11"/>
    <x v="11"/>
    <x v="0"/>
    <x v="1"/>
    <n v="132"/>
    <x v="33"/>
    <x v="45"/>
    <n v="2155559857"/>
    <s v="11328 Douglas Av."/>
    <m/>
    <x v="24"/>
    <s v="PA"/>
    <n v="71270"/>
    <x v="0"/>
    <x v="0"/>
    <s v="Hernandez"/>
    <s v="Rosa"/>
    <x v="1"/>
  </r>
  <r>
    <n v="10123"/>
    <n v="46"/>
    <n v="100"/>
    <n v="3"/>
    <n v="5161.2"/>
    <d v="2003-05-20T00:00:00"/>
    <x v="0"/>
    <n v="2"/>
    <x v="1"/>
    <x v="1"/>
    <x v="0"/>
    <x v="1"/>
    <n v="132"/>
    <x v="33"/>
    <x v="46"/>
    <s v="40.32.2555"/>
    <s v="54, rue Royale"/>
    <m/>
    <x v="11"/>
    <m/>
    <n v="44000"/>
    <x v="1"/>
    <x v="1"/>
    <s v="Schmitt"/>
    <s v="Carine"/>
    <x v="1"/>
  </r>
  <r>
    <n v="10137"/>
    <n v="37"/>
    <n v="100"/>
    <n v="3"/>
    <n v="4346.76"/>
    <d v="2003-07-10T00:00:00"/>
    <x v="0"/>
    <n v="3"/>
    <x v="2"/>
    <x v="2"/>
    <x v="0"/>
    <x v="1"/>
    <n v="132"/>
    <x v="33"/>
    <x v="1"/>
    <s v="26.47.1555"/>
    <s v="59 rue de l'Abbaye"/>
    <m/>
    <x v="1"/>
    <m/>
    <n v="51100"/>
    <x v="1"/>
    <x v="1"/>
    <s v="Henriot"/>
    <s v="Paul"/>
    <x v="1"/>
  </r>
  <r>
    <n v="10148"/>
    <n v="27"/>
    <n v="100"/>
    <n v="10"/>
    <n v="3528.36"/>
    <d v="2003-09-11T00:00:00"/>
    <x v="0"/>
    <n v="3"/>
    <x v="10"/>
    <x v="10"/>
    <x v="0"/>
    <x v="1"/>
    <n v="132"/>
    <x v="33"/>
    <x v="42"/>
    <s v="02 9936 8555"/>
    <s v="201 Miller Street"/>
    <s v="Level 15"/>
    <x v="36"/>
    <s v="NSW"/>
    <n v="2060"/>
    <x v="3"/>
    <x v="2"/>
    <s v="O'Hara"/>
    <s v="Anna"/>
    <x v="1"/>
  </r>
  <r>
    <n v="10161"/>
    <n v="23"/>
    <n v="100"/>
    <n v="9"/>
    <n v="3187.8"/>
    <d v="2003-10-17T00:00:00"/>
    <x v="0"/>
    <n v="4"/>
    <x v="4"/>
    <x v="4"/>
    <x v="0"/>
    <x v="1"/>
    <n v="132"/>
    <x v="33"/>
    <x v="78"/>
    <s v="86 21 3555"/>
    <s v="Smagsloget 45"/>
    <m/>
    <x v="62"/>
    <m/>
    <n v="8200"/>
    <x v="13"/>
    <x v="1"/>
    <s v="Ibsen"/>
    <s v="Palle"/>
    <x v="1"/>
  </r>
  <r>
    <n v="10172"/>
    <n v="39"/>
    <n v="100"/>
    <n v="7"/>
    <n v="6023.16"/>
    <d v="2003-11-05T00:00:00"/>
    <x v="0"/>
    <n v="4"/>
    <x v="5"/>
    <x v="5"/>
    <x v="0"/>
    <x v="1"/>
    <n v="132"/>
    <x v="33"/>
    <x v="13"/>
    <n v="2035552570"/>
    <s v="25593 South Bay Ln."/>
    <m/>
    <x v="10"/>
    <s v="CT"/>
    <n v="97562"/>
    <x v="0"/>
    <x v="0"/>
    <s v="King"/>
    <s v="Julie"/>
    <x v="1"/>
  </r>
  <r>
    <n v="10181"/>
    <n v="27"/>
    <n v="100"/>
    <n v="3"/>
    <n v="3884.76"/>
    <d v="2003-11-12T00:00:00"/>
    <x v="0"/>
    <n v="4"/>
    <x v="5"/>
    <x v="5"/>
    <x v="0"/>
    <x v="1"/>
    <n v="132"/>
    <x v="33"/>
    <x v="7"/>
    <s v="+47 2267 3215"/>
    <s v="Drammen 121, PR 744 Sentrum"/>
    <m/>
    <x v="7"/>
    <m/>
    <s v="N 5804"/>
    <x v="2"/>
    <x v="1"/>
    <s v="Oeztan"/>
    <s v="Veysel"/>
    <x v="1"/>
  </r>
  <r>
    <n v="10192"/>
    <n v="38"/>
    <n v="100"/>
    <n v="8"/>
    <n v="4965.84"/>
    <d v="2003-11-20T00:00:00"/>
    <x v="0"/>
    <n v="4"/>
    <x v="5"/>
    <x v="5"/>
    <x v="0"/>
    <x v="1"/>
    <n v="132"/>
    <x v="33"/>
    <x v="40"/>
    <n v="6035558647"/>
    <s v="2304 Long Airport Avenue"/>
    <m/>
    <x v="34"/>
    <s v="NH"/>
    <n v="62005"/>
    <x v="0"/>
    <x v="0"/>
    <s v="Young"/>
    <s v="Valarie"/>
    <x v="1"/>
  </r>
  <r>
    <n v="10204"/>
    <n v="27"/>
    <n v="100"/>
    <n v="14"/>
    <n v="4169.88"/>
    <d v="2003-12-02T00:00:00"/>
    <x v="0"/>
    <n v="4"/>
    <x v="6"/>
    <x v="6"/>
    <x v="0"/>
    <x v="1"/>
    <n v="132"/>
    <x v="33"/>
    <x v="74"/>
    <n v="2125557413"/>
    <s v="4092 Furth Circle"/>
    <s v="Suite 400"/>
    <x v="0"/>
    <s v="NY"/>
    <n v="10022"/>
    <x v="0"/>
    <x v="0"/>
    <s v="Young"/>
    <s v="Jeff"/>
    <x v="1"/>
  </r>
  <r>
    <n v="10212"/>
    <n v="40"/>
    <n v="100"/>
    <n v="7"/>
    <n v="4910.3999999999996"/>
    <d v="2004-01-16T00:00:00"/>
    <x v="0"/>
    <n v="1"/>
    <x v="7"/>
    <x v="7"/>
    <x v="1"/>
    <x v="1"/>
    <n v="132"/>
    <x v="33"/>
    <x v="23"/>
    <s v="(91) 555 94 44"/>
    <s v="C/ Moralzarzal, 86"/>
    <m/>
    <x v="20"/>
    <m/>
    <n v="28034"/>
    <x v="7"/>
    <x v="1"/>
    <s v="Freyre"/>
    <s v="Diego"/>
    <x v="1"/>
  </r>
  <r>
    <n v="10226"/>
    <n v="24"/>
    <n v="100"/>
    <n v="5"/>
    <n v="3231.36"/>
    <d v="2004-02-26T00:00:00"/>
    <x v="0"/>
    <n v="1"/>
    <x v="0"/>
    <x v="0"/>
    <x v="1"/>
    <x v="1"/>
    <n v="132"/>
    <x v="33"/>
    <x v="55"/>
    <n v="7605558146"/>
    <s v="361 Furth Circle"/>
    <m/>
    <x v="45"/>
    <s v="CA"/>
    <n v="91217"/>
    <x v="0"/>
    <x v="0"/>
    <s v="Thompson"/>
    <s v="Valarie"/>
    <x v="1"/>
  </r>
  <r>
    <n v="10241"/>
    <n v="44"/>
    <n v="100"/>
    <n v="12"/>
    <n v="6853.44"/>
    <d v="2004-04-13T00:00:00"/>
    <x v="0"/>
    <n v="2"/>
    <x v="8"/>
    <x v="8"/>
    <x v="1"/>
    <x v="1"/>
    <n v="132"/>
    <x v="33"/>
    <x v="83"/>
    <s v="88.60.1555"/>
    <s v="24, place Kluber"/>
    <m/>
    <x v="66"/>
    <m/>
    <n v="67000"/>
    <x v="1"/>
    <x v="1"/>
    <s v="Citeaux"/>
    <s v="Frederique"/>
    <x v="1"/>
  </r>
  <r>
    <n v="10253"/>
    <n v="37"/>
    <n v="100"/>
    <n v="2"/>
    <n v="5177.04"/>
    <d v="2004-06-01T00:00:00"/>
    <x v="3"/>
    <n v="2"/>
    <x v="9"/>
    <x v="9"/>
    <x v="1"/>
    <x v="1"/>
    <n v="132"/>
    <x v="33"/>
    <x v="22"/>
    <s v="(171) 555-2282"/>
    <s v="Berkeley Gardens 12  Brewery"/>
    <m/>
    <x v="19"/>
    <m/>
    <s v="WX1 6LT"/>
    <x v="6"/>
    <x v="1"/>
    <s v="Devon"/>
    <s v="Elizabeth"/>
    <x v="1"/>
  </r>
  <r>
    <n v="10266"/>
    <n v="20"/>
    <n v="100"/>
    <n v="3"/>
    <n v="2824.8"/>
    <d v="2004-07-06T00:00:00"/>
    <x v="0"/>
    <n v="3"/>
    <x v="2"/>
    <x v="2"/>
    <x v="1"/>
    <x v="1"/>
    <n v="132"/>
    <x v="33"/>
    <x v="70"/>
    <s v="0522-556555"/>
    <s v="Strada Provinciale 124"/>
    <m/>
    <x v="57"/>
    <m/>
    <n v="42100"/>
    <x v="12"/>
    <x v="1"/>
    <s v="Moroni"/>
    <s v="Maurizio"/>
    <x v="0"/>
  </r>
  <r>
    <n v="10278"/>
    <n v="39"/>
    <n v="100"/>
    <n v="3"/>
    <n v="4324.32"/>
    <d v="2004-08-06T00:00:00"/>
    <x v="0"/>
    <n v="3"/>
    <x v="3"/>
    <x v="3"/>
    <x v="1"/>
    <x v="1"/>
    <n v="132"/>
    <x v="33"/>
    <x v="84"/>
    <n v="7025551838"/>
    <s v="8489 Strong St."/>
    <m/>
    <x v="67"/>
    <s v="NV"/>
    <n v="83030"/>
    <x v="0"/>
    <x v="0"/>
    <s v="King"/>
    <s v="Sue"/>
    <x v="1"/>
  </r>
  <r>
    <n v="10287"/>
    <n v="44"/>
    <n v="100"/>
    <n v="1"/>
    <n v="5052.96"/>
    <d v="2004-08-30T00:00:00"/>
    <x v="0"/>
    <n v="3"/>
    <x v="3"/>
    <x v="3"/>
    <x v="1"/>
    <x v="1"/>
    <n v="132"/>
    <x v="33"/>
    <x v="69"/>
    <s v="0897-034555"/>
    <s v="Grenzacherweg 237"/>
    <m/>
    <x v="56"/>
    <m/>
    <n v="1203"/>
    <x v="17"/>
    <x v="1"/>
    <s v="Holz"/>
    <s v="Michael"/>
    <x v="1"/>
  </r>
  <r>
    <n v="10301"/>
    <n v="22"/>
    <n v="100"/>
    <n v="5"/>
    <n v="3223.44"/>
    <d v="2003-10-05T00:00:00"/>
    <x v="0"/>
    <n v="4"/>
    <x v="4"/>
    <x v="4"/>
    <x v="0"/>
    <x v="1"/>
    <n v="132"/>
    <x v="33"/>
    <x v="85"/>
    <s v="+47 2212 1555"/>
    <s v="Drammensveien 126 A, PB 744 Sentrum"/>
    <m/>
    <x v="68"/>
    <m/>
    <s v="N 0106"/>
    <x v="2"/>
    <x v="1"/>
    <s v="Klaeboe"/>
    <s v="Jan"/>
    <x v="1"/>
  </r>
  <r>
    <n v="10311"/>
    <n v="43"/>
    <n v="100"/>
    <n v="10"/>
    <n v="5278.68"/>
    <d v="2004-10-16T00:00:00"/>
    <x v="0"/>
    <n v="4"/>
    <x v="4"/>
    <x v="4"/>
    <x v="1"/>
    <x v="1"/>
    <n v="132"/>
    <x v="33"/>
    <x v="23"/>
    <s v="(91) 555 94 44"/>
    <s v="C/ Moralzarzal, 86"/>
    <m/>
    <x v="20"/>
    <m/>
    <n v="28034"/>
    <x v="7"/>
    <x v="1"/>
    <s v="Freyre"/>
    <s v="Diego"/>
    <x v="1"/>
  </r>
  <r>
    <n v="10321"/>
    <n v="27"/>
    <n v="100"/>
    <n v="7"/>
    <n v="2851.2"/>
    <d v="2004-11-04T00:00:00"/>
    <x v="0"/>
    <n v="4"/>
    <x v="5"/>
    <x v="5"/>
    <x v="1"/>
    <x v="1"/>
    <n v="132"/>
    <x v="33"/>
    <x v="21"/>
    <n v="5085552555"/>
    <s v="1785 First Street"/>
    <m/>
    <x v="18"/>
    <s v="MA"/>
    <n v="50553"/>
    <x v="0"/>
    <x v="0"/>
    <s v="Benitez"/>
    <s v="Violeta"/>
    <x v="0"/>
  </r>
  <r>
    <n v="10331"/>
    <n v="26"/>
    <n v="64.900000000000006"/>
    <n v="10"/>
    <n v="1687.4"/>
    <d v="2004-11-17T00:00:00"/>
    <x v="0"/>
    <n v="4"/>
    <x v="5"/>
    <x v="5"/>
    <x v="1"/>
    <x v="1"/>
    <n v="132"/>
    <x v="33"/>
    <x v="45"/>
    <n v="2155559857"/>
    <s v="11328 Douglas Av."/>
    <m/>
    <x v="24"/>
    <s v="PA"/>
    <n v="71270"/>
    <x v="0"/>
    <x v="0"/>
    <s v="Hernandez"/>
    <s v="Rosa"/>
    <x v="0"/>
  </r>
  <r>
    <n v="10343"/>
    <n v="25"/>
    <n v="52.32"/>
    <n v="3"/>
    <n v="1308"/>
    <d v="2004-11-24T00:00:00"/>
    <x v="0"/>
    <n v="4"/>
    <x v="5"/>
    <x v="5"/>
    <x v="1"/>
    <x v="1"/>
    <n v="132"/>
    <x v="33"/>
    <x v="1"/>
    <s v="26.47.1555"/>
    <s v="59 rue de l'Abbaye"/>
    <m/>
    <x v="1"/>
    <m/>
    <n v="51100"/>
    <x v="1"/>
    <x v="1"/>
    <s v="Henriot"/>
    <s v="Paul"/>
    <x v="0"/>
  </r>
  <r>
    <n v="10366"/>
    <n v="49"/>
    <n v="100"/>
    <n v="2"/>
    <n v="6144.6"/>
    <d v="2005-01-10T00:00:00"/>
    <x v="0"/>
    <n v="1"/>
    <x v="7"/>
    <x v="7"/>
    <x v="2"/>
    <x v="1"/>
    <n v="132"/>
    <x v="33"/>
    <x v="90"/>
    <s v="(071) 23 67 2555"/>
    <s v="Boulevard Tirou, 255"/>
    <m/>
    <x v="72"/>
    <m/>
    <s v="B-6000"/>
    <x v="14"/>
    <x v="1"/>
    <s v="Cartrain"/>
    <s v="Pascale"/>
    <x v="1"/>
  </r>
  <r>
    <n v="10379"/>
    <n v="29"/>
    <n v="100"/>
    <n v="5"/>
    <n v="5127.2"/>
    <d v="2005-02-10T00:00:00"/>
    <x v="0"/>
    <n v="1"/>
    <x v="0"/>
    <x v="0"/>
    <x v="2"/>
    <x v="1"/>
    <n v="132"/>
    <x v="33"/>
    <x v="23"/>
    <s v="(91) 555 94 44"/>
    <s v="C/ Moralzarzal, 86"/>
    <m/>
    <x v="20"/>
    <m/>
    <n v="28034"/>
    <x v="7"/>
    <x v="1"/>
    <s v="Freyre"/>
    <s v="Diego"/>
    <x v="1"/>
  </r>
  <r>
    <n v="10407"/>
    <n v="41"/>
    <n v="100"/>
    <n v="12"/>
    <n v="6386.16"/>
    <d v="2005-04-22T00:00:00"/>
    <x v="4"/>
    <n v="2"/>
    <x v="8"/>
    <x v="8"/>
    <x v="2"/>
    <x v="1"/>
    <n v="132"/>
    <x v="33"/>
    <x v="61"/>
    <n v="4085553659"/>
    <s v="3086 Ingle Ln."/>
    <m/>
    <x v="51"/>
    <s v="CA"/>
    <n v="94217"/>
    <x v="0"/>
    <x v="0"/>
    <s v="Frick"/>
    <s v="Sue"/>
    <x v="1"/>
  </r>
  <r>
    <n v="10419"/>
    <n v="55"/>
    <n v="100"/>
    <n v="2"/>
    <n v="7695.6"/>
    <d v="2005-05-17T00:00:00"/>
    <x v="0"/>
    <n v="2"/>
    <x v="1"/>
    <x v="1"/>
    <x v="2"/>
    <x v="1"/>
    <n v="132"/>
    <x v="33"/>
    <x v="19"/>
    <s v="6562-9555"/>
    <s v="Geislweg 14"/>
    <m/>
    <x v="16"/>
    <m/>
    <n v="5020"/>
    <x v="5"/>
    <x v="1"/>
    <s v="Pipps"/>
    <s v="Georg"/>
    <x v="2"/>
  </r>
  <r>
    <n v="10103"/>
    <n v="27"/>
    <n v="83.07"/>
    <n v="12"/>
    <n v="2242.89"/>
    <d v="2003-01-29T00:00:00"/>
    <x v="0"/>
    <n v="1"/>
    <x v="7"/>
    <x v="7"/>
    <x v="0"/>
    <x v="3"/>
    <n v="101"/>
    <x v="34"/>
    <x v="17"/>
    <s v="07-98 9555"/>
    <s v="Erling Skakkes gate 78"/>
    <m/>
    <x v="14"/>
    <m/>
    <n v="4110"/>
    <x v="2"/>
    <x v="1"/>
    <s v="Bergulfsen"/>
    <s v="Jonas"/>
    <x v="0"/>
  </r>
  <r>
    <n v="10112"/>
    <n v="23"/>
    <n v="100"/>
    <n v="2"/>
    <n v="2539.89"/>
    <d v="2003-03-24T00:00:00"/>
    <x v="0"/>
    <n v="1"/>
    <x v="11"/>
    <x v="11"/>
    <x v="0"/>
    <x v="3"/>
    <n v="101"/>
    <x v="34"/>
    <x v="24"/>
    <s v="0921-12 3555"/>
    <s v="Berguvsv„gen  8"/>
    <m/>
    <x v="21"/>
    <m/>
    <s v="S-958 22"/>
    <x v="8"/>
    <x v="1"/>
    <s v="Berglund"/>
    <s v="Christina"/>
    <x v="0"/>
  </r>
  <r>
    <n v="10126"/>
    <n v="31"/>
    <n v="90.17"/>
    <n v="12"/>
    <n v="2795.27"/>
    <d v="2003-05-28T00:00:00"/>
    <x v="0"/>
    <n v="2"/>
    <x v="1"/>
    <x v="1"/>
    <x v="0"/>
    <x v="3"/>
    <n v="101"/>
    <x v="34"/>
    <x v="25"/>
    <s v="(91) 555 22 82"/>
    <s v="C/ Araquil, 67"/>
    <m/>
    <x v="20"/>
    <m/>
    <n v="28023"/>
    <x v="7"/>
    <x v="1"/>
    <s v="Sommer"/>
    <s v="Mart¡n"/>
    <x v="0"/>
  </r>
  <r>
    <n v="10139"/>
    <n v="46"/>
    <n v="100"/>
    <n v="1"/>
    <n v="5545.76"/>
    <d v="2003-07-16T00:00:00"/>
    <x v="0"/>
    <n v="3"/>
    <x v="2"/>
    <x v="2"/>
    <x v="0"/>
    <x v="3"/>
    <n v="101"/>
    <x v="34"/>
    <x v="20"/>
    <s v="+61 2 9495 8555"/>
    <s v="Monitor Money Building, 815 Pacific Hwy"/>
    <s v="Level 6"/>
    <x v="17"/>
    <s v="NSW"/>
    <n v="2067"/>
    <x v="3"/>
    <x v="2"/>
    <s v="Huxley"/>
    <s v="Adrian"/>
    <x v="1"/>
  </r>
  <r>
    <n v="10150"/>
    <n v="47"/>
    <n v="91.18"/>
    <n v="9"/>
    <n v="4285.46"/>
    <d v="2003-09-19T00:00:00"/>
    <x v="0"/>
    <n v="3"/>
    <x v="10"/>
    <x v="10"/>
    <x v="0"/>
    <x v="3"/>
    <n v="101"/>
    <x v="34"/>
    <x v="26"/>
    <s v="+65 221 7555"/>
    <s v="Bronz Sok., Bronz Apt. 3/6 Tesvikiye"/>
    <m/>
    <x v="22"/>
    <m/>
    <n v="79903"/>
    <x v="9"/>
    <x v="3"/>
    <s v="Natividad"/>
    <s v="Eric"/>
    <x v="1"/>
  </r>
  <r>
    <n v="10163"/>
    <n v="31"/>
    <n v="100"/>
    <n v="2"/>
    <n v="3329.09"/>
    <d v="2003-10-20T00:00:00"/>
    <x v="0"/>
    <n v="4"/>
    <x v="4"/>
    <x v="4"/>
    <x v="0"/>
    <x v="3"/>
    <n v="101"/>
    <x v="34"/>
    <x v="27"/>
    <n v="2125558493"/>
    <s v="5905 Pompton St."/>
    <s v="Suite 750"/>
    <x v="0"/>
    <s v="NY"/>
    <n v="10022"/>
    <x v="0"/>
    <x v="0"/>
    <s v="Hernandez"/>
    <s v="Maria"/>
    <x v="1"/>
  </r>
  <r>
    <n v="10174"/>
    <n v="46"/>
    <n v="100"/>
    <n v="5"/>
    <n v="5592.22"/>
    <d v="2003-11-06T00:00:00"/>
    <x v="0"/>
    <n v="4"/>
    <x v="5"/>
    <x v="5"/>
    <x v="0"/>
    <x v="3"/>
    <n v="101"/>
    <x v="34"/>
    <x v="28"/>
    <s v="61-7-3844-6555"/>
    <s v="31 Duncan St. West End"/>
    <m/>
    <x v="23"/>
    <s v="Queensland"/>
    <n v="4101"/>
    <x v="3"/>
    <x v="2"/>
    <s v="Calaghan"/>
    <s v="Tony"/>
    <x v="1"/>
  </r>
  <r>
    <n v="10183"/>
    <n v="37"/>
    <n v="89.15"/>
    <n v="9"/>
    <n v="3298.55"/>
    <d v="2003-11-13T00:00:00"/>
    <x v="0"/>
    <n v="4"/>
    <x v="5"/>
    <x v="5"/>
    <x v="0"/>
    <x v="3"/>
    <n v="101"/>
    <x v="34"/>
    <x v="29"/>
    <n v="2155554695"/>
    <s v="782 First Street"/>
    <m/>
    <x v="24"/>
    <s v="PA"/>
    <n v="71270"/>
    <x v="0"/>
    <x v="0"/>
    <s v="Cervantes"/>
    <s v="Francisca"/>
    <x v="1"/>
  </r>
  <r>
    <n v="10193"/>
    <n v="28"/>
    <n v="93.21"/>
    <n v="1"/>
    <n v="2609.88"/>
    <d v="2003-11-21T00:00:00"/>
    <x v="0"/>
    <n v="4"/>
    <x v="5"/>
    <x v="5"/>
    <x v="0"/>
    <x v="3"/>
    <n v="101"/>
    <x v="34"/>
    <x v="87"/>
    <s v="61-9-3844-6555"/>
    <s v="7 Allen Street"/>
    <m/>
    <x v="70"/>
    <s v="Victoria"/>
    <n v="3150"/>
    <x v="3"/>
    <x v="2"/>
    <s v="Connery"/>
    <s v="Sean"/>
    <x v="0"/>
  </r>
  <r>
    <n v="10206"/>
    <n v="37"/>
    <n v="90.17"/>
    <n v="7"/>
    <n v="3336.29"/>
    <d v="2003-12-05T00:00:00"/>
    <x v="0"/>
    <n v="4"/>
    <x v="6"/>
    <x v="6"/>
    <x v="0"/>
    <x v="3"/>
    <n v="101"/>
    <x v="34"/>
    <x v="31"/>
    <s v="(604) 555-3392"/>
    <s v="1900 Oak St."/>
    <m/>
    <x v="26"/>
    <s v="BC"/>
    <s v="V3F 2K1"/>
    <x v="10"/>
    <x v="0"/>
    <s v="Tannamuri"/>
    <s v="Yoshi"/>
    <x v="1"/>
  </r>
  <r>
    <n v="10215"/>
    <n v="49"/>
    <n v="100"/>
    <n v="4"/>
    <n v="5510.05"/>
    <d v="2004-01-29T00:00:00"/>
    <x v="0"/>
    <n v="1"/>
    <x v="7"/>
    <x v="7"/>
    <x v="1"/>
    <x v="3"/>
    <n v="101"/>
    <x v="34"/>
    <x v="32"/>
    <n v="3105553722"/>
    <s v="3675 Furth Circle"/>
    <m/>
    <x v="27"/>
    <s v="CA"/>
    <n v="94019"/>
    <x v="0"/>
    <x v="0"/>
    <s v="Thompson"/>
    <s v="Steve"/>
    <x v="1"/>
  </r>
  <r>
    <n v="10228"/>
    <n v="24"/>
    <n v="100"/>
    <n v="3"/>
    <n v="2504.4"/>
    <d v="2004-03-10T00:00:00"/>
    <x v="0"/>
    <n v="1"/>
    <x v="11"/>
    <x v="11"/>
    <x v="1"/>
    <x v="3"/>
    <n v="101"/>
    <x v="34"/>
    <x v="33"/>
    <n v="6175555555"/>
    <s v="4658 Baden Av."/>
    <m/>
    <x v="12"/>
    <s v="MA"/>
    <n v="51247"/>
    <x v="0"/>
    <x v="0"/>
    <s v="Tseng"/>
    <s v="Kyung"/>
    <x v="0"/>
  </r>
  <r>
    <n v="10244"/>
    <n v="30"/>
    <n v="100"/>
    <n v="1"/>
    <n v="3525.6"/>
    <d v="2004-04-29T00:00:00"/>
    <x v="0"/>
    <n v="2"/>
    <x v="8"/>
    <x v="8"/>
    <x v="1"/>
    <x v="3"/>
    <n v="101"/>
    <x v="34"/>
    <x v="23"/>
    <s v="(91) 555 94 44"/>
    <s v="C/ Moralzarzal, 86"/>
    <m/>
    <x v="20"/>
    <m/>
    <n v="28034"/>
    <x v="7"/>
    <x v="1"/>
    <s v="Freyre"/>
    <s v="Diego"/>
    <x v="1"/>
  </r>
  <r>
    <n v="10257"/>
    <n v="50"/>
    <n v="88.14"/>
    <n v="1"/>
    <n v="4407"/>
    <d v="2004-06-14T00:00:00"/>
    <x v="0"/>
    <n v="2"/>
    <x v="9"/>
    <x v="9"/>
    <x v="1"/>
    <x v="3"/>
    <n v="101"/>
    <x v="34"/>
    <x v="61"/>
    <n v="4085553659"/>
    <s v="3086 Ingle Ln."/>
    <m/>
    <x v="51"/>
    <s v="CA"/>
    <n v="94217"/>
    <x v="0"/>
    <x v="0"/>
    <s v="Frick"/>
    <s v="Sue"/>
    <x v="1"/>
  </r>
  <r>
    <n v="10270"/>
    <n v="31"/>
    <n v="96.24"/>
    <n v="10"/>
    <n v="2983.44"/>
    <d v="2004-07-19T00:00:00"/>
    <x v="0"/>
    <n v="3"/>
    <x v="2"/>
    <x v="2"/>
    <x v="1"/>
    <x v="3"/>
    <n v="101"/>
    <x v="34"/>
    <x v="20"/>
    <s v="+61 2 9495 8555"/>
    <s v="Monitor Money Building, 815 Pacific Hwy"/>
    <s v="Level 6"/>
    <x v="17"/>
    <s v="NSW"/>
    <n v="2067"/>
    <x v="3"/>
    <x v="2"/>
    <s v="Huxley"/>
    <s v="Adrian"/>
    <x v="0"/>
  </r>
  <r>
    <n v="10280"/>
    <n v="46"/>
    <n v="100"/>
    <n v="3"/>
    <n v="5126.24"/>
    <d v="2004-08-17T00:00:00"/>
    <x v="0"/>
    <n v="3"/>
    <x v="3"/>
    <x v="3"/>
    <x v="1"/>
    <x v="3"/>
    <n v="101"/>
    <x v="34"/>
    <x v="36"/>
    <s v="011-4988555"/>
    <s v="Via Monte Bianco 34"/>
    <m/>
    <x v="30"/>
    <m/>
    <n v="10100"/>
    <x v="12"/>
    <x v="1"/>
    <s v="Accorti"/>
    <s v="Paolo"/>
    <x v="1"/>
  </r>
  <r>
    <n v="10291"/>
    <n v="47"/>
    <n v="100"/>
    <n v="12"/>
    <n v="5713.79"/>
    <d v="2004-09-08T00:00:00"/>
    <x v="0"/>
    <n v="3"/>
    <x v="10"/>
    <x v="10"/>
    <x v="1"/>
    <x v="3"/>
    <n v="101"/>
    <x v="34"/>
    <x v="37"/>
    <s v="0695-34 6555"/>
    <s v="?kergatan 24"/>
    <m/>
    <x v="31"/>
    <m/>
    <s v="S-844 67"/>
    <x v="8"/>
    <x v="1"/>
    <s v="Larsson"/>
    <s v="Maria"/>
    <x v="1"/>
  </r>
  <r>
    <n v="10304"/>
    <n v="46"/>
    <n v="100"/>
    <n v="7"/>
    <n v="4613.8"/>
    <d v="2004-10-11T00:00:00"/>
    <x v="0"/>
    <n v="4"/>
    <x v="4"/>
    <x v="4"/>
    <x v="1"/>
    <x v="3"/>
    <n v="101"/>
    <x v="34"/>
    <x v="38"/>
    <s v="30.59.8555"/>
    <s v="67, avenue de l'Europe"/>
    <m/>
    <x v="32"/>
    <m/>
    <n v="78000"/>
    <x v="1"/>
    <x v="1"/>
    <s v="Tonini"/>
    <s v="Daniel"/>
    <x v="1"/>
  </r>
  <r>
    <n v="10312"/>
    <n v="37"/>
    <n v="100"/>
    <n v="4"/>
    <n v="3711.1"/>
    <d v="2004-10-21T00:00:00"/>
    <x v="0"/>
    <n v="4"/>
    <x v="4"/>
    <x v="4"/>
    <x v="1"/>
    <x v="3"/>
    <n v="101"/>
    <x v="34"/>
    <x v="39"/>
    <n v="4155551450"/>
    <s v="5677 Strong St."/>
    <m/>
    <x v="33"/>
    <s v="CA"/>
    <n v="97562"/>
    <x v="0"/>
    <x v="0"/>
    <s v="Nelson"/>
    <s v="Valarie"/>
    <x v="1"/>
  </r>
  <r>
    <n v="10322"/>
    <n v="33"/>
    <n v="100"/>
    <n v="12"/>
    <n v="3524.73"/>
    <d v="2004-11-04T00:00:00"/>
    <x v="0"/>
    <n v="4"/>
    <x v="5"/>
    <x v="5"/>
    <x v="1"/>
    <x v="3"/>
    <n v="101"/>
    <x v="34"/>
    <x v="40"/>
    <n v="6035558647"/>
    <s v="2304 Long Airport Avenue"/>
    <m/>
    <x v="34"/>
    <s v="NH"/>
    <n v="62005"/>
    <x v="0"/>
    <x v="0"/>
    <s v="Young"/>
    <s v="Valarie"/>
    <x v="1"/>
  </r>
  <r>
    <n v="10333"/>
    <n v="31"/>
    <n v="90.17"/>
    <n v="5"/>
    <n v="2795.27"/>
    <d v="2004-11-18T00:00:00"/>
    <x v="0"/>
    <n v="4"/>
    <x v="5"/>
    <x v="5"/>
    <x v="1"/>
    <x v="3"/>
    <n v="101"/>
    <x v="34"/>
    <x v="8"/>
    <n v="6505555787"/>
    <s v="5557 North Pendale Street"/>
    <m/>
    <x v="4"/>
    <s v="CA"/>
    <m/>
    <x v="0"/>
    <x v="0"/>
    <s v="Murphy"/>
    <s v="Julie"/>
    <x v="0"/>
  </r>
  <r>
    <n v="10347"/>
    <n v="48"/>
    <n v="100"/>
    <n v="9"/>
    <n v="4814.3999999999996"/>
    <d v="2004-11-29T00:00:00"/>
    <x v="0"/>
    <n v="4"/>
    <x v="5"/>
    <x v="5"/>
    <x v="1"/>
    <x v="3"/>
    <n v="101"/>
    <x v="34"/>
    <x v="10"/>
    <s v="03 9520 4555"/>
    <s v="636 St Kilda Road"/>
    <s v="Level 3"/>
    <x v="8"/>
    <s v="Victoria"/>
    <n v="3004"/>
    <x v="3"/>
    <x v="2"/>
    <s v="Ferguson"/>
    <s v="Peter"/>
    <x v="1"/>
  </r>
  <r>
    <n v="10357"/>
    <n v="41"/>
    <n v="87.13"/>
    <n v="6"/>
    <n v="3572.33"/>
    <d v="2004-12-10T00:00:00"/>
    <x v="0"/>
    <n v="4"/>
    <x v="6"/>
    <x v="6"/>
    <x v="1"/>
    <x v="3"/>
    <n v="101"/>
    <x v="34"/>
    <x v="39"/>
    <n v="4155551450"/>
    <s v="5677 Strong St."/>
    <m/>
    <x v="33"/>
    <s v="CA"/>
    <n v="97562"/>
    <x v="0"/>
    <x v="0"/>
    <s v="Nelson"/>
    <s v="Valarie"/>
    <x v="1"/>
  </r>
  <r>
    <n v="10369"/>
    <n v="42"/>
    <n v="100"/>
    <n v="1"/>
    <n v="4581.3599999999997"/>
    <d v="2005-01-20T00:00:00"/>
    <x v="0"/>
    <n v="1"/>
    <x v="7"/>
    <x v="7"/>
    <x v="2"/>
    <x v="3"/>
    <n v="101"/>
    <x v="34"/>
    <x v="41"/>
    <n v="6175558555"/>
    <s v="7825 Douglas Av."/>
    <m/>
    <x v="35"/>
    <s v="MA"/>
    <n v="58339"/>
    <x v="0"/>
    <x v="0"/>
    <s v="Nelson"/>
    <s v="Allen"/>
    <x v="1"/>
  </r>
  <r>
    <n v="10381"/>
    <n v="41"/>
    <n v="100"/>
    <n v="8"/>
    <n v="4319.76"/>
    <d v="2005-02-17T00:00:00"/>
    <x v="0"/>
    <n v="1"/>
    <x v="0"/>
    <x v="0"/>
    <x v="2"/>
    <x v="3"/>
    <n v="101"/>
    <x v="34"/>
    <x v="4"/>
    <n v="6505551386"/>
    <s v="7734 Strong St."/>
    <m/>
    <x v="4"/>
    <s v="CA"/>
    <m/>
    <x v="0"/>
    <x v="0"/>
    <s v="Brown"/>
    <s v="Julie"/>
    <x v="1"/>
  </r>
  <r>
    <n v="10391"/>
    <n v="32"/>
    <n v="45.25"/>
    <n v="6"/>
    <n v="1448"/>
    <d v="2005-03-09T00:00:00"/>
    <x v="0"/>
    <n v="1"/>
    <x v="11"/>
    <x v="11"/>
    <x v="2"/>
    <x v="3"/>
    <n v="101"/>
    <x v="34"/>
    <x v="42"/>
    <s v="02 9936 8555"/>
    <s v="201 Miller Street"/>
    <s v="Level 15"/>
    <x v="36"/>
    <s v="NSW"/>
    <n v="2060"/>
    <x v="3"/>
    <x v="2"/>
    <s v="O'Hara"/>
    <s v="Anna"/>
    <x v="0"/>
  </r>
  <r>
    <n v="10423"/>
    <n v="10"/>
    <n v="88.14"/>
    <n v="1"/>
    <n v="881.4"/>
    <d v="2005-05-30T00:00:00"/>
    <x v="2"/>
    <n v="2"/>
    <x v="1"/>
    <x v="1"/>
    <x v="2"/>
    <x v="3"/>
    <n v="101"/>
    <x v="34"/>
    <x v="56"/>
    <s v="(02) 5554 67"/>
    <s v="Rue Joseph-Bens 532"/>
    <m/>
    <x v="46"/>
    <m/>
    <s v="B-1180"/>
    <x v="14"/>
    <x v="1"/>
    <s v="Dewey"/>
    <s v="Catherine"/>
    <x v="0"/>
  </r>
  <r>
    <n v="10103"/>
    <n v="35"/>
    <n v="57.46"/>
    <n v="14"/>
    <n v="2011.1"/>
    <d v="2003-01-29T00:00:00"/>
    <x v="0"/>
    <n v="1"/>
    <x v="7"/>
    <x v="7"/>
    <x v="0"/>
    <x v="3"/>
    <n v="62"/>
    <x v="35"/>
    <x v="17"/>
    <s v="07-98 9555"/>
    <s v="Erling Skakkes gate 78"/>
    <m/>
    <x v="14"/>
    <m/>
    <n v="4110"/>
    <x v="2"/>
    <x v="1"/>
    <s v="Bergulfsen"/>
    <s v="Jonas"/>
    <x v="0"/>
  </r>
  <r>
    <n v="10111"/>
    <n v="28"/>
    <n v="64.33"/>
    <n v="2"/>
    <n v="1801.24"/>
    <d v="2003-03-25T00:00:00"/>
    <x v="0"/>
    <n v="1"/>
    <x v="11"/>
    <x v="11"/>
    <x v="0"/>
    <x v="3"/>
    <n v="62"/>
    <x v="35"/>
    <x v="8"/>
    <n v="6505555787"/>
    <s v="5557 North Pendale Street"/>
    <m/>
    <x v="4"/>
    <s v="CA"/>
    <m/>
    <x v="0"/>
    <x v="0"/>
    <s v="Murphy"/>
    <s v="Julie"/>
    <x v="0"/>
  </r>
  <r>
    <n v="10126"/>
    <n v="46"/>
    <n v="73.7"/>
    <n v="14"/>
    <n v="3390.2"/>
    <d v="2003-05-28T00:00:00"/>
    <x v="0"/>
    <n v="2"/>
    <x v="1"/>
    <x v="1"/>
    <x v="0"/>
    <x v="3"/>
    <n v="62"/>
    <x v="35"/>
    <x v="25"/>
    <s v="(91) 555 22 82"/>
    <s v="C/ Araquil, 67"/>
    <m/>
    <x v="20"/>
    <m/>
    <n v="28023"/>
    <x v="7"/>
    <x v="1"/>
    <s v="Sommer"/>
    <s v="Mart¡n"/>
    <x v="1"/>
  </r>
  <r>
    <n v="10139"/>
    <n v="20"/>
    <n v="71.2"/>
    <n v="3"/>
    <n v="1424"/>
    <d v="2003-07-16T00:00:00"/>
    <x v="0"/>
    <n v="3"/>
    <x v="2"/>
    <x v="2"/>
    <x v="0"/>
    <x v="3"/>
    <n v="62"/>
    <x v="35"/>
    <x v="20"/>
    <s v="+61 2 9495 8555"/>
    <s v="Monitor Money Building, 815 Pacific Hwy"/>
    <s v="Level 6"/>
    <x v="17"/>
    <s v="NSW"/>
    <n v="2067"/>
    <x v="3"/>
    <x v="2"/>
    <s v="Huxley"/>
    <s v="Adrian"/>
    <x v="0"/>
  </r>
  <r>
    <n v="10150"/>
    <n v="30"/>
    <n v="49.97"/>
    <n v="11"/>
    <n v="1499.1"/>
    <d v="2003-09-19T00:00:00"/>
    <x v="0"/>
    <n v="3"/>
    <x v="10"/>
    <x v="10"/>
    <x v="0"/>
    <x v="3"/>
    <n v="62"/>
    <x v="35"/>
    <x v="26"/>
    <s v="+65 221 7555"/>
    <s v="Bronz Sok., Bronz Apt. 3/6 Tesvikiye"/>
    <m/>
    <x v="22"/>
    <m/>
    <n v="79903"/>
    <x v="9"/>
    <x v="3"/>
    <s v="Natividad"/>
    <s v="Eric"/>
    <x v="0"/>
  </r>
  <r>
    <n v="10163"/>
    <n v="48"/>
    <n v="69.959999999999994"/>
    <n v="4"/>
    <n v="3358.08"/>
    <d v="2003-10-20T00:00:00"/>
    <x v="0"/>
    <n v="4"/>
    <x v="4"/>
    <x v="4"/>
    <x v="0"/>
    <x v="3"/>
    <n v="62"/>
    <x v="35"/>
    <x v="27"/>
    <n v="2125558493"/>
    <s v="5905 Pompton St."/>
    <s v="Suite 750"/>
    <x v="0"/>
    <s v="NY"/>
    <n v="10022"/>
    <x v="0"/>
    <x v="0"/>
    <s v="Hernandez"/>
    <s v="Maria"/>
    <x v="1"/>
  </r>
  <r>
    <n v="10173"/>
    <n v="28"/>
    <n v="53.72"/>
    <n v="2"/>
    <n v="1504.16"/>
    <d v="2003-11-05T00:00:00"/>
    <x v="0"/>
    <n v="4"/>
    <x v="5"/>
    <x v="5"/>
    <x v="0"/>
    <x v="3"/>
    <n v="62"/>
    <x v="35"/>
    <x v="86"/>
    <s v="035-640555"/>
    <s v="Via Ludovico il Moro 22"/>
    <m/>
    <x v="69"/>
    <m/>
    <n v="24100"/>
    <x v="12"/>
    <x v="1"/>
    <s v="Rovelli"/>
    <s v="Giovanni"/>
    <x v="0"/>
  </r>
  <r>
    <n v="10183"/>
    <n v="39"/>
    <n v="68.08"/>
    <n v="11"/>
    <n v="2655.12"/>
    <d v="2003-11-13T00:00:00"/>
    <x v="0"/>
    <n v="4"/>
    <x v="5"/>
    <x v="5"/>
    <x v="0"/>
    <x v="3"/>
    <n v="62"/>
    <x v="35"/>
    <x v="29"/>
    <n v="2155554695"/>
    <s v="782 First Street"/>
    <m/>
    <x v="24"/>
    <s v="PA"/>
    <n v="71270"/>
    <x v="0"/>
    <x v="0"/>
    <s v="Cervantes"/>
    <s v="Francisca"/>
    <x v="0"/>
  </r>
  <r>
    <n v="10193"/>
    <n v="24"/>
    <n v="51.84"/>
    <n v="3"/>
    <n v="1244.1600000000001"/>
    <d v="2003-11-21T00:00:00"/>
    <x v="0"/>
    <n v="4"/>
    <x v="5"/>
    <x v="5"/>
    <x v="0"/>
    <x v="3"/>
    <n v="62"/>
    <x v="35"/>
    <x v="87"/>
    <s v="61-9-3844-6555"/>
    <s v="7 Allen Street"/>
    <m/>
    <x v="70"/>
    <s v="Victoria"/>
    <n v="3150"/>
    <x v="3"/>
    <x v="2"/>
    <s v="Connery"/>
    <s v="Sean"/>
    <x v="0"/>
  </r>
  <r>
    <n v="10206"/>
    <n v="28"/>
    <n v="67.459999999999994"/>
    <n v="9"/>
    <n v="1888.88"/>
    <d v="2003-12-05T00:00:00"/>
    <x v="0"/>
    <n v="4"/>
    <x v="6"/>
    <x v="6"/>
    <x v="0"/>
    <x v="3"/>
    <n v="62"/>
    <x v="35"/>
    <x v="31"/>
    <s v="(604) 555-3392"/>
    <s v="1900 Oak St."/>
    <m/>
    <x v="26"/>
    <s v="BC"/>
    <s v="V3F 2K1"/>
    <x v="10"/>
    <x v="0"/>
    <s v="Tannamuri"/>
    <s v="Yoshi"/>
    <x v="0"/>
  </r>
  <r>
    <n v="10215"/>
    <n v="31"/>
    <n v="58.71"/>
    <n v="6"/>
    <n v="1820.01"/>
    <d v="2004-01-29T00:00:00"/>
    <x v="0"/>
    <n v="1"/>
    <x v="7"/>
    <x v="7"/>
    <x v="1"/>
    <x v="3"/>
    <n v="62"/>
    <x v="35"/>
    <x v="32"/>
    <n v="3105553722"/>
    <s v="3675 Furth Circle"/>
    <m/>
    <x v="27"/>
    <s v="CA"/>
    <n v="94019"/>
    <x v="0"/>
    <x v="0"/>
    <s v="Thompson"/>
    <s v="Steve"/>
    <x v="0"/>
  </r>
  <r>
    <n v="10228"/>
    <n v="45"/>
    <n v="63.71"/>
    <n v="5"/>
    <n v="2866.95"/>
    <d v="2004-03-10T00:00:00"/>
    <x v="0"/>
    <n v="1"/>
    <x v="11"/>
    <x v="11"/>
    <x v="1"/>
    <x v="3"/>
    <n v="62"/>
    <x v="35"/>
    <x v="33"/>
    <n v="6175555555"/>
    <s v="4658 Baden Av."/>
    <m/>
    <x v="12"/>
    <s v="MA"/>
    <n v="51247"/>
    <x v="0"/>
    <x v="0"/>
    <s v="Tseng"/>
    <s v="Kyung"/>
    <x v="0"/>
  </r>
  <r>
    <n v="10244"/>
    <n v="24"/>
    <n v="58.09"/>
    <n v="3"/>
    <n v="1394.16"/>
    <d v="2004-04-29T00:00:00"/>
    <x v="0"/>
    <n v="2"/>
    <x v="8"/>
    <x v="8"/>
    <x v="1"/>
    <x v="3"/>
    <n v="62"/>
    <x v="35"/>
    <x v="23"/>
    <s v="(91) 555 94 44"/>
    <s v="C/ Moralzarzal, 86"/>
    <m/>
    <x v="20"/>
    <m/>
    <n v="28034"/>
    <x v="7"/>
    <x v="1"/>
    <s v="Freyre"/>
    <s v="Diego"/>
    <x v="0"/>
  </r>
  <r>
    <n v="10257"/>
    <n v="49"/>
    <n v="53.72"/>
    <n v="3"/>
    <n v="2632.28"/>
    <d v="2004-06-14T00:00:00"/>
    <x v="0"/>
    <n v="2"/>
    <x v="9"/>
    <x v="9"/>
    <x v="1"/>
    <x v="3"/>
    <n v="62"/>
    <x v="35"/>
    <x v="61"/>
    <n v="4085553659"/>
    <s v="3086 Ingle Ln."/>
    <m/>
    <x v="51"/>
    <s v="CA"/>
    <n v="94217"/>
    <x v="0"/>
    <x v="0"/>
    <s v="Frick"/>
    <s v="Sue"/>
    <x v="0"/>
  </r>
  <r>
    <n v="10269"/>
    <n v="32"/>
    <n v="63.08"/>
    <n v="1"/>
    <n v="2018.56"/>
    <d v="2004-07-16T00:00:00"/>
    <x v="0"/>
    <n v="3"/>
    <x v="2"/>
    <x v="2"/>
    <x v="1"/>
    <x v="3"/>
    <n v="62"/>
    <x v="35"/>
    <x v="19"/>
    <s v="6562-9555"/>
    <s v="Geislweg 14"/>
    <m/>
    <x v="16"/>
    <m/>
    <n v="5020"/>
    <x v="5"/>
    <x v="1"/>
    <s v="Pipps"/>
    <s v="Georg"/>
    <x v="0"/>
  </r>
  <r>
    <n v="10280"/>
    <n v="43"/>
    <n v="68.709999999999994"/>
    <n v="5"/>
    <n v="2954.53"/>
    <d v="2004-08-17T00:00:00"/>
    <x v="0"/>
    <n v="3"/>
    <x v="3"/>
    <x v="3"/>
    <x v="1"/>
    <x v="3"/>
    <n v="62"/>
    <x v="35"/>
    <x v="36"/>
    <s v="011-4988555"/>
    <s v="Via Monte Bianco 34"/>
    <m/>
    <x v="30"/>
    <m/>
    <n v="10100"/>
    <x v="12"/>
    <x v="1"/>
    <s v="Accorti"/>
    <s v="Paolo"/>
    <x v="0"/>
  </r>
  <r>
    <n v="10291"/>
    <n v="37"/>
    <n v="50.59"/>
    <n v="14"/>
    <n v="1871.83"/>
    <d v="2004-09-08T00:00:00"/>
    <x v="0"/>
    <n v="3"/>
    <x v="10"/>
    <x v="10"/>
    <x v="1"/>
    <x v="3"/>
    <n v="62"/>
    <x v="35"/>
    <x v="37"/>
    <s v="0695-34 6555"/>
    <s v="?kergatan 24"/>
    <m/>
    <x v="31"/>
    <m/>
    <s v="S-844 67"/>
    <x v="8"/>
    <x v="1"/>
    <s v="Larsson"/>
    <s v="Maria"/>
    <x v="0"/>
  </r>
  <r>
    <n v="10304"/>
    <n v="24"/>
    <n v="64.959999999999994"/>
    <n v="9"/>
    <n v="1559.04"/>
    <d v="2004-10-11T00:00:00"/>
    <x v="0"/>
    <n v="4"/>
    <x v="4"/>
    <x v="4"/>
    <x v="1"/>
    <x v="3"/>
    <n v="62"/>
    <x v="35"/>
    <x v="38"/>
    <s v="30.59.8555"/>
    <s v="67, avenue de l'Europe"/>
    <m/>
    <x v="32"/>
    <m/>
    <n v="78000"/>
    <x v="1"/>
    <x v="1"/>
    <s v="Tonini"/>
    <s v="Daniel"/>
    <x v="0"/>
  </r>
  <r>
    <n v="10312"/>
    <n v="35"/>
    <n v="53.72"/>
    <n v="6"/>
    <n v="1880.2"/>
    <d v="2004-10-21T00:00:00"/>
    <x v="0"/>
    <n v="4"/>
    <x v="4"/>
    <x v="4"/>
    <x v="1"/>
    <x v="3"/>
    <n v="62"/>
    <x v="35"/>
    <x v="39"/>
    <n v="4155551450"/>
    <s v="5677 Strong St."/>
    <m/>
    <x v="33"/>
    <s v="CA"/>
    <n v="97562"/>
    <x v="0"/>
    <x v="0"/>
    <s v="Nelson"/>
    <s v="Valarie"/>
    <x v="0"/>
  </r>
  <r>
    <n v="10322"/>
    <n v="41"/>
    <n v="29.87"/>
    <n v="13"/>
    <n v="1224.67"/>
    <d v="2004-11-04T00:00:00"/>
    <x v="0"/>
    <n v="4"/>
    <x v="5"/>
    <x v="5"/>
    <x v="1"/>
    <x v="3"/>
    <n v="62"/>
    <x v="35"/>
    <x v="40"/>
    <n v="6035558647"/>
    <s v="2304 Long Airport Avenue"/>
    <m/>
    <x v="34"/>
    <s v="NH"/>
    <n v="62005"/>
    <x v="0"/>
    <x v="0"/>
    <s v="Young"/>
    <s v="Valarie"/>
    <x v="0"/>
  </r>
  <r>
    <n v="10332"/>
    <n v="26"/>
    <n v="100"/>
    <n v="17"/>
    <n v="2979.08"/>
    <d v="2004-11-17T00:00:00"/>
    <x v="0"/>
    <n v="4"/>
    <x v="5"/>
    <x v="5"/>
    <x v="1"/>
    <x v="3"/>
    <n v="62"/>
    <x v="35"/>
    <x v="77"/>
    <s v="(171) 555-1555"/>
    <s v="Fauntleroy Circus"/>
    <m/>
    <x v="61"/>
    <m/>
    <s v="EC2 5NT"/>
    <x v="6"/>
    <x v="1"/>
    <s v="Ashworth"/>
    <s v="Victoria"/>
    <x v="0"/>
  </r>
  <r>
    <n v="10347"/>
    <n v="34"/>
    <n v="64.959999999999994"/>
    <n v="10"/>
    <n v="2208.64"/>
    <d v="2004-11-29T00:00:00"/>
    <x v="0"/>
    <n v="4"/>
    <x v="5"/>
    <x v="5"/>
    <x v="1"/>
    <x v="3"/>
    <n v="62"/>
    <x v="35"/>
    <x v="10"/>
    <s v="03 9520 4555"/>
    <s v="636 St Kilda Road"/>
    <s v="Level 3"/>
    <x v="8"/>
    <s v="Victoria"/>
    <n v="3004"/>
    <x v="3"/>
    <x v="2"/>
    <s v="Ferguson"/>
    <s v="Peter"/>
    <x v="0"/>
  </r>
  <r>
    <n v="10357"/>
    <n v="49"/>
    <n v="70.58"/>
    <n v="5"/>
    <n v="3458.42"/>
    <d v="2004-12-10T00:00:00"/>
    <x v="0"/>
    <n v="4"/>
    <x v="6"/>
    <x v="6"/>
    <x v="1"/>
    <x v="3"/>
    <n v="62"/>
    <x v="35"/>
    <x v="39"/>
    <n v="4155551450"/>
    <s v="5677 Strong St."/>
    <m/>
    <x v="33"/>
    <s v="CA"/>
    <n v="97562"/>
    <x v="0"/>
    <x v="0"/>
    <s v="Nelson"/>
    <s v="Valarie"/>
    <x v="1"/>
  </r>
  <r>
    <n v="10369"/>
    <n v="28"/>
    <n v="44.21"/>
    <n v="6"/>
    <n v="1237.8800000000001"/>
    <d v="2005-01-20T00:00:00"/>
    <x v="0"/>
    <n v="1"/>
    <x v="7"/>
    <x v="7"/>
    <x v="2"/>
    <x v="3"/>
    <n v="62"/>
    <x v="35"/>
    <x v="41"/>
    <n v="6175558555"/>
    <s v="7825 Douglas Av."/>
    <m/>
    <x v="35"/>
    <s v="MA"/>
    <n v="58339"/>
    <x v="0"/>
    <x v="0"/>
    <s v="Nelson"/>
    <s v="Allen"/>
    <x v="0"/>
  </r>
  <r>
    <n v="10381"/>
    <n v="40"/>
    <n v="68.08"/>
    <n v="4"/>
    <n v="2723.2"/>
    <d v="2005-02-17T00:00:00"/>
    <x v="0"/>
    <n v="1"/>
    <x v="0"/>
    <x v="0"/>
    <x v="2"/>
    <x v="3"/>
    <n v="62"/>
    <x v="35"/>
    <x v="4"/>
    <n v="6505551386"/>
    <s v="7734 Strong St."/>
    <m/>
    <x v="4"/>
    <s v="CA"/>
    <m/>
    <x v="0"/>
    <x v="0"/>
    <s v="Brown"/>
    <s v="Julie"/>
    <x v="0"/>
  </r>
  <r>
    <n v="10392"/>
    <n v="37"/>
    <n v="59.96"/>
    <n v="3"/>
    <n v="2218.52"/>
    <d v="2005-03-10T00:00:00"/>
    <x v="0"/>
    <n v="1"/>
    <x v="11"/>
    <x v="11"/>
    <x v="2"/>
    <x v="3"/>
    <n v="62"/>
    <x v="35"/>
    <x v="63"/>
    <s v="7675-3555"/>
    <s v="Kirchgasse 6"/>
    <m/>
    <x v="52"/>
    <m/>
    <n v="8010"/>
    <x v="5"/>
    <x v="1"/>
    <s v="Mendel"/>
    <s v="Roland"/>
    <x v="0"/>
  </r>
  <r>
    <n v="10423"/>
    <n v="31"/>
    <n v="53.72"/>
    <n v="3"/>
    <n v="1665.32"/>
    <d v="2005-05-30T00:00:00"/>
    <x v="2"/>
    <n v="2"/>
    <x v="1"/>
    <x v="1"/>
    <x v="2"/>
    <x v="3"/>
    <n v="62"/>
    <x v="35"/>
    <x v="56"/>
    <s v="(02) 5554 67"/>
    <s v="Rue Joseph-Bens 532"/>
    <m/>
    <x v="46"/>
    <m/>
    <s v="B-1180"/>
    <x v="14"/>
    <x v="1"/>
    <s v="Dewey"/>
    <s v="Catherine"/>
    <x v="0"/>
  </r>
  <r>
    <n v="10106"/>
    <n v="41"/>
    <n v="83.44"/>
    <n v="18"/>
    <n v="3421.04"/>
    <d v="2003-02-17T00:00:00"/>
    <x v="0"/>
    <n v="1"/>
    <x v="0"/>
    <x v="0"/>
    <x v="0"/>
    <x v="5"/>
    <n v="86"/>
    <x v="36"/>
    <x v="86"/>
    <s v="035-640555"/>
    <s v="Via Ludovico il Moro 22"/>
    <m/>
    <x v="69"/>
    <m/>
    <n v="24100"/>
    <x v="12"/>
    <x v="1"/>
    <s v="Rovelli"/>
    <s v="Giovanni"/>
    <x v="1"/>
  </r>
  <r>
    <n v="10119"/>
    <n v="21"/>
    <n v="89.46"/>
    <n v="9"/>
    <n v="1878.66"/>
    <d v="2003-04-28T00:00:00"/>
    <x v="0"/>
    <n v="2"/>
    <x v="8"/>
    <x v="8"/>
    <x v="0"/>
    <x v="5"/>
    <n v="86"/>
    <x v="36"/>
    <x v="19"/>
    <s v="6562-9555"/>
    <s v="Geislweg 14"/>
    <m/>
    <x v="16"/>
    <m/>
    <n v="5020"/>
    <x v="5"/>
    <x v="1"/>
    <s v="Pipps"/>
    <s v="Georg"/>
    <x v="0"/>
  </r>
  <r>
    <n v="10130"/>
    <n v="40"/>
    <n v="96.34"/>
    <n v="2"/>
    <n v="3853.6"/>
    <d v="2003-06-16T00:00:00"/>
    <x v="0"/>
    <n v="2"/>
    <x v="9"/>
    <x v="9"/>
    <x v="0"/>
    <x v="5"/>
    <n v="86"/>
    <x v="36"/>
    <x v="91"/>
    <n v="6175558428"/>
    <s v="16780 Pompton St."/>
    <m/>
    <x v="35"/>
    <s v="MA"/>
    <n v="58339"/>
    <x v="0"/>
    <x v="0"/>
    <s v="Taylor"/>
    <s v="Leslie"/>
    <x v="1"/>
  </r>
  <r>
    <n v="10143"/>
    <n v="46"/>
    <n v="74.84"/>
    <n v="13"/>
    <n v="3442.64"/>
    <d v="2003-08-10T00:00:00"/>
    <x v="0"/>
    <n v="3"/>
    <x v="3"/>
    <x v="3"/>
    <x v="0"/>
    <x v="5"/>
    <n v="86"/>
    <x v="36"/>
    <x v="50"/>
    <n v="5085559555"/>
    <s v="4575 Hillside Dr."/>
    <m/>
    <x v="18"/>
    <s v="MA"/>
    <n v="50553"/>
    <x v="0"/>
    <x v="0"/>
    <s v="Tam"/>
    <s v="Wing C"/>
    <x v="1"/>
  </r>
  <r>
    <n v="10155"/>
    <n v="44"/>
    <n v="79.14"/>
    <n v="11"/>
    <n v="3482.16"/>
    <d v="2003-10-06T00:00:00"/>
    <x v="0"/>
    <n v="4"/>
    <x v="4"/>
    <x v="4"/>
    <x v="0"/>
    <x v="5"/>
    <n v="86"/>
    <x v="36"/>
    <x v="16"/>
    <s v="90-224 8555"/>
    <s v="Keskuskatu 45"/>
    <m/>
    <x v="13"/>
    <m/>
    <n v="21240"/>
    <x v="4"/>
    <x v="1"/>
    <s v="Karttunen"/>
    <s v="Matti"/>
    <x v="1"/>
  </r>
  <r>
    <n v="10167"/>
    <n v="46"/>
    <n v="73.12"/>
    <n v="7"/>
    <n v="3363.52"/>
    <d v="2003-10-23T00:00:00"/>
    <x v="3"/>
    <n v="4"/>
    <x v="4"/>
    <x v="4"/>
    <x v="0"/>
    <x v="5"/>
    <n v="86"/>
    <x v="36"/>
    <x v="37"/>
    <s v="0695-34 6555"/>
    <s v="?kergatan 24"/>
    <m/>
    <x v="31"/>
    <m/>
    <s v="S-844 67"/>
    <x v="8"/>
    <x v="1"/>
    <s v="Larsson"/>
    <s v="Maria"/>
    <x v="1"/>
  </r>
  <r>
    <n v="10178"/>
    <n v="41"/>
    <n v="81.72"/>
    <n v="10"/>
    <n v="3350.52"/>
    <d v="2003-11-08T00:00:00"/>
    <x v="0"/>
    <n v="4"/>
    <x v="5"/>
    <x v="5"/>
    <x v="0"/>
    <x v="5"/>
    <n v="86"/>
    <x v="36"/>
    <x v="51"/>
    <s v="61.77.6555"/>
    <s v="1 rue Alsace-Lorraine"/>
    <m/>
    <x v="42"/>
    <m/>
    <n v="31000"/>
    <x v="1"/>
    <x v="1"/>
    <s v="Roulet"/>
    <s v="Annette"/>
    <x v="1"/>
  </r>
  <r>
    <n v="10186"/>
    <n v="32"/>
    <n v="89.46"/>
    <n v="7"/>
    <n v="2862.72"/>
    <d v="2003-11-14T00:00:00"/>
    <x v="0"/>
    <n v="4"/>
    <x v="5"/>
    <x v="5"/>
    <x v="0"/>
    <x v="5"/>
    <n v="86"/>
    <x v="36"/>
    <x v="52"/>
    <s v="(171) 555-7555"/>
    <s v="120 Hanover Sq."/>
    <m/>
    <x v="41"/>
    <m/>
    <s v="WA1 1DP"/>
    <x v="6"/>
    <x v="1"/>
    <s v="Hardy"/>
    <s v="Thomas"/>
    <x v="0"/>
  </r>
  <r>
    <n v="10197"/>
    <n v="46"/>
    <n v="87.74"/>
    <n v="4"/>
    <n v="4036.04"/>
    <d v="2003-11-26T00:00:00"/>
    <x v="0"/>
    <n v="4"/>
    <x v="5"/>
    <x v="5"/>
    <x v="0"/>
    <x v="5"/>
    <n v="86"/>
    <x v="36"/>
    <x v="53"/>
    <s v="(93) 203 4555"/>
    <s v="Rambla de Catalu¤a, 23"/>
    <m/>
    <x v="43"/>
    <m/>
    <n v="8022"/>
    <x v="7"/>
    <x v="1"/>
    <s v="Saavedra"/>
    <s v="Eduardo"/>
    <x v="1"/>
  </r>
  <r>
    <n v="10209"/>
    <n v="28"/>
    <n v="100"/>
    <n v="6"/>
    <n v="2817.92"/>
    <d v="2004-01-09T00:00:00"/>
    <x v="0"/>
    <n v="1"/>
    <x v="7"/>
    <x v="7"/>
    <x v="1"/>
    <x v="5"/>
    <n v="86"/>
    <x v="36"/>
    <x v="54"/>
    <n v="2155554369"/>
    <s v="6047 Douglas Av."/>
    <m/>
    <x v="44"/>
    <s v="CA"/>
    <m/>
    <x v="0"/>
    <x v="0"/>
    <s v="Chandler"/>
    <s v="Michael"/>
    <x v="0"/>
  </r>
  <r>
    <n v="10222"/>
    <n v="49"/>
    <n v="94.62"/>
    <n v="10"/>
    <n v="4636.38"/>
    <d v="2004-02-19T00:00:00"/>
    <x v="0"/>
    <n v="1"/>
    <x v="0"/>
    <x v="0"/>
    <x v="1"/>
    <x v="5"/>
    <n v="86"/>
    <x v="36"/>
    <x v="55"/>
    <n v="7605558146"/>
    <s v="361 Furth Circle"/>
    <m/>
    <x v="45"/>
    <s v="CA"/>
    <n v="91217"/>
    <x v="0"/>
    <x v="0"/>
    <s v="Thompson"/>
    <s v="Valarie"/>
    <x v="1"/>
  </r>
  <r>
    <n v="10248"/>
    <n v="21"/>
    <n v="73.98"/>
    <n v="1"/>
    <n v="1553.58"/>
    <d v="2004-05-07T00:00:00"/>
    <x v="3"/>
    <n v="2"/>
    <x v="1"/>
    <x v="1"/>
    <x v="1"/>
    <x v="5"/>
    <n v="86"/>
    <x v="36"/>
    <x v="0"/>
    <n v="2125557818"/>
    <s v="897 Long Airport Avenue"/>
    <m/>
    <x v="0"/>
    <s v="NY"/>
    <n v="10022"/>
    <x v="0"/>
    <x v="0"/>
    <s v="Yu"/>
    <s v="Kwai"/>
    <x v="0"/>
  </r>
  <r>
    <n v="10262"/>
    <n v="32"/>
    <n v="84.3"/>
    <n v="15"/>
    <n v="2697.6"/>
    <d v="2004-06-24T00:00:00"/>
    <x v="3"/>
    <n v="2"/>
    <x v="9"/>
    <x v="9"/>
    <x v="1"/>
    <x v="5"/>
    <n v="86"/>
    <x v="36"/>
    <x v="23"/>
    <s v="(91) 555 94 44"/>
    <s v="C/ Moralzarzal, 86"/>
    <m/>
    <x v="20"/>
    <m/>
    <n v="28034"/>
    <x v="7"/>
    <x v="1"/>
    <s v="Freyre"/>
    <s v="Diego"/>
    <x v="0"/>
  </r>
  <r>
    <n v="10273"/>
    <n v="34"/>
    <n v="98.06"/>
    <n v="2"/>
    <n v="3334.04"/>
    <d v="2004-07-21T00:00:00"/>
    <x v="0"/>
    <n v="3"/>
    <x v="2"/>
    <x v="2"/>
    <x v="1"/>
    <x v="5"/>
    <n v="86"/>
    <x v="36"/>
    <x v="56"/>
    <s v="(02) 5554 67"/>
    <s v="Rue Joseph-Bens 532"/>
    <m/>
    <x v="46"/>
    <m/>
    <s v="B-1180"/>
    <x v="14"/>
    <x v="1"/>
    <s v="Dewey"/>
    <s v="Catherine"/>
    <x v="1"/>
  </r>
  <r>
    <n v="10283"/>
    <n v="21"/>
    <n v="98.06"/>
    <n v="4"/>
    <n v="2059.2600000000002"/>
    <d v="2004-08-20T00:00:00"/>
    <x v="0"/>
    <n v="3"/>
    <x v="3"/>
    <x v="3"/>
    <x v="1"/>
    <x v="5"/>
    <n v="86"/>
    <x v="36"/>
    <x v="57"/>
    <s v="(604) 555-4555"/>
    <s v="23 Tsawassen Blvd."/>
    <m/>
    <x v="47"/>
    <s v="BC"/>
    <s v="T2F 8M4"/>
    <x v="10"/>
    <x v="0"/>
    <s v="Lincoln"/>
    <s v="Elizabeth"/>
    <x v="0"/>
  </r>
  <r>
    <n v="10296"/>
    <n v="21"/>
    <n v="96.34"/>
    <n v="13"/>
    <n v="2023.14"/>
    <d v="2004-09-15T00:00:00"/>
    <x v="0"/>
    <n v="3"/>
    <x v="10"/>
    <x v="10"/>
    <x v="1"/>
    <x v="5"/>
    <n v="86"/>
    <x v="36"/>
    <x v="89"/>
    <s v="+49 89 61 08 9555"/>
    <s v="Hansastr. 15"/>
    <m/>
    <x v="71"/>
    <m/>
    <n v="80686"/>
    <x v="16"/>
    <x v="1"/>
    <s v="Donnermeyer"/>
    <s v="Michael"/>
    <x v="0"/>
  </r>
  <r>
    <n v="10307"/>
    <n v="31"/>
    <n v="83.44"/>
    <n v="7"/>
    <n v="2586.64"/>
    <d v="2004-10-14T00:00:00"/>
    <x v="0"/>
    <n v="4"/>
    <x v="4"/>
    <x v="4"/>
    <x v="1"/>
    <x v="5"/>
    <n v="86"/>
    <x v="36"/>
    <x v="29"/>
    <n v="2155554695"/>
    <s v="782 First Street"/>
    <m/>
    <x v="24"/>
    <s v="PA"/>
    <n v="71270"/>
    <x v="0"/>
    <x v="0"/>
    <s v="Cervantes"/>
    <s v="Francisca"/>
    <x v="0"/>
  </r>
  <r>
    <n v="10316"/>
    <n v="21"/>
    <n v="94.62"/>
    <n v="15"/>
    <n v="1987.02"/>
    <d v="2004-11-01T00:00:00"/>
    <x v="0"/>
    <n v="4"/>
    <x v="5"/>
    <x v="5"/>
    <x v="1"/>
    <x v="5"/>
    <n v="86"/>
    <x v="36"/>
    <x v="59"/>
    <s v="(198) 555-8888"/>
    <s v="Garden House Crowther Way"/>
    <m/>
    <x v="49"/>
    <s v="Isle of Wight"/>
    <s v="PO31 7PJ"/>
    <x v="6"/>
    <x v="1"/>
    <s v="Bennett"/>
    <s v="Helen"/>
    <x v="0"/>
  </r>
  <r>
    <n v="10327"/>
    <n v="25"/>
    <n v="45.86"/>
    <n v="5"/>
    <n v="1146.5"/>
    <d v="2004-11-10T00:00:00"/>
    <x v="5"/>
    <n v="4"/>
    <x v="5"/>
    <x v="5"/>
    <x v="1"/>
    <x v="5"/>
    <n v="86"/>
    <x v="36"/>
    <x v="48"/>
    <s v="31 12 3555"/>
    <s v="Vinb'ltet 34"/>
    <m/>
    <x v="40"/>
    <m/>
    <n v="1734"/>
    <x v="13"/>
    <x v="1"/>
    <s v="Petersen"/>
    <s v="Jytte"/>
    <x v="0"/>
  </r>
  <r>
    <n v="10338"/>
    <n v="28"/>
    <n v="82.58"/>
    <n v="3"/>
    <n v="2312.2399999999998"/>
    <d v="2004-11-22T00:00:00"/>
    <x v="0"/>
    <n v="4"/>
    <x v="5"/>
    <x v="5"/>
    <x v="1"/>
    <x v="5"/>
    <n v="86"/>
    <x v="36"/>
    <x v="90"/>
    <s v="(071) 23 67 2555"/>
    <s v="Boulevard Tirou, 255"/>
    <m/>
    <x v="72"/>
    <m/>
    <s v="B-6000"/>
    <x v="14"/>
    <x v="1"/>
    <s v="Cartrain"/>
    <s v="Pascale"/>
    <x v="0"/>
  </r>
  <r>
    <n v="10350"/>
    <n v="43"/>
    <n v="64.97"/>
    <n v="6"/>
    <n v="2793.71"/>
    <d v="2004-12-02T00:00:00"/>
    <x v="0"/>
    <n v="4"/>
    <x v="6"/>
    <x v="6"/>
    <x v="1"/>
    <x v="5"/>
    <n v="86"/>
    <x v="36"/>
    <x v="23"/>
    <s v="(91) 555 94 44"/>
    <s v="C/ Moralzarzal, 86"/>
    <m/>
    <x v="20"/>
    <m/>
    <n v="28034"/>
    <x v="7"/>
    <x v="1"/>
    <s v="Freyre"/>
    <s v="Diego"/>
    <x v="0"/>
  </r>
  <r>
    <n v="10373"/>
    <n v="22"/>
    <n v="86.74"/>
    <n v="5"/>
    <n v="1908.28"/>
    <d v="2005-01-31T00:00:00"/>
    <x v="0"/>
    <n v="1"/>
    <x v="7"/>
    <x v="7"/>
    <x v="2"/>
    <x v="5"/>
    <n v="86"/>
    <x v="36"/>
    <x v="60"/>
    <s v="981-443655"/>
    <s v="Torikatu 38"/>
    <m/>
    <x v="50"/>
    <m/>
    <n v="90110"/>
    <x v="4"/>
    <x v="1"/>
    <s v="Koskitalo"/>
    <s v="Pirkko"/>
    <x v="0"/>
  </r>
  <r>
    <n v="10386"/>
    <n v="37"/>
    <n v="93.01"/>
    <n v="5"/>
    <n v="3441.37"/>
    <d v="2005-03-01T00:00:00"/>
    <x v="5"/>
    <n v="1"/>
    <x v="11"/>
    <x v="11"/>
    <x v="2"/>
    <x v="5"/>
    <n v="86"/>
    <x v="36"/>
    <x v="23"/>
    <s v="(91) 555 94 44"/>
    <s v="C/ Moralzarzal, 86"/>
    <m/>
    <x v="20"/>
    <m/>
    <n v="28034"/>
    <x v="7"/>
    <x v="1"/>
    <s v="Freyre"/>
    <s v="Diego"/>
    <x v="1"/>
  </r>
  <r>
    <n v="10398"/>
    <n v="28"/>
    <n v="72.260000000000005"/>
    <n v="18"/>
    <n v="2023.28"/>
    <d v="2005-03-30T00:00:00"/>
    <x v="0"/>
    <n v="1"/>
    <x v="11"/>
    <x v="11"/>
    <x v="2"/>
    <x v="5"/>
    <n v="86"/>
    <x v="36"/>
    <x v="1"/>
    <s v="26.47.1555"/>
    <s v="59 rue de l'Abbaye"/>
    <m/>
    <x v="1"/>
    <m/>
    <n v="51100"/>
    <x v="1"/>
    <x v="1"/>
    <s v="Henriot"/>
    <s v="Paul"/>
    <x v="0"/>
  </r>
  <r>
    <n v="10400"/>
    <n v="30"/>
    <n v="74.84"/>
    <n v="7"/>
    <n v="2245.1999999999998"/>
    <d v="2005-04-01T00:00:00"/>
    <x v="0"/>
    <n v="2"/>
    <x v="8"/>
    <x v="8"/>
    <x v="2"/>
    <x v="5"/>
    <n v="86"/>
    <x v="36"/>
    <x v="61"/>
    <n v="4085553659"/>
    <s v="3086 Ingle Ln."/>
    <m/>
    <x v="51"/>
    <s v="CA"/>
    <n v="94217"/>
    <x v="0"/>
    <x v="0"/>
    <s v="Frick"/>
    <s v="Sue"/>
    <x v="0"/>
  </r>
  <r>
    <n v="10414"/>
    <n v="44"/>
    <n v="73.98"/>
    <n v="1"/>
    <n v="3255.12"/>
    <d v="2005-05-06T00:00:00"/>
    <x v="4"/>
    <n v="2"/>
    <x v="1"/>
    <x v="1"/>
    <x v="2"/>
    <x v="5"/>
    <n v="86"/>
    <x v="36"/>
    <x v="58"/>
    <n v="6175559555"/>
    <s v="8616 Spinnaker Dr."/>
    <m/>
    <x v="48"/>
    <s v="MA"/>
    <n v="51003"/>
    <x v="0"/>
    <x v="0"/>
    <s v="Yoshido"/>
    <s v="Juri"/>
    <x v="1"/>
  </r>
  <r>
    <n v="10103"/>
    <n v="25"/>
    <n v="100"/>
    <n v="13"/>
    <n v="2539.5"/>
    <d v="2003-01-29T00:00:00"/>
    <x v="0"/>
    <n v="1"/>
    <x v="7"/>
    <x v="7"/>
    <x v="0"/>
    <x v="3"/>
    <n v="104"/>
    <x v="37"/>
    <x v="17"/>
    <s v="07-98 9555"/>
    <s v="Erling Skakkes gate 78"/>
    <m/>
    <x v="14"/>
    <m/>
    <n v="4110"/>
    <x v="2"/>
    <x v="1"/>
    <s v="Bergulfsen"/>
    <s v="Jonas"/>
    <x v="0"/>
  </r>
  <r>
    <n v="10111"/>
    <n v="43"/>
    <n v="100"/>
    <n v="1"/>
    <n v="4818.1499999999996"/>
    <d v="2003-03-25T00:00:00"/>
    <x v="0"/>
    <n v="1"/>
    <x v="11"/>
    <x v="11"/>
    <x v="0"/>
    <x v="3"/>
    <n v="104"/>
    <x v="37"/>
    <x v="8"/>
    <n v="6505555787"/>
    <s v="5557 North Pendale Street"/>
    <m/>
    <x v="4"/>
    <s v="CA"/>
    <m/>
    <x v="0"/>
    <x v="0"/>
    <s v="Murphy"/>
    <s v="Julie"/>
    <x v="1"/>
  </r>
  <r>
    <n v="10126"/>
    <n v="30"/>
    <n v="97.39"/>
    <n v="13"/>
    <n v="2921.7"/>
    <d v="2003-05-28T00:00:00"/>
    <x v="0"/>
    <n v="2"/>
    <x v="1"/>
    <x v="1"/>
    <x v="0"/>
    <x v="3"/>
    <n v="104"/>
    <x v="37"/>
    <x v="25"/>
    <s v="(91) 555 22 82"/>
    <s v="C/ Araquil, 67"/>
    <m/>
    <x v="20"/>
    <m/>
    <n v="28023"/>
    <x v="7"/>
    <x v="1"/>
    <s v="Sommer"/>
    <s v="Mart¡n"/>
    <x v="0"/>
  </r>
  <r>
    <n v="10139"/>
    <n v="20"/>
    <n v="90.06"/>
    <n v="2"/>
    <n v="1801.2"/>
    <d v="2003-07-16T00:00:00"/>
    <x v="0"/>
    <n v="3"/>
    <x v="2"/>
    <x v="2"/>
    <x v="0"/>
    <x v="3"/>
    <n v="104"/>
    <x v="37"/>
    <x v="20"/>
    <s v="+61 2 9495 8555"/>
    <s v="Monitor Money Building, 815 Pacific Hwy"/>
    <s v="Level 6"/>
    <x v="17"/>
    <s v="NSW"/>
    <n v="2067"/>
    <x v="3"/>
    <x v="2"/>
    <s v="Huxley"/>
    <s v="Adrian"/>
    <x v="0"/>
  </r>
  <r>
    <n v="10150"/>
    <n v="26"/>
    <n v="100"/>
    <n v="10"/>
    <n v="2804.36"/>
    <d v="2003-09-19T00:00:00"/>
    <x v="0"/>
    <n v="3"/>
    <x v="10"/>
    <x v="10"/>
    <x v="0"/>
    <x v="3"/>
    <n v="104"/>
    <x v="37"/>
    <x v="26"/>
    <s v="+65 221 7555"/>
    <s v="Bronz Sok., Bronz Apt. 3/6 Tesvikiye"/>
    <m/>
    <x v="22"/>
    <m/>
    <n v="79903"/>
    <x v="9"/>
    <x v="3"/>
    <s v="Natividad"/>
    <s v="Eric"/>
    <x v="0"/>
  </r>
  <r>
    <n v="10163"/>
    <n v="40"/>
    <n v="100"/>
    <n v="3"/>
    <n v="4900.8"/>
    <d v="2003-10-20T00:00:00"/>
    <x v="0"/>
    <n v="4"/>
    <x v="4"/>
    <x v="4"/>
    <x v="0"/>
    <x v="3"/>
    <n v="104"/>
    <x v="37"/>
    <x v="27"/>
    <n v="2125558493"/>
    <s v="5905 Pompton St."/>
    <s v="Suite 750"/>
    <x v="0"/>
    <s v="NY"/>
    <n v="10022"/>
    <x v="0"/>
    <x v="0"/>
    <s v="Hernandez"/>
    <s v="Maria"/>
    <x v="1"/>
  </r>
  <r>
    <n v="10173"/>
    <n v="31"/>
    <n v="89.01"/>
    <n v="1"/>
    <n v="2759.31"/>
    <d v="2003-11-05T00:00:00"/>
    <x v="0"/>
    <n v="4"/>
    <x v="5"/>
    <x v="5"/>
    <x v="0"/>
    <x v="3"/>
    <n v="104"/>
    <x v="37"/>
    <x v="86"/>
    <s v="035-640555"/>
    <s v="Via Ludovico il Moro 22"/>
    <m/>
    <x v="69"/>
    <m/>
    <n v="24100"/>
    <x v="12"/>
    <x v="1"/>
    <s v="Rovelli"/>
    <s v="Giovanni"/>
    <x v="0"/>
  </r>
  <r>
    <n v="10183"/>
    <n v="22"/>
    <n v="100"/>
    <n v="10"/>
    <n v="2488.1999999999998"/>
    <d v="2003-11-13T00:00:00"/>
    <x v="0"/>
    <n v="4"/>
    <x v="5"/>
    <x v="5"/>
    <x v="0"/>
    <x v="3"/>
    <n v="104"/>
    <x v="37"/>
    <x v="29"/>
    <n v="2155554695"/>
    <s v="782 First Street"/>
    <m/>
    <x v="24"/>
    <s v="PA"/>
    <n v="71270"/>
    <x v="0"/>
    <x v="0"/>
    <s v="Cervantes"/>
    <s v="Francisca"/>
    <x v="0"/>
  </r>
  <r>
    <n v="10193"/>
    <n v="23"/>
    <n v="100"/>
    <n v="2"/>
    <n v="2769.89"/>
    <d v="2003-11-21T00:00:00"/>
    <x v="0"/>
    <n v="4"/>
    <x v="5"/>
    <x v="5"/>
    <x v="0"/>
    <x v="3"/>
    <n v="104"/>
    <x v="37"/>
    <x v="87"/>
    <s v="61-9-3844-6555"/>
    <s v="7 Allen Street"/>
    <m/>
    <x v="70"/>
    <s v="Victoria"/>
    <n v="3150"/>
    <x v="3"/>
    <x v="2"/>
    <s v="Connery"/>
    <s v="Sean"/>
    <x v="0"/>
  </r>
  <r>
    <n v="10206"/>
    <n v="30"/>
    <n v="100"/>
    <n v="8"/>
    <n v="3581.4"/>
    <d v="2003-12-05T00:00:00"/>
    <x v="0"/>
    <n v="4"/>
    <x v="6"/>
    <x v="6"/>
    <x v="0"/>
    <x v="3"/>
    <n v="104"/>
    <x v="37"/>
    <x v="31"/>
    <s v="(604) 555-3392"/>
    <s v="1900 Oak St."/>
    <m/>
    <x v="26"/>
    <s v="BC"/>
    <s v="V3F 2K1"/>
    <x v="10"/>
    <x v="0"/>
    <s v="Tannamuri"/>
    <s v="Yoshi"/>
    <x v="1"/>
  </r>
  <r>
    <n v="10215"/>
    <n v="49"/>
    <n v="100"/>
    <n v="5"/>
    <n v="5285.14"/>
    <d v="2004-01-29T00:00:00"/>
    <x v="0"/>
    <n v="1"/>
    <x v="7"/>
    <x v="7"/>
    <x v="1"/>
    <x v="3"/>
    <n v="104"/>
    <x v="37"/>
    <x v="32"/>
    <n v="3105553722"/>
    <s v="3675 Furth Circle"/>
    <m/>
    <x v="27"/>
    <s v="CA"/>
    <n v="94019"/>
    <x v="0"/>
    <x v="0"/>
    <s v="Thompson"/>
    <s v="Steve"/>
    <x v="1"/>
  </r>
  <r>
    <n v="10228"/>
    <n v="31"/>
    <n v="100"/>
    <n v="4"/>
    <n v="3181.53"/>
    <d v="2004-03-10T00:00:00"/>
    <x v="0"/>
    <n v="1"/>
    <x v="11"/>
    <x v="11"/>
    <x v="1"/>
    <x v="3"/>
    <n v="104"/>
    <x v="37"/>
    <x v="33"/>
    <n v="6175555555"/>
    <s v="4658 Baden Av."/>
    <m/>
    <x v="12"/>
    <s v="MA"/>
    <n v="51247"/>
    <x v="0"/>
    <x v="0"/>
    <s v="Tseng"/>
    <s v="Kyung"/>
    <x v="1"/>
  </r>
  <r>
    <n v="10244"/>
    <n v="29"/>
    <n v="100"/>
    <n v="2"/>
    <n v="3340.51"/>
    <d v="2004-04-29T00:00:00"/>
    <x v="0"/>
    <n v="2"/>
    <x v="8"/>
    <x v="8"/>
    <x v="1"/>
    <x v="3"/>
    <n v="104"/>
    <x v="37"/>
    <x v="23"/>
    <s v="(91) 555 94 44"/>
    <s v="C/ Moralzarzal, 86"/>
    <m/>
    <x v="20"/>
    <m/>
    <n v="28034"/>
    <x v="7"/>
    <x v="1"/>
    <s v="Freyre"/>
    <s v="Diego"/>
    <x v="1"/>
  </r>
  <r>
    <n v="10257"/>
    <n v="37"/>
    <n v="84.82"/>
    <n v="2"/>
    <n v="3138.34"/>
    <d v="2004-06-14T00:00:00"/>
    <x v="0"/>
    <n v="2"/>
    <x v="9"/>
    <x v="9"/>
    <x v="1"/>
    <x v="3"/>
    <n v="104"/>
    <x v="37"/>
    <x v="61"/>
    <n v="4085553659"/>
    <s v="3086 Ingle Ln."/>
    <m/>
    <x v="51"/>
    <s v="CA"/>
    <n v="94217"/>
    <x v="0"/>
    <x v="0"/>
    <s v="Frick"/>
    <s v="Sue"/>
    <x v="1"/>
  </r>
  <r>
    <n v="10270"/>
    <n v="38"/>
    <n v="100"/>
    <n v="11"/>
    <n v="4775.08"/>
    <d v="2004-07-19T00:00:00"/>
    <x v="0"/>
    <n v="3"/>
    <x v="2"/>
    <x v="2"/>
    <x v="1"/>
    <x v="3"/>
    <n v="104"/>
    <x v="37"/>
    <x v="20"/>
    <s v="+61 2 9495 8555"/>
    <s v="Monitor Money Building, 815 Pacific Hwy"/>
    <s v="Level 6"/>
    <x v="17"/>
    <s v="NSW"/>
    <n v="2067"/>
    <x v="3"/>
    <x v="2"/>
    <s v="Huxley"/>
    <s v="Adrian"/>
    <x v="1"/>
  </r>
  <r>
    <n v="10280"/>
    <n v="29"/>
    <n v="100"/>
    <n v="4"/>
    <n v="3006.43"/>
    <d v="2004-08-17T00:00:00"/>
    <x v="0"/>
    <n v="3"/>
    <x v="3"/>
    <x v="3"/>
    <x v="1"/>
    <x v="3"/>
    <n v="104"/>
    <x v="37"/>
    <x v="36"/>
    <s v="011-4988555"/>
    <s v="Via Monte Bianco 34"/>
    <m/>
    <x v="30"/>
    <m/>
    <n v="10100"/>
    <x v="12"/>
    <x v="1"/>
    <s v="Accorti"/>
    <s v="Paolo"/>
    <x v="1"/>
  </r>
  <r>
    <n v="10291"/>
    <n v="23"/>
    <n v="100"/>
    <n v="13"/>
    <n v="2866.26"/>
    <d v="2004-09-08T00:00:00"/>
    <x v="0"/>
    <n v="3"/>
    <x v="10"/>
    <x v="10"/>
    <x v="1"/>
    <x v="3"/>
    <n v="104"/>
    <x v="37"/>
    <x v="37"/>
    <s v="0695-34 6555"/>
    <s v="?kergatan 24"/>
    <m/>
    <x v="31"/>
    <m/>
    <s v="S-844 67"/>
    <x v="8"/>
    <x v="1"/>
    <s v="Larsson"/>
    <s v="Maria"/>
    <x v="0"/>
  </r>
  <r>
    <n v="10304"/>
    <n v="26"/>
    <n v="85.87"/>
    <n v="8"/>
    <n v="2232.62"/>
    <d v="2004-10-11T00:00:00"/>
    <x v="0"/>
    <n v="4"/>
    <x v="4"/>
    <x v="4"/>
    <x v="1"/>
    <x v="3"/>
    <n v="104"/>
    <x v="37"/>
    <x v="38"/>
    <s v="30.59.8555"/>
    <s v="67, avenue de l'Europe"/>
    <m/>
    <x v="32"/>
    <m/>
    <n v="78000"/>
    <x v="1"/>
    <x v="1"/>
    <s v="Tonini"/>
    <s v="Daniel"/>
    <x v="0"/>
  </r>
  <r>
    <n v="10312"/>
    <n v="38"/>
    <n v="100"/>
    <n v="5"/>
    <n v="4457.0200000000004"/>
    <d v="2004-10-21T00:00:00"/>
    <x v="0"/>
    <n v="4"/>
    <x v="4"/>
    <x v="4"/>
    <x v="1"/>
    <x v="3"/>
    <n v="104"/>
    <x v="37"/>
    <x v="39"/>
    <n v="4155551450"/>
    <s v="5677 Strong St."/>
    <m/>
    <x v="33"/>
    <s v="CA"/>
    <n v="97562"/>
    <x v="0"/>
    <x v="0"/>
    <s v="Nelson"/>
    <s v="Valarie"/>
    <x v="1"/>
  </r>
  <r>
    <n v="10322"/>
    <n v="48"/>
    <n v="47.04"/>
    <n v="7"/>
    <n v="2257.92"/>
    <d v="2004-11-04T00:00:00"/>
    <x v="0"/>
    <n v="4"/>
    <x v="5"/>
    <x v="5"/>
    <x v="1"/>
    <x v="3"/>
    <n v="104"/>
    <x v="37"/>
    <x v="40"/>
    <n v="6035558647"/>
    <s v="2304 Long Airport Avenue"/>
    <m/>
    <x v="34"/>
    <s v="NH"/>
    <n v="62005"/>
    <x v="0"/>
    <x v="0"/>
    <s v="Young"/>
    <s v="Valarie"/>
    <x v="0"/>
  </r>
  <r>
    <n v="10332"/>
    <n v="40"/>
    <n v="39.799999999999997"/>
    <n v="18"/>
    <n v="1592"/>
    <d v="2004-11-17T00:00:00"/>
    <x v="0"/>
    <n v="4"/>
    <x v="5"/>
    <x v="5"/>
    <x v="1"/>
    <x v="3"/>
    <n v="104"/>
    <x v="37"/>
    <x v="77"/>
    <s v="(171) 555-1555"/>
    <s v="Fauntleroy Circus"/>
    <m/>
    <x v="61"/>
    <m/>
    <s v="EC2 5NT"/>
    <x v="6"/>
    <x v="1"/>
    <s v="Ashworth"/>
    <s v="Victoria"/>
    <x v="0"/>
  </r>
  <r>
    <n v="10347"/>
    <n v="45"/>
    <n v="100"/>
    <n v="11"/>
    <n v="4948.2"/>
    <d v="2004-11-29T00:00:00"/>
    <x v="0"/>
    <n v="4"/>
    <x v="5"/>
    <x v="5"/>
    <x v="1"/>
    <x v="3"/>
    <n v="104"/>
    <x v="37"/>
    <x v="10"/>
    <s v="03 9520 4555"/>
    <s v="636 St Kilda Road"/>
    <s v="Level 3"/>
    <x v="8"/>
    <s v="Victoria"/>
    <n v="3004"/>
    <x v="3"/>
    <x v="2"/>
    <s v="Ferguson"/>
    <s v="Peter"/>
    <x v="1"/>
  </r>
  <r>
    <n v="10357"/>
    <n v="44"/>
    <n v="100"/>
    <n v="4"/>
    <n v="5160.76"/>
    <d v="2004-12-10T00:00:00"/>
    <x v="0"/>
    <n v="4"/>
    <x v="6"/>
    <x v="6"/>
    <x v="1"/>
    <x v="3"/>
    <n v="104"/>
    <x v="37"/>
    <x v="39"/>
    <n v="4155551450"/>
    <s v="5677 Strong St."/>
    <m/>
    <x v="33"/>
    <s v="CA"/>
    <n v="97562"/>
    <x v="0"/>
    <x v="0"/>
    <s v="Nelson"/>
    <s v="Valarie"/>
    <x v="1"/>
  </r>
  <r>
    <n v="10369"/>
    <n v="21"/>
    <n v="94.22"/>
    <n v="5"/>
    <n v="1978.62"/>
    <d v="2005-01-20T00:00:00"/>
    <x v="0"/>
    <n v="1"/>
    <x v="7"/>
    <x v="7"/>
    <x v="2"/>
    <x v="3"/>
    <n v="104"/>
    <x v="37"/>
    <x v="41"/>
    <n v="6175558555"/>
    <s v="7825 Douglas Av."/>
    <m/>
    <x v="35"/>
    <s v="MA"/>
    <n v="58339"/>
    <x v="0"/>
    <x v="0"/>
    <s v="Nelson"/>
    <s v="Allen"/>
    <x v="0"/>
  </r>
  <r>
    <n v="10381"/>
    <n v="35"/>
    <n v="100"/>
    <n v="5"/>
    <n v="4288.2"/>
    <d v="2005-02-17T00:00:00"/>
    <x v="0"/>
    <n v="1"/>
    <x v="0"/>
    <x v="0"/>
    <x v="2"/>
    <x v="3"/>
    <n v="104"/>
    <x v="37"/>
    <x v="4"/>
    <n v="6505551386"/>
    <s v="7734 Strong St."/>
    <m/>
    <x v="4"/>
    <s v="CA"/>
    <m/>
    <x v="0"/>
    <x v="0"/>
    <s v="Brown"/>
    <s v="Julie"/>
    <x v="1"/>
  </r>
  <r>
    <n v="10392"/>
    <n v="29"/>
    <n v="86.92"/>
    <n v="2"/>
    <n v="2520.6799999999998"/>
    <d v="2005-03-10T00:00:00"/>
    <x v="0"/>
    <n v="1"/>
    <x v="11"/>
    <x v="11"/>
    <x v="2"/>
    <x v="3"/>
    <n v="104"/>
    <x v="37"/>
    <x v="63"/>
    <s v="7675-3555"/>
    <s v="Kirchgasse 6"/>
    <m/>
    <x v="52"/>
    <m/>
    <n v="8010"/>
    <x v="5"/>
    <x v="1"/>
    <s v="Mendel"/>
    <s v="Roland"/>
    <x v="0"/>
  </r>
  <r>
    <n v="10423"/>
    <n v="21"/>
    <n v="84.82"/>
    <n v="2"/>
    <n v="1781.22"/>
    <d v="2005-05-30T00:00:00"/>
    <x v="2"/>
    <n v="2"/>
    <x v="1"/>
    <x v="1"/>
    <x v="2"/>
    <x v="3"/>
    <n v="104"/>
    <x v="37"/>
    <x v="56"/>
    <s v="(02) 5554 67"/>
    <s v="Rue Joseph-Bens 532"/>
    <m/>
    <x v="46"/>
    <m/>
    <s v="B-1180"/>
    <x v="14"/>
    <x v="1"/>
    <s v="Dewey"/>
    <s v="Catherine"/>
    <x v="0"/>
  </r>
  <r>
    <n v="10105"/>
    <n v="22"/>
    <n v="100"/>
    <n v="11"/>
    <n v="3065.04"/>
    <d v="2003-02-11T00:00:00"/>
    <x v="0"/>
    <n v="1"/>
    <x v="0"/>
    <x v="0"/>
    <x v="0"/>
    <x v="3"/>
    <n v="136"/>
    <x v="38"/>
    <x v="48"/>
    <s v="31 12 3555"/>
    <s v="Vinb'ltet 34"/>
    <m/>
    <x v="40"/>
    <m/>
    <n v="1734"/>
    <x v="13"/>
    <x v="1"/>
    <s v="Petersen"/>
    <s v="Jytte"/>
    <x v="1"/>
  </r>
  <r>
    <n v="10117"/>
    <n v="26"/>
    <n v="100"/>
    <n v="5"/>
    <n v="3551.34"/>
    <d v="2003-04-16T00:00:00"/>
    <x v="0"/>
    <n v="2"/>
    <x v="8"/>
    <x v="8"/>
    <x v="0"/>
    <x v="3"/>
    <n v="136"/>
    <x v="38"/>
    <x v="26"/>
    <s v="+65 221 7555"/>
    <s v="Bronz Sok., Bronz Apt. 3/6 Tesvikiye"/>
    <m/>
    <x v="22"/>
    <m/>
    <n v="79903"/>
    <x v="9"/>
    <x v="3"/>
    <s v="Natividad"/>
    <s v="Eric"/>
    <x v="1"/>
  </r>
  <r>
    <n v="10128"/>
    <n v="41"/>
    <n v="100"/>
    <n v="2"/>
    <n v="5544.02"/>
    <d v="2003-06-06T00:00:00"/>
    <x v="0"/>
    <n v="2"/>
    <x v="9"/>
    <x v="9"/>
    <x v="0"/>
    <x v="3"/>
    <n v="136"/>
    <x v="38"/>
    <x v="23"/>
    <s v="(91) 555 94 44"/>
    <s v="C/ Moralzarzal, 86"/>
    <m/>
    <x v="20"/>
    <m/>
    <n v="28034"/>
    <x v="7"/>
    <x v="1"/>
    <s v="Freyre"/>
    <s v="Diego"/>
    <x v="1"/>
  </r>
  <r>
    <n v="10142"/>
    <n v="47"/>
    <n v="100"/>
    <n v="8"/>
    <n v="6034.33"/>
    <d v="2003-08-08T00:00:00"/>
    <x v="0"/>
    <n v="3"/>
    <x v="3"/>
    <x v="3"/>
    <x v="0"/>
    <x v="3"/>
    <n v="136"/>
    <x v="38"/>
    <x v="39"/>
    <n v="4155551450"/>
    <s v="5677 Strong St."/>
    <m/>
    <x v="33"/>
    <s v="CA"/>
    <n v="97562"/>
    <x v="0"/>
    <x v="0"/>
    <s v="Nelson"/>
    <s v="Valarie"/>
    <x v="1"/>
  </r>
  <r>
    <n v="10153"/>
    <n v="31"/>
    <n v="100"/>
    <n v="7"/>
    <n v="3641.57"/>
    <d v="2003-09-28T00:00:00"/>
    <x v="0"/>
    <n v="3"/>
    <x v="10"/>
    <x v="10"/>
    <x v="0"/>
    <x v="3"/>
    <n v="136"/>
    <x v="38"/>
    <x v="23"/>
    <s v="(91) 555 94 44"/>
    <s v="C/ Moralzarzal, 86"/>
    <m/>
    <x v="20"/>
    <m/>
    <n v="28034"/>
    <x v="7"/>
    <x v="1"/>
    <s v="Freyre"/>
    <s v="Diego"/>
    <x v="1"/>
  </r>
  <r>
    <n v="10166"/>
    <n v="43"/>
    <n v="100"/>
    <n v="2"/>
    <n v="6930.74"/>
    <d v="2003-10-21T00:00:00"/>
    <x v="0"/>
    <n v="4"/>
    <x v="4"/>
    <x v="4"/>
    <x v="0"/>
    <x v="3"/>
    <n v="136"/>
    <x v="38"/>
    <x v="21"/>
    <n v="5085552555"/>
    <s v="1785 First Street"/>
    <m/>
    <x v="18"/>
    <s v="MA"/>
    <n v="50553"/>
    <x v="0"/>
    <x v="0"/>
    <s v="Benitez"/>
    <s v="Violeta"/>
    <x v="1"/>
  </r>
  <r>
    <n v="10177"/>
    <n v="23"/>
    <n v="100"/>
    <n v="9"/>
    <n v="3675.63"/>
    <d v="2003-11-07T00:00:00"/>
    <x v="0"/>
    <n v="4"/>
    <x v="5"/>
    <x v="5"/>
    <x v="0"/>
    <x v="3"/>
    <n v="136"/>
    <x v="38"/>
    <x v="76"/>
    <s v="+34 913 728 555"/>
    <s v="Merchants House, 27-30 Merchant's Quay"/>
    <m/>
    <x v="20"/>
    <m/>
    <n v="28023"/>
    <x v="7"/>
    <x v="1"/>
    <s v="Fernandez"/>
    <s v="Jesus"/>
    <x v="1"/>
  </r>
  <r>
    <n v="10185"/>
    <n v="28"/>
    <n v="100"/>
    <n v="9"/>
    <n v="3442.04"/>
    <d v="2003-11-14T00:00:00"/>
    <x v="0"/>
    <n v="4"/>
    <x v="5"/>
    <x v="5"/>
    <x v="0"/>
    <x v="3"/>
    <n v="136"/>
    <x v="38"/>
    <x v="50"/>
    <n v="5085559555"/>
    <s v="4575 Hillside Dr."/>
    <m/>
    <x v="18"/>
    <s v="MA"/>
    <n v="50553"/>
    <x v="0"/>
    <x v="0"/>
    <s v="Tam"/>
    <s v="Wing C"/>
    <x v="1"/>
  </r>
  <r>
    <n v="10196"/>
    <n v="49"/>
    <n v="100"/>
    <n v="1"/>
    <n v="6893.81"/>
    <d v="2003-11-26T00:00:00"/>
    <x v="0"/>
    <n v="4"/>
    <x v="5"/>
    <x v="5"/>
    <x v="0"/>
    <x v="3"/>
    <n v="136"/>
    <x v="38"/>
    <x v="34"/>
    <n v="2035559545"/>
    <s v="567 North Pendale Street"/>
    <m/>
    <x v="28"/>
    <s v="CT"/>
    <n v="97823"/>
    <x v="0"/>
    <x v="0"/>
    <s v="Murphy"/>
    <s v="Leslie"/>
    <x v="1"/>
  </r>
  <r>
    <n v="10208"/>
    <n v="24"/>
    <n v="100"/>
    <n v="9"/>
    <n v="2622.48"/>
    <d v="2004-01-02T00:00:00"/>
    <x v="0"/>
    <n v="1"/>
    <x v="7"/>
    <x v="7"/>
    <x v="1"/>
    <x v="3"/>
    <n v="136"/>
    <x v="38"/>
    <x v="30"/>
    <s v="78.32.5555"/>
    <s v="2, rue du Commerce"/>
    <m/>
    <x v="25"/>
    <m/>
    <n v="69004"/>
    <x v="1"/>
    <x v="1"/>
    <s v="Saveley"/>
    <s v="Mary"/>
    <x v="0"/>
  </r>
  <r>
    <n v="10221"/>
    <n v="33"/>
    <n v="100"/>
    <n v="3"/>
    <n v="4417.38"/>
    <d v="2004-02-18T00:00:00"/>
    <x v="0"/>
    <n v="1"/>
    <x v="0"/>
    <x v="0"/>
    <x v="1"/>
    <x v="3"/>
    <n v="136"/>
    <x v="38"/>
    <x v="56"/>
    <s v="(02) 5554 67"/>
    <s v="Rue Joseph-Bens 532"/>
    <m/>
    <x v="46"/>
    <m/>
    <s v="B-1180"/>
    <x v="14"/>
    <x v="1"/>
    <s v="Dewey"/>
    <s v="Catherine"/>
    <x v="1"/>
  </r>
  <r>
    <n v="10232"/>
    <n v="22"/>
    <n v="100"/>
    <n v="6"/>
    <n v="3606.02"/>
    <d v="2004-03-20T00:00:00"/>
    <x v="0"/>
    <n v="1"/>
    <x v="11"/>
    <x v="11"/>
    <x v="1"/>
    <x v="3"/>
    <n v="136"/>
    <x v="38"/>
    <x v="59"/>
    <s v="(198) 555-8888"/>
    <s v="Garden House Crowther Way"/>
    <m/>
    <x v="49"/>
    <s v="Isle of Wight"/>
    <s v="PO31 7PJ"/>
    <x v="6"/>
    <x v="1"/>
    <s v="Bennett"/>
    <s v="Helen"/>
    <x v="1"/>
  </r>
  <r>
    <n v="10248"/>
    <n v="32"/>
    <n v="100"/>
    <n v="12"/>
    <n v="3802.56"/>
    <d v="2004-05-07T00:00:00"/>
    <x v="3"/>
    <n v="2"/>
    <x v="1"/>
    <x v="1"/>
    <x v="1"/>
    <x v="3"/>
    <n v="136"/>
    <x v="38"/>
    <x v="0"/>
    <n v="2125557818"/>
    <s v="897 Long Airport Avenue"/>
    <m/>
    <x v="0"/>
    <s v="NY"/>
    <n v="10022"/>
    <x v="0"/>
    <x v="0"/>
    <s v="Yu"/>
    <s v="Kwai"/>
    <x v="1"/>
  </r>
  <r>
    <n v="10273"/>
    <n v="40"/>
    <n v="100"/>
    <n v="13"/>
    <n v="5026.3999999999996"/>
    <d v="2004-07-21T00:00:00"/>
    <x v="0"/>
    <n v="3"/>
    <x v="2"/>
    <x v="2"/>
    <x v="1"/>
    <x v="3"/>
    <n v="136"/>
    <x v="38"/>
    <x v="56"/>
    <s v="(02) 5554 67"/>
    <s v="Rue Joseph-Bens 532"/>
    <m/>
    <x v="46"/>
    <m/>
    <s v="B-1180"/>
    <x v="14"/>
    <x v="1"/>
    <s v="Dewey"/>
    <s v="Catherine"/>
    <x v="1"/>
  </r>
  <r>
    <n v="10282"/>
    <n v="43"/>
    <n v="100"/>
    <n v="1"/>
    <n v="6695.53"/>
    <d v="2004-08-20T00:00:00"/>
    <x v="0"/>
    <n v="3"/>
    <x v="3"/>
    <x v="3"/>
    <x v="1"/>
    <x v="3"/>
    <n v="136"/>
    <x v="38"/>
    <x v="39"/>
    <n v="4155551450"/>
    <s v="5677 Strong St."/>
    <m/>
    <x v="33"/>
    <s v="CA"/>
    <n v="97562"/>
    <x v="0"/>
    <x v="0"/>
    <s v="Nelson"/>
    <s v="Valarie"/>
    <x v="1"/>
  </r>
  <r>
    <n v="10293"/>
    <n v="24"/>
    <n v="100"/>
    <n v="4"/>
    <n v="2819.28"/>
    <d v="2004-09-09T00:00:00"/>
    <x v="0"/>
    <n v="3"/>
    <x v="10"/>
    <x v="10"/>
    <x v="1"/>
    <x v="3"/>
    <n v="136"/>
    <x v="38"/>
    <x v="36"/>
    <s v="011-4988555"/>
    <s v="Via Monte Bianco 34"/>
    <m/>
    <x v="30"/>
    <m/>
    <n v="10100"/>
    <x v="12"/>
    <x v="1"/>
    <s v="Accorti"/>
    <s v="Paolo"/>
    <x v="0"/>
  </r>
  <r>
    <n v="10306"/>
    <n v="32"/>
    <n v="100"/>
    <n v="9"/>
    <n v="3759.04"/>
    <d v="2004-10-14T00:00:00"/>
    <x v="0"/>
    <n v="4"/>
    <x v="4"/>
    <x v="4"/>
    <x v="1"/>
    <x v="3"/>
    <n v="136"/>
    <x v="38"/>
    <x v="77"/>
    <s v="(171) 555-1555"/>
    <s v="Fauntleroy Circus"/>
    <m/>
    <x v="61"/>
    <m/>
    <s v="EC2 5NT"/>
    <x v="6"/>
    <x v="1"/>
    <s v="Ashworth"/>
    <s v="Victoria"/>
    <x v="1"/>
  </r>
  <r>
    <n v="10314"/>
    <n v="20"/>
    <n v="100"/>
    <n v="1"/>
    <n v="2731.8"/>
    <d v="2004-10-22T00:00:00"/>
    <x v="0"/>
    <n v="4"/>
    <x v="4"/>
    <x v="4"/>
    <x v="1"/>
    <x v="3"/>
    <n v="136"/>
    <x v="38"/>
    <x v="78"/>
    <s v="86 21 3555"/>
    <s v="Smagsloget 45"/>
    <m/>
    <x v="62"/>
    <m/>
    <n v="8200"/>
    <x v="13"/>
    <x v="1"/>
    <s v="Ibsen"/>
    <s v="Palle"/>
    <x v="0"/>
  </r>
  <r>
    <n v="10325"/>
    <n v="24"/>
    <n v="69.12"/>
    <n v="9"/>
    <n v="1658.88"/>
    <d v="2004-11-05T00:00:00"/>
    <x v="0"/>
    <n v="4"/>
    <x v="5"/>
    <x v="5"/>
    <x v="1"/>
    <x v="3"/>
    <n v="136"/>
    <x v="38"/>
    <x v="17"/>
    <s v="07-98 9555"/>
    <s v="Erling Skakkes gate 78"/>
    <m/>
    <x v="14"/>
    <m/>
    <n v="4110"/>
    <x v="2"/>
    <x v="1"/>
    <s v="Bergulfsen"/>
    <s v="Jonas"/>
    <x v="0"/>
  </r>
  <r>
    <n v="10336"/>
    <n v="48"/>
    <n v="100"/>
    <n v="12"/>
    <n v="5778.24"/>
    <d v="2004-11-20T00:00:00"/>
    <x v="0"/>
    <n v="4"/>
    <x v="5"/>
    <x v="5"/>
    <x v="1"/>
    <x v="3"/>
    <n v="136"/>
    <x v="38"/>
    <x v="62"/>
    <s v="(1) 42.34.2555"/>
    <s v="265, boulevard Charonne"/>
    <m/>
    <x v="2"/>
    <m/>
    <n v="75012"/>
    <x v="1"/>
    <x v="1"/>
    <s v="Bertrand"/>
    <s v="Marie"/>
    <x v="1"/>
  </r>
  <r>
    <n v="10350"/>
    <n v="44"/>
    <n v="100"/>
    <n v="1"/>
    <n v="5191.12"/>
    <d v="2004-12-02T00:00:00"/>
    <x v="0"/>
    <n v="4"/>
    <x v="6"/>
    <x v="6"/>
    <x v="1"/>
    <x v="3"/>
    <n v="136"/>
    <x v="38"/>
    <x v="23"/>
    <s v="(91) 555 94 44"/>
    <s v="C/ Moralzarzal, 86"/>
    <m/>
    <x v="20"/>
    <m/>
    <n v="28034"/>
    <x v="7"/>
    <x v="1"/>
    <s v="Freyre"/>
    <s v="Diego"/>
    <x v="1"/>
  </r>
  <r>
    <n v="10372"/>
    <n v="28"/>
    <n v="100"/>
    <n v="3"/>
    <n v="3862.88"/>
    <d v="2005-01-26T00:00:00"/>
    <x v="0"/>
    <n v="1"/>
    <x v="7"/>
    <x v="7"/>
    <x v="2"/>
    <x v="3"/>
    <n v="136"/>
    <x v="38"/>
    <x v="35"/>
    <s v="+81 3 3584 0555"/>
    <s v="2-2-8 Roppongi"/>
    <m/>
    <x v="29"/>
    <s v="Tokyo"/>
    <s v="106-0032"/>
    <x v="11"/>
    <x v="3"/>
    <s v="Shimamura"/>
    <s v="Akiko"/>
    <x v="1"/>
  </r>
  <r>
    <n v="10383"/>
    <n v="24"/>
    <n v="61.52"/>
    <n v="9"/>
    <n v="1476.48"/>
    <d v="2005-02-22T00:00:00"/>
    <x v="0"/>
    <n v="1"/>
    <x v="0"/>
    <x v="0"/>
    <x v="2"/>
    <x v="3"/>
    <n v="136"/>
    <x v="38"/>
    <x v="23"/>
    <s v="(91) 555 94 44"/>
    <s v="C/ Moralzarzal, 86"/>
    <m/>
    <x v="20"/>
    <m/>
    <n v="28034"/>
    <x v="7"/>
    <x v="1"/>
    <s v="Freyre"/>
    <s v="Diego"/>
    <x v="0"/>
  </r>
  <r>
    <n v="10396"/>
    <n v="33"/>
    <n v="100"/>
    <n v="2"/>
    <n v="5273.73"/>
    <d v="2005-03-23T00:00:00"/>
    <x v="0"/>
    <n v="1"/>
    <x v="11"/>
    <x v="11"/>
    <x v="2"/>
    <x v="3"/>
    <n v="136"/>
    <x v="38"/>
    <x v="39"/>
    <n v="4155551450"/>
    <s v="5677 Strong St."/>
    <m/>
    <x v="33"/>
    <s v="CA"/>
    <n v="97562"/>
    <x v="0"/>
    <x v="0"/>
    <s v="Nelson"/>
    <s v="Valarie"/>
    <x v="1"/>
  </r>
  <r>
    <n v="10414"/>
    <n v="41"/>
    <n v="100"/>
    <n v="12"/>
    <n v="4872.03"/>
    <d v="2005-05-06T00:00:00"/>
    <x v="4"/>
    <n v="2"/>
    <x v="1"/>
    <x v="1"/>
    <x v="2"/>
    <x v="3"/>
    <n v="136"/>
    <x v="38"/>
    <x v="58"/>
    <n v="6175559555"/>
    <s v="8616 Spinnaker Dr."/>
    <m/>
    <x v="48"/>
    <s v="MA"/>
    <n v="51003"/>
    <x v="0"/>
    <x v="0"/>
    <s v="Yoshido"/>
    <s v="Juri"/>
    <x v="1"/>
  </r>
  <r>
    <n v="10104"/>
    <n v="23"/>
    <n v="100"/>
    <n v="13"/>
    <n v="4556.99"/>
    <d v="2003-01-31T00:00:00"/>
    <x v="0"/>
    <n v="1"/>
    <x v="7"/>
    <x v="7"/>
    <x v="0"/>
    <x v="1"/>
    <n v="169"/>
    <x v="39"/>
    <x v="23"/>
    <s v="(91) 555 94 44"/>
    <s v="C/ Moralzarzal, 86"/>
    <m/>
    <x v="20"/>
    <m/>
    <n v="28034"/>
    <x v="7"/>
    <x v="1"/>
    <s v="Freyre"/>
    <s v="Diego"/>
    <x v="1"/>
  </r>
  <r>
    <n v="10109"/>
    <n v="46"/>
    <n v="100"/>
    <n v="5"/>
    <n v="8257"/>
    <d v="2003-03-10T00:00:00"/>
    <x v="0"/>
    <n v="1"/>
    <x v="11"/>
    <x v="11"/>
    <x v="0"/>
    <x v="1"/>
    <n v="169"/>
    <x v="39"/>
    <x v="45"/>
    <n v="2155559857"/>
    <s v="11328 Douglas Av."/>
    <m/>
    <x v="24"/>
    <s v="PA"/>
    <n v="71270"/>
    <x v="0"/>
    <x v="0"/>
    <s v="Hernandez"/>
    <s v="Rosa"/>
    <x v="2"/>
  </r>
  <r>
    <n v="10114"/>
    <n v="48"/>
    <n v="100"/>
    <n v="4"/>
    <n v="8209.44"/>
    <d v="2003-04-01T00:00:00"/>
    <x v="0"/>
    <n v="2"/>
    <x v="8"/>
    <x v="8"/>
    <x v="0"/>
    <x v="1"/>
    <n v="169"/>
    <x v="39"/>
    <x v="62"/>
    <s v="(1) 42.34.2555"/>
    <s v="265, boulevard Charonne"/>
    <m/>
    <x v="2"/>
    <m/>
    <n v="75012"/>
    <x v="1"/>
    <x v="1"/>
    <s v="Bertrand"/>
    <s v="Marie"/>
    <x v="2"/>
  </r>
  <r>
    <n v="10122"/>
    <n v="25"/>
    <n v="100"/>
    <n v="3"/>
    <n v="3598.5"/>
    <d v="2003-05-08T00:00:00"/>
    <x v="0"/>
    <n v="2"/>
    <x v="1"/>
    <x v="1"/>
    <x v="0"/>
    <x v="1"/>
    <n v="169"/>
    <x v="39"/>
    <x v="67"/>
    <s v="91.24.4555"/>
    <s v="12, rue des Bouchers"/>
    <m/>
    <x v="54"/>
    <m/>
    <n v="13008"/>
    <x v="1"/>
    <x v="1"/>
    <s v="Lebihan"/>
    <s v="Laurence"/>
    <x v="1"/>
  </r>
  <r>
    <n v="10127"/>
    <n v="22"/>
    <n v="100"/>
    <n v="15"/>
    <n v="3837.24"/>
    <d v="2003-06-03T00:00:00"/>
    <x v="0"/>
    <n v="2"/>
    <x v="9"/>
    <x v="9"/>
    <x v="0"/>
    <x v="1"/>
    <n v="169"/>
    <x v="39"/>
    <x v="74"/>
    <n v="2125557413"/>
    <s v="4092 Furth Circle"/>
    <s v="Suite 400"/>
    <x v="0"/>
    <s v="NY"/>
    <n v="10022"/>
    <x v="0"/>
    <x v="0"/>
    <s v="Young"/>
    <s v="Jeff"/>
    <x v="1"/>
  </r>
  <r>
    <n v="10136"/>
    <n v="41"/>
    <n v="100"/>
    <n v="3"/>
    <n v="8331.61"/>
    <d v="2003-07-04T00:00:00"/>
    <x v="0"/>
    <n v="3"/>
    <x v="2"/>
    <x v="2"/>
    <x v="0"/>
    <x v="1"/>
    <n v="169"/>
    <x v="39"/>
    <x v="51"/>
    <s v="61.77.6555"/>
    <s v="1 rue Alsace-Lorraine"/>
    <m/>
    <x v="42"/>
    <m/>
    <n v="31000"/>
    <x v="1"/>
    <x v="1"/>
    <s v="Roulet"/>
    <s v="Annette"/>
    <x v="2"/>
  </r>
  <r>
    <n v="10141"/>
    <n v="34"/>
    <n v="100"/>
    <n v="9"/>
    <n v="4836.5"/>
    <d v="2003-08-01T00:00:00"/>
    <x v="0"/>
    <n v="3"/>
    <x v="3"/>
    <x v="3"/>
    <x v="0"/>
    <x v="1"/>
    <n v="169"/>
    <x v="39"/>
    <x v="73"/>
    <s v="+358 9 8045 555"/>
    <s v="Software Engineering Center, SEC Oy"/>
    <m/>
    <x v="59"/>
    <m/>
    <s v="FIN-02271"/>
    <x v="4"/>
    <x v="1"/>
    <s v="Suominen"/>
    <s v="Kalle"/>
    <x v="1"/>
  </r>
  <r>
    <n v="10148"/>
    <n v="32"/>
    <n v="100"/>
    <n v="14"/>
    <n v="5418.88"/>
    <d v="2003-09-11T00:00:00"/>
    <x v="0"/>
    <n v="3"/>
    <x v="10"/>
    <x v="10"/>
    <x v="0"/>
    <x v="1"/>
    <n v="169"/>
    <x v="39"/>
    <x v="42"/>
    <s v="02 9936 8555"/>
    <s v="201 Miller Street"/>
    <s v="Level 15"/>
    <x v="36"/>
    <s v="NSW"/>
    <n v="2060"/>
    <x v="3"/>
    <x v="2"/>
    <s v="O'Hara"/>
    <s v="Anna"/>
    <x v="1"/>
  </r>
  <r>
    <n v="10151"/>
    <n v="21"/>
    <n v="100"/>
    <n v="7"/>
    <n v="3734.01"/>
    <d v="2003-09-21T00:00:00"/>
    <x v="0"/>
    <n v="3"/>
    <x v="10"/>
    <x v="10"/>
    <x v="0"/>
    <x v="1"/>
    <n v="169"/>
    <x v="39"/>
    <x v="60"/>
    <s v="981-443655"/>
    <s v="Torikatu 38"/>
    <m/>
    <x v="50"/>
    <m/>
    <n v="90110"/>
    <x v="4"/>
    <x v="1"/>
    <s v="Koskitalo"/>
    <s v="Pirkko"/>
    <x v="1"/>
  </r>
  <r>
    <n v="10160"/>
    <n v="20"/>
    <n v="100"/>
    <n v="1"/>
    <n v="3996.4"/>
    <d v="2003-10-11T00:00:00"/>
    <x v="0"/>
    <n v="4"/>
    <x v="4"/>
    <x v="4"/>
    <x v="0"/>
    <x v="1"/>
    <n v="169"/>
    <x v="39"/>
    <x v="54"/>
    <n v="2155554369"/>
    <s v="6047 Douglas Av."/>
    <m/>
    <x v="44"/>
    <s v="CA"/>
    <m/>
    <x v="0"/>
    <x v="0"/>
    <s v="Chandler"/>
    <s v="Michael"/>
    <x v="1"/>
  </r>
  <r>
    <n v="10165"/>
    <n v="47"/>
    <n v="100"/>
    <n v="16"/>
    <n v="8754.69"/>
    <d v="2003-10-22T00:00:00"/>
    <x v="0"/>
    <n v="4"/>
    <x v="4"/>
    <x v="4"/>
    <x v="0"/>
    <x v="1"/>
    <n v="169"/>
    <x v="39"/>
    <x v="26"/>
    <s v="+65 221 7555"/>
    <s v="Bronz Sok., Bronz Apt. 3/6 Tesvikiye"/>
    <m/>
    <x v="22"/>
    <m/>
    <n v="79903"/>
    <x v="9"/>
    <x v="3"/>
    <s v="Natividad"/>
    <s v="Eric"/>
    <x v="2"/>
  </r>
  <r>
    <n v="10171"/>
    <n v="39"/>
    <n v="100"/>
    <n v="3"/>
    <n v="5481.45"/>
    <d v="2003-11-05T00:00:00"/>
    <x v="0"/>
    <n v="4"/>
    <x v="5"/>
    <x v="5"/>
    <x v="0"/>
    <x v="1"/>
    <n v="169"/>
    <x v="39"/>
    <x v="43"/>
    <s v="(514) 555-8054"/>
    <s v="43 rue St. Laurent"/>
    <m/>
    <x v="37"/>
    <s v="Quebec"/>
    <s v="H1J 1C3"/>
    <x v="10"/>
    <x v="0"/>
    <s v="Fresnisre"/>
    <s v="Jean"/>
    <x v="1"/>
  </r>
  <r>
    <n v="10175"/>
    <n v="29"/>
    <n v="100"/>
    <n v="5"/>
    <n v="4419.8900000000003"/>
    <d v="2003-11-06T00:00:00"/>
    <x v="0"/>
    <n v="4"/>
    <x v="5"/>
    <x v="5"/>
    <x v="0"/>
    <x v="1"/>
    <n v="169"/>
    <x v="39"/>
    <x v="49"/>
    <s v="(171) 555-0297"/>
    <s v="35 King George"/>
    <m/>
    <x v="41"/>
    <m/>
    <s v="WX3 6FW"/>
    <x v="6"/>
    <x v="1"/>
    <s v="Brown"/>
    <s v="Ann"/>
    <x v="1"/>
  </r>
  <r>
    <n v="10181"/>
    <n v="45"/>
    <n v="100"/>
    <n v="7"/>
    <n v="6324.75"/>
    <d v="2003-11-12T00:00:00"/>
    <x v="0"/>
    <n v="4"/>
    <x v="5"/>
    <x v="5"/>
    <x v="0"/>
    <x v="1"/>
    <n v="169"/>
    <x v="39"/>
    <x v="7"/>
    <s v="+47 2267 3215"/>
    <s v="Drammen 121, PR 744 Sentrum"/>
    <m/>
    <x v="7"/>
    <m/>
    <s v="N 5804"/>
    <x v="2"/>
    <x v="1"/>
    <s v="Oeztan"/>
    <s v="Veysel"/>
    <x v="1"/>
  </r>
  <r>
    <n v="10184"/>
    <n v="28"/>
    <n v="100"/>
    <n v="10"/>
    <n v="4409.72"/>
    <d v="2003-11-14T00:00:00"/>
    <x v="0"/>
    <n v="4"/>
    <x v="5"/>
    <x v="5"/>
    <x v="0"/>
    <x v="1"/>
    <n v="169"/>
    <x v="39"/>
    <x v="81"/>
    <s v="(95) 555 82 82"/>
    <s v="C/ Romero, 33"/>
    <m/>
    <x v="64"/>
    <m/>
    <n v="41101"/>
    <x v="7"/>
    <x v="1"/>
    <s v="Roel"/>
    <s v="Jose Pedro"/>
    <x v="1"/>
  </r>
  <r>
    <n v="10192"/>
    <n v="26"/>
    <n v="100"/>
    <n v="12"/>
    <n v="3918.46"/>
    <d v="2003-11-20T00:00:00"/>
    <x v="0"/>
    <n v="4"/>
    <x v="5"/>
    <x v="5"/>
    <x v="0"/>
    <x v="1"/>
    <n v="169"/>
    <x v="39"/>
    <x v="40"/>
    <n v="6035558647"/>
    <s v="2304 Long Airport Avenue"/>
    <m/>
    <x v="34"/>
    <s v="NH"/>
    <n v="62005"/>
    <x v="0"/>
    <x v="0"/>
    <s v="Young"/>
    <s v="Valarie"/>
    <x v="1"/>
  </r>
  <r>
    <n v="10195"/>
    <n v="50"/>
    <n v="100"/>
    <n v="10"/>
    <n v="7620.5"/>
    <d v="2003-11-25T00:00:00"/>
    <x v="0"/>
    <n v="4"/>
    <x v="5"/>
    <x v="5"/>
    <x v="0"/>
    <x v="1"/>
    <n v="169"/>
    <x v="39"/>
    <x v="47"/>
    <n v="9145554562"/>
    <s v="3758 North Pendale Street"/>
    <m/>
    <x v="39"/>
    <s v="NY"/>
    <n v="24067"/>
    <x v="0"/>
    <x v="0"/>
    <s v="Frick"/>
    <s v="Steve"/>
    <x v="2"/>
  </r>
  <r>
    <n v="10203"/>
    <n v="48"/>
    <n v="100"/>
    <n v="1"/>
    <n v="8291.0400000000009"/>
    <d v="2003-12-02T00:00:00"/>
    <x v="0"/>
    <n v="4"/>
    <x v="6"/>
    <x v="6"/>
    <x v="0"/>
    <x v="1"/>
    <n v="169"/>
    <x v="39"/>
    <x v="23"/>
    <s v="(91) 555 94 44"/>
    <s v="C/ Moralzarzal, 86"/>
    <m/>
    <x v="20"/>
    <m/>
    <n v="28034"/>
    <x v="7"/>
    <x v="1"/>
    <s v="Freyre"/>
    <s v="Diego"/>
    <x v="2"/>
  </r>
  <r>
    <n v="10207"/>
    <n v="25"/>
    <n v="100"/>
    <n v="11"/>
    <n v="3937.25"/>
    <d v="2003-12-09T00:00:00"/>
    <x v="0"/>
    <n v="4"/>
    <x v="6"/>
    <x v="6"/>
    <x v="0"/>
    <x v="1"/>
    <n v="169"/>
    <x v="39"/>
    <x v="64"/>
    <n v="6175552555"/>
    <s v="6251 Ingle Ln."/>
    <m/>
    <x v="48"/>
    <s v="MA"/>
    <n v="51003"/>
    <x v="0"/>
    <x v="0"/>
    <s v="Franco"/>
    <s v="Valarie"/>
    <x v="1"/>
  </r>
  <r>
    <n v="10212"/>
    <n v="40"/>
    <n v="100"/>
    <n v="11"/>
    <n v="5554.4"/>
    <d v="2004-01-16T00:00:00"/>
    <x v="0"/>
    <n v="1"/>
    <x v="7"/>
    <x v="7"/>
    <x v="1"/>
    <x v="1"/>
    <n v="169"/>
    <x v="39"/>
    <x v="23"/>
    <s v="(91) 555 94 44"/>
    <s v="C/ Moralzarzal, 86"/>
    <m/>
    <x v="20"/>
    <m/>
    <n v="28034"/>
    <x v="7"/>
    <x v="1"/>
    <s v="Freyre"/>
    <s v="Diego"/>
    <x v="1"/>
  </r>
  <r>
    <n v="10225"/>
    <n v="43"/>
    <n v="100"/>
    <n v="2"/>
    <n v="6407.86"/>
    <d v="2004-02-22T00:00:00"/>
    <x v="0"/>
    <n v="1"/>
    <x v="0"/>
    <x v="0"/>
    <x v="1"/>
    <x v="1"/>
    <n v="169"/>
    <x v="39"/>
    <x v="69"/>
    <s v="0897-034555"/>
    <s v="Grenzacherweg 237"/>
    <m/>
    <x v="56"/>
    <m/>
    <n v="1203"/>
    <x v="17"/>
    <x v="1"/>
    <s v="Holz"/>
    <s v="Michael"/>
    <x v="1"/>
  </r>
  <r>
    <n v="10229"/>
    <n v="22"/>
    <n v="100"/>
    <n v="5"/>
    <n v="4172.5200000000004"/>
    <d v="2004-03-11T00:00:00"/>
    <x v="0"/>
    <n v="1"/>
    <x v="11"/>
    <x v="11"/>
    <x v="1"/>
    <x v="1"/>
    <n v="169"/>
    <x v="39"/>
    <x v="39"/>
    <n v="4155551450"/>
    <s v="5677 Strong St."/>
    <m/>
    <x v="33"/>
    <s v="CA"/>
    <n v="97562"/>
    <x v="0"/>
    <x v="0"/>
    <s v="Nelson"/>
    <s v="Valarie"/>
    <x v="1"/>
  </r>
  <r>
    <n v="10239"/>
    <n v="47"/>
    <n v="100"/>
    <n v="1"/>
    <n v="7083.37"/>
    <d v="2004-04-12T00:00:00"/>
    <x v="0"/>
    <n v="2"/>
    <x v="8"/>
    <x v="8"/>
    <x v="1"/>
    <x v="1"/>
    <n v="169"/>
    <x v="39"/>
    <x v="60"/>
    <s v="981-443655"/>
    <s v="Torikatu 38"/>
    <m/>
    <x v="50"/>
    <m/>
    <n v="90110"/>
    <x v="4"/>
    <x v="1"/>
    <s v="Koskitalo"/>
    <s v="Pirkko"/>
    <x v="2"/>
  </r>
  <r>
    <n v="10246"/>
    <n v="36"/>
    <n v="100"/>
    <n v="9"/>
    <n v="7132.68"/>
    <d v="2004-05-05T00:00:00"/>
    <x v="0"/>
    <n v="2"/>
    <x v="1"/>
    <x v="1"/>
    <x v="1"/>
    <x v="1"/>
    <n v="169"/>
    <x v="39"/>
    <x v="23"/>
    <s v="(91) 555 94 44"/>
    <s v="C/ Moralzarzal, 86"/>
    <m/>
    <x v="20"/>
    <m/>
    <n v="28034"/>
    <x v="7"/>
    <x v="1"/>
    <s v="Freyre"/>
    <s v="Diego"/>
    <x v="2"/>
  </r>
  <r>
    <n v="10253"/>
    <n v="40"/>
    <n v="100"/>
    <n v="6"/>
    <n v="6773.6"/>
    <d v="2004-06-01T00:00:00"/>
    <x v="3"/>
    <n v="2"/>
    <x v="9"/>
    <x v="9"/>
    <x v="1"/>
    <x v="1"/>
    <n v="169"/>
    <x v="39"/>
    <x v="22"/>
    <s v="(171) 555-2282"/>
    <s v="Berkeley Gardens 12  Brewery"/>
    <m/>
    <x v="19"/>
    <m/>
    <s v="WX1 6LT"/>
    <x v="6"/>
    <x v="1"/>
    <s v="Devon"/>
    <s v="Elizabeth"/>
    <x v="1"/>
  </r>
  <r>
    <n v="10259"/>
    <n v="27"/>
    <n v="100"/>
    <n v="8"/>
    <n v="3657.69"/>
    <d v="2004-06-15T00:00:00"/>
    <x v="0"/>
    <n v="2"/>
    <x v="9"/>
    <x v="9"/>
    <x v="1"/>
    <x v="1"/>
    <n v="169"/>
    <x v="39"/>
    <x v="65"/>
    <s v="+65 224 1555"/>
    <s v="Village Close - 106 Linden Road Sandown"/>
    <s v="2nd Floor"/>
    <x v="22"/>
    <m/>
    <n v="69045"/>
    <x v="9"/>
    <x v="2"/>
    <s v="Victorino"/>
    <s v="Wendy"/>
    <x v="1"/>
  </r>
  <r>
    <n v="10266"/>
    <n v="29"/>
    <n v="100"/>
    <n v="7"/>
    <n v="4812.55"/>
    <d v="2004-07-06T00:00:00"/>
    <x v="0"/>
    <n v="3"/>
    <x v="2"/>
    <x v="2"/>
    <x v="1"/>
    <x v="1"/>
    <n v="169"/>
    <x v="39"/>
    <x v="70"/>
    <s v="0522-556555"/>
    <s v="Strada Provinciale 124"/>
    <m/>
    <x v="57"/>
    <m/>
    <n v="42100"/>
    <x v="12"/>
    <x v="1"/>
    <s v="Moroni"/>
    <s v="Maurizio"/>
    <x v="1"/>
  </r>
  <r>
    <n v="10271"/>
    <n v="20"/>
    <n v="100"/>
    <n v="9"/>
    <n v="3928.6"/>
    <d v="2004-07-20T00:00:00"/>
    <x v="0"/>
    <n v="3"/>
    <x v="2"/>
    <x v="2"/>
    <x v="1"/>
    <x v="1"/>
    <n v="169"/>
    <x v="39"/>
    <x v="39"/>
    <n v="4155551450"/>
    <s v="5677 Strong St."/>
    <m/>
    <x v="33"/>
    <s v="CA"/>
    <n v="97562"/>
    <x v="0"/>
    <x v="0"/>
    <s v="Nelson"/>
    <s v="Valarie"/>
    <x v="1"/>
  </r>
  <r>
    <n v="10278"/>
    <n v="42"/>
    <n v="100"/>
    <n v="7"/>
    <n v="6401.22"/>
    <d v="2004-08-06T00:00:00"/>
    <x v="0"/>
    <n v="3"/>
    <x v="3"/>
    <x v="3"/>
    <x v="1"/>
    <x v="1"/>
    <n v="169"/>
    <x v="39"/>
    <x v="84"/>
    <n v="7025551838"/>
    <s v="8489 Strong St."/>
    <m/>
    <x v="67"/>
    <s v="NV"/>
    <n v="83030"/>
    <x v="0"/>
    <x v="0"/>
    <s v="King"/>
    <s v="Sue"/>
    <x v="1"/>
  </r>
  <r>
    <n v="10281"/>
    <n v="25"/>
    <n v="100"/>
    <n v="5"/>
    <n v="4191.25"/>
    <d v="2004-08-19T00:00:00"/>
    <x v="0"/>
    <n v="3"/>
    <x v="3"/>
    <x v="3"/>
    <x v="1"/>
    <x v="1"/>
    <n v="169"/>
    <x v="39"/>
    <x v="18"/>
    <n v="2155551555"/>
    <s v="7586 Pompton St."/>
    <m/>
    <x v="15"/>
    <s v="PA"/>
    <n v="70267"/>
    <x v="0"/>
    <x v="0"/>
    <s v="Yu"/>
    <s v="Kyung"/>
    <x v="1"/>
  </r>
  <r>
    <n v="10287"/>
    <n v="36"/>
    <n v="100"/>
    <n v="5"/>
    <n v="5852.52"/>
    <d v="2004-08-30T00:00:00"/>
    <x v="0"/>
    <n v="3"/>
    <x v="3"/>
    <x v="3"/>
    <x v="1"/>
    <x v="1"/>
    <n v="169"/>
    <x v="39"/>
    <x v="69"/>
    <s v="0897-034555"/>
    <s v="Grenzacherweg 237"/>
    <m/>
    <x v="56"/>
    <m/>
    <n v="1203"/>
    <x v="17"/>
    <x v="1"/>
    <s v="Holz"/>
    <s v="Michael"/>
    <x v="1"/>
  </r>
  <r>
    <n v="10292"/>
    <n v="21"/>
    <n v="100"/>
    <n v="12"/>
    <n v="2844.87"/>
    <d v="2004-09-08T00:00:00"/>
    <x v="0"/>
    <n v="3"/>
    <x v="10"/>
    <x v="10"/>
    <x v="1"/>
    <x v="1"/>
    <n v="169"/>
    <x v="39"/>
    <x v="0"/>
    <n v="2125557818"/>
    <s v="897 Long Airport Avenue"/>
    <m/>
    <x v="0"/>
    <s v="NY"/>
    <n v="10022"/>
    <x v="0"/>
    <x v="0"/>
    <s v="Yu"/>
    <s v="Kwai"/>
    <x v="0"/>
  </r>
  <r>
    <n v="10301"/>
    <n v="23"/>
    <n v="100"/>
    <n v="9"/>
    <n v="4011.66"/>
    <d v="2003-10-05T00:00:00"/>
    <x v="0"/>
    <n v="4"/>
    <x v="4"/>
    <x v="4"/>
    <x v="0"/>
    <x v="1"/>
    <n v="169"/>
    <x v="39"/>
    <x v="85"/>
    <s v="+47 2212 1555"/>
    <s v="Drammensveien 126 A, PB 744 Sentrum"/>
    <m/>
    <x v="68"/>
    <m/>
    <s v="N 0106"/>
    <x v="2"/>
    <x v="1"/>
    <s v="Klaeboe"/>
    <s v="Jan"/>
    <x v="1"/>
  </r>
  <r>
    <n v="10305"/>
    <n v="37"/>
    <n v="100"/>
    <n v="9"/>
    <n v="7455.87"/>
    <d v="2004-10-13T00:00:00"/>
    <x v="0"/>
    <n v="4"/>
    <x v="4"/>
    <x v="4"/>
    <x v="1"/>
    <x v="1"/>
    <n v="169"/>
    <x v="39"/>
    <x v="15"/>
    <n v="6175558555"/>
    <s v="39323 Spinnaker Dr."/>
    <m/>
    <x v="12"/>
    <s v="MA"/>
    <n v="51247"/>
    <x v="0"/>
    <x v="0"/>
    <s v="Hernandez"/>
    <s v="Marta"/>
    <x v="2"/>
  </r>
  <r>
    <n v="10310"/>
    <n v="48"/>
    <n v="100"/>
    <n v="3"/>
    <n v="8940.9599999999991"/>
    <d v="2004-10-16T00:00:00"/>
    <x v="0"/>
    <n v="4"/>
    <x v="4"/>
    <x v="4"/>
    <x v="1"/>
    <x v="1"/>
    <n v="169"/>
    <x v="39"/>
    <x v="68"/>
    <s v="0221-5554327"/>
    <s v="Mehrheimerstr. 369"/>
    <m/>
    <x v="55"/>
    <m/>
    <n v="50739"/>
    <x v="16"/>
    <x v="1"/>
    <s v="Pfalzheim"/>
    <s v="Henriette"/>
    <x v="2"/>
  </r>
  <r>
    <n v="10313"/>
    <n v="25"/>
    <n v="100"/>
    <n v="3"/>
    <n v="4572.25"/>
    <d v="2004-10-22T00:00:00"/>
    <x v="0"/>
    <n v="4"/>
    <x v="4"/>
    <x v="4"/>
    <x v="1"/>
    <x v="1"/>
    <n v="169"/>
    <x v="39"/>
    <x v="31"/>
    <s v="(604) 555-3392"/>
    <s v="1900 Oak St."/>
    <m/>
    <x v="26"/>
    <s v="BC"/>
    <s v="V3F 2K1"/>
    <x v="10"/>
    <x v="0"/>
    <s v="Tannamuri"/>
    <s v="Yoshi"/>
    <x v="1"/>
  </r>
  <r>
    <n v="10321"/>
    <n v="33"/>
    <n v="100"/>
    <n v="11"/>
    <n v="5700.09"/>
    <d v="2004-11-04T00:00:00"/>
    <x v="0"/>
    <n v="4"/>
    <x v="5"/>
    <x v="5"/>
    <x v="1"/>
    <x v="1"/>
    <n v="169"/>
    <x v="39"/>
    <x v="21"/>
    <n v="5085552555"/>
    <s v="1785 First Street"/>
    <m/>
    <x v="18"/>
    <s v="MA"/>
    <n v="50553"/>
    <x v="0"/>
    <x v="0"/>
    <s v="Benitez"/>
    <s v="Violeta"/>
    <x v="1"/>
  </r>
  <r>
    <n v="10324"/>
    <n v="27"/>
    <n v="100"/>
    <n v="12"/>
    <n v="3155.49"/>
    <d v="2004-11-05T00:00:00"/>
    <x v="0"/>
    <n v="4"/>
    <x v="5"/>
    <x v="5"/>
    <x v="1"/>
    <x v="1"/>
    <n v="169"/>
    <x v="39"/>
    <x v="11"/>
    <n v="2125551500"/>
    <s v="2678 Kingston Rd."/>
    <s v="Suite 101"/>
    <x v="0"/>
    <s v="NY"/>
    <n v="10022"/>
    <x v="0"/>
    <x v="0"/>
    <s v="Frick"/>
    <s v="Michael"/>
    <x v="1"/>
  </r>
  <r>
    <n v="10331"/>
    <n v="27"/>
    <n v="100"/>
    <n v="11"/>
    <n v="4170.6899999999996"/>
    <d v="2004-11-17T00:00:00"/>
    <x v="0"/>
    <n v="4"/>
    <x v="5"/>
    <x v="5"/>
    <x v="1"/>
    <x v="1"/>
    <n v="169"/>
    <x v="39"/>
    <x v="45"/>
    <n v="2155559857"/>
    <s v="11328 Douglas Av."/>
    <m/>
    <x v="24"/>
    <s v="PA"/>
    <n v="71270"/>
    <x v="0"/>
    <x v="0"/>
    <s v="Hernandez"/>
    <s v="Rosa"/>
    <x v="1"/>
  </r>
  <r>
    <n v="10334"/>
    <n v="20"/>
    <n v="100"/>
    <n v="3"/>
    <n v="2878.8"/>
    <d v="2004-11-19T00:00:00"/>
    <x v="4"/>
    <n v="4"/>
    <x v="5"/>
    <x v="5"/>
    <x v="1"/>
    <x v="1"/>
    <n v="169"/>
    <x v="39"/>
    <x v="24"/>
    <s v="0921-12 3555"/>
    <s v="Berguvsv„gen  8"/>
    <m/>
    <x v="21"/>
    <m/>
    <s v="S-958 22"/>
    <x v="8"/>
    <x v="1"/>
    <s v="Berglund"/>
    <s v="Christina"/>
    <x v="0"/>
  </r>
  <r>
    <n v="10342"/>
    <n v="30"/>
    <n v="100"/>
    <n v="4"/>
    <n v="5029.5"/>
    <d v="2004-11-24T00:00:00"/>
    <x v="0"/>
    <n v="4"/>
    <x v="5"/>
    <x v="5"/>
    <x v="1"/>
    <x v="1"/>
    <n v="169"/>
    <x v="39"/>
    <x v="10"/>
    <s v="03 9520 4555"/>
    <s v="636 St Kilda Road"/>
    <s v="Level 3"/>
    <x v="8"/>
    <s v="Victoria"/>
    <n v="3004"/>
    <x v="3"/>
    <x v="2"/>
    <s v="Ferguson"/>
    <s v="Peter"/>
    <x v="1"/>
  </r>
  <r>
    <n v="10349"/>
    <n v="48"/>
    <n v="100"/>
    <n v="6"/>
    <n v="7396.8"/>
    <d v="2004-12-01T00:00:00"/>
    <x v="0"/>
    <n v="4"/>
    <x v="6"/>
    <x v="6"/>
    <x v="1"/>
    <x v="1"/>
    <n v="169"/>
    <x v="39"/>
    <x v="74"/>
    <n v="2125557413"/>
    <s v="4092 Furth Circle"/>
    <s v="Suite 400"/>
    <x v="0"/>
    <s v="NY"/>
    <n v="10022"/>
    <x v="0"/>
    <x v="0"/>
    <s v="Young"/>
    <s v="Jeff"/>
    <x v="2"/>
  </r>
  <r>
    <n v="10358"/>
    <n v="32"/>
    <n v="93.49"/>
    <n v="12"/>
    <n v="2991.68"/>
    <d v="2004-12-10T00:00:00"/>
    <x v="0"/>
    <n v="4"/>
    <x v="6"/>
    <x v="6"/>
    <x v="1"/>
    <x v="1"/>
    <n v="169"/>
    <x v="39"/>
    <x v="23"/>
    <s v="(91) 555 94 44"/>
    <s v="C/ Moralzarzal, 86"/>
    <m/>
    <x v="20"/>
    <m/>
    <n v="28034"/>
    <x v="7"/>
    <x v="1"/>
    <s v="Freyre"/>
    <s v="Diego"/>
    <x v="0"/>
  </r>
  <r>
    <n v="10366"/>
    <n v="34"/>
    <n v="100"/>
    <n v="1"/>
    <n v="6275.72"/>
    <d v="2005-01-10T00:00:00"/>
    <x v="0"/>
    <n v="1"/>
    <x v="7"/>
    <x v="7"/>
    <x v="2"/>
    <x v="1"/>
    <n v="169"/>
    <x v="39"/>
    <x v="90"/>
    <s v="(071) 23 67 2555"/>
    <s v="Boulevard Tirou, 255"/>
    <m/>
    <x v="72"/>
    <m/>
    <s v="B-6000"/>
    <x v="14"/>
    <x v="1"/>
    <s v="Cartrain"/>
    <s v="Pascale"/>
    <x v="1"/>
  </r>
  <r>
    <n v="10370"/>
    <n v="27"/>
    <n v="56.85"/>
    <n v="9"/>
    <n v="1534.95"/>
    <d v="2005-01-20T00:00:00"/>
    <x v="0"/>
    <n v="1"/>
    <x v="7"/>
    <x v="7"/>
    <x v="2"/>
    <x v="1"/>
    <n v="169"/>
    <x v="39"/>
    <x v="42"/>
    <s v="02 9936 8555"/>
    <s v="201 Miller Street"/>
    <s v="Level 15"/>
    <x v="36"/>
    <s v="NSW"/>
    <n v="2060"/>
    <x v="3"/>
    <x v="2"/>
    <s v="O'Hara"/>
    <s v="Anna"/>
    <x v="0"/>
  </r>
  <r>
    <n v="10377"/>
    <n v="39"/>
    <n v="100"/>
    <n v="3"/>
    <n v="7264.53"/>
    <d v="2005-02-09T00:00:00"/>
    <x v="0"/>
    <n v="1"/>
    <x v="0"/>
    <x v="0"/>
    <x v="2"/>
    <x v="1"/>
    <n v="169"/>
    <x v="39"/>
    <x v="16"/>
    <s v="90-224 8555"/>
    <s v="Keskuskatu 45"/>
    <m/>
    <x v="13"/>
    <m/>
    <n v="21240"/>
    <x v="4"/>
    <x v="1"/>
    <s v="Karttunen"/>
    <s v="Matti"/>
    <x v="2"/>
  </r>
  <r>
    <n v="10383"/>
    <n v="47"/>
    <n v="100"/>
    <n v="6"/>
    <n v="6869.05"/>
    <d v="2005-02-22T00:00:00"/>
    <x v="0"/>
    <n v="1"/>
    <x v="0"/>
    <x v="0"/>
    <x v="2"/>
    <x v="1"/>
    <n v="169"/>
    <x v="39"/>
    <x v="23"/>
    <s v="(91) 555 94 44"/>
    <s v="C/ Moralzarzal, 86"/>
    <m/>
    <x v="20"/>
    <m/>
    <n v="28034"/>
    <x v="7"/>
    <x v="1"/>
    <s v="Freyre"/>
    <s v="Diego"/>
    <x v="1"/>
  </r>
  <r>
    <n v="10394"/>
    <n v="22"/>
    <n v="100"/>
    <n v="5"/>
    <n v="3353.02"/>
    <d v="2005-03-15T00:00:00"/>
    <x v="0"/>
    <n v="1"/>
    <x v="11"/>
    <x v="11"/>
    <x v="2"/>
    <x v="1"/>
    <n v="169"/>
    <x v="39"/>
    <x v="23"/>
    <s v="(91) 555 94 44"/>
    <s v="C/ Moralzarzal, 86"/>
    <m/>
    <x v="20"/>
    <m/>
    <n v="28034"/>
    <x v="7"/>
    <x v="1"/>
    <s v="Freyre"/>
    <s v="Diego"/>
    <x v="1"/>
  </r>
  <r>
    <n v="10405"/>
    <n v="55"/>
    <n v="100"/>
    <n v="1"/>
    <n v="8289.0499999999993"/>
    <d v="2005-04-14T00:00:00"/>
    <x v="0"/>
    <n v="2"/>
    <x v="8"/>
    <x v="8"/>
    <x v="2"/>
    <x v="1"/>
    <n v="169"/>
    <x v="39"/>
    <x v="83"/>
    <s v="88.60.1555"/>
    <s v="24, place Kluber"/>
    <m/>
    <x v="66"/>
    <m/>
    <n v="67000"/>
    <x v="1"/>
    <x v="1"/>
    <s v="Citeaux"/>
    <s v="Frederique"/>
    <x v="2"/>
  </r>
  <r>
    <n v="10412"/>
    <n v="60"/>
    <n v="100"/>
    <n v="9"/>
    <n v="11887.8"/>
    <d v="2005-05-03T00:00:00"/>
    <x v="0"/>
    <n v="2"/>
    <x v="1"/>
    <x v="1"/>
    <x v="2"/>
    <x v="1"/>
    <n v="169"/>
    <x v="39"/>
    <x v="23"/>
    <s v="(91) 555 94 44"/>
    <s v="C/ Moralzarzal, 86"/>
    <m/>
    <x v="20"/>
    <m/>
    <n v="28034"/>
    <x v="7"/>
    <x v="1"/>
    <s v="Freyre"/>
    <s v="Diego"/>
    <x v="2"/>
  </r>
  <r>
    <n v="10419"/>
    <n v="35"/>
    <n v="100"/>
    <n v="6"/>
    <n v="5926.9"/>
    <d v="2005-05-17T00:00:00"/>
    <x v="0"/>
    <n v="2"/>
    <x v="1"/>
    <x v="1"/>
    <x v="2"/>
    <x v="1"/>
    <n v="169"/>
    <x v="39"/>
    <x v="19"/>
    <s v="6562-9555"/>
    <s v="Geislweg 14"/>
    <m/>
    <x v="16"/>
    <m/>
    <n v="5020"/>
    <x v="5"/>
    <x v="1"/>
    <s v="Pipps"/>
    <s v="Georg"/>
    <x v="1"/>
  </r>
  <r>
    <n v="10425"/>
    <n v="28"/>
    <n v="100"/>
    <n v="8"/>
    <n v="3793.16"/>
    <d v="2005-05-31T00:00:00"/>
    <x v="2"/>
    <n v="2"/>
    <x v="1"/>
    <x v="1"/>
    <x v="2"/>
    <x v="1"/>
    <n v="169"/>
    <x v="39"/>
    <x v="14"/>
    <s v="40.67.8555"/>
    <s v="67, rue des Cinquante Otages"/>
    <m/>
    <x v="11"/>
    <m/>
    <n v="44000"/>
    <x v="1"/>
    <x v="1"/>
    <s v="Labrune"/>
    <s v="Janine"/>
    <x v="1"/>
  </r>
  <r>
    <n v="10105"/>
    <n v="38"/>
    <n v="100"/>
    <n v="13"/>
    <n v="4330.1000000000004"/>
    <d v="2003-02-11T00:00:00"/>
    <x v="0"/>
    <n v="1"/>
    <x v="0"/>
    <x v="0"/>
    <x v="0"/>
    <x v="6"/>
    <n v="100"/>
    <x v="40"/>
    <x v="48"/>
    <s v="31 12 3555"/>
    <s v="Vinb'ltet 34"/>
    <m/>
    <x v="40"/>
    <m/>
    <n v="1734"/>
    <x v="13"/>
    <x v="1"/>
    <s v="Petersen"/>
    <s v="Jytte"/>
    <x v="1"/>
  </r>
  <r>
    <n v="10117"/>
    <n v="21"/>
    <n v="95.8"/>
    <n v="7"/>
    <n v="2011.8"/>
    <d v="2003-04-16T00:00:00"/>
    <x v="0"/>
    <n v="2"/>
    <x v="8"/>
    <x v="8"/>
    <x v="0"/>
    <x v="6"/>
    <n v="100"/>
    <x v="40"/>
    <x v="26"/>
    <s v="+65 221 7555"/>
    <s v="Bronz Sok., Bronz Apt. 3/6 Tesvikiye"/>
    <m/>
    <x v="22"/>
    <m/>
    <n v="79903"/>
    <x v="9"/>
    <x v="3"/>
    <s v="Natividad"/>
    <s v="Eric"/>
    <x v="0"/>
  </r>
  <r>
    <n v="10128"/>
    <n v="41"/>
    <n v="100"/>
    <n v="4"/>
    <n v="4837.18"/>
    <d v="2003-06-06T00:00:00"/>
    <x v="0"/>
    <n v="2"/>
    <x v="9"/>
    <x v="9"/>
    <x v="0"/>
    <x v="6"/>
    <n v="100"/>
    <x v="40"/>
    <x v="23"/>
    <s v="(91) 555 94 44"/>
    <s v="C/ Moralzarzal, 86"/>
    <m/>
    <x v="20"/>
    <m/>
    <n v="28034"/>
    <x v="7"/>
    <x v="1"/>
    <s v="Freyre"/>
    <s v="Diego"/>
    <x v="1"/>
  </r>
  <r>
    <n v="10142"/>
    <n v="22"/>
    <n v="97.81"/>
    <n v="10"/>
    <n v="2151.8200000000002"/>
    <d v="2003-08-08T00:00:00"/>
    <x v="0"/>
    <n v="3"/>
    <x v="3"/>
    <x v="3"/>
    <x v="0"/>
    <x v="6"/>
    <n v="100"/>
    <x v="40"/>
    <x v="39"/>
    <n v="4155551450"/>
    <s v="5677 Strong St."/>
    <m/>
    <x v="33"/>
    <s v="CA"/>
    <n v="97562"/>
    <x v="0"/>
    <x v="0"/>
    <s v="Nelson"/>
    <s v="Valarie"/>
    <x v="0"/>
  </r>
  <r>
    <n v="10153"/>
    <n v="29"/>
    <n v="88.74"/>
    <n v="9"/>
    <n v="2573.46"/>
    <d v="2003-09-28T00:00:00"/>
    <x v="0"/>
    <n v="3"/>
    <x v="10"/>
    <x v="10"/>
    <x v="0"/>
    <x v="6"/>
    <n v="100"/>
    <x v="40"/>
    <x v="23"/>
    <s v="(91) 555 94 44"/>
    <s v="C/ Moralzarzal, 86"/>
    <m/>
    <x v="20"/>
    <m/>
    <n v="28034"/>
    <x v="7"/>
    <x v="1"/>
    <s v="Freyre"/>
    <s v="Diego"/>
    <x v="0"/>
  </r>
  <r>
    <n v="10165"/>
    <n v="50"/>
    <n v="100"/>
    <n v="1"/>
    <n v="5344.5"/>
    <d v="2003-10-22T00:00:00"/>
    <x v="0"/>
    <n v="4"/>
    <x v="4"/>
    <x v="4"/>
    <x v="0"/>
    <x v="6"/>
    <n v="100"/>
    <x v="40"/>
    <x v="26"/>
    <s v="+65 221 7555"/>
    <s v="Bronz Sok., Bronz Apt. 3/6 Tesvikiye"/>
    <m/>
    <x v="22"/>
    <m/>
    <n v="79903"/>
    <x v="9"/>
    <x v="3"/>
    <s v="Natividad"/>
    <s v="Eric"/>
    <x v="1"/>
  </r>
  <r>
    <n v="10177"/>
    <n v="29"/>
    <n v="100"/>
    <n v="11"/>
    <n v="3070.52"/>
    <d v="2003-11-07T00:00:00"/>
    <x v="0"/>
    <n v="4"/>
    <x v="5"/>
    <x v="5"/>
    <x v="0"/>
    <x v="6"/>
    <n v="100"/>
    <x v="40"/>
    <x v="76"/>
    <s v="+34 913 728 555"/>
    <s v="Merchants House, 27-30 Merchant's Quay"/>
    <m/>
    <x v="20"/>
    <m/>
    <n v="28023"/>
    <x v="7"/>
    <x v="1"/>
    <s v="Fernandez"/>
    <s v="Jesus"/>
    <x v="1"/>
  </r>
  <r>
    <n v="10185"/>
    <n v="49"/>
    <n v="80.67"/>
    <n v="11"/>
    <n v="3952.83"/>
    <d v="2003-11-14T00:00:00"/>
    <x v="0"/>
    <n v="4"/>
    <x v="5"/>
    <x v="5"/>
    <x v="0"/>
    <x v="6"/>
    <n v="100"/>
    <x v="40"/>
    <x v="50"/>
    <n v="5085559555"/>
    <s v="4575 Hillside Dr."/>
    <m/>
    <x v="18"/>
    <s v="MA"/>
    <n v="50553"/>
    <x v="0"/>
    <x v="0"/>
    <s v="Tam"/>
    <s v="Wing C"/>
    <x v="1"/>
  </r>
  <r>
    <n v="10196"/>
    <n v="35"/>
    <n v="100"/>
    <n v="3"/>
    <n v="3564.75"/>
    <d v="2003-11-26T00:00:00"/>
    <x v="0"/>
    <n v="4"/>
    <x v="5"/>
    <x v="5"/>
    <x v="0"/>
    <x v="6"/>
    <n v="100"/>
    <x v="40"/>
    <x v="34"/>
    <n v="2035559545"/>
    <s v="567 North Pendale Street"/>
    <m/>
    <x v="28"/>
    <s v="CT"/>
    <n v="97823"/>
    <x v="0"/>
    <x v="0"/>
    <s v="Murphy"/>
    <s v="Leslie"/>
    <x v="1"/>
  </r>
  <r>
    <n v="10208"/>
    <n v="48"/>
    <n v="100"/>
    <n v="11"/>
    <n v="5614.56"/>
    <d v="2004-01-02T00:00:00"/>
    <x v="0"/>
    <n v="1"/>
    <x v="7"/>
    <x v="7"/>
    <x v="1"/>
    <x v="6"/>
    <n v="100"/>
    <x v="40"/>
    <x v="30"/>
    <s v="78.32.5555"/>
    <s v="2, rue du Commerce"/>
    <m/>
    <x v="25"/>
    <m/>
    <n v="69004"/>
    <x v="1"/>
    <x v="1"/>
    <s v="Saveley"/>
    <s v="Mary"/>
    <x v="1"/>
  </r>
  <r>
    <n v="10221"/>
    <n v="23"/>
    <n v="80.67"/>
    <n v="5"/>
    <n v="1855.41"/>
    <d v="2004-02-18T00:00:00"/>
    <x v="0"/>
    <n v="1"/>
    <x v="0"/>
    <x v="0"/>
    <x v="1"/>
    <x v="6"/>
    <n v="100"/>
    <x v="40"/>
    <x v="56"/>
    <s v="(02) 5554 67"/>
    <s v="Rue Joseph-Bens 532"/>
    <m/>
    <x v="46"/>
    <m/>
    <s v="B-1180"/>
    <x v="14"/>
    <x v="1"/>
    <s v="Dewey"/>
    <s v="Catherine"/>
    <x v="0"/>
  </r>
  <r>
    <n v="10232"/>
    <n v="48"/>
    <n v="95.8"/>
    <n v="8"/>
    <n v="4598.3999999999996"/>
    <d v="2004-03-20T00:00:00"/>
    <x v="0"/>
    <n v="1"/>
    <x v="11"/>
    <x v="11"/>
    <x v="1"/>
    <x v="6"/>
    <n v="100"/>
    <x v="40"/>
    <x v="59"/>
    <s v="(198) 555-8888"/>
    <s v="Garden House Crowther Way"/>
    <m/>
    <x v="49"/>
    <s v="Isle of Wight"/>
    <s v="PO31 7PJ"/>
    <x v="6"/>
    <x v="1"/>
    <s v="Bennett"/>
    <s v="Helen"/>
    <x v="1"/>
  </r>
  <r>
    <n v="10248"/>
    <n v="42"/>
    <n v="100"/>
    <n v="14"/>
    <n v="5082.42"/>
    <d v="2004-05-07T00:00:00"/>
    <x v="3"/>
    <n v="2"/>
    <x v="1"/>
    <x v="1"/>
    <x v="1"/>
    <x v="6"/>
    <n v="100"/>
    <x v="40"/>
    <x v="0"/>
    <n v="2125557818"/>
    <s v="897 Long Airport Avenue"/>
    <m/>
    <x v="0"/>
    <s v="NY"/>
    <n v="10022"/>
    <x v="0"/>
    <x v="0"/>
    <s v="Yu"/>
    <s v="Kwai"/>
    <x v="1"/>
  </r>
  <r>
    <n v="10273"/>
    <n v="47"/>
    <n v="100"/>
    <n v="15"/>
    <n v="5450.59"/>
    <d v="2004-07-21T00:00:00"/>
    <x v="0"/>
    <n v="3"/>
    <x v="2"/>
    <x v="2"/>
    <x v="1"/>
    <x v="6"/>
    <n v="100"/>
    <x v="40"/>
    <x v="56"/>
    <s v="(02) 5554 67"/>
    <s v="Rue Joseph-Bens 532"/>
    <m/>
    <x v="46"/>
    <m/>
    <s v="B-1180"/>
    <x v="14"/>
    <x v="1"/>
    <s v="Dewey"/>
    <s v="Catherine"/>
    <x v="1"/>
  </r>
  <r>
    <n v="10282"/>
    <n v="36"/>
    <n v="100"/>
    <n v="3"/>
    <n v="4174.92"/>
    <d v="2004-08-20T00:00:00"/>
    <x v="0"/>
    <n v="3"/>
    <x v="3"/>
    <x v="3"/>
    <x v="1"/>
    <x v="6"/>
    <n v="100"/>
    <x v="40"/>
    <x v="39"/>
    <n v="4155551450"/>
    <s v="5677 Strong St."/>
    <m/>
    <x v="33"/>
    <s v="CA"/>
    <n v="97562"/>
    <x v="0"/>
    <x v="0"/>
    <s v="Nelson"/>
    <s v="Valarie"/>
    <x v="1"/>
  </r>
  <r>
    <n v="10293"/>
    <n v="22"/>
    <n v="100"/>
    <n v="6"/>
    <n v="2418.2399999999998"/>
    <d v="2004-09-09T00:00:00"/>
    <x v="0"/>
    <n v="3"/>
    <x v="10"/>
    <x v="10"/>
    <x v="1"/>
    <x v="6"/>
    <n v="100"/>
    <x v="40"/>
    <x v="36"/>
    <s v="011-4988555"/>
    <s v="Via Monte Bianco 34"/>
    <m/>
    <x v="30"/>
    <m/>
    <n v="10100"/>
    <x v="12"/>
    <x v="1"/>
    <s v="Accorti"/>
    <s v="Paolo"/>
    <x v="0"/>
  </r>
  <r>
    <n v="10306"/>
    <n v="40"/>
    <n v="91.76"/>
    <n v="11"/>
    <n v="3670.4"/>
    <d v="2004-10-14T00:00:00"/>
    <x v="0"/>
    <n v="4"/>
    <x v="4"/>
    <x v="4"/>
    <x v="1"/>
    <x v="6"/>
    <n v="100"/>
    <x v="40"/>
    <x v="77"/>
    <s v="(171) 555-1555"/>
    <s v="Fauntleroy Circus"/>
    <m/>
    <x v="61"/>
    <m/>
    <s v="EC2 5NT"/>
    <x v="6"/>
    <x v="1"/>
    <s v="Ashworth"/>
    <s v="Victoria"/>
    <x v="1"/>
  </r>
  <r>
    <n v="10314"/>
    <n v="23"/>
    <n v="100"/>
    <n v="3"/>
    <n v="2481.6999999999998"/>
    <d v="2004-10-22T00:00:00"/>
    <x v="0"/>
    <n v="4"/>
    <x v="4"/>
    <x v="4"/>
    <x v="1"/>
    <x v="6"/>
    <n v="100"/>
    <x v="40"/>
    <x v="78"/>
    <s v="86 21 3555"/>
    <s v="Smagsloget 45"/>
    <m/>
    <x v="62"/>
    <m/>
    <n v="8200"/>
    <x v="13"/>
    <x v="1"/>
    <s v="Ibsen"/>
    <s v="Palle"/>
    <x v="0"/>
  </r>
  <r>
    <n v="10326"/>
    <n v="32"/>
    <n v="100"/>
    <n v="6"/>
    <n v="3807.68"/>
    <d v="2004-11-09T00:00:00"/>
    <x v="0"/>
    <n v="4"/>
    <x v="5"/>
    <x v="5"/>
    <x v="1"/>
    <x v="6"/>
    <n v="100"/>
    <x v="40"/>
    <x v="24"/>
    <s v="0921-12 3555"/>
    <s v="Berguvsv„gen  8"/>
    <m/>
    <x v="21"/>
    <m/>
    <s v="S-958 22"/>
    <x v="8"/>
    <x v="1"/>
    <s v="Berglund"/>
    <s v="Christina"/>
    <x v="1"/>
  </r>
  <r>
    <n v="10336"/>
    <n v="21"/>
    <n v="100"/>
    <n v="7"/>
    <n v="2230.41"/>
    <d v="2004-11-20T00:00:00"/>
    <x v="0"/>
    <n v="4"/>
    <x v="5"/>
    <x v="5"/>
    <x v="1"/>
    <x v="6"/>
    <n v="100"/>
    <x v="40"/>
    <x v="62"/>
    <s v="(1) 42.34.2555"/>
    <s v="265, boulevard Charonne"/>
    <m/>
    <x v="2"/>
    <m/>
    <n v="75012"/>
    <x v="1"/>
    <x v="1"/>
    <s v="Bertrand"/>
    <s v="Marie"/>
    <x v="0"/>
  </r>
  <r>
    <n v="10350"/>
    <n v="41"/>
    <n v="93.04"/>
    <n v="2"/>
    <n v="3814.64"/>
    <d v="2004-12-02T00:00:00"/>
    <x v="0"/>
    <n v="4"/>
    <x v="6"/>
    <x v="6"/>
    <x v="1"/>
    <x v="6"/>
    <n v="100"/>
    <x v="40"/>
    <x v="23"/>
    <s v="(91) 555 94 44"/>
    <s v="C/ Moralzarzal, 86"/>
    <m/>
    <x v="20"/>
    <m/>
    <n v="28034"/>
    <x v="7"/>
    <x v="1"/>
    <s v="Freyre"/>
    <s v="Diego"/>
    <x v="1"/>
  </r>
  <r>
    <n v="10372"/>
    <n v="25"/>
    <n v="84.71"/>
    <n v="5"/>
    <n v="2117.75"/>
    <d v="2005-01-26T00:00:00"/>
    <x v="0"/>
    <n v="1"/>
    <x v="7"/>
    <x v="7"/>
    <x v="2"/>
    <x v="6"/>
    <n v="100"/>
    <x v="40"/>
    <x v="35"/>
    <s v="+81 3 3584 0555"/>
    <s v="2-2-8 Roppongi"/>
    <m/>
    <x v="29"/>
    <s v="Tokyo"/>
    <s v="106-0032"/>
    <x v="11"/>
    <x v="3"/>
    <s v="Shimamura"/>
    <s v="Akiko"/>
    <x v="0"/>
  </r>
  <r>
    <n v="10383"/>
    <n v="26"/>
    <n v="100"/>
    <n v="12"/>
    <n v="3340.48"/>
    <d v="2005-02-22T00:00:00"/>
    <x v="0"/>
    <n v="1"/>
    <x v="0"/>
    <x v="0"/>
    <x v="2"/>
    <x v="6"/>
    <n v="100"/>
    <x v="40"/>
    <x v="23"/>
    <s v="(91) 555 94 44"/>
    <s v="C/ Moralzarzal, 86"/>
    <m/>
    <x v="20"/>
    <m/>
    <n v="28034"/>
    <x v="7"/>
    <x v="1"/>
    <s v="Freyre"/>
    <s v="Diego"/>
    <x v="1"/>
  </r>
  <r>
    <n v="10396"/>
    <n v="24"/>
    <n v="89.75"/>
    <n v="4"/>
    <n v="2154"/>
    <d v="2005-03-23T00:00:00"/>
    <x v="0"/>
    <n v="1"/>
    <x v="11"/>
    <x v="11"/>
    <x v="2"/>
    <x v="6"/>
    <n v="100"/>
    <x v="40"/>
    <x v="39"/>
    <n v="4155551450"/>
    <s v="5677 Strong St."/>
    <m/>
    <x v="33"/>
    <s v="CA"/>
    <n v="97562"/>
    <x v="0"/>
    <x v="0"/>
    <s v="Nelson"/>
    <s v="Valarie"/>
    <x v="0"/>
  </r>
  <r>
    <n v="10414"/>
    <n v="48"/>
    <n v="100"/>
    <n v="14"/>
    <n v="5808.48"/>
    <d v="2005-05-06T00:00:00"/>
    <x v="4"/>
    <n v="2"/>
    <x v="1"/>
    <x v="1"/>
    <x v="2"/>
    <x v="6"/>
    <n v="100"/>
    <x v="40"/>
    <x v="58"/>
    <n v="6175559555"/>
    <s v="8616 Spinnaker Dr."/>
    <m/>
    <x v="48"/>
    <s v="MA"/>
    <n v="51003"/>
    <x v="0"/>
    <x v="0"/>
    <s v="Yoshido"/>
    <s v="Juri"/>
    <x v="1"/>
  </r>
  <r>
    <n v="10108"/>
    <n v="26"/>
    <n v="68.349999999999994"/>
    <n v="9"/>
    <n v="1777.1"/>
    <d v="2003-03-03T00:00:00"/>
    <x v="0"/>
    <n v="1"/>
    <x v="11"/>
    <x v="11"/>
    <x v="0"/>
    <x v="1"/>
    <n v="80"/>
    <x v="41"/>
    <x v="66"/>
    <s v="+63 2 555 3587"/>
    <s v="15 McCallum Street - NatWest Center #13-03"/>
    <m/>
    <x v="53"/>
    <m/>
    <s v="1227 MM"/>
    <x v="15"/>
    <x v="3"/>
    <s v="Cruz"/>
    <s v="Arnold"/>
    <x v="0"/>
  </r>
  <r>
    <n v="10122"/>
    <n v="21"/>
    <n v="73.17"/>
    <n v="13"/>
    <n v="1536.57"/>
    <d v="2003-05-08T00:00:00"/>
    <x v="0"/>
    <n v="2"/>
    <x v="1"/>
    <x v="1"/>
    <x v="0"/>
    <x v="1"/>
    <n v="80"/>
    <x v="41"/>
    <x v="67"/>
    <s v="91.24.4555"/>
    <s v="12, rue des Bouchers"/>
    <m/>
    <x v="54"/>
    <m/>
    <n v="13008"/>
    <x v="1"/>
    <x v="1"/>
    <s v="Lebihan"/>
    <s v="Laurence"/>
    <x v="0"/>
  </r>
  <r>
    <n v="10135"/>
    <n v="45"/>
    <n v="78"/>
    <n v="10"/>
    <n v="3510"/>
    <d v="2003-07-02T00:00:00"/>
    <x v="0"/>
    <n v="3"/>
    <x v="2"/>
    <x v="2"/>
    <x v="0"/>
    <x v="1"/>
    <n v="80"/>
    <x v="41"/>
    <x v="39"/>
    <n v="4155551450"/>
    <s v="5677 Strong St."/>
    <m/>
    <x v="33"/>
    <s v="CA"/>
    <n v="97562"/>
    <x v="0"/>
    <x v="0"/>
    <s v="Nelson"/>
    <s v="Valarie"/>
    <x v="1"/>
  </r>
  <r>
    <n v="10147"/>
    <n v="36"/>
    <n v="86.04"/>
    <n v="10"/>
    <n v="3097.44"/>
    <d v="2003-09-05T00:00:00"/>
    <x v="0"/>
    <n v="3"/>
    <x v="10"/>
    <x v="10"/>
    <x v="0"/>
    <x v="1"/>
    <n v="80"/>
    <x v="41"/>
    <x v="41"/>
    <n v="6175558555"/>
    <s v="7825 Douglas Av."/>
    <m/>
    <x v="35"/>
    <s v="MA"/>
    <n v="58339"/>
    <x v="0"/>
    <x v="0"/>
    <s v="Nelson"/>
    <s v="Allen"/>
    <x v="1"/>
  </r>
  <r>
    <n v="10159"/>
    <n v="21"/>
    <n v="81.209999999999994"/>
    <n v="5"/>
    <n v="1705.41"/>
    <d v="2003-10-10T00:00:00"/>
    <x v="0"/>
    <n v="4"/>
    <x v="4"/>
    <x v="4"/>
    <x v="0"/>
    <x v="1"/>
    <n v="80"/>
    <x v="41"/>
    <x v="4"/>
    <n v="6505551386"/>
    <s v="7734 Strong St."/>
    <m/>
    <x v="4"/>
    <s v="CA"/>
    <m/>
    <x v="0"/>
    <x v="0"/>
    <s v="Brown"/>
    <s v="Julie"/>
    <x v="0"/>
  </r>
  <r>
    <n v="10169"/>
    <n v="32"/>
    <n v="70.760000000000005"/>
    <n v="5"/>
    <n v="2264.3200000000002"/>
    <d v="2003-11-04T00:00:00"/>
    <x v="0"/>
    <n v="4"/>
    <x v="5"/>
    <x v="5"/>
    <x v="0"/>
    <x v="1"/>
    <n v="80"/>
    <x v="41"/>
    <x v="42"/>
    <s v="02 9936 8555"/>
    <s v="201 Miller Street"/>
    <s v="Level 15"/>
    <x v="36"/>
    <s v="NSW"/>
    <n v="2060"/>
    <x v="3"/>
    <x v="2"/>
    <s v="O'Hara"/>
    <s v="Anna"/>
    <x v="0"/>
  </r>
  <r>
    <n v="10181"/>
    <n v="30"/>
    <n v="82.82"/>
    <n v="17"/>
    <n v="2484.6"/>
    <d v="2003-11-12T00:00:00"/>
    <x v="0"/>
    <n v="4"/>
    <x v="5"/>
    <x v="5"/>
    <x v="0"/>
    <x v="1"/>
    <n v="80"/>
    <x v="41"/>
    <x v="7"/>
    <s v="+47 2267 3215"/>
    <s v="Drammen 121, PR 744 Sentrum"/>
    <m/>
    <x v="7"/>
    <m/>
    <s v="N 5804"/>
    <x v="2"/>
    <x v="1"/>
    <s v="Oeztan"/>
    <s v="Veysel"/>
    <x v="0"/>
  </r>
  <r>
    <n v="10191"/>
    <n v="36"/>
    <n v="94.88"/>
    <n v="6"/>
    <n v="3415.68"/>
    <d v="2003-11-20T00:00:00"/>
    <x v="0"/>
    <n v="4"/>
    <x v="5"/>
    <x v="5"/>
    <x v="0"/>
    <x v="1"/>
    <n v="80"/>
    <x v="41"/>
    <x v="68"/>
    <s v="0221-5554327"/>
    <s v="Mehrheimerstr. 369"/>
    <m/>
    <x v="55"/>
    <m/>
    <n v="50739"/>
    <x v="16"/>
    <x v="1"/>
    <s v="Pfalzheim"/>
    <s v="Henriette"/>
    <x v="1"/>
  </r>
  <r>
    <n v="10203"/>
    <n v="33"/>
    <n v="86.04"/>
    <n v="11"/>
    <n v="2839.32"/>
    <d v="2003-12-02T00:00:00"/>
    <x v="0"/>
    <n v="4"/>
    <x v="6"/>
    <x v="6"/>
    <x v="0"/>
    <x v="1"/>
    <n v="80"/>
    <x v="41"/>
    <x v="23"/>
    <s v="(91) 555 94 44"/>
    <s v="C/ Moralzarzal, 86"/>
    <m/>
    <x v="20"/>
    <m/>
    <n v="28034"/>
    <x v="7"/>
    <x v="1"/>
    <s v="Freyre"/>
    <s v="Diego"/>
    <x v="0"/>
  </r>
  <r>
    <n v="10211"/>
    <n v="35"/>
    <n v="78"/>
    <n v="5"/>
    <n v="2730"/>
    <d v="2004-01-15T00:00:00"/>
    <x v="0"/>
    <n v="1"/>
    <x v="7"/>
    <x v="7"/>
    <x v="1"/>
    <x v="1"/>
    <n v="80"/>
    <x v="41"/>
    <x v="9"/>
    <s v="(1) 47.55.6555"/>
    <s v="25, rue Lauriston"/>
    <m/>
    <x v="2"/>
    <m/>
    <n v="75016"/>
    <x v="1"/>
    <x v="1"/>
    <s v="Perrier"/>
    <s v="Dominique"/>
    <x v="0"/>
  </r>
  <r>
    <n v="10225"/>
    <n v="37"/>
    <n v="95.69"/>
    <n v="12"/>
    <n v="3540.53"/>
    <d v="2004-02-22T00:00:00"/>
    <x v="0"/>
    <n v="1"/>
    <x v="0"/>
    <x v="0"/>
    <x v="1"/>
    <x v="1"/>
    <n v="80"/>
    <x v="41"/>
    <x v="69"/>
    <s v="0897-034555"/>
    <s v="Grenzacherweg 237"/>
    <m/>
    <x v="56"/>
    <m/>
    <n v="1203"/>
    <x v="17"/>
    <x v="1"/>
    <s v="Holz"/>
    <s v="Michael"/>
    <x v="1"/>
  </r>
  <r>
    <n v="10238"/>
    <n v="41"/>
    <n v="73.17"/>
    <n v="6"/>
    <n v="2999.97"/>
    <d v="2004-04-09T00:00:00"/>
    <x v="0"/>
    <n v="2"/>
    <x v="8"/>
    <x v="8"/>
    <x v="1"/>
    <x v="1"/>
    <n v="80"/>
    <x v="41"/>
    <x v="48"/>
    <s v="31 12 3555"/>
    <s v="Vinb'ltet 34"/>
    <m/>
    <x v="40"/>
    <m/>
    <n v="1734"/>
    <x v="13"/>
    <x v="1"/>
    <s v="Petersen"/>
    <s v="Jytte"/>
    <x v="0"/>
  </r>
  <r>
    <n v="10252"/>
    <n v="20"/>
    <n v="76.39"/>
    <n v="2"/>
    <n v="1527.8"/>
    <d v="2004-05-26T00:00:00"/>
    <x v="0"/>
    <n v="2"/>
    <x v="1"/>
    <x v="1"/>
    <x v="1"/>
    <x v="1"/>
    <n v="80"/>
    <x v="41"/>
    <x v="9"/>
    <s v="(1) 47.55.6555"/>
    <s v="25, rue Lauriston"/>
    <m/>
    <x v="2"/>
    <m/>
    <n v="75016"/>
    <x v="1"/>
    <x v="1"/>
    <s v="Perrier"/>
    <s v="Dominique"/>
    <x v="0"/>
  </r>
  <r>
    <n v="10265"/>
    <n v="45"/>
    <n v="86.84"/>
    <n v="2"/>
    <n v="3907.8"/>
    <d v="2004-07-02T00:00:00"/>
    <x v="0"/>
    <n v="3"/>
    <x v="2"/>
    <x v="2"/>
    <x v="1"/>
    <x v="1"/>
    <n v="80"/>
    <x v="41"/>
    <x v="87"/>
    <s v="61-9-3844-6555"/>
    <s v="7 Allen Street"/>
    <m/>
    <x v="70"/>
    <s v="Victoria"/>
    <n v="3150"/>
    <x v="3"/>
    <x v="2"/>
    <s v="Connery"/>
    <s v="Sean"/>
    <x v="1"/>
  </r>
  <r>
    <n v="10276"/>
    <n v="38"/>
    <n v="69.959999999999994"/>
    <n v="6"/>
    <n v="2658.48"/>
    <d v="2004-08-02T00:00:00"/>
    <x v="0"/>
    <n v="3"/>
    <x v="3"/>
    <x v="3"/>
    <x v="1"/>
    <x v="1"/>
    <n v="80"/>
    <x v="41"/>
    <x v="71"/>
    <n v="6175557555"/>
    <s v="7635 Spinnaker Dr."/>
    <m/>
    <x v="35"/>
    <s v="MA"/>
    <n v="58339"/>
    <x v="0"/>
    <x v="0"/>
    <s v="Barajas"/>
    <s v="Miguel"/>
    <x v="0"/>
  </r>
  <r>
    <n v="10287"/>
    <n v="43"/>
    <n v="70.760000000000005"/>
    <n v="15"/>
    <n v="3042.68"/>
    <d v="2004-08-30T00:00:00"/>
    <x v="0"/>
    <n v="3"/>
    <x v="3"/>
    <x v="3"/>
    <x v="1"/>
    <x v="1"/>
    <n v="80"/>
    <x v="41"/>
    <x v="69"/>
    <s v="0897-034555"/>
    <s v="Grenzacherweg 237"/>
    <m/>
    <x v="56"/>
    <m/>
    <n v="1203"/>
    <x v="17"/>
    <x v="1"/>
    <s v="Holz"/>
    <s v="Michael"/>
    <x v="1"/>
  </r>
  <r>
    <n v="10300"/>
    <n v="49"/>
    <n v="78.8"/>
    <n v="8"/>
    <n v="3861.2"/>
    <d v="2003-10-04T00:00:00"/>
    <x v="0"/>
    <n v="4"/>
    <x v="4"/>
    <x v="4"/>
    <x v="0"/>
    <x v="1"/>
    <n v="80"/>
    <x v="41"/>
    <x v="72"/>
    <s v="+49 69 66 90 2555"/>
    <s v="Lyonerstr. 34"/>
    <m/>
    <x v="58"/>
    <m/>
    <n v="60528"/>
    <x v="16"/>
    <x v="1"/>
    <s v="Keitel"/>
    <s v="Roland"/>
    <x v="1"/>
  </r>
  <r>
    <n v="10310"/>
    <n v="27"/>
    <n v="80.41"/>
    <n v="13"/>
    <n v="2171.0700000000002"/>
    <d v="2004-10-16T00:00:00"/>
    <x v="0"/>
    <n v="4"/>
    <x v="4"/>
    <x v="4"/>
    <x v="1"/>
    <x v="1"/>
    <n v="80"/>
    <x v="41"/>
    <x v="68"/>
    <s v="0221-5554327"/>
    <s v="Mehrheimerstr. 369"/>
    <m/>
    <x v="55"/>
    <m/>
    <n v="50739"/>
    <x v="16"/>
    <x v="1"/>
    <s v="Pfalzheim"/>
    <s v="Henriette"/>
    <x v="0"/>
  </r>
  <r>
    <n v="10319"/>
    <n v="46"/>
    <n v="73.98"/>
    <n v="1"/>
    <n v="3403.08"/>
    <d v="2004-11-03T00:00:00"/>
    <x v="0"/>
    <n v="4"/>
    <x v="5"/>
    <x v="5"/>
    <x v="1"/>
    <x v="1"/>
    <n v="80"/>
    <x v="41"/>
    <x v="79"/>
    <n v="2125551957"/>
    <s v="5290 North Pendale Street"/>
    <s v="Suite 200"/>
    <x v="0"/>
    <s v="NY"/>
    <n v="10022"/>
    <x v="0"/>
    <x v="0"/>
    <s v="Kuo"/>
    <s v="Kee"/>
    <x v="1"/>
  </r>
  <r>
    <n v="10329"/>
    <n v="38"/>
    <n v="59.1"/>
    <n v="10"/>
    <n v="2245.8000000000002"/>
    <d v="2004-11-15T00:00:00"/>
    <x v="0"/>
    <n v="4"/>
    <x v="5"/>
    <x v="5"/>
    <x v="1"/>
    <x v="1"/>
    <n v="80"/>
    <x v="41"/>
    <x v="0"/>
    <n v="2125557818"/>
    <s v="897 Long Airport Avenue"/>
    <m/>
    <x v="0"/>
    <s v="NY"/>
    <n v="10022"/>
    <x v="0"/>
    <x v="0"/>
    <s v="Yu"/>
    <s v="Kwai"/>
    <x v="0"/>
  </r>
  <r>
    <n v="10342"/>
    <n v="25"/>
    <n v="66.739999999999995"/>
    <n v="5"/>
    <n v="1668.5"/>
    <d v="2004-11-24T00:00:00"/>
    <x v="0"/>
    <n v="4"/>
    <x v="5"/>
    <x v="5"/>
    <x v="1"/>
    <x v="1"/>
    <n v="80"/>
    <x v="41"/>
    <x v="10"/>
    <s v="03 9520 4555"/>
    <s v="636 St Kilda Road"/>
    <s v="Level 3"/>
    <x v="8"/>
    <s v="Victoria"/>
    <n v="3004"/>
    <x v="3"/>
    <x v="2"/>
    <s v="Ferguson"/>
    <s v="Peter"/>
    <x v="0"/>
  </r>
  <r>
    <n v="10363"/>
    <n v="46"/>
    <n v="60.3"/>
    <n v="10"/>
    <n v="2773.8"/>
    <d v="2005-01-06T00:00:00"/>
    <x v="0"/>
    <n v="1"/>
    <x v="7"/>
    <x v="7"/>
    <x v="2"/>
    <x v="1"/>
    <n v="80"/>
    <x v="41"/>
    <x v="73"/>
    <s v="+358 9 8045 555"/>
    <s v="Software Engineering Center, SEC Oy"/>
    <m/>
    <x v="59"/>
    <m/>
    <s v="FIN-02271"/>
    <x v="4"/>
    <x v="1"/>
    <s v="Suominen"/>
    <s v="Kalle"/>
    <x v="0"/>
  </r>
  <r>
    <n v="10378"/>
    <n v="22"/>
    <n v="100"/>
    <n v="4"/>
    <n v="2464"/>
    <d v="2005-02-10T00:00:00"/>
    <x v="0"/>
    <n v="1"/>
    <x v="0"/>
    <x v="0"/>
    <x v="2"/>
    <x v="1"/>
    <n v="80"/>
    <x v="41"/>
    <x v="23"/>
    <s v="(91) 555 94 44"/>
    <s v="C/ Moralzarzal, 86"/>
    <m/>
    <x v="20"/>
    <m/>
    <n v="28034"/>
    <x v="7"/>
    <x v="1"/>
    <s v="Freyre"/>
    <s v="Diego"/>
    <x v="0"/>
  </r>
  <r>
    <n v="10390"/>
    <n v="40"/>
    <n v="100"/>
    <n v="9"/>
    <n v="5491.6"/>
    <d v="2005-03-04T00:00:00"/>
    <x v="0"/>
    <n v="1"/>
    <x v="11"/>
    <x v="11"/>
    <x v="2"/>
    <x v="1"/>
    <n v="80"/>
    <x v="41"/>
    <x v="39"/>
    <n v="4155551450"/>
    <s v="5677 Strong St."/>
    <m/>
    <x v="33"/>
    <s v="CA"/>
    <n v="97562"/>
    <x v="0"/>
    <x v="0"/>
    <s v="Nelson"/>
    <s v="Valarie"/>
    <x v="1"/>
  </r>
  <r>
    <n v="10103"/>
    <n v="46"/>
    <n v="100"/>
    <n v="16"/>
    <n v="4791.82"/>
    <d v="2003-01-29T00:00:00"/>
    <x v="0"/>
    <n v="1"/>
    <x v="7"/>
    <x v="7"/>
    <x v="0"/>
    <x v="3"/>
    <n v="99"/>
    <x v="42"/>
    <x v="17"/>
    <s v="07-98 9555"/>
    <s v="Erling Skakkes gate 78"/>
    <m/>
    <x v="14"/>
    <m/>
    <n v="4110"/>
    <x v="2"/>
    <x v="1"/>
    <s v="Bergulfsen"/>
    <s v="Jonas"/>
    <x v="1"/>
  </r>
  <r>
    <n v="10111"/>
    <n v="39"/>
    <n v="100"/>
    <n v="4"/>
    <n v="4178.8500000000004"/>
    <d v="2003-03-25T00:00:00"/>
    <x v="0"/>
    <n v="1"/>
    <x v="11"/>
    <x v="11"/>
    <x v="0"/>
    <x v="3"/>
    <n v="99"/>
    <x v="42"/>
    <x v="8"/>
    <n v="6505555787"/>
    <s v="5557 North Pendale Street"/>
    <m/>
    <x v="4"/>
    <s v="CA"/>
    <m/>
    <x v="0"/>
    <x v="0"/>
    <s v="Murphy"/>
    <s v="Julie"/>
    <x v="1"/>
  </r>
  <r>
    <n v="10126"/>
    <n v="38"/>
    <n v="82.34"/>
    <n v="16"/>
    <n v="3128.92"/>
    <d v="2003-05-28T00:00:00"/>
    <x v="0"/>
    <n v="2"/>
    <x v="1"/>
    <x v="1"/>
    <x v="0"/>
    <x v="3"/>
    <n v="99"/>
    <x v="42"/>
    <x v="25"/>
    <s v="(91) 555 22 82"/>
    <s v="C/ Araquil, 67"/>
    <m/>
    <x v="20"/>
    <m/>
    <n v="28023"/>
    <x v="7"/>
    <x v="1"/>
    <s v="Sommer"/>
    <s v="Mart¡n"/>
    <x v="1"/>
  </r>
  <r>
    <n v="10139"/>
    <n v="30"/>
    <n v="100"/>
    <n v="5"/>
    <n v="3095.4"/>
    <d v="2003-07-16T00:00:00"/>
    <x v="0"/>
    <n v="3"/>
    <x v="2"/>
    <x v="2"/>
    <x v="0"/>
    <x v="3"/>
    <n v="99"/>
    <x v="42"/>
    <x v="20"/>
    <s v="+61 2 9495 8555"/>
    <s v="Monitor Money Building, 815 Pacific Hwy"/>
    <s v="Level 6"/>
    <x v="17"/>
    <s v="NSW"/>
    <n v="2067"/>
    <x v="3"/>
    <x v="2"/>
    <s v="Huxley"/>
    <s v="Adrian"/>
    <x v="1"/>
  </r>
  <r>
    <n v="10149"/>
    <n v="42"/>
    <n v="94.25"/>
    <n v="2"/>
    <n v="3958.5"/>
    <d v="2003-09-12T00:00:00"/>
    <x v="0"/>
    <n v="3"/>
    <x v="10"/>
    <x v="10"/>
    <x v="0"/>
    <x v="3"/>
    <n v="99"/>
    <x v="42"/>
    <x v="82"/>
    <n v="4155554312"/>
    <s v="2793 Furth Circle"/>
    <m/>
    <x v="65"/>
    <s v="CA"/>
    <n v="94217"/>
    <x v="0"/>
    <x v="0"/>
    <s v="Taylor"/>
    <s v="Sue"/>
    <x v="1"/>
  </r>
  <r>
    <n v="10163"/>
    <n v="43"/>
    <n v="100"/>
    <n v="6"/>
    <n v="4991.4399999999996"/>
    <d v="2003-10-20T00:00:00"/>
    <x v="0"/>
    <n v="4"/>
    <x v="4"/>
    <x v="4"/>
    <x v="0"/>
    <x v="3"/>
    <n v="99"/>
    <x v="42"/>
    <x v="27"/>
    <n v="2125558493"/>
    <s v="5905 Pompton St."/>
    <s v="Suite 750"/>
    <x v="0"/>
    <s v="NY"/>
    <n v="10022"/>
    <x v="0"/>
    <x v="0"/>
    <s v="Hernandez"/>
    <s v="Maria"/>
    <x v="1"/>
  </r>
  <r>
    <n v="10173"/>
    <n v="29"/>
    <n v="95.24"/>
    <n v="4"/>
    <n v="2761.96"/>
    <d v="2003-11-05T00:00:00"/>
    <x v="0"/>
    <n v="4"/>
    <x v="5"/>
    <x v="5"/>
    <x v="0"/>
    <x v="3"/>
    <n v="99"/>
    <x v="42"/>
    <x v="86"/>
    <s v="035-640555"/>
    <s v="Via Ludovico il Moro 22"/>
    <m/>
    <x v="69"/>
    <m/>
    <n v="24100"/>
    <x v="12"/>
    <x v="1"/>
    <s v="Rovelli"/>
    <s v="Giovanni"/>
    <x v="0"/>
  </r>
  <r>
    <n v="10182"/>
    <n v="33"/>
    <n v="86.31"/>
    <n v="1"/>
    <n v="2848.23"/>
    <d v="2003-11-12T00:00:00"/>
    <x v="0"/>
    <n v="4"/>
    <x v="5"/>
    <x v="5"/>
    <x v="0"/>
    <x v="3"/>
    <n v="99"/>
    <x v="42"/>
    <x v="39"/>
    <n v="4155551450"/>
    <s v="5677 Strong St."/>
    <m/>
    <x v="33"/>
    <s v="CA"/>
    <n v="97562"/>
    <x v="0"/>
    <x v="0"/>
    <s v="Nelson"/>
    <s v="Valarie"/>
    <x v="0"/>
  </r>
  <r>
    <n v="10193"/>
    <n v="32"/>
    <n v="79.37"/>
    <n v="5"/>
    <n v="2539.84"/>
    <d v="2003-11-21T00:00:00"/>
    <x v="0"/>
    <n v="4"/>
    <x v="5"/>
    <x v="5"/>
    <x v="0"/>
    <x v="3"/>
    <n v="99"/>
    <x v="42"/>
    <x v="87"/>
    <s v="61-9-3844-6555"/>
    <s v="7 Allen Street"/>
    <m/>
    <x v="70"/>
    <s v="Victoria"/>
    <n v="3150"/>
    <x v="3"/>
    <x v="2"/>
    <s v="Connery"/>
    <s v="Sean"/>
    <x v="0"/>
  </r>
  <r>
    <n v="10206"/>
    <n v="28"/>
    <n v="87.3"/>
    <n v="11"/>
    <n v="2444.4"/>
    <d v="2003-12-05T00:00:00"/>
    <x v="0"/>
    <n v="4"/>
    <x v="6"/>
    <x v="6"/>
    <x v="0"/>
    <x v="3"/>
    <n v="99"/>
    <x v="42"/>
    <x v="31"/>
    <s v="(604) 555-3392"/>
    <s v="1900 Oak St."/>
    <m/>
    <x v="26"/>
    <s v="BC"/>
    <s v="V3F 2K1"/>
    <x v="10"/>
    <x v="0"/>
    <s v="Tannamuri"/>
    <s v="Yoshi"/>
    <x v="0"/>
  </r>
  <r>
    <n v="10215"/>
    <n v="41"/>
    <n v="100"/>
    <n v="8"/>
    <n v="4555.92"/>
    <d v="2004-01-29T00:00:00"/>
    <x v="0"/>
    <n v="1"/>
    <x v="7"/>
    <x v="7"/>
    <x v="1"/>
    <x v="3"/>
    <n v="99"/>
    <x v="42"/>
    <x v="32"/>
    <n v="3105553722"/>
    <s v="3675 Furth Circle"/>
    <m/>
    <x v="27"/>
    <s v="CA"/>
    <n v="94019"/>
    <x v="0"/>
    <x v="0"/>
    <s v="Thompson"/>
    <s v="Steve"/>
    <x v="1"/>
  </r>
  <r>
    <n v="10227"/>
    <n v="33"/>
    <n v="100"/>
    <n v="1"/>
    <n v="3666.96"/>
    <d v="2004-03-02T00:00:00"/>
    <x v="0"/>
    <n v="1"/>
    <x v="11"/>
    <x v="11"/>
    <x v="1"/>
    <x v="3"/>
    <n v="99"/>
    <x v="42"/>
    <x v="30"/>
    <s v="78.32.5555"/>
    <s v="2, rue du Commerce"/>
    <m/>
    <x v="25"/>
    <m/>
    <n v="69004"/>
    <x v="1"/>
    <x v="1"/>
    <s v="Saveley"/>
    <s v="Mary"/>
    <x v="1"/>
  </r>
  <r>
    <n v="10244"/>
    <n v="36"/>
    <n v="84.33"/>
    <n v="5"/>
    <n v="3035.88"/>
    <d v="2004-04-29T00:00:00"/>
    <x v="0"/>
    <n v="2"/>
    <x v="8"/>
    <x v="8"/>
    <x v="1"/>
    <x v="3"/>
    <n v="99"/>
    <x v="42"/>
    <x v="23"/>
    <s v="(91) 555 94 44"/>
    <s v="C/ Moralzarzal, 86"/>
    <m/>
    <x v="20"/>
    <m/>
    <n v="28034"/>
    <x v="7"/>
    <x v="1"/>
    <s v="Freyre"/>
    <s v="Diego"/>
    <x v="1"/>
  </r>
  <r>
    <n v="10257"/>
    <n v="26"/>
    <n v="89.29"/>
    <n v="5"/>
    <n v="2321.54"/>
    <d v="2004-06-14T00:00:00"/>
    <x v="0"/>
    <n v="2"/>
    <x v="9"/>
    <x v="9"/>
    <x v="1"/>
    <x v="3"/>
    <n v="99"/>
    <x v="42"/>
    <x v="61"/>
    <n v="4085553659"/>
    <s v="3086 Ingle Ln."/>
    <m/>
    <x v="51"/>
    <s v="CA"/>
    <n v="94217"/>
    <x v="0"/>
    <x v="0"/>
    <s v="Frick"/>
    <s v="Sue"/>
    <x v="0"/>
  </r>
  <r>
    <n v="10280"/>
    <n v="34"/>
    <n v="100"/>
    <n v="7"/>
    <n v="3474.46"/>
    <d v="2004-08-17T00:00:00"/>
    <x v="0"/>
    <n v="3"/>
    <x v="3"/>
    <x v="3"/>
    <x v="1"/>
    <x v="3"/>
    <n v="99"/>
    <x v="42"/>
    <x v="36"/>
    <s v="011-4988555"/>
    <s v="Via Monte Bianco 34"/>
    <m/>
    <x v="30"/>
    <m/>
    <n v="10100"/>
    <x v="12"/>
    <x v="1"/>
    <s v="Accorti"/>
    <s v="Paolo"/>
    <x v="1"/>
  </r>
  <r>
    <n v="10290"/>
    <n v="26"/>
    <n v="96.23"/>
    <n v="2"/>
    <n v="2501.98"/>
    <d v="2004-09-07T00:00:00"/>
    <x v="0"/>
    <n v="3"/>
    <x v="10"/>
    <x v="10"/>
    <x v="1"/>
    <x v="3"/>
    <n v="99"/>
    <x v="42"/>
    <x v="91"/>
    <n v="6175558428"/>
    <s v="16780 Pompton St."/>
    <m/>
    <x v="35"/>
    <s v="MA"/>
    <n v="58339"/>
    <x v="0"/>
    <x v="0"/>
    <s v="Taylor"/>
    <s v="Leslie"/>
    <x v="0"/>
  </r>
  <r>
    <n v="10304"/>
    <n v="38"/>
    <n v="100"/>
    <n v="11"/>
    <n v="3958.46"/>
    <d v="2004-10-11T00:00:00"/>
    <x v="0"/>
    <n v="4"/>
    <x v="4"/>
    <x v="4"/>
    <x v="1"/>
    <x v="3"/>
    <n v="99"/>
    <x v="42"/>
    <x v="38"/>
    <s v="30.59.8555"/>
    <s v="67, avenue de l'Europe"/>
    <m/>
    <x v="32"/>
    <m/>
    <n v="78000"/>
    <x v="1"/>
    <x v="1"/>
    <s v="Tonini"/>
    <s v="Daniel"/>
    <x v="1"/>
  </r>
  <r>
    <n v="10312"/>
    <n v="33"/>
    <n v="100"/>
    <n v="8"/>
    <n v="3535.95"/>
    <d v="2004-10-21T00:00:00"/>
    <x v="0"/>
    <n v="4"/>
    <x v="4"/>
    <x v="4"/>
    <x v="1"/>
    <x v="3"/>
    <n v="99"/>
    <x v="42"/>
    <x v="39"/>
    <n v="4155551450"/>
    <s v="5677 Strong St."/>
    <m/>
    <x v="33"/>
    <s v="CA"/>
    <n v="97562"/>
    <x v="0"/>
    <x v="0"/>
    <s v="Nelson"/>
    <s v="Valarie"/>
    <x v="1"/>
  </r>
  <r>
    <n v="10323"/>
    <n v="33"/>
    <n v="91.27"/>
    <n v="2"/>
    <n v="3011.91"/>
    <d v="2004-11-05T00:00:00"/>
    <x v="0"/>
    <n v="4"/>
    <x v="5"/>
    <x v="5"/>
    <x v="1"/>
    <x v="3"/>
    <n v="99"/>
    <x v="42"/>
    <x v="72"/>
    <s v="+49 69 66 90 2555"/>
    <s v="Lyonerstr. 34"/>
    <m/>
    <x v="58"/>
    <m/>
    <n v="60528"/>
    <x v="16"/>
    <x v="1"/>
    <s v="Keitel"/>
    <s v="Roland"/>
    <x v="1"/>
  </r>
  <r>
    <n v="10333"/>
    <n v="46"/>
    <n v="100"/>
    <n v="2"/>
    <n v="11336.7"/>
    <d v="2004-11-18T00:00:00"/>
    <x v="0"/>
    <n v="4"/>
    <x v="5"/>
    <x v="5"/>
    <x v="1"/>
    <x v="3"/>
    <n v="99"/>
    <x v="42"/>
    <x v="8"/>
    <n v="6505555787"/>
    <s v="5557 North Pendale Street"/>
    <m/>
    <x v="4"/>
    <s v="CA"/>
    <m/>
    <x v="0"/>
    <x v="0"/>
    <s v="Murphy"/>
    <s v="Julie"/>
    <x v="2"/>
  </r>
  <r>
    <n v="10347"/>
    <n v="26"/>
    <n v="100"/>
    <n v="12"/>
    <n v="2656.94"/>
    <d v="2004-11-29T00:00:00"/>
    <x v="0"/>
    <n v="4"/>
    <x v="5"/>
    <x v="5"/>
    <x v="1"/>
    <x v="3"/>
    <n v="99"/>
    <x v="42"/>
    <x v="10"/>
    <s v="03 9520 4555"/>
    <s v="636 St Kilda Road"/>
    <s v="Level 3"/>
    <x v="8"/>
    <s v="Victoria"/>
    <n v="3004"/>
    <x v="3"/>
    <x v="2"/>
    <s v="Ferguson"/>
    <s v="Peter"/>
    <x v="0"/>
  </r>
  <r>
    <n v="10357"/>
    <n v="25"/>
    <n v="100"/>
    <n v="3"/>
    <n v="2604.25"/>
    <d v="2004-12-10T00:00:00"/>
    <x v="0"/>
    <n v="4"/>
    <x v="6"/>
    <x v="6"/>
    <x v="1"/>
    <x v="3"/>
    <n v="99"/>
    <x v="42"/>
    <x v="39"/>
    <n v="4155551450"/>
    <s v="5677 Strong St."/>
    <m/>
    <x v="33"/>
    <s v="CA"/>
    <n v="97562"/>
    <x v="0"/>
    <x v="0"/>
    <s v="Nelson"/>
    <s v="Valarie"/>
    <x v="0"/>
  </r>
  <r>
    <n v="10369"/>
    <n v="45"/>
    <n v="73.08"/>
    <n v="4"/>
    <n v="3288.6"/>
    <d v="2005-01-20T00:00:00"/>
    <x v="0"/>
    <n v="1"/>
    <x v="7"/>
    <x v="7"/>
    <x v="2"/>
    <x v="3"/>
    <n v="99"/>
    <x v="42"/>
    <x v="41"/>
    <n v="6175558555"/>
    <s v="7825 Douglas Av."/>
    <m/>
    <x v="35"/>
    <s v="MA"/>
    <n v="58339"/>
    <x v="0"/>
    <x v="0"/>
    <s v="Nelson"/>
    <s v="Allen"/>
    <x v="1"/>
  </r>
  <r>
    <n v="10382"/>
    <n v="50"/>
    <n v="100"/>
    <n v="7"/>
    <n v="8935.5"/>
    <d v="2005-02-17T00:00:00"/>
    <x v="0"/>
    <n v="1"/>
    <x v="0"/>
    <x v="0"/>
    <x v="2"/>
    <x v="3"/>
    <n v="99"/>
    <x v="42"/>
    <x v="39"/>
    <n v="4155551450"/>
    <s v="5677 Strong St."/>
    <m/>
    <x v="33"/>
    <s v="CA"/>
    <n v="97562"/>
    <x v="0"/>
    <x v="0"/>
    <s v="Nelson"/>
    <s v="Valarie"/>
    <x v="2"/>
  </r>
  <r>
    <n v="10392"/>
    <n v="36"/>
    <n v="100"/>
    <n v="1"/>
    <n v="4035.96"/>
    <d v="2005-03-10T00:00:00"/>
    <x v="0"/>
    <n v="1"/>
    <x v="11"/>
    <x v="11"/>
    <x v="2"/>
    <x v="3"/>
    <n v="99"/>
    <x v="42"/>
    <x v="63"/>
    <s v="7675-3555"/>
    <s v="Kirchgasse 6"/>
    <m/>
    <x v="52"/>
    <m/>
    <n v="8010"/>
    <x v="5"/>
    <x v="1"/>
    <s v="Mendel"/>
    <s v="Roland"/>
    <x v="1"/>
  </r>
  <r>
    <n v="10423"/>
    <n v="21"/>
    <n v="89.29"/>
    <n v="5"/>
    <n v="1875.09"/>
    <d v="2005-05-30T00:00:00"/>
    <x v="2"/>
    <n v="2"/>
    <x v="1"/>
    <x v="1"/>
    <x v="2"/>
    <x v="3"/>
    <n v="99"/>
    <x v="42"/>
    <x v="56"/>
    <s v="(02) 5554 67"/>
    <s v="Rue Joseph-Bens 532"/>
    <m/>
    <x v="46"/>
    <m/>
    <s v="B-1180"/>
    <x v="14"/>
    <x v="1"/>
    <s v="Dewey"/>
    <s v="Catherine"/>
    <x v="0"/>
  </r>
  <r>
    <n v="10108"/>
    <n v="29"/>
    <n v="100"/>
    <n v="8"/>
    <n v="4049.56"/>
    <d v="2003-03-03T00:00:00"/>
    <x v="0"/>
    <n v="1"/>
    <x v="11"/>
    <x v="11"/>
    <x v="0"/>
    <x v="1"/>
    <n v="146"/>
    <x v="43"/>
    <x v="66"/>
    <s v="+63 2 555 3587"/>
    <s v="15 McCallum Street - NatWest Center #13-03"/>
    <m/>
    <x v="53"/>
    <m/>
    <s v="1227 MM"/>
    <x v="15"/>
    <x v="3"/>
    <s v="Cruz"/>
    <s v="Arnold"/>
    <x v="1"/>
  </r>
  <r>
    <n v="10122"/>
    <n v="21"/>
    <n v="100"/>
    <n v="12"/>
    <n v="2469.39"/>
    <d v="2003-05-08T00:00:00"/>
    <x v="0"/>
    <n v="2"/>
    <x v="1"/>
    <x v="1"/>
    <x v="0"/>
    <x v="1"/>
    <n v="146"/>
    <x v="43"/>
    <x v="67"/>
    <s v="91.24.4555"/>
    <s v="12, rue des Bouchers"/>
    <m/>
    <x v="54"/>
    <m/>
    <n v="13008"/>
    <x v="1"/>
    <x v="1"/>
    <s v="Lebihan"/>
    <s v="Laurence"/>
    <x v="0"/>
  </r>
  <r>
    <n v="10135"/>
    <n v="42"/>
    <n v="100"/>
    <n v="9"/>
    <n v="5432.7"/>
    <d v="2003-07-02T00:00:00"/>
    <x v="0"/>
    <n v="3"/>
    <x v="2"/>
    <x v="2"/>
    <x v="0"/>
    <x v="1"/>
    <n v="146"/>
    <x v="43"/>
    <x v="39"/>
    <n v="4155551450"/>
    <s v="5677 Strong St."/>
    <m/>
    <x v="33"/>
    <s v="CA"/>
    <n v="97562"/>
    <x v="0"/>
    <x v="0"/>
    <s v="Nelson"/>
    <s v="Valarie"/>
    <x v="1"/>
  </r>
  <r>
    <n v="10147"/>
    <n v="37"/>
    <n v="100"/>
    <n v="9"/>
    <n v="4405.22"/>
    <d v="2003-09-05T00:00:00"/>
    <x v="0"/>
    <n v="3"/>
    <x v="10"/>
    <x v="10"/>
    <x v="0"/>
    <x v="1"/>
    <n v="146"/>
    <x v="43"/>
    <x v="41"/>
    <n v="6175558555"/>
    <s v="7825 Douglas Av."/>
    <m/>
    <x v="35"/>
    <s v="MA"/>
    <n v="58339"/>
    <x v="0"/>
    <x v="0"/>
    <s v="Nelson"/>
    <s v="Allen"/>
    <x v="1"/>
  </r>
  <r>
    <n v="10159"/>
    <n v="25"/>
    <n v="100"/>
    <n v="4"/>
    <n v="3638"/>
    <d v="2003-10-10T00:00:00"/>
    <x v="0"/>
    <n v="4"/>
    <x v="4"/>
    <x v="4"/>
    <x v="0"/>
    <x v="1"/>
    <n v="146"/>
    <x v="43"/>
    <x v="4"/>
    <n v="6505551386"/>
    <s v="7734 Strong St."/>
    <m/>
    <x v="4"/>
    <s v="CA"/>
    <m/>
    <x v="0"/>
    <x v="0"/>
    <s v="Brown"/>
    <s v="Julie"/>
    <x v="1"/>
  </r>
  <r>
    <n v="10169"/>
    <n v="36"/>
    <n v="100"/>
    <n v="4"/>
    <n v="4444.92"/>
    <d v="2003-11-04T00:00:00"/>
    <x v="0"/>
    <n v="4"/>
    <x v="5"/>
    <x v="5"/>
    <x v="0"/>
    <x v="1"/>
    <n v="146"/>
    <x v="43"/>
    <x v="42"/>
    <s v="02 9936 8555"/>
    <s v="201 Miller Street"/>
    <s v="Level 15"/>
    <x v="36"/>
    <s v="NSW"/>
    <n v="2060"/>
    <x v="3"/>
    <x v="2"/>
    <s v="O'Hara"/>
    <s v="Anna"/>
    <x v="1"/>
  </r>
  <r>
    <n v="10181"/>
    <n v="22"/>
    <n v="100"/>
    <n v="16"/>
    <n v="3395.48"/>
    <d v="2003-11-12T00:00:00"/>
    <x v="0"/>
    <n v="4"/>
    <x v="5"/>
    <x v="5"/>
    <x v="0"/>
    <x v="1"/>
    <n v="146"/>
    <x v="43"/>
    <x v="7"/>
    <s v="+47 2267 3215"/>
    <s v="Drammen 121, PR 744 Sentrum"/>
    <m/>
    <x v="7"/>
    <m/>
    <s v="N 5804"/>
    <x v="2"/>
    <x v="1"/>
    <s v="Oeztan"/>
    <s v="Veysel"/>
    <x v="1"/>
  </r>
  <r>
    <n v="10191"/>
    <n v="23"/>
    <n v="100"/>
    <n v="5"/>
    <n v="3414.58"/>
    <d v="2003-11-20T00:00:00"/>
    <x v="0"/>
    <n v="4"/>
    <x v="5"/>
    <x v="5"/>
    <x v="0"/>
    <x v="1"/>
    <n v="146"/>
    <x v="43"/>
    <x v="68"/>
    <s v="0221-5554327"/>
    <s v="Mehrheimerstr. 369"/>
    <m/>
    <x v="55"/>
    <m/>
    <n v="50739"/>
    <x v="16"/>
    <x v="1"/>
    <s v="Pfalzheim"/>
    <s v="Henriette"/>
    <x v="1"/>
  </r>
  <r>
    <n v="10203"/>
    <n v="32"/>
    <n v="100"/>
    <n v="10"/>
    <n v="5127.04"/>
    <d v="2003-12-02T00:00:00"/>
    <x v="0"/>
    <n v="4"/>
    <x v="6"/>
    <x v="6"/>
    <x v="0"/>
    <x v="1"/>
    <n v="146"/>
    <x v="43"/>
    <x v="23"/>
    <s v="(91) 555 94 44"/>
    <s v="C/ Moralzarzal, 86"/>
    <m/>
    <x v="20"/>
    <m/>
    <n v="28034"/>
    <x v="7"/>
    <x v="1"/>
    <s v="Freyre"/>
    <s v="Diego"/>
    <x v="1"/>
  </r>
  <r>
    <n v="10211"/>
    <n v="28"/>
    <n v="100"/>
    <n v="4"/>
    <n v="3745.28"/>
    <d v="2004-01-15T00:00:00"/>
    <x v="0"/>
    <n v="1"/>
    <x v="7"/>
    <x v="7"/>
    <x v="1"/>
    <x v="1"/>
    <n v="146"/>
    <x v="43"/>
    <x v="9"/>
    <s v="(1) 47.55.6555"/>
    <s v="25, rue Lauriston"/>
    <m/>
    <x v="2"/>
    <m/>
    <n v="75016"/>
    <x v="1"/>
    <x v="1"/>
    <s v="Perrier"/>
    <s v="Dominique"/>
    <x v="1"/>
  </r>
  <r>
    <n v="10225"/>
    <n v="27"/>
    <n v="100"/>
    <n v="11"/>
    <n v="4564.08"/>
    <d v="2004-02-22T00:00:00"/>
    <x v="0"/>
    <n v="1"/>
    <x v="0"/>
    <x v="0"/>
    <x v="1"/>
    <x v="1"/>
    <n v="146"/>
    <x v="43"/>
    <x v="69"/>
    <s v="0897-034555"/>
    <s v="Grenzacherweg 237"/>
    <m/>
    <x v="56"/>
    <m/>
    <n v="1203"/>
    <x v="17"/>
    <x v="1"/>
    <s v="Holz"/>
    <s v="Michael"/>
    <x v="1"/>
  </r>
  <r>
    <n v="10238"/>
    <n v="49"/>
    <n v="100"/>
    <n v="5"/>
    <n v="6554.24"/>
    <d v="2004-04-09T00:00:00"/>
    <x v="0"/>
    <n v="2"/>
    <x v="8"/>
    <x v="8"/>
    <x v="1"/>
    <x v="1"/>
    <n v="146"/>
    <x v="43"/>
    <x v="48"/>
    <s v="31 12 3555"/>
    <s v="Vinb'ltet 34"/>
    <m/>
    <x v="40"/>
    <m/>
    <n v="1734"/>
    <x v="13"/>
    <x v="1"/>
    <s v="Petersen"/>
    <s v="Jytte"/>
    <x v="1"/>
  </r>
  <r>
    <n v="10252"/>
    <n v="41"/>
    <n v="100"/>
    <n v="1"/>
    <n v="6749.83"/>
    <d v="2004-05-26T00:00:00"/>
    <x v="0"/>
    <n v="2"/>
    <x v="1"/>
    <x v="1"/>
    <x v="1"/>
    <x v="1"/>
    <n v="146"/>
    <x v="43"/>
    <x v="9"/>
    <s v="(1) 47.55.6555"/>
    <s v="25, rue Lauriston"/>
    <m/>
    <x v="2"/>
    <m/>
    <n v="75016"/>
    <x v="1"/>
    <x v="1"/>
    <s v="Perrier"/>
    <s v="Dominique"/>
    <x v="1"/>
  </r>
  <r>
    <n v="10265"/>
    <n v="49"/>
    <n v="100"/>
    <n v="1"/>
    <n v="8427.02"/>
    <d v="2004-07-02T00:00:00"/>
    <x v="0"/>
    <n v="3"/>
    <x v="2"/>
    <x v="2"/>
    <x v="1"/>
    <x v="1"/>
    <n v="146"/>
    <x v="43"/>
    <x v="87"/>
    <s v="61-9-3844-6555"/>
    <s v="7 Allen Street"/>
    <m/>
    <x v="70"/>
    <s v="Victoria"/>
    <n v="3150"/>
    <x v="3"/>
    <x v="2"/>
    <s v="Connery"/>
    <s v="Sean"/>
    <x v="2"/>
  </r>
  <r>
    <n v="10276"/>
    <n v="30"/>
    <n v="100"/>
    <n v="5"/>
    <n v="3924.6"/>
    <d v="2004-08-02T00:00:00"/>
    <x v="0"/>
    <n v="3"/>
    <x v="3"/>
    <x v="3"/>
    <x v="1"/>
    <x v="1"/>
    <n v="146"/>
    <x v="43"/>
    <x v="71"/>
    <n v="6175557555"/>
    <s v="7635 Spinnaker Dr."/>
    <m/>
    <x v="35"/>
    <s v="MA"/>
    <n v="58339"/>
    <x v="0"/>
    <x v="0"/>
    <s v="Barajas"/>
    <s v="Miguel"/>
    <x v="1"/>
  </r>
  <r>
    <n v="10287"/>
    <n v="40"/>
    <n v="100"/>
    <n v="14"/>
    <n v="6761.6"/>
    <d v="2004-08-30T00:00:00"/>
    <x v="0"/>
    <n v="3"/>
    <x v="3"/>
    <x v="3"/>
    <x v="1"/>
    <x v="1"/>
    <n v="146"/>
    <x v="43"/>
    <x v="69"/>
    <s v="0897-034555"/>
    <s v="Grenzacherweg 237"/>
    <m/>
    <x v="56"/>
    <m/>
    <n v="1203"/>
    <x v="17"/>
    <x v="1"/>
    <s v="Holz"/>
    <s v="Michael"/>
    <x v="1"/>
  </r>
  <r>
    <n v="10300"/>
    <n v="23"/>
    <n v="100"/>
    <n v="7"/>
    <n v="3786.49"/>
    <d v="2003-10-04T00:00:00"/>
    <x v="0"/>
    <n v="4"/>
    <x v="4"/>
    <x v="4"/>
    <x v="0"/>
    <x v="1"/>
    <n v="146"/>
    <x v="43"/>
    <x v="72"/>
    <s v="+49 69 66 90 2555"/>
    <s v="Lyonerstr. 34"/>
    <m/>
    <x v="58"/>
    <m/>
    <n v="60528"/>
    <x v="16"/>
    <x v="1"/>
    <s v="Keitel"/>
    <s v="Roland"/>
    <x v="1"/>
  </r>
  <r>
    <n v="10310"/>
    <n v="49"/>
    <n v="100"/>
    <n v="12"/>
    <n v="6266.12"/>
    <d v="2004-10-16T00:00:00"/>
    <x v="0"/>
    <n v="4"/>
    <x v="4"/>
    <x v="4"/>
    <x v="1"/>
    <x v="1"/>
    <n v="146"/>
    <x v="43"/>
    <x v="68"/>
    <s v="0221-5554327"/>
    <s v="Mehrheimerstr. 369"/>
    <m/>
    <x v="55"/>
    <m/>
    <n v="50739"/>
    <x v="16"/>
    <x v="1"/>
    <s v="Pfalzheim"/>
    <s v="Henriette"/>
    <x v="1"/>
  </r>
  <r>
    <n v="10320"/>
    <n v="25"/>
    <n v="100"/>
    <n v="5"/>
    <n v="3491"/>
    <d v="2004-11-03T00:00:00"/>
    <x v="0"/>
    <n v="4"/>
    <x v="5"/>
    <x v="5"/>
    <x v="1"/>
    <x v="1"/>
    <n v="146"/>
    <x v="43"/>
    <x v="24"/>
    <s v="0921-12 3555"/>
    <s v="Berguvsv„gen  8"/>
    <m/>
    <x v="21"/>
    <m/>
    <s v="S-958 22"/>
    <x v="8"/>
    <x v="1"/>
    <s v="Berglund"/>
    <s v="Christina"/>
    <x v="1"/>
  </r>
  <r>
    <n v="10330"/>
    <n v="37"/>
    <n v="100"/>
    <n v="3"/>
    <n v="4405.22"/>
    <d v="2004-11-16T00:00:00"/>
    <x v="0"/>
    <n v="4"/>
    <x v="5"/>
    <x v="5"/>
    <x v="1"/>
    <x v="1"/>
    <n v="146"/>
    <x v="43"/>
    <x v="66"/>
    <s v="+63 2 555 3587"/>
    <s v="15 McCallum Street - NatWest Center #13-03"/>
    <m/>
    <x v="53"/>
    <m/>
    <s v="1227 MM"/>
    <x v="15"/>
    <x v="3"/>
    <s v="Cruz"/>
    <s v="Arnold"/>
    <x v="1"/>
  </r>
  <r>
    <n v="10342"/>
    <n v="55"/>
    <n v="100"/>
    <n v="7"/>
    <n v="6548.3"/>
    <d v="2004-11-24T00:00:00"/>
    <x v="0"/>
    <n v="4"/>
    <x v="5"/>
    <x v="5"/>
    <x v="1"/>
    <x v="1"/>
    <n v="146"/>
    <x v="43"/>
    <x v="10"/>
    <s v="03 9520 4555"/>
    <s v="636 St Kilda Road"/>
    <s v="Level 3"/>
    <x v="8"/>
    <s v="Victoria"/>
    <n v="3004"/>
    <x v="3"/>
    <x v="2"/>
    <s v="Ferguson"/>
    <s v="Peter"/>
    <x v="1"/>
  </r>
  <r>
    <n v="10355"/>
    <n v="23"/>
    <n v="100"/>
    <n v="7"/>
    <n v="3177.91"/>
    <d v="2004-12-07T00:00:00"/>
    <x v="0"/>
    <n v="4"/>
    <x v="6"/>
    <x v="6"/>
    <x v="1"/>
    <x v="1"/>
    <n v="146"/>
    <x v="43"/>
    <x v="23"/>
    <s v="(91) 555 94 44"/>
    <s v="C/ Moralzarzal, 86"/>
    <m/>
    <x v="20"/>
    <m/>
    <n v="28034"/>
    <x v="7"/>
    <x v="1"/>
    <s v="Freyre"/>
    <s v="Diego"/>
    <x v="1"/>
  </r>
  <r>
    <n v="10363"/>
    <n v="24"/>
    <n v="100"/>
    <n v="11"/>
    <n v="4142.6400000000003"/>
    <d v="2005-01-06T00:00:00"/>
    <x v="0"/>
    <n v="1"/>
    <x v="7"/>
    <x v="7"/>
    <x v="2"/>
    <x v="1"/>
    <n v="146"/>
    <x v="43"/>
    <x v="73"/>
    <s v="+358 9 8045 555"/>
    <s v="Software Engineering Center, SEC Oy"/>
    <m/>
    <x v="59"/>
    <m/>
    <s v="FIN-02271"/>
    <x v="4"/>
    <x v="1"/>
    <s v="Suominen"/>
    <s v="Kalle"/>
    <x v="1"/>
  </r>
  <r>
    <n v="10378"/>
    <n v="43"/>
    <n v="96.49"/>
    <n v="10"/>
    <n v="4149.07"/>
    <d v="2005-02-10T00:00:00"/>
    <x v="0"/>
    <n v="1"/>
    <x v="0"/>
    <x v="0"/>
    <x v="2"/>
    <x v="1"/>
    <n v="146"/>
    <x v="43"/>
    <x v="23"/>
    <s v="(91) 555 94 44"/>
    <s v="C/ Moralzarzal, 86"/>
    <m/>
    <x v="20"/>
    <m/>
    <n v="28034"/>
    <x v="7"/>
    <x v="1"/>
    <s v="Freyre"/>
    <s v="Diego"/>
    <x v="1"/>
  </r>
  <r>
    <n v="10390"/>
    <n v="50"/>
    <n v="100"/>
    <n v="1"/>
    <n v="7397"/>
    <d v="2005-03-04T00:00:00"/>
    <x v="0"/>
    <n v="1"/>
    <x v="11"/>
    <x v="11"/>
    <x v="2"/>
    <x v="1"/>
    <n v="146"/>
    <x v="43"/>
    <x v="39"/>
    <n v="4155551450"/>
    <s v="5677 Strong St."/>
    <m/>
    <x v="33"/>
    <s v="CA"/>
    <n v="97562"/>
    <x v="0"/>
    <x v="0"/>
    <s v="Nelson"/>
    <s v="Valarie"/>
    <x v="2"/>
  </r>
  <r>
    <n v="10109"/>
    <n v="47"/>
    <n v="100"/>
    <n v="2"/>
    <n v="6241.6"/>
    <d v="2003-03-10T00:00:00"/>
    <x v="0"/>
    <n v="1"/>
    <x v="11"/>
    <x v="11"/>
    <x v="0"/>
    <x v="1"/>
    <n v="141"/>
    <x v="44"/>
    <x v="45"/>
    <n v="2155559857"/>
    <s v="11328 Douglas Av."/>
    <m/>
    <x v="24"/>
    <s v="PA"/>
    <n v="71270"/>
    <x v="0"/>
    <x v="0"/>
    <s v="Hernandez"/>
    <s v="Rosa"/>
    <x v="1"/>
  </r>
  <r>
    <n v="10123"/>
    <n v="34"/>
    <n v="100"/>
    <n v="4"/>
    <n v="5331.88"/>
    <d v="2003-05-20T00:00:00"/>
    <x v="0"/>
    <n v="2"/>
    <x v="1"/>
    <x v="1"/>
    <x v="0"/>
    <x v="1"/>
    <n v="141"/>
    <x v="44"/>
    <x v="46"/>
    <s v="40.32.2555"/>
    <s v="54, rue Royale"/>
    <m/>
    <x v="11"/>
    <m/>
    <n v="44000"/>
    <x v="1"/>
    <x v="1"/>
    <s v="Schmitt"/>
    <s v="Carine"/>
    <x v="1"/>
  </r>
  <r>
    <n v="10137"/>
    <n v="31"/>
    <n v="100"/>
    <n v="4"/>
    <n v="5124.3"/>
    <d v="2003-07-10T00:00:00"/>
    <x v="0"/>
    <n v="3"/>
    <x v="2"/>
    <x v="2"/>
    <x v="0"/>
    <x v="1"/>
    <n v="141"/>
    <x v="44"/>
    <x v="1"/>
    <s v="26.47.1555"/>
    <s v="59 rue de l'Abbaye"/>
    <m/>
    <x v="1"/>
    <m/>
    <n v="51100"/>
    <x v="1"/>
    <x v="1"/>
    <s v="Henriot"/>
    <s v="Paul"/>
    <x v="1"/>
  </r>
  <r>
    <n v="10148"/>
    <n v="28"/>
    <n v="100"/>
    <n v="11"/>
    <n v="3639.44"/>
    <d v="2003-09-11T00:00:00"/>
    <x v="0"/>
    <n v="3"/>
    <x v="10"/>
    <x v="10"/>
    <x v="0"/>
    <x v="1"/>
    <n v="141"/>
    <x v="44"/>
    <x v="42"/>
    <s v="02 9936 8555"/>
    <s v="201 Miller Street"/>
    <s v="Level 15"/>
    <x v="36"/>
    <s v="NSW"/>
    <n v="2060"/>
    <x v="3"/>
    <x v="2"/>
    <s v="O'Hara"/>
    <s v="Anna"/>
    <x v="1"/>
  </r>
  <r>
    <n v="10161"/>
    <n v="36"/>
    <n v="100"/>
    <n v="10"/>
    <n v="5544"/>
    <d v="2003-10-17T00:00:00"/>
    <x v="0"/>
    <n v="4"/>
    <x v="4"/>
    <x v="4"/>
    <x v="0"/>
    <x v="1"/>
    <n v="141"/>
    <x v="44"/>
    <x v="78"/>
    <s v="86 21 3555"/>
    <s v="Smagsloget 45"/>
    <m/>
    <x v="62"/>
    <m/>
    <n v="8200"/>
    <x v="13"/>
    <x v="1"/>
    <s v="Ibsen"/>
    <s v="Palle"/>
    <x v="1"/>
  </r>
  <r>
    <n v="10172"/>
    <n v="48"/>
    <n v="100"/>
    <n v="8"/>
    <n v="5493.12"/>
    <d v="2003-11-05T00:00:00"/>
    <x v="0"/>
    <n v="4"/>
    <x v="5"/>
    <x v="5"/>
    <x v="0"/>
    <x v="1"/>
    <n v="141"/>
    <x v="44"/>
    <x v="13"/>
    <n v="2035552570"/>
    <s v="25593 South Bay Ln."/>
    <m/>
    <x v="10"/>
    <s v="CT"/>
    <n v="97562"/>
    <x v="0"/>
    <x v="0"/>
    <s v="King"/>
    <s v="Julie"/>
    <x v="1"/>
  </r>
  <r>
    <n v="10181"/>
    <n v="39"/>
    <n v="100"/>
    <n v="4"/>
    <n v="5785.26"/>
    <d v="2003-11-12T00:00:00"/>
    <x v="0"/>
    <n v="4"/>
    <x v="5"/>
    <x v="5"/>
    <x v="0"/>
    <x v="1"/>
    <n v="141"/>
    <x v="44"/>
    <x v="7"/>
    <s v="+47 2267 3215"/>
    <s v="Drammen 121, PR 744 Sentrum"/>
    <m/>
    <x v="7"/>
    <m/>
    <s v="N 5804"/>
    <x v="2"/>
    <x v="1"/>
    <s v="Oeztan"/>
    <s v="Veysel"/>
    <x v="1"/>
  </r>
  <r>
    <n v="10192"/>
    <n v="45"/>
    <n v="100"/>
    <n v="9"/>
    <n v="5340.6"/>
    <d v="2003-11-20T00:00:00"/>
    <x v="0"/>
    <n v="4"/>
    <x v="5"/>
    <x v="5"/>
    <x v="0"/>
    <x v="1"/>
    <n v="141"/>
    <x v="44"/>
    <x v="40"/>
    <n v="6035558647"/>
    <s v="2304 Long Airport Avenue"/>
    <m/>
    <x v="34"/>
    <s v="NH"/>
    <n v="62005"/>
    <x v="0"/>
    <x v="0"/>
    <s v="Young"/>
    <s v="Valarie"/>
    <x v="1"/>
  </r>
  <r>
    <n v="10204"/>
    <n v="35"/>
    <n v="100"/>
    <n v="15"/>
    <n v="5735.8"/>
    <d v="2003-12-02T00:00:00"/>
    <x v="0"/>
    <n v="4"/>
    <x v="6"/>
    <x v="6"/>
    <x v="0"/>
    <x v="1"/>
    <n v="141"/>
    <x v="44"/>
    <x v="74"/>
    <n v="2125557413"/>
    <s v="4092 Furth Circle"/>
    <s v="Suite 400"/>
    <x v="0"/>
    <s v="NY"/>
    <n v="10022"/>
    <x v="0"/>
    <x v="0"/>
    <s v="Young"/>
    <s v="Jeff"/>
    <x v="1"/>
  </r>
  <r>
    <n v="10212"/>
    <n v="45"/>
    <n v="100"/>
    <n v="8"/>
    <n v="6357.6"/>
    <d v="2004-01-16T00:00:00"/>
    <x v="0"/>
    <n v="1"/>
    <x v="7"/>
    <x v="7"/>
    <x v="1"/>
    <x v="1"/>
    <n v="141"/>
    <x v="44"/>
    <x v="23"/>
    <s v="(91) 555 94 44"/>
    <s v="C/ Moralzarzal, 86"/>
    <m/>
    <x v="20"/>
    <m/>
    <n v="28034"/>
    <x v="7"/>
    <x v="1"/>
    <s v="Freyre"/>
    <s v="Diego"/>
    <x v="1"/>
  </r>
  <r>
    <n v="10226"/>
    <n v="46"/>
    <n v="100"/>
    <n v="6"/>
    <n v="7343.9"/>
    <d v="2004-02-26T00:00:00"/>
    <x v="0"/>
    <n v="1"/>
    <x v="0"/>
    <x v="0"/>
    <x v="1"/>
    <x v="1"/>
    <n v="141"/>
    <x v="44"/>
    <x v="55"/>
    <n v="7605558146"/>
    <s v="361 Furth Circle"/>
    <m/>
    <x v="45"/>
    <s v="CA"/>
    <n v="91217"/>
    <x v="0"/>
    <x v="0"/>
    <s v="Thompson"/>
    <s v="Valarie"/>
    <x v="2"/>
  </r>
  <r>
    <n v="10240"/>
    <n v="37"/>
    <n v="100"/>
    <n v="1"/>
    <n v="5959.22"/>
    <d v="2004-04-13T00:00:00"/>
    <x v="0"/>
    <n v="2"/>
    <x v="8"/>
    <x v="8"/>
    <x v="1"/>
    <x v="1"/>
    <n v="141"/>
    <x v="44"/>
    <x v="44"/>
    <s v="+81 06 6342 5555"/>
    <s v="Dojima Avanza 4F, 1-6-20 Dojima, Kita-ku"/>
    <m/>
    <x v="38"/>
    <s v="Osaka"/>
    <s v="530-0003"/>
    <x v="11"/>
    <x v="3"/>
    <s v="Kentary"/>
    <s v="Mory"/>
    <x v="1"/>
  </r>
  <r>
    <n v="10253"/>
    <n v="31"/>
    <n v="100"/>
    <n v="3"/>
    <n v="4029.38"/>
    <d v="2004-06-01T00:00:00"/>
    <x v="3"/>
    <n v="2"/>
    <x v="9"/>
    <x v="9"/>
    <x v="1"/>
    <x v="1"/>
    <n v="141"/>
    <x v="44"/>
    <x v="22"/>
    <s v="(171) 555-2282"/>
    <s v="Berkeley Gardens 12  Brewery"/>
    <m/>
    <x v="19"/>
    <m/>
    <s v="WX1 6LT"/>
    <x v="6"/>
    <x v="1"/>
    <s v="Devon"/>
    <s v="Elizabeth"/>
    <x v="1"/>
  </r>
  <r>
    <n v="10266"/>
    <n v="33"/>
    <n v="100"/>
    <n v="4"/>
    <n v="5035.1400000000003"/>
    <d v="2004-07-06T00:00:00"/>
    <x v="0"/>
    <n v="3"/>
    <x v="2"/>
    <x v="2"/>
    <x v="1"/>
    <x v="1"/>
    <n v="141"/>
    <x v="44"/>
    <x v="70"/>
    <s v="0522-556555"/>
    <s v="Strada Provinciale 124"/>
    <m/>
    <x v="57"/>
    <m/>
    <n v="42100"/>
    <x v="12"/>
    <x v="1"/>
    <s v="Moroni"/>
    <s v="Maurizio"/>
    <x v="1"/>
  </r>
  <r>
    <n v="10278"/>
    <n v="31"/>
    <n v="100"/>
    <n v="4"/>
    <n v="4116.8"/>
    <d v="2004-08-06T00:00:00"/>
    <x v="0"/>
    <n v="3"/>
    <x v="3"/>
    <x v="3"/>
    <x v="1"/>
    <x v="1"/>
    <n v="141"/>
    <x v="44"/>
    <x v="84"/>
    <n v="7025551838"/>
    <s v="8489 Strong St."/>
    <m/>
    <x v="67"/>
    <s v="NV"/>
    <n v="83030"/>
    <x v="0"/>
    <x v="0"/>
    <s v="King"/>
    <s v="Sue"/>
    <x v="1"/>
  </r>
  <r>
    <n v="10287"/>
    <n v="27"/>
    <n v="100"/>
    <n v="2"/>
    <n v="4310.55"/>
    <d v="2004-08-30T00:00:00"/>
    <x v="0"/>
    <n v="3"/>
    <x v="3"/>
    <x v="3"/>
    <x v="1"/>
    <x v="1"/>
    <n v="141"/>
    <x v="44"/>
    <x v="69"/>
    <s v="0897-034555"/>
    <s v="Grenzacherweg 237"/>
    <m/>
    <x v="56"/>
    <m/>
    <n v="1203"/>
    <x v="17"/>
    <x v="1"/>
    <s v="Holz"/>
    <s v="Michael"/>
    <x v="1"/>
  </r>
  <r>
    <n v="10301"/>
    <n v="39"/>
    <n v="100"/>
    <n v="6"/>
    <n v="6446.7"/>
    <d v="2003-10-05T00:00:00"/>
    <x v="0"/>
    <n v="4"/>
    <x v="4"/>
    <x v="4"/>
    <x v="0"/>
    <x v="1"/>
    <n v="141"/>
    <x v="44"/>
    <x v="85"/>
    <s v="+47 2212 1555"/>
    <s v="Drammensveien 126 A, PB 744 Sentrum"/>
    <m/>
    <x v="68"/>
    <m/>
    <s v="N 0106"/>
    <x v="2"/>
    <x v="1"/>
    <s v="Klaeboe"/>
    <s v="Jan"/>
    <x v="1"/>
  </r>
  <r>
    <n v="10311"/>
    <n v="32"/>
    <n v="100"/>
    <n v="11"/>
    <n v="3616.64"/>
    <d v="2004-10-16T00:00:00"/>
    <x v="0"/>
    <n v="4"/>
    <x v="4"/>
    <x v="4"/>
    <x v="1"/>
    <x v="1"/>
    <n v="141"/>
    <x v="44"/>
    <x v="23"/>
    <s v="(91) 555 94 44"/>
    <s v="C/ Moralzarzal, 86"/>
    <m/>
    <x v="20"/>
    <m/>
    <n v="28034"/>
    <x v="7"/>
    <x v="1"/>
    <s v="Freyre"/>
    <s v="Diego"/>
    <x v="1"/>
  </r>
  <r>
    <n v="10321"/>
    <n v="28"/>
    <n v="100"/>
    <n v="8"/>
    <n v="4232.76"/>
    <d v="2004-11-04T00:00:00"/>
    <x v="0"/>
    <n v="4"/>
    <x v="5"/>
    <x v="5"/>
    <x v="1"/>
    <x v="1"/>
    <n v="141"/>
    <x v="44"/>
    <x v="21"/>
    <n v="5085552555"/>
    <s v="1785 First Street"/>
    <m/>
    <x v="18"/>
    <s v="MA"/>
    <n v="50553"/>
    <x v="0"/>
    <x v="0"/>
    <s v="Benitez"/>
    <s v="Violeta"/>
    <x v="1"/>
  </r>
  <r>
    <n v="10331"/>
    <n v="26"/>
    <n v="67.91"/>
    <n v="12"/>
    <n v="1765.66"/>
    <d v="2004-11-17T00:00:00"/>
    <x v="0"/>
    <n v="4"/>
    <x v="5"/>
    <x v="5"/>
    <x v="1"/>
    <x v="1"/>
    <n v="141"/>
    <x v="44"/>
    <x v="45"/>
    <n v="2155559857"/>
    <s v="11328 Douglas Av."/>
    <m/>
    <x v="24"/>
    <s v="PA"/>
    <n v="71270"/>
    <x v="0"/>
    <x v="0"/>
    <s v="Hernandez"/>
    <s v="Rosa"/>
    <x v="0"/>
  </r>
  <r>
    <n v="10343"/>
    <n v="44"/>
    <n v="84.88"/>
    <n v="2"/>
    <n v="3734.72"/>
    <d v="2004-11-24T00:00:00"/>
    <x v="0"/>
    <n v="4"/>
    <x v="5"/>
    <x v="5"/>
    <x v="1"/>
    <x v="1"/>
    <n v="141"/>
    <x v="44"/>
    <x v="1"/>
    <s v="26.47.1555"/>
    <s v="59 rue de l'Abbaye"/>
    <m/>
    <x v="1"/>
    <m/>
    <n v="51100"/>
    <x v="1"/>
    <x v="1"/>
    <s v="Henriot"/>
    <s v="Paul"/>
    <x v="1"/>
  </r>
  <r>
    <n v="10367"/>
    <n v="46"/>
    <n v="100"/>
    <n v="6"/>
    <n v="4808.38"/>
    <d v="2005-01-12T00:00:00"/>
    <x v="5"/>
    <n v="1"/>
    <x v="7"/>
    <x v="7"/>
    <x v="2"/>
    <x v="1"/>
    <n v="141"/>
    <x v="44"/>
    <x v="3"/>
    <n v="6265557265"/>
    <s v="78934 Hillside Dr."/>
    <m/>
    <x v="3"/>
    <s v="CA"/>
    <n v="90003"/>
    <x v="0"/>
    <x v="0"/>
    <s v="Young"/>
    <s v="Julie"/>
    <x v="1"/>
  </r>
  <r>
    <n v="10379"/>
    <n v="32"/>
    <n v="70.83"/>
    <n v="4"/>
    <n v="2266.56"/>
    <d v="2005-02-10T00:00:00"/>
    <x v="0"/>
    <n v="1"/>
    <x v="0"/>
    <x v="0"/>
    <x v="2"/>
    <x v="1"/>
    <n v="141"/>
    <x v="44"/>
    <x v="23"/>
    <s v="(91) 555 94 44"/>
    <s v="C/ Moralzarzal, 86"/>
    <m/>
    <x v="20"/>
    <m/>
    <n v="28034"/>
    <x v="7"/>
    <x v="1"/>
    <s v="Freyre"/>
    <s v="Diego"/>
    <x v="0"/>
  </r>
  <r>
    <n v="10406"/>
    <n v="65"/>
    <n v="100"/>
    <n v="1"/>
    <n v="10468.9"/>
    <d v="2005-04-15T00:00:00"/>
    <x v="1"/>
    <n v="2"/>
    <x v="8"/>
    <x v="8"/>
    <x v="2"/>
    <x v="1"/>
    <n v="141"/>
    <x v="44"/>
    <x v="48"/>
    <s v="31 12 3555"/>
    <s v="Vinb'ltet 34"/>
    <m/>
    <x v="40"/>
    <m/>
    <n v="1734"/>
    <x v="13"/>
    <x v="1"/>
    <s v="Petersen"/>
    <s v="Jytte"/>
    <x v="2"/>
  </r>
  <r>
    <n v="10419"/>
    <n v="43"/>
    <n v="100"/>
    <n v="3"/>
    <n v="5589.14"/>
    <d v="2005-05-17T00:00:00"/>
    <x v="0"/>
    <n v="2"/>
    <x v="1"/>
    <x v="1"/>
    <x v="2"/>
    <x v="1"/>
    <n v="141"/>
    <x v="44"/>
    <x v="19"/>
    <s v="6562-9555"/>
    <s v="Geislweg 14"/>
    <m/>
    <x v="16"/>
    <m/>
    <n v="5020"/>
    <x v="5"/>
    <x v="1"/>
    <s v="Pipps"/>
    <s v="Georg"/>
    <x v="1"/>
  </r>
  <r>
    <n v="10108"/>
    <n v="43"/>
    <n v="67.77"/>
    <n v="12"/>
    <n v="2914.11"/>
    <d v="2003-03-03T00:00:00"/>
    <x v="0"/>
    <n v="1"/>
    <x v="11"/>
    <x v="11"/>
    <x v="0"/>
    <x v="0"/>
    <n v="62"/>
    <x v="45"/>
    <x v="66"/>
    <s v="+63 2 555 3587"/>
    <s v="15 McCallum Street - NatWest Center #13-03"/>
    <m/>
    <x v="53"/>
    <m/>
    <s v="1227 MM"/>
    <x v="15"/>
    <x v="3"/>
    <s v="Cruz"/>
    <s v="Arnold"/>
    <x v="0"/>
  </r>
  <r>
    <n v="10122"/>
    <n v="35"/>
    <n v="49.74"/>
    <n v="16"/>
    <n v="1740.9"/>
    <d v="2003-05-08T00:00:00"/>
    <x v="0"/>
    <n v="2"/>
    <x v="1"/>
    <x v="1"/>
    <x v="0"/>
    <x v="0"/>
    <n v="62"/>
    <x v="45"/>
    <x v="67"/>
    <s v="91.24.4555"/>
    <s v="12, rue des Bouchers"/>
    <m/>
    <x v="54"/>
    <m/>
    <n v="13008"/>
    <x v="1"/>
    <x v="1"/>
    <s v="Lebihan"/>
    <s v="Laurence"/>
    <x v="0"/>
  </r>
  <r>
    <n v="10135"/>
    <n v="45"/>
    <n v="50.36"/>
    <n v="13"/>
    <n v="2266.1999999999998"/>
    <d v="2003-07-02T00:00:00"/>
    <x v="0"/>
    <n v="3"/>
    <x v="2"/>
    <x v="2"/>
    <x v="0"/>
    <x v="0"/>
    <n v="62"/>
    <x v="45"/>
    <x v="39"/>
    <n v="4155551450"/>
    <s v="5677 Strong St."/>
    <m/>
    <x v="33"/>
    <s v="CA"/>
    <n v="97562"/>
    <x v="0"/>
    <x v="0"/>
    <s v="Nelson"/>
    <s v="Valarie"/>
    <x v="0"/>
  </r>
  <r>
    <n v="10146"/>
    <n v="47"/>
    <n v="67.14"/>
    <n v="2"/>
    <n v="3155.58"/>
    <d v="2003-09-03T00:00:00"/>
    <x v="0"/>
    <n v="3"/>
    <x v="10"/>
    <x v="10"/>
    <x v="0"/>
    <x v="0"/>
    <n v="62"/>
    <x v="45"/>
    <x v="88"/>
    <n v="2035554407"/>
    <s v="2440 Pompton St."/>
    <m/>
    <x v="63"/>
    <s v="CT"/>
    <n v="97561"/>
    <x v="0"/>
    <x v="0"/>
    <s v="Lewis"/>
    <s v="Dan"/>
    <x v="1"/>
  </r>
  <r>
    <n v="10159"/>
    <n v="21"/>
    <n v="64.66"/>
    <n v="8"/>
    <n v="1357.86"/>
    <d v="2003-10-10T00:00:00"/>
    <x v="0"/>
    <n v="4"/>
    <x v="4"/>
    <x v="4"/>
    <x v="0"/>
    <x v="0"/>
    <n v="62"/>
    <x v="45"/>
    <x v="4"/>
    <n v="6505551386"/>
    <s v="7734 Strong St."/>
    <m/>
    <x v="4"/>
    <s v="CA"/>
    <m/>
    <x v="0"/>
    <x v="0"/>
    <s v="Brown"/>
    <s v="Julie"/>
    <x v="0"/>
  </r>
  <r>
    <n v="10169"/>
    <n v="38"/>
    <n v="68.39"/>
    <n v="8"/>
    <n v="2598.8200000000002"/>
    <d v="2003-11-04T00:00:00"/>
    <x v="0"/>
    <n v="4"/>
    <x v="5"/>
    <x v="5"/>
    <x v="0"/>
    <x v="0"/>
    <n v="62"/>
    <x v="45"/>
    <x v="42"/>
    <s v="02 9936 8555"/>
    <s v="201 Miller Street"/>
    <s v="Level 15"/>
    <x v="36"/>
    <s v="NSW"/>
    <n v="2060"/>
    <x v="3"/>
    <x v="2"/>
    <s v="O'Hara"/>
    <s v="Anna"/>
    <x v="0"/>
  </r>
  <r>
    <n v="10180"/>
    <n v="21"/>
    <n v="50.36"/>
    <n v="3"/>
    <n v="1057.56"/>
    <d v="2003-11-11T00:00:00"/>
    <x v="0"/>
    <n v="4"/>
    <x v="5"/>
    <x v="5"/>
    <x v="0"/>
    <x v="0"/>
    <n v="62"/>
    <x v="45"/>
    <x v="6"/>
    <s v="20.16.1555"/>
    <s v="184, chausse de Tournai"/>
    <m/>
    <x v="6"/>
    <m/>
    <n v="59000"/>
    <x v="1"/>
    <x v="1"/>
    <s v="Rance"/>
    <s v="Martine"/>
    <x v="0"/>
  </r>
  <r>
    <n v="10191"/>
    <n v="43"/>
    <n v="72.739999999999995"/>
    <n v="9"/>
    <n v="3127.82"/>
    <d v="2003-11-20T00:00:00"/>
    <x v="0"/>
    <n v="4"/>
    <x v="5"/>
    <x v="5"/>
    <x v="0"/>
    <x v="0"/>
    <n v="62"/>
    <x v="45"/>
    <x v="68"/>
    <s v="0221-5554327"/>
    <s v="Mehrheimerstr. 369"/>
    <m/>
    <x v="55"/>
    <m/>
    <n v="50739"/>
    <x v="16"/>
    <x v="1"/>
    <s v="Pfalzheim"/>
    <s v="Henriette"/>
    <x v="1"/>
  </r>
  <r>
    <n v="10211"/>
    <n v="46"/>
    <n v="54.09"/>
    <n v="8"/>
    <n v="2488.14"/>
    <d v="2004-01-15T00:00:00"/>
    <x v="0"/>
    <n v="1"/>
    <x v="7"/>
    <x v="7"/>
    <x v="1"/>
    <x v="0"/>
    <n v="62"/>
    <x v="45"/>
    <x v="9"/>
    <s v="(1) 47.55.6555"/>
    <s v="25, rue Lauriston"/>
    <m/>
    <x v="2"/>
    <m/>
    <n v="75016"/>
    <x v="1"/>
    <x v="1"/>
    <s v="Perrier"/>
    <s v="Dominique"/>
    <x v="0"/>
  </r>
  <r>
    <n v="10224"/>
    <n v="38"/>
    <n v="58.44"/>
    <n v="1"/>
    <n v="2220.7199999999998"/>
    <d v="2004-02-21T00:00:00"/>
    <x v="0"/>
    <n v="1"/>
    <x v="0"/>
    <x v="0"/>
    <x v="1"/>
    <x v="0"/>
    <n v="62"/>
    <x v="45"/>
    <x v="6"/>
    <s v="20.16.1555"/>
    <s v="184, chausse de Tournai"/>
    <m/>
    <x v="6"/>
    <m/>
    <n v="59000"/>
    <x v="1"/>
    <x v="1"/>
    <s v="Rance"/>
    <s v="Martine"/>
    <x v="0"/>
  </r>
  <r>
    <n v="10237"/>
    <n v="26"/>
    <n v="52.22"/>
    <n v="1"/>
    <n v="1357.72"/>
    <d v="2004-04-05T00:00:00"/>
    <x v="0"/>
    <n v="2"/>
    <x v="8"/>
    <x v="8"/>
    <x v="1"/>
    <x v="0"/>
    <n v="62"/>
    <x v="45"/>
    <x v="11"/>
    <n v="2125551500"/>
    <s v="2678 Kingston Rd."/>
    <s v="Suite 101"/>
    <x v="0"/>
    <s v="NY"/>
    <n v="10022"/>
    <x v="0"/>
    <x v="0"/>
    <s v="Frick"/>
    <s v="Michael"/>
    <x v="0"/>
  </r>
  <r>
    <n v="10252"/>
    <n v="31"/>
    <n v="52.84"/>
    <n v="5"/>
    <n v="1638.04"/>
    <d v="2004-05-26T00:00:00"/>
    <x v="0"/>
    <n v="2"/>
    <x v="1"/>
    <x v="1"/>
    <x v="1"/>
    <x v="0"/>
    <n v="62"/>
    <x v="45"/>
    <x v="9"/>
    <s v="(1) 47.55.6555"/>
    <s v="25, rue Lauriston"/>
    <m/>
    <x v="2"/>
    <m/>
    <n v="75016"/>
    <x v="1"/>
    <x v="1"/>
    <s v="Perrier"/>
    <s v="Dominique"/>
    <x v="0"/>
  </r>
  <r>
    <n v="10264"/>
    <n v="48"/>
    <n v="54.71"/>
    <n v="3"/>
    <n v="2626.08"/>
    <d v="2004-06-30T00:00:00"/>
    <x v="0"/>
    <n v="2"/>
    <x v="9"/>
    <x v="9"/>
    <x v="1"/>
    <x v="0"/>
    <n v="62"/>
    <x v="45"/>
    <x v="58"/>
    <n v="6175559555"/>
    <s v="8616 Spinnaker Dr."/>
    <m/>
    <x v="48"/>
    <s v="MA"/>
    <n v="51003"/>
    <x v="0"/>
    <x v="0"/>
    <s v="Yoshido"/>
    <s v="Juri"/>
    <x v="0"/>
  </r>
  <r>
    <n v="10276"/>
    <n v="33"/>
    <n v="50.36"/>
    <n v="9"/>
    <n v="1661.88"/>
    <d v="2004-08-02T00:00:00"/>
    <x v="0"/>
    <n v="3"/>
    <x v="3"/>
    <x v="3"/>
    <x v="1"/>
    <x v="0"/>
    <n v="62"/>
    <x v="45"/>
    <x v="71"/>
    <n v="6175557555"/>
    <s v="7635 Spinnaker Dr."/>
    <m/>
    <x v="35"/>
    <s v="MA"/>
    <n v="58339"/>
    <x v="0"/>
    <x v="0"/>
    <s v="Barajas"/>
    <s v="Miguel"/>
    <x v="0"/>
  </r>
  <r>
    <n v="10286"/>
    <n v="38"/>
    <n v="57.2"/>
    <n v="1"/>
    <n v="2173.6"/>
    <d v="2004-08-28T00:00:00"/>
    <x v="0"/>
    <n v="3"/>
    <x v="3"/>
    <x v="3"/>
    <x v="1"/>
    <x v="0"/>
    <n v="62"/>
    <x v="45"/>
    <x v="62"/>
    <s v="(1) 42.34.2555"/>
    <s v="265, boulevard Charonne"/>
    <m/>
    <x v="2"/>
    <m/>
    <n v="75012"/>
    <x v="1"/>
    <x v="1"/>
    <s v="Bertrand"/>
    <s v="Marie"/>
    <x v="0"/>
  </r>
  <r>
    <n v="10299"/>
    <n v="39"/>
    <n v="55.95"/>
    <n v="3"/>
    <n v="2182.0500000000002"/>
    <d v="2004-09-30T00:00:00"/>
    <x v="0"/>
    <n v="3"/>
    <x v="10"/>
    <x v="10"/>
    <x v="1"/>
    <x v="0"/>
    <n v="62"/>
    <x v="45"/>
    <x v="16"/>
    <s v="90-224 8555"/>
    <s v="Keskuskatu 45"/>
    <m/>
    <x v="13"/>
    <m/>
    <n v="21240"/>
    <x v="4"/>
    <x v="1"/>
    <s v="Karttunen"/>
    <s v="Matti"/>
    <x v="0"/>
  </r>
  <r>
    <n v="10310"/>
    <n v="42"/>
    <n v="67.14"/>
    <n v="16"/>
    <n v="2819.88"/>
    <d v="2004-10-16T00:00:00"/>
    <x v="0"/>
    <n v="4"/>
    <x v="4"/>
    <x v="4"/>
    <x v="1"/>
    <x v="0"/>
    <n v="62"/>
    <x v="45"/>
    <x v="68"/>
    <s v="0221-5554327"/>
    <s v="Mehrheimerstr. 369"/>
    <m/>
    <x v="55"/>
    <m/>
    <n v="50739"/>
    <x v="16"/>
    <x v="1"/>
    <s v="Pfalzheim"/>
    <s v="Henriette"/>
    <x v="0"/>
  </r>
  <r>
    <n v="10319"/>
    <n v="44"/>
    <n v="59.06"/>
    <n v="4"/>
    <n v="2598.64"/>
    <d v="2004-11-03T00:00:00"/>
    <x v="0"/>
    <n v="4"/>
    <x v="5"/>
    <x v="5"/>
    <x v="1"/>
    <x v="0"/>
    <n v="62"/>
    <x v="45"/>
    <x v="79"/>
    <n v="2125551957"/>
    <s v="5290 North Pendale Street"/>
    <s v="Suite 200"/>
    <x v="0"/>
    <s v="NY"/>
    <n v="10022"/>
    <x v="0"/>
    <x v="0"/>
    <s v="Kuo"/>
    <s v="Kee"/>
    <x v="0"/>
  </r>
  <r>
    <n v="10330"/>
    <n v="29"/>
    <n v="69.63"/>
    <n v="2"/>
    <n v="2019.27"/>
    <d v="2004-11-16T00:00:00"/>
    <x v="0"/>
    <n v="4"/>
    <x v="5"/>
    <x v="5"/>
    <x v="1"/>
    <x v="0"/>
    <n v="62"/>
    <x v="45"/>
    <x v="66"/>
    <s v="+63 2 555 3587"/>
    <s v="15 McCallum Street - NatWest Center #13-03"/>
    <m/>
    <x v="53"/>
    <m/>
    <s v="1227 MM"/>
    <x v="15"/>
    <x v="3"/>
    <s v="Cruz"/>
    <s v="Arnold"/>
    <x v="0"/>
  </r>
  <r>
    <n v="10342"/>
    <n v="26"/>
    <n v="55.95"/>
    <n v="8"/>
    <n v="1454.7"/>
    <d v="2004-11-24T00:00:00"/>
    <x v="0"/>
    <n v="4"/>
    <x v="5"/>
    <x v="5"/>
    <x v="1"/>
    <x v="0"/>
    <n v="62"/>
    <x v="45"/>
    <x v="10"/>
    <s v="03 9520 4555"/>
    <s v="636 St Kilda Road"/>
    <s v="Level 3"/>
    <x v="8"/>
    <s v="Victoria"/>
    <n v="3004"/>
    <x v="3"/>
    <x v="2"/>
    <s v="Ferguson"/>
    <s v="Peter"/>
    <x v="0"/>
  </r>
  <r>
    <n v="10355"/>
    <n v="31"/>
    <n v="53.47"/>
    <n v="1"/>
    <n v="1657.57"/>
    <d v="2004-12-07T00:00:00"/>
    <x v="0"/>
    <n v="4"/>
    <x v="6"/>
    <x v="6"/>
    <x v="1"/>
    <x v="0"/>
    <n v="62"/>
    <x v="45"/>
    <x v="23"/>
    <s v="(91) 555 94 44"/>
    <s v="C/ Moralzarzal, 86"/>
    <m/>
    <x v="20"/>
    <m/>
    <n v="28034"/>
    <x v="7"/>
    <x v="1"/>
    <s v="Freyre"/>
    <s v="Diego"/>
    <x v="0"/>
  </r>
  <r>
    <n v="10363"/>
    <n v="32"/>
    <n v="89.12"/>
    <n v="12"/>
    <n v="2851.84"/>
    <d v="2005-01-06T00:00:00"/>
    <x v="0"/>
    <n v="1"/>
    <x v="7"/>
    <x v="7"/>
    <x v="2"/>
    <x v="0"/>
    <n v="62"/>
    <x v="45"/>
    <x v="73"/>
    <s v="+358 9 8045 555"/>
    <s v="Software Engineering Center, SEC Oy"/>
    <m/>
    <x v="59"/>
    <m/>
    <s v="FIN-02271"/>
    <x v="4"/>
    <x v="1"/>
    <s v="Suominen"/>
    <s v="Kalle"/>
    <x v="0"/>
  </r>
  <r>
    <n v="10378"/>
    <n v="28"/>
    <n v="100"/>
    <n v="9"/>
    <n v="4609.6400000000003"/>
    <d v="2005-02-10T00:00:00"/>
    <x v="0"/>
    <n v="1"/>
    <x v="0"/>
    <x v="0"/>
    <x v="2"/>
    <x v="0"/>
    <n v="62"/>
    <x v="45"/>
    <x v="23"/>
    <s v="(91) 555 94 44"/>
    <s v="C/ Moralzarzal, 86"/>
    <m/>
    <x v="20"/>
    <m/>
    <n v="28034"/>
    <x v="7"/>
    <x v="1"/>
    <s v="Freyre"/>
    <s v="Diego"/>
    <x v="1"/>
  </r>
  <r>
    <n v="10390"/>
    <n v="36"/>
    <n v="100"/>
    <n v="2"/>
    <n v="5079.96"/>
    <d v="2005-03-04T00:00:00"/>
    <x v="0"/>
    <n v="1"/>
    <x v="11"/>
    <x v="11"/>
    <x v="2"/>
    <x v="0"/>
    <n v="62"/>
    <x v="45"/>
    <x v="39"/>
    <n v="4155551450"/>
    <s v="5677 Strong St."/>
    <m/>
    <x v="33"/>
    <s v="CA"/>
    <n v="97562"/>
    <x v="0"/>
    <x v="0"/>
    <s v="Nelson"/>
    <s v="Valarie"/>
    <x v="1"/>
  </r>
  <r>
    <n v="10403"/>
    <n v="36"/>
    <n v="52.22"/>
    <n v="1"/>
    <n v="1879.92"/>
    <d v="2005-04-08T00:00:00"/>
    <x v="0"/>
    <n v="2"/>
    <x v="8"/>
    <x v="8"/>
    <x v="2"/>
    <x v="0"/>
    <n v="62"/>
    <x v="45"/>
    <x v="22"/>
    <s v="(171) 555-2282"/>
    <s v="Berkeley Gardens 12  Brewery"/>
    <m/>
    <x v="19"/>
    <m/>
    <s v="WX1 6LT"/>
    <x v="6"/>
    <x v="1"/>
    <s v="Devon"/>
    <s v="Elizabeth"/>
    <x v="0"/>
  </r>
  <r>
    <n v="10106"/>
    <n v="41"/>
    <n v="100"/>
    <n v="17"/>
    <n v="4774.8599999999997"/>
    <d v="2003-02-17T00:00:00"/>
    <x v="0"/>
    <n v="1"/>
    <x v="0"/>
    <x v="0"/>
    <x v="0"/>
    <x v="3"/>
    <n v="105"/>
    <x v="46"/>
    <x v="86"/>
    <s v="035-640555"/>
    <s v="Via Ludovico il Moro 22"/>
    <m/>
    <x v="69"/>
    <m/>
    <n v="24100"/>
    <x v="12"/>
    <x v="1"/>
    <s v="Rovelli"/>
    <s v="Giovanni"/>
    <x v="1"/>
  </r>
  <r>
    <n v="10119"/>
    <n v="27"/>
    <n v="99.52"/>
    <n v="8"/>
    <n v="2687.04"/>
    <d v="2003-04-28T00:00:00"/>
    <x v="0"/>
    <n v="2"/>
    <x v="8"/>
    <x v="8"/>
    <x v="0"/>
    <x v="3"/>
    <n v="105"/>
    <x v="46"/>
    <x v="19"/>
    <s v="6562-9555"/>
    <s v="Geislweg 14"/>
    <m/>
    <x v="16"/>
    <m/>
    <n v="5020"/>
    <x v="5"/>
    <x v="1"/>
    <s v="Pipps"/>
    <s v="Georg"/>
    <x v="0"/>
  </r>
  <r>
    <n v="10130"/>
    <n v="33"/>
    <n v="100"/>
    <n v="1"/>
    <n v="3423.75"/>
    <d v="2003-06-16T00:00:00"/>
    <x v="0"/>
    <n v="2"/>
    <x v="9"/>
    <x v="9"/>
    <x v="0"/>
    <x v="3"/>
    <n v="105"/>
    <x v="46"/>
    <x v="91"/>
    <n v="6175558428"/>
    <s v="16780 Pompton St."/>
    <m/>
    <x v="35"/>
    <s v="MA"/>
    <n v="58339"/>
    <x v="0"/>
    <x v="0"/>
    <s v="Taylor"/>
    <s v="Leslie"/>
    <x v="1"/>
  </r>
  <r>
    <n v="10143"/>
    <n v="34"/>
    <n v="100"/>
    <n v="12"/>
    <n v="3455.76"/>
    <d v="2003-08-10T00:00:00"/>
    <x v="0"/>
    <n v="3"/>
    <x v="3"/>
    <x v="3"/>
    <x v="0"/>
    <x v="3"/>
    <n v="105"/>
    <x v="46"/>
    <x v="50"/>
    <n v="5085559555"/>
    <s v="4575 Hillside Dr."/>
    <m/>
    <x v="18"/>
    <s v="MA"/>
    <n v="50553"/>
    <x v="0"/>
    <x v="0"/>
    <s v="Tam"/>
    <s v="Wing C"/>
    <x v="1"/>
  </r>
  <r>
    <n v="10155"/>
    <n v="29"/>
    <n v="100"/>
    <n v="10"/>
    <n v="3622.97"/>
    <d v="2003-10-06T00:00:00"/>
    <x v="0"/>
    <n v="4"/>
    <x v="4"/>
    <x v="4"/>
    <x v="0"/>
    <x v="3"/>
    <n v="105"/>
    <x v="46"/>
    <x v="16"/>
    <s v="90-224 8555"/>
    <s v="Keskuskatu 45"/>
    <m/>
    <x v="13"/>
    <m/>
    <n v="21240"/>
    <x v="4"/>
    <x v="1"/>
    <s v="Karttunen"/>
    <s v="Matti"/>
    <x v="1"/>
  </r>
  <r>
    <n v="10167"/>
    <n v="34"/>
    <n v="100"/>
    <n v="6"/>
    <n v="3599.58"/>
    <d v="2003-10-23T00:00:00"/>
    <x v="3"/>
    <n v="4"/>
    <x v="4"/>
    <x v="4"/>
    <x v="0"/>
    <x v="3"/>
    <n v="105"/>
    <x v="46"/>
    <x v="37"/>
    <s v="0695-34 6555"/>
    <s v="?kergatan 24"/>
    <m/>
    <x v="31"/>
    <m/>
    <s v="S-844 67"/>
    <x v="8"/>
    <x v="1"/>
    <s v="Larsson"/>
    <s v="Maria"/>
    <x v="1"/>
  </r>
  <r>
    <n v="10178"/>
    <n v="48"/>
    <n v="100"/>
    <n v="9"/>
    <n v="5386.56"/>
    <d v="2003-11-08T00:00:00"/>
    <x v="0"/>
    <n v="4"/>
    <x v="5"/>
    <x v="5"/>
    <x v="0"/>
    <x v="3"/>
    <n v="105"/>
    <x v="46"/>
    <x v="51"/>
    <s v="61.77.6555"/>
    <s v="1 rue Alsace-Lorraine"/>
    <m/>
    <x v="42"/>
    <m/>
    <n v="31000"/>
    <x v="1"/>
    <x v="1"/>
    <s v="Roulet"/>
    <s v="Annette"/>
    <x v="1"/>
  </r>
  <r>
    <n v="10186"/>
    <n v="46"/>
    <n v="100"/>
    <n v="6"/>
    <n v="4918.78"/>
    <d v="2003-11-14T00:00:00"/>
    <x v="0"/>
    <n v="4"/>
    <x v="5"/>
    <x v="5"/>
    <x v="0"/>
    <x v="3"/>
    <n v="105"/>
    <x v="46"/>
    <x v="52"/>
    <s v="(171) 555-7555"/>
    <s v="120 Hanover Sq."/>
    <m/>
    <x v="41"/>
    <m/>
    <s v="WA1 1DP"/>
    <x v="6"/>
    <x v="1"/>
    <s v="Hardy"/>
    <s v="Thomas"/>
    <x v="1"/>
  </r>
  <r>
    <n v="10197"/>
    <n v="22"/>
    <n v="100"/>
    <n v="3"/>
    <n v="2538.8000000000002"/>
    <d v="2003-11-26T00:00:00"/>
    <x v="0"/>
    <n v="4"/>
    <x v="5"/>
    <x v="5"/>
    <x v="0"/>
    <x v="3"/>
    <n v="105"/>
    <x v="46"/>
    <x v="53"/>
    <s v="(93) 203 4555"/>
    <s v="Rambla de Catalu¤a, 23"/>
    <m/>
    <x v="43"/>
    <m/>
    <n v="8022"/>
    <x v="7"/>
    <x v="1"/>
    <s v="Saavedra"/>
    <s v="Eduardo"/>
    <x v="0"/>
  </r>
  <r>
    <n v="10209"/>
    <n v="20"/>
    <n v="100"/>
    <n v="5"/>
    <n v="2498.6"/>
    <d v="2004-01-09T00:00:00"/>
    <x v="0"/>
    <n v="1"/>
    <x v="7"/>
    <x v="7"/>
    <x v="1"/>
    <x v="3"/>
    <n v="105"/>
    <x v="46"/>
    <x v="54"/>
    <n v="2155554369"/>
    <s v="6047 Douglas Av."/>
    <m/>
    <x v="44"/>
    <s v="CA"/>
    <m/>
    <x v="0"/>
    <x v="0"/>
    <s v="Chandler"/>
    <s v="Michael"/>
    <x v="0"/>
  </r>
  <r>
    <n v="10222"/>
    <n v="45"/>
    <n v="85.75"/>
    <n v="9"/>
    <n v="3858.75"/>
    <d v="2004-02-19T00:00:00"/>
    <x v="0"/>
    <n v="1"/>
    <x v="0"/>
    <x v="0"/>
    <x v="1"/>
    <x v="3"/>
    <n v="105"/>
    <x v="46"/>
    <x v="55"/>
    <n v="7605558146"/>
    <s v="361 Furth Circle"/>
    <m/>
    <x v="45"/>
    <s v="CA"/>
    <n v="91217"/>
    <x v="0"/>
    <x v="0"/>
    <s v="Thompson"/>
    <s v="Valarie"/>
    <x v="1"/>
  </r>
  <r>
    <n v="10249"/>
    <n v="46"/>
    <n v="100"/>
    <n v="5"/>
    <n v="5600.5"/>
    <d v="2004-05-08T00:00:00"/>
    <x v="0"/>
    <n v="2"/>
    <x v="1"/>
    <x v="1"/>
    <x v="1"/>
    <x v="3"/>
    <n v="105"/>
    <x v="46"/>
    <x v="33"/>
    <n v="6175555555"/>
    <s v="4658 Baden Av."/>
    <m/>
    <x v="12"/>
    <s v="MA"/>
    <n v="51247"/>
    <x v="0"/>
    <x v="0"/>
    <s v="Tseng"/>
    <s v="Kyung"/>
    <x v="1"/>
  </r>
  <r>
    <n v="10262"/>
    <n v="34"/>
    <n v="100"/>
    <n v="14"/>
    <n v="4103.46"/>
    <d v="2004-06-24T00:00:00"/>
    <x v="3"/>
    <n v="2"/>
    <x v="9"/>
    <x v="9"/>
    <x v="1"/>
    <x v="3"/>
    <n v="105"/>
    <x v="46"/>
    <x v="23"/>
    <s v="(91) 555 94 44"/>
    <s v="C/ Moralzarzal, 86"/>
    <m/>
    <x v="20"/>
    <m/>
    <n v="28034"/>
    <x v="7"/>
    <x v="1"/>
    <s v="Freyre"/>
    <s v="Diego"/>
    <x v="1"/>
  </r>
  <r>
    <n v="10273"/>
    <n v="50"/>
    <n v="85.75"/>
    <n v="1"/>
    <n v="4287.5"/>
    <d v="2004-07-21T00:00:00"/>
    <x v="0"/>
    <n v="3"/>
    <x v="2"/>
    <x v="2"/>
    <x v="1"/>
    <x v="3"/>
    <n v="105"/>
    <x v="46"/>
    <x v="56"/>
    <s v="(02) 5554 67"/>
    <s v="Rue Joseph-Bens 532"/>
    <m/>
    <x v="46"/>
    <m/>
    <s v="B-1180"/>
    <x v="14"/>
    <x v="1"/>
    <s v="Dewey"/>
    <s v="Catherine"/>
    <x v="1"/>
  </r>
  <r>
    <n v="10283"/>
    <n v="46"/>
    <n v="100"/>
    <n v="3"/>
    <n v="5795.54"/>
    <d v="2004-08-20T00:00:00"/>
    <x v="0"/>
    <n v="3"/>
    <x v="3"/>
    <x v="3"/>
    <x v="1"/>
    <x v="3"/>
    <n v="105"/>
    <x v="46"/>
    <x v="57"/>
    <s v="(604) 555-4555"/>
    <s v="23 Tsawassen Blvd."/>
    <m/>
    <x v="47"/>
    <s v="BC"/>
    <s v="T2F 8M4"/>
    <x v="10"/>
    <x v="0"/>
    <s v="Lincoln"/>
    <s v="Elizabeth"/>
    <x v="1"/>
  </r>
  <r>
    <n v="10296"/>
    <n v="22"/>
    <n v="84.7"/>
    <n v="12"/>
    <n v="1863.4"/>
    <d v="2004-09-15T00:00:00"/>
    <x v="0"/>
    <n v="3"/>
    <x v="10"/>
    <x v="10"/>
    <x v="1"/>
    <x v="3"/>
    <n v="105"/>
    <x v="46"/>
    <x v="89"/>
    <s v="+49 89 61 08 9555"/>
    <s v="Hansastr. 15"/>
    <m/>
    <x v="71"/>
    <m/>
    <n v="80686"/>
    <x v="16"/>
    <x v="1"/>
    <s v="Donnermeyer"/>
    <s v="Michael"/>
    <x v="0"/>
  </r>
  <r>
    <n v="10307"/>
    <n v="48"/>
    <n v="86.81"/>
    <n v="6"/>
    <n v="4166.88"/>
    <d v="2004-10-14T00:00:00"/>
    <x v="0"/>
    <n v="4"/>
    <x v="4"/>
    <x v="4"/>
    <x v="1"/>
    <x v="3"/>
    <n v="105"/>
    <x v="46"/>
    <x v="29"/>
    <n v="2155554695"/>
    <s v="782 First Street"/>
    <m/>
    <x v="24"/>
    <s v="PA"/>
    <n v="71270"/>
    <x v="0"/>
    <x v="0"/>
    <s v="Cervantes"/>
    <s v="Francisca"/>
    <x v="1"/>
  </r>
  <r>
    <n v="10316"/>
    <n v="47"/>
    <n v="86.81"/>
    <n v="14"/>
    <n v="4080.07"/>
    <d v="2004-11-01T00:00:00"/>
    <x v="0"/>
    <n v="4"/>
    <x v="5"/>
    <x v="5"/>
    <x v="1"/>
    <x v="3"/>
    <n v="105"/>
    <x v="46"/>
    <x v="59"/>
    <s v="(198) 555-8888"/>
    <s v="Garden House Crowther Way"/>
    <m/>
    <x v="49"/>
    <s v="Isle of Wight"/>
    <s v="PO31 7PJ"/>
    <x v="6"/>
    <x v="1"/>
    <s v="Bennett"/>
    <s v="Helen"/>
    <x v="1"/>
  </r>
  <r>
    <n v="10328"/>
    <n v="34"/>
    <n v="100"/>
    <n v="6"/>
    <n v="3815.48"/>
    <d v="2004-11-12T00:00:00"/>
    <x v="0"/>
    <n v="4"/>
    <x v="5"/>
    <x v="5"/>
    <x v="1"/>
    <x v="3"/>
    <n v="105"/>
    <x v="46"/>
    <x v="86"/>
    <s v="035-640555"/>
    <s v="Via Ludovico il Moro 22"/>
    <m/>
    <x v="69"/>
    <m/>
    <n v="24100"/>
    <x v="12"/>
    <x v="1"/>
    <s v="Rovelli"/>
    <s v="Giovanni"/>
    <x v="1"/>
  </r>
  <r>
    <n v="10338"/>
    <n v="45"/>
    <n v="100"/>
    <n v="2"/>
    <n v="5526.45"/>
    <d v="2004-11-22T00:00:00"/>
    <x v="0"/>
    <n v="4"/>
    <x v="5"/>
    <x v="5"/>
    <x v="1"/>
    <x v="3"/>
    <n v="105"/>
    <x v="46"/>
    <x v="90"/>
    <s v="(071) 23 67 2555"/>
    <s v="Boulevard Tirou, 255"/>
    <m/>
    <x v="72"/>
    <m/>
    <s v="B-6000"/>
    <x v="14"/>
    <x v="1"/>
    <s v="Cartrain"/>
    <s v="Pascale"/>
    <x v="1"/>
  </r>
  <r>
    <n v="10351"/>
    <n v="20"/>
    <n v="100"/>
    <n v="2"/>
    <n v="3374.6"/>
    <d v="2004-12-03T00:00:00"/>
    <x v="0"/>
    <n v="4"/>
    <x v="6"/>
    <x v="6"/>
    <x v="1"/>
    <x v="3"/>
    <n v="105"/>
    <x v="46"/>
    <x v="49"/>
    <s v="(171) 555-0297"/>
    <s v="35 King George"/>
    <m/>
    <x v="41"/>
    <m/>
    <s v="WX3 6FW"/>
    <x v="6"/>
    <x v="1"/>
    <s v="Brown"/>
    <s v="Ann"/>
    <x v="1"/>
  </r>
  <r>
    <n v="10373"/>
    <n v="50"/>
    <n v="60.49"/>
    <n v="6"/>
    <n v="3024.5"/>
    <d v="2005-01-31T00:00:00"/>
    <x v="0"/>
    <n v="1"/>
    <x v="7"/>
    <x v="7"/>
    <x v="2"/>
    <x v="3"/>
    <n v="105"/>
    <x v="46"/>
    <x v="60"/>
    <s v="981-443655"/>
    <s v="Torikatu 38"/>
    <m/>
    <x v="50"/>
    <m/>
    <n v="90110"/>
    <x v="4"/>
    <x v="1"/>
    <s v="Koskitalo"/>
    <s v="Pirkko"/>
    <x v="1"/>
  </r>
  <r>
    <n v="10386"/>
    <n v="22"/>
    <n v="57.55"/>
    <n v="6"/>
    <n v="1266.0999999999999"/>
    <d v="2005-03-01T00:00:00"/>
    <x v="5"/>
    <n v="1"/>
    <x v="11"/>
    <x v="11"/>
    <x v="2"/>
    <x v="3"/>
    <n v="105"/>
    <x v="46"/>
    <x v="23"/>
    <s v="(91) 555 94 44"/>
    <s v="C/ Moralzarzal, 86"/>
    <m/>
    <x v="20"/>
    <m/>
    <n v="28034"/>
    <x v="7"/>
    <x v="1"/>
    <s v="Freyre"/>
    <s v="Diego"/>
    <x v="0"/>
  </r>
  <r>
    <n v="10398"/>
    <n v="45"/>
    <n v="100"/>
    <n v="17"/>
    <n v="4811.8500000000004"/>
    <d v="2005-03-30T00:00:00"/>
    <x v="0"/>
    <n v="1"/>
    <x v="11"/>
    <x v="11"/>
    <x v="2"/>
    <x v="3"/>
    <n v="105"/>
    <x v="46"/>
    <x v="1"/>
    <s v="26.47.1555"/>
    <s v="59 rue de l'Abbaye"/>
    <m/>
    <x v="1"/>
    <m/>
    <n v="51100"/>
    <x v="1"/>
    <x v="1"/>
    <s v="Henriot"/>
    <s v="Paul"/>
    <x v="1"/>
  </r>
  <r>
    <n v="10400"/>
    <n v="58"/>
    <n v="100"/>
    <n v="6"/>
    <n v="7307.42"/>
    <d v="2005-04-01T00:00:00"/>
    <x v="0"/>
    <n v="2"/>
    <x v="8"/>
    <x v="8"/>
    <x v="2"/>
    <x v="3"/>
    <n v="105"/>
    <x v="46"/>
    <x v="61"/>
    <n v="4085553659"/>
    <s v="3086 Ingle Ln."/>
    <m/>
    <x v="51"/>
    <s v="CA"/>
    <n v="94217"/>
    <x v="0"/>
    <x v="0"/>
    <s v="Frick"/>
    <s v="Sue"/>
    <x v="2"/>
  </r>
  <r>
    <n v="10415"/>
    <n v="51"/>
    <n v="100"/>
    <n v="5"/>
    <n v="6209.25"/>
    <d v="2005-05-09T00:00:00"/>
    <x v="1"/>
    <n v="2"/>
    <x v="1"/>
    <x v="1"/>
    <x v="2"/>
    <x v="3"/>
    <n v="105"/>
    <x v="46"/>
    <x v="87"/>
    <s v="61-9-3844-6555"/>
    <s v="7 Allen Street"/>
    <m/>
    <x v="70"/>
    <s v="Victoria"/>
    <n v="3150"/>
    <x v="3"/>
    <x v="2"/>
    <s v="Connery"/>
    <s v="Sean"/>
    <x v="1"/>
  </r>
  <r>
    <n v="10104"/>
    <n v="38"/>
    <n v="100"/>
    <n v="3"/>
    <n v="5348.5"/>
    <d v="2003-01-31T00:00:00"/>
    <x v="0"/>
    <n v="1"/>
    <x v="7"/>
    <x v="7"/>
    <x v="0"/>
    <x v="1"/>
    <n v="143"/>
    <x v="47"/>
    <x v="23"/>
    <s v="(91) 555 94 44"/>
    <s v="C/ Moralzarzal, 86"/>
    <m/>
    <x v="20"/>
    <m/>
    <n v="28034"/>
    <x v="7"/>
    <x v="1"/>
    <s v="Freyre"/>
    <s v="Diego"/>
    <x v="1"/>
  </r>
  <r>
    <n v="10117"/>
    <n v="22"/>
    <n v="100"/>
    <n v="12"/>
    <n v="2780.58"/>
    <d v="2003-04-16T00:00:00"/>
    <x v="0"/>
    <n v="2"/>
    <x v="8"/>
    <x v="8"/>
    <x v="0"/>
    <x v="1"/>
    <n v="143"/>
    <x v="47"/>
    <x v="26"/>
    <s v="+65 221 7555"/>
    <s v="Bronz Sok., Bronz Apt. 3/6 Tesvikiye"/>
    <m/>
    <x v="22"/>
    <m/>
    <n v="79903"/>
    <x v="9"/>
    <x v="3"/>
    <s v="Natividad"/>
    <s v="Eric"/>
    <x v="0"/>
  </r>
  <r>
    <n v="10127"/>
    <n v="25"/>
    <n v="100"/>
    <n v="5"/>
    <n v="3447"/>
    <d v="2003-06-03T00:00:00"/>
    <x v="0"/>
    <n v="2"/>
    <x v="9"/>
    <x v="9"/>
    <x v="0"/>
    <x v="1"/>
    <n v="143"/>
    <x v="47"/>
    <x v="74"/>
    <n v="2125557413"/>
    <s v="4092 Furth Circle"/>
    <s v="Suite 400"/>
    <x v="0"/>
    <s v="NY"/>
    <n v="10022"/>
    <x v="0"/>
    <x v="0"/>
    <s v="Young"/>
    <s v="Jeff"/>
    <x v="1"/>
  </r>
  <r>
    <n v="10142"/>
    <n v="24"/>
    <n v="100"/>
    <n v="15"/>
    <n v="3791.52"/>
    <d v="2003-08-08T00:00:00"/>
    <x v="0"/>
    <n v="3"/>
    <x v="3"/>
    <x v="3"/>
    <x v="0"/>
    <x v="1"/>
    <n v="143"/>
    <x v="47"/>
    <x v="39"/>
    <n v="4155551450"/>
    <s v="5677 Strong St."/>
    <m/>
    <x v="33"/>
    <s v="CA"/>
    <n v="97562"/>
    <x v="0"/>
    <x v="0"/>
    <s v="Nelson"/>
    <s v="Valarie"/>
    <x v="1"/>
  </r>
  <r>
    <n v="10152"/>
    <n v="35"/>
    <n v="100"/>
    <n v="1"/>
    <n v="4524.1000000000004"/>
    <d v="2003-09-25T00:00:00"/>
    <x v="0"/>
    <n v="3"/>
    <x v="10"/>
    <x v="10"/>
    <x v="0"/>
    <x v="1"/>
    <n v="143"/>
    <x v="47"/>
    <x v="28"/>
    <s v="61-7-3844-6555"/>
    <s v="31 Duncan St. West End"/>
    <m/>
    <x v="23"/>
    <s v="Queensland"/>
    <n v="4101"/>
    <x v="3"/>
    <x v="2"/>
    <s v="Calaghan"/>
    <s v="Tony"/>
    <x v="1"/>
  </r>
  <r>
    <n v="10165"/>
    <n v="28"/>
    <n v="100"/>
    <n v="6"/>
    <n v="3337.6"/>
    <d v="2003-10-22T00:00:00"/>
    <x v="0"/>
    <n v="4"/>
    <x v="4"/>
    <x v="4"/>
    <x v="0"/>
    <x v="1"/>
    <n v="143"/>
    <x v="47"/>
    <x v="26"/>
    <s v="+65 221 7555"/>
    <s v="Bronz Sok., Bronz Apt. 3/6 Tesvikiye"/>
    <m/>
    <x v="22"/>
    <m/>
    <n v="79903"/>
    <x v="9"/>
    <x v="3"/>
    <s v="Natividad"/>
    <s v="Eric"/>
    <x v="1"/>
  </r>
  <r>
    <n v="10176"/>
    <n v="36"/>
    <n v="100"/>
    <n v="5"/>
    <n v="5532.12"/>
    <d v="2003-11-06T00:00:00"/>
    <x v="0"/>
    <n v="4"/>
    <x v="5"/>
    <x v="5"/>
    <x v="0"/>
    <x v="1"/>
    <n v="143"/>
    <x v="47"/>
    <x v="70"/>
    <s v="0522-556555"/>
    <s v="Strada Provinciale 124"/>
    <m/>
    <x v="57"/>
    <m/>
    <n v="42100"/>
    <x v="12"/>
    <x v="1"/>
    <s v="Moroni"/>
    <s v="Maurizio"/>
    <x v="1"/>
  </r>
  <r>
    <n v="10185"/>
    <n v="39"/>
    <n v="100"/>
    <n v="16"/>
    <n v="5096.91"/>
    <d v="2003-11-14T00:00:00"/>
    <x v="0"/>
    <n v="4"/>
    <x v="5"/>
    <x v="5"/>
    <x v="0"/>
    <x v="1"/>
    <n v="143"/>
    <x v="47"/>
    <x v="50"/>
    <n v="5085559555"/>
    <s v="4575 Hillside Dr."/>
    <m/>
    <x v="18"/>
    <s v="MA"/>
    <n v="50553"/>
    <x v="0"/>
    <x v="0"/>
    <s v="Tam"/>
    <s v="Wing C"/>
    <x v="1"/>
  </r>
  <r>
    <n v="10196"/>
    <n v="27"/>
    <n v="100"/>
    <n v="8"/>
    <n v="4537.08"/>
    <d v="2003-11-26T00:00:00"/>
    <x v="0"/>
    <n v="4"/>
    <x v="5"/>
    <x v="5"/>
    <x v="0"/>
    <x v="1"/>
    <n v="143"/>
    <x v="47"/>
    <x v="34"/>
    <n v="2035559545"/>
    <s v="567 North Pendale Street"/>
    <m/>
    <x v="28"/>
    <s v="CT"/>
    <n v="97823"/>
    <x v="0"/>
    <x v="0"/>
    <s v="Murphy"/>
    <s v="Leslie"/>
    <x v="1"/>
  </r>
  <r>
    <n v="10207"/>
    <n v="40"/>
    <n v="100"/>
    <n v="1"/>
    <n v="6146.8"/>
    <d v="2003-12-09T00:00:00"/>
    <x v="0"/>
    <n v="4"/>
    <x v="6"/>
    <x v="6"/>
    <x v="0"/>
    <x v="1"/>
    <n v="143"/>
    <x v="47"/>
    <x v="64"/>
    <n v="6175552555"/>
    <s v="6251 Ingle Ln."/>
    <m/>
    <x v="48"/>
    <s v="MA"/>
    <n v="51003"/>
    <x v="0"/>
    <x v="0"/>
    <s v="Franco"/>
    <s v="Valarie"/>
    <x v="1"/>
  </r>
  <r>
    <n v="10220"/>
    <n v="50"/>
    <n v="100"/>
    <n v="5"/>
    <n v="8258"/>
    <d v="2004-02-12T00:00:00"/>
    <x v="0"/>
    <n v="1"/>
    <x v="0"/>
    <x v="0"/>
    <x v="1"/>
    <x v="1"/>
    <n v="143"/>
    <x v="47"/>
    <x v="75"/>
    <s v="+353 1862 1555"/>
    <s v="25 Maiden Lane"/>
    <s v="Floor No. 4"/>
    <x v="60"/>
    <m/>
    <n v="2"/>
    <x v="18"/>
    <x v="1"/>
    <s v="Cassidy"/>
    <s v="Dean"/>
    <x v="2"/>
  </r>
  <r>
    <n v="10230"/>
    <n v="42"/>
    <n v="100"/>
    <n v="3"/>
    <n v="7238.28"/>
    <d v="2004-03-15T00:00:00"/>
    <x v="0"/>
    <n v="1"/>
    <x v="11"/>
    <x v="11"/>
    <x v="1"/>
    <x v="1"/>
    <n v="143"/>
    <x v="47"/>
    <x v="72"/>
    <s v="+49 69 66 90 2555"/>
    <s v="Lyonerstr. 34"/>
    <m/>
    <x v="58"/>
    <m/>
    <n v="60528"/>
    <x v="16"/>
    <x v="1"/>
    <s v="Keitel"/>
    <s v="Roland"/>
    <x v="2"/>
  </r>
  <r>
    <n v="10247"/>
    <n v="48"/>
    <n v="100"/>
    <n v="5"/>
    <n v="6756"/>
    <d v="2004-05-05T00:00:00"/>
    <x v="0"/>
    <n v="2"/>
    <x v="1"/>
    <x v="1"/>
    <x v="1"/>
    <x v="1"/>
    <n v="143"/>
    <x v="47"/>
    <x v="73"/>
    <s v="+358 9 8045 555"/>
    <s v="Software Engineering Center, SEC Oy"/>
    <m/>
    <x v="59"/>
    <m/>
    <s v="FIN-02271"/>
    <x v="4"/>
    <x v="1"/>
    <s v="Suominen"/>
    <s v="Kalle"/>
    <x v="1"/>
  </r>
  <r>
    <n v="10272"/>
    <n v="25"/>
    <n v="100"/>
    <n v="5"/>
    <n v="3734"/>
    <d v="2004-07-20T00:00:00"/>
    <x v="0"/>
    <n v="3"/>
    <x v="2"/>
    <x v="2"/>
    <x v="1"/>
    <x v="1"/>
    <n v="143"/>
    <x v="47"/>
    <x v="18"/>
    <n v="2155551555"/>
    <s v="7586 Pompton St."/>
    <m/>
    <x v="15"/>
    <s v="PA"/>
    <n v="70267"/>
    <x v="0"/>
    <x v="0"/>
    <s v="Yu"/>
    <s v="Kyung"/>
    <x v="1"/>
  </r>
  <r>
    <n v="10282"/>
    <n v="31"/>
    <n v="100"/>
    <n v="8"/>
    <n v="4674.8"/>
    <d v="2004-08-20T00:00:00"/>
    <x v="0"/>
    <n v="3"/>
    <x v="3"/>
    <x v="3"/>
    <x v="1"/>
    <x v="1"/>
    <n v="143"/>
    <x v="47"/>
    <x v="39"/>
    <n v="4155551450"/>
    <s v="5677 Strong St."/>
    <m/>
    <x v="33"/>
    <s v="CA"/>
    <n v="97562"/>
    <x v="0"/>
    <x v="0"/>
    <s v="Nelson"/>
    <s v="Valarie"/>
    <x v="1"/>
  </r>
  <r>
    <n v="10292"/>
    <n v="44"/>
    <n v="100"/>
    <n v="2"/>
    <n v="7140.76"/>
    <d v="2004-09-08T00:00:00"/>
    <x v="0"/>
    <n v="3"/>
    <x v="10"/>
    <x v="10"/>
    <x v="1"/>
    <x v="1"/>
    <n v="143"/>
    <x v="47"/>
    <x v="0"/>
    <n v="2125557818"/>
    <s v="897 Long Airport Avenue"/>
    <m/>
    <x v="0"/>
    <s v="NY"/>
    <n v="10022"/>
    <x v="0"/>
    <x v="0"/>
    <s v="Yu"/>
    <s v="Kwai"/>
    <x v="2"/>
  </r>
  <r>
    <n v="10306"/>
    <n v="23"/>
    <n v="100"/>
    <n v="16"/>
    <n v="3600.65"/>
    <d v="2004-10-14T00:00:00"/>
    <x v="0"/>
    <n v="4"/>
    <x v="4"/>
    <x v="4"/>
    <x v="1"/>
    <x v="1"/>
    <n v="143"/>
    <x v="47"/>
    <x v="77"/>
    <s v="(171) 555-1555"/>
    <s v="Fauntleroy Circus"/>
    <m/>
    <x v="61"/>
    <m/>
    <s v="EC2 5NT"/>
    <x v="6"/>
    <x v="1"/>
    <s v="Ashworth"/>
    <s v="Victoria"/>
    <x v="1"/>
  </r>
  <r>
    <n v="10314"/>
    <n v="29"/>
    <n v="100"/>
    <n v="8"/>
    <n v="4206.74"/>
    <d v="2004-10-22T00:00:00"/>
    <x v="0"/>
    <n v="4"/>
    <x v="4"/>
    <x v="4"/>
    <x v="1"/>
    <x v="1"/>
    <n v="143"/>
    <x v="47"/>
    <x v="78"/>
    <s v="86 21 3555"/>
    <s v="Smagsloget 45"/>
    <m/>
    <x v="62"/>
    <m/>
    <n v="8200"/>
    <x v="13"/>
    <x v="1"/>
    <s v="Ibsen"/>
    <s v="Palle"/>
    <x v="1"/>
  </r>
  <r>
    <n v="10324"/>
    <n v="49"/>
    <n v="100"/>
    <n v="13"/>
    <n v="5379.71"/>
    <d v="2004-11-05T00:00:00"/>
    <x v="0"/>
    <n v="4"/>
    <x v="5"/>
    <x v="5"/>
    <x v="1"/>
    <x v="1"/>
    <n v="143"/>
    <x v="47"/>
    <x v="11"/>
    <n v="2125551500"/>
    <s v="2678 Kingston Rd."/>
    <s v="Suite 101"/>
    <x v="0"/>
    <s v="NY"/>
    <n v="10022"/>
    <x v="0"/>
    <x v="0"/>
    <s v="Frick"/>
    <s v="Michael"/>
    <x v="1"/>
  </r>
  <r>
    <n v="10337"/>
    <n v="36"/>
    <n v="100"/>
    <n v="3"/>
    <n v="5679.36"/>
    <d v="2004-11-21T00:00:00"/>
    <x v="0"/>
    <n v="4"/>
    <x v="5"/>
    <x v="5"/>
    <x v="1"/>
    <x v="1"/>
    <n v="143"/>
    <x v="47"/>
    <x v="27"/>
    <n v="2125558493"/>
    <s v="5905 Pompton St."/>
    <s v="Suite 750"/>
    <x v="0"/>
    <s v="NY"/>
    <n v="10022"/>
    <x v="0"/>
    <x v="0"/>
    <s v="Hernandez"/>
    <s v="Maria"/>
    <x v="1"/>
  </r>
  <r>
    <n v="10349"/>
    <n v="34"/>
    <n v="100"/>
    <n v="5"/>
    <n v="4394.84"/>
    <d v="2004-12-01T00:00:00"/>
    <x v="0"/>
    <n v="4"/>
    <x v="6"/>
    <x v="6"/>
    <x v="1"/>
    <x v="1"/>
    <n v="143"/>
    <x v="47"/>
    <x v="74"/>
    <n v="2125557413"/>
    <s v="4092 Furth Circle"/>
    <s v="Suite 400"/>
    <x v="0"/>
    <s v="NY"/>
    <n v="10022"/>
    <x v="0"/>
    <x v="0"/>
    <s v="Young"/>
    <s v="Jeff"/>
    <x v="1"/>
  </r>
  <r>
    <n v="10358"/>
    <n v="25"/>
    <n v="100"/>
    <n v="13"/>
    <n v="2528.25"/>
    <d v="2004-12-10T00:00:00"/>
    <x v="0"/>
    <n v="4"/>
    <x v="6"/>
    <x v="6"/>
    <x v="1"/>
    <x v="1"/>
    <n v="143"/>
    <x v="47"/>
    <x v="23"/>
    <s v="(91) 555 94 44"/>
    <s v="C/ Moralzarzal, 86"/>
    <m/>
    <x v="20"/>
    <m/>
    <n v="28034"/>
    <x v="7"/>
    <x v="1"/>
    <s v="Freyre"/>
    <s v="Diego"/>
    <x v="0"/>
  </r>
  <r>
    <n v="10372"/>
    <n v="48"/>
    <n v="100"/>
    <n v="6"/>
    <n v="7031.52"/>
    <d v="2005-01-26T00:00:00"/>
    <x v="0"/>
    <n v="1"/>
    <x v="7"/>
    <x v="7"/>
    <x v="2"/>
    <x v="1"/>
    <n v="143"/>
    <x v="47"/>
    <x v="35"/>
    <s v="+81 3 3584 0555"/>
    <s v="2-2-8 Roppongi"/>
    <m/>
    <x v="29"/>
    <s v="Tokyo"/>
    <s v="106-0032"/>
    <x v="11"/>
    <x v="3"/>
    <s v="Shimamura"/>
    <s v="Akiko"/>
    <x v="2"/>
  </r>
  <r>
    <n v="10383"/>
    <n v="38"/>
    <n v="100"/>
    <n v="1"/>
    <n v="5340.9"/>
    <d v="2005-02-22T00:00:00"/>
    <x v="0"/>
    <n v="1"/>
    <x v="0"/>
    <x v="0"/>
    <x v="2"/>
    <x v="1"/>
    <n v="143"/>
    <x v="47"/>
    <x v="23"/>
    <s v="(91) 555 94 44"/>
    <s v="C/ Moralzarzal, 86"/>
    <m/>
    <x v="20"/>
    <m/>
    <n v="28034"/>
    <x v="7"/>
    <x v="1"/>
    <s v="Freyre"/>
    <s v="Diego"/>
    <x v="1"/>
  </r>
  <r>
    <n v="10394"/>
    <n v="37"/>
    <n v="100"/>
    <n v="1"/>
    <n v="6376.58"/>
    <d v="2005-03-15T00:00:00"/>
    <x v="0"/>
    <n v="1"/>
    <x v="11"/>
    <x v="11"/>
    <x v="2"/>
    <x v="1"/>
    <n v="143"/>
    <x v="47"/>
    <x v="23"/>
    <s v="(91) 555 94 44"/>
    <s v="C/ Moralzarzal, 86"/>
    <m/>
    <x v="20"/>
    <m/>
    <n v="28034"/>
    <x v="7"/>
    <x v="1"/>
    <s v="Freyre"/>
    <s v="Diego"/>
    <x v="1"/>
  </r>
  <r>
    <n v="10413"/>
    <n v="49"/>
    <n v="100"/>
    <n v="5"/>
    <n v="6896.75"/>
    <d v="2005-05-05T00:00:00"/>
    <x v="0"/>
    <n v="2"/>
    <x v="1"/>
    <x v="1"/>
    <x v="2"/>
    <x v="1"/>
    <n v="143"/>
    <x v="47"/>
    <x v="13"/>
    <n v="2035552570"/>
    <s v="25593 South Bay Ln."/>
    <m/>
    <x v="10"/>
    <s v="CT"/>
    <n v="97562"/>
    <x v="0"/>
    <x v="0"/>
    <s v="King"/>
    <s v="Julie"/>
    <x v="1"/>
  </r>
  <r>
    <n v="10100"/>
    <n v="22"/>
    <n v="86.51"/>
    <n v="4"/>
    <n v="1903.22"/>
    <d v="2003-01-06T00:00:00"/>
    <x v="0"/>
    <n v="1"/>
    <x v="7"/>
    <x v="7"/>
    <x v="0"/>
    <x v="3"/>
    <n v="92"/>
    <x v="48"/>
    <x v="40"/>
    <n v="6035558647"/>
    <s v="2304 Long Airport Avenue"/>
    <m/>
    <x v="34"/>
    <s v="NH"/>
    <n v="62005"/>
    <x v="0"/>
    <x v="0"/>
    <s v="Young"/>
    <s v="Valarie"/>
    <x v="0"/>
  </r>
  <r>
    <n v="10110"/>
    <n v="28"/>
    <n v="89.27"/>
    <n v="8"/>
    <n v="2499.56"/>
    <d v="2003-03-18T00:00:00"/>
    <x v="0"/>
    <n v="1"/>
    <x v="11"/>
    <x v="11"/>
    <x v="0"/>
    <x v="3"/>
    <n v="92"/>
    <x v="48"/>
    <x v="77"/>
    <s v="(171) 555-1555"/>
    <s v="Fauntleroy Circus"/>
    <m/>
    <x v="61"/>
    <m/>
    <s v="EC2 5NT"/>
    <x v="6"/>
    <x v="1"/>
    <s v="Ashworth"/>
    <s v="Victoria"/>
    <x v="0"/>
  </r>
  <r>
    <n v="10124"/>
    <n v="36"/>
    <n v="85.59"/>
    <n v="7"/>
    <n v="3081.24"/>
    <d v="2003-05-21T00:00:00"/>
    <x v="0"/>
    <n v="2"/>
    <x v="1"/>
    <x v="1"/>
    <x v="0"/>
    <x v="3"/>
    <n v="92"/>
    <x v="48"/>
    <x v="84"/>
    <n v="7025551838"/>
    <s v="8489 Strong St."/>
    <m/>
    <x v="67"/>
    <s v="NV"/>
    <n v="83030"/>
    <x v="0"/>
    <x v="0"/>
    <s v="King"/>
    <s v="Sue"/>
    <x v="1"/>
  </r>
  <r>
    <n v="10148"/>
    <n v="34"/>
    <n v="100"/>
    <n v="1"/>
    <n v="3598.22"/>
    <d v="2003-09-11T00:00:00"/>
    <x v="0"/>
    <n v="3"/>
    <x v="10"/>
    <x v="10"/>
    <x v="0"/>
    <x v="3"/>
    <n v="92"/>
    <x v="48"/>
    <x v="42"/>
    <s v="02 9936 8555"/>
    <s v="201 Miller Street"/>
    <s v="Level 15"/>
    <x v="36"/>
    <s v="NSW"/>
    <n v="2060"/>
    <x v="3"/>
    <x v="2"/>
    <s v="O'Hara"/>
    <s v="Anna"/>
    <x v="1"/>
  </r>
  <r>
    <n v="10162"/>
    <n v="39"/>
    <n v="100"/>
    <n v="10"/>
    <n v="3912.09"/>
    <d v="2003-10-18T00:00:00"/>
    <x v="0"/>
    <n v="4"/>
    <x v="4"/>
    <x v="4"/>
    <x v="0"/>
    <x v="3"/>
    <n v="92"/>
    <x v="48"/>
    <x v="4"/>
    <n v="6505551386"/>
    <s v="7734 Strong St."/>
    <m/>
    <x v="4"/>
    <s v="CA"/>
    <m/>
    <x v="0"/>
    <x v="0"/>
    <s v="Brown"/>
    <s v="Julie"/>
    <x v="1"/>
  </r>
  <r>
    <n v="10173"/>
    <n v="21"/>
    <n v="75.459999999999994"/>
    <n v="14"/>
    <n v="1584.66"/>
    <d v="2003-11-05T00:00:00"/>
    <x v="0"/>
    <n v="4"/>
    <x v="5"/>
    <x v="5"/>
    <x v="0"/>
    <x v="3"/>
    <n v="92"/>
    <x v="48"/>
    <x v="86"/>
    <s v="035-640555"/>
    <s v="Via Ludovico il Moro 22"/>
    <m/>
    <x v="69"/>
    <m/>
    <n v="24100"/>
    <x v="12"/>
    <x v="1"/>
    <s v="Rovelli"/>
    <s v="Giovanni"/>
    <x v="0"/>
  </r>
  <r>
    <n v="10182"/>
    <n v="36"/>
    <n v="100"/>
    <n v="11"/>
    <n v="3942.72"/>
    <d v="2003-11-12T00:00:00"/>
    <x v="0"/>
    <n v="4"/>
    <x v="5"/>
    <x v="5"/>
    <x v="0"/>
    <x v="3"/>
    <n v="92"/>
    <x v="48"/>
    <x v="39"/>
    <n v="4155551450"/>
    <s v="5677 Strong St."/>
    <m/>
    <x v="33"/>
    <s v="CA"/>
    <n v="97562"/>
    <x v="0"/>
    <x v="0"/>
    <s v="Nelson"/>
    <s v="Valarie"/>
    <x v="1"/>
  </r>
  <r>
    <n v="10193"/>
    <n v="24"/>
    <n v="97.55"/>
    <n v="15"/>
    <n v="2341.1999999999998"/>
    <d v="2003-11-21T00:00:00"/>
    <x v="0"/>
    <n v="4"/>
    <x v="5"/>
    <x v="5"/>
    <x v="0"/>
    <x v="3"/>
    <n v="92"/>
    <x v="48"/>
    <x v="87"/>
    <s v="61-9-3844-6555"/>
    <s v="7 Allen Street"/>
    <m/>
    <x v="70"/>
    <s v="Victoria"/>
    <n v="3150"/>
    <x v="3"/>
    <x v="2"/>
    <s v="Connery"/>
    <s v="Sean"/>
    <x v="0"/>
  </r>
  <r>
    <n v="10204"/>
    <n v="29"/>
    <n v="85.59"/>
    <n v="5"/>
    <n v="2482.11"/>
    <d v="2003-12-02T00:00:00"/>
    <x v="0"/>
    <n v="4"/>
    <x v="6"/>
    <x v="6"/>
    <x v="0"/>
    <x v="3"/>
    <n v="92"/>
    <x v="48"/>
    <x v="74"/>
    <n v="2125557413"/>
    <s v="4092 Furth Circle"/>
    <s v="Suite 400"/>
    <x v="0"/>
    <s v="NY"/>
    <n v="10022"/>
    <x v="0"/>
    <x v="0"/>
    <s v="Young"/>
    <s v="Jeff"/>
    <x v="0"/>
  </r>
  <r>
    <n v="10213"/>
    <n v="38"/>
    <n v="94.79"/>
    <n v="1"/>
    <n v="3602.02"/>
    <d v="2004-01-22T00:00:00"/>
    <x v="0"/>
    <n v="1"/>
    <x v="7"/>
    <x v="7"/>
    <x v="1"/>
    <x v="3"/>
    <n v="92"/>
    <x v="48"/>
    <x v="52"/>
    <s v="(171) 555-7555"/>
    <s v="120 Hanover Sq."/>
    <m/>
    <x v="41"/>
    <m/>
    <s v="WA1 1DP"/>
    <x v="6"/>
    <x v="1"/>
    <s v="Hardy"/>
    <s v="Thomas"/>
    <x v="1"/>
  </r>
  <r>
    <n v="10227"/>
    <n v="34"/>
    <n v="100"/>
    <n v="11"/>
    <n v="3566.94"/>
    <d v="2004-03-02T00:00:00"/>
    <x v="0"/>
    <n v="1"/>
    <x v="11"/>
    <x v="11"/>
    <x v="1"/>
    <x v="3"/>
    <n v="92"/>
    <x v="48"/>
    <x v="30"/>
    <s v="78.32.5555"/>
    <s v="2, rue du Commerce"/>
    <m/>
    <x v="25"/>
    <m/>
    <n v="69004"/>
    <x v="1"/>
    <x v="1"/>
    <s v="Saveley"/>
    <s v="Mary"/>
    <x v="1"/>
  </r>
  <r>
    <n v="10241"/>
    <n v="42"/>
    <n v="90.19"/>
    <n v="3"/>
    <n v="3787.98"/>
    <d v="2004-04-13T00:00:00"/>
    <x v="0"/>
    <n v="2"/>
    <x v="8"/>
    <x v="8"/>
    <x v="1"/>
    <x v="3"/>
    <n v="92"/>
    <x v="48"/>
    <x v="83"/>
    <s v="88.60.1555"/>
    <s v="24, place Kluber"/>
    <m/>
    <x v="66"/>
    <m/>
    <n v="67000"/>
    <x v="1"/>
    <x v="1"/>
    <s v="Citeaux"/>
    <s v="Frederique"/>
    <x v="1"/>
  </r>
  <r>
    <n v="10280"/>
    <n v="35"/>
    <n v="100"/>
    <n v="17"/>
    <n v="3704.05"/>
    <d v="2004-08-17T00:00:00"/>
    <x v="0"/>
    <n v="3"/>
    <x v="3"/>
    <x v="3"/>
    <x v="1"/>
    <x v="3"/>
    <n v="92"/>
    <x v="48"/>
    <x v="36"/>
    <s v="011-4988555"/>
    <s v="Via Monte Bianco 34"/>
    <m/>
    <x v="30"/>
    <m/>
    <n v="10100"/>
    <x v="12"/>
    <x v="1"/>
    <s v="Accorti"/>
    <s v="Paolo"/>
    <x v="1"/>
  </r>
  <r>
    <n v="10288"/>
    <n v="35"/>
    <n v="80.989999999999995"/>
    <n v="6"/>
    <n v="2834.65"/>
    <d v="2004-09-01T00:00:00"/>
    <x v="0"/>
    <n v="3"/>
    <x v="10"/>
    <x v="10"/>
    <x v="1"/>
    <x v="3"/>
    <n v="92"/>
    <x v="48"/>
    <x v="65"/>
    <s v="+65 224 1555"/>
    <s v="Village Close - 106 Linden Road Sandown"/>
    <s v="2nd Floor"/>
    <x v="22"/>
    <m/>
    <n v="69045"/>
    <x v="9"/>
    <x v="2"/>
    <s v="Victorino"/>
    <s v="Wendy"/>
    <x v="0"/>
  </r>
  <r>
    <n v="10302"/>
    <n v="38"/>
    <n v="89.27"/>
    <n v="2"/>
    <n v="3392.26"/>
    <d v="2003-10-06T00:00:00"/>
    <x v="0"/>
    <n v="4"/>
    <x v="4"/>
    <x v="4"/>
    <x v="0"/>
    <x v="3"/>
    <n v="92"/>
    <x v="48"/>
    <x v="22"/>
    <s v="(171) 555-2282"/>
    <s v="Berkeley Gardens 12  Brewery"/>
    <m/>
    <x v="19"/>
    <m/>
    <s v="WX1 6LT"/>
    <x v="6"/>
    <x v="1"/>
    <s v="Devon"/>
    <s v="Elizabeth"/>
    <x v="1"/>
  </r>
  <r>
    <n v="10311"/>
    <n v="41"/>
    <n v="81.91"/>
    <n v="1"/>
    <n v="3358.31"/>
    <d v="2004-10-16T00:00:00"/>
    <x v="0"/>
    <n v="4"/>
    <x v="4"/>
    <x v="4"/>
    <x v="1"/>
    <x v="3"/>
    <n v="92"/>
    <x v="48"/>
    <x v="23"/>
    <s v="(91) 555 94 44"/>
    <s v="C/ Moralzarzal, 86"/>
    <m/>
    <x v="20"/>
    <m/>
    <n v="28034"/>
    <x v="7"/>
    <x v="1"/>
    <s v="Freyre"/>
    <s v="Diego"/>
    <x v="1"/>
  </r>
  <r>
    <n v="10332"/>
    <n v="50"/>
    <n v="100"/>
    <n v="2"/>
    <n v="7310"/>
    <d v="2004-11-17T00:00:00"/>
    <x v="0"/>
    <n v="4"/>
    <x v="5"/>
    <x v="5"/>
    <x v="1"/>
    <x v="3"/>
    <n v="92"/>
    <x v="48"/>
    <x v="77"/>
    <s v="(171) 555-1555"/>
    <s v="Fauntleroy Circus"/>
    <m/>
    <x v="61"/>
    <m/>
    <s v="EC2 5NT"/>
    <x v="6"/>
    <x v="1"/>
    <s v="Ashworth"/>
    <s v="Victoria"/>
    <x v="2"/>
  </r>
  <r>
    <n v="10344"/>
    <n v="21"/>
    <n v="100"/>
    <n v="4"/>
    <n v="2203.11"/>
    <d v="2004-11-25T00:00:00"/>
    <x v="0"/>
    <n v="4"/>
    <x v="5"/>
    <x v="5"/>
    <x v="1"/>
    <x v="3"/>
    <n v="92"/>
    <x v="48"/>
    <x v="67"/>
    <s v="91.24.4555"/>
    <s v="12, rue des Bouchers"/>
    <m/>
    <x v="54"/>
    <m/>
    <n v="13008"/>
    <x v="1"/>
    <x v="1"/>
    <s v="Lebihan"/>
    <s v="Laurence"/>
    <x v="0"/>
  </r>
  <r>
    <n v="10367"/>
    <n v="43"/>
    <n v="62.72"/>
    <n v="8"/>
    <n v="2696.96"/>
    <d v="2005-01-12T00:00:00"/>
    <x v="5"/>
    <n v="1"/>
    <x v="7"/>
    <x v="7"/>
    <x v="2"/>
    <x v="3"/>
    <n v="92"/>
    <x v="48"/>
    <x v="3"/>
    <n v="6265557265"/>
    <s v="78934 Hillside Dr."/>
    <m/>
    <x v="3"/>
    <s v="CA"/>
    <n v="90003"/>
    <x v="0"/>
    <x v="0"/>
    <s v="Young"/>
    <s v="Julie"/>
    <x v="0"/>
  </r>
  <r>
    <n v="10380"/>
    <n v="32"/>
    <n v="100"/>
    <n v="1"/>
    <n v="3376.64"/>
    <d v="2005-02-16T00:00:00"/>
    <x v="0"/>
    <n v="1"/>
    <x v="0"/>
    <x v="0"/>
    <x v="2"/>
    <x v="3"/>
    <n v="92"/>
    <x v="48"/>
    <x v="23"/>
    <s v="(91) 555 94 44"/>
    <s v="C/ Moralzarzal, 86"/>
    <m/>
    <x v="20"/>
    <m/>
    <n v="28034"/>
    <x v="7"/>
    <x v="1"/>
    <s v="Freyre"/>
    <s v="Diego"/>
    <x v="1"/>
  </r>
  <r>
    <n v="10407"/>
    <n v="6"/>
    <n v="90.19"/>
    <n v="3"/>
    <n v="541.14"/>
    <d v="2005-04-22T00:00:00"/>
    <x v="4"/>
    <n v="2"/>
    <x v="8"/>
    <x v="8"/>
    <x v="2"/>
    <x v="3"/>
    <n v="92"/>
    <x v="48"/>
    <x v="61"/>
    <n v="4085553659"/>
    <s v="3086 Ingle Ln."/>
    <m/>
    <x v="51"/>
    <s v="CA"/>
    <n v="94217"/>
    <x v="0"/>
    <x v="0"/>
    <s v="Frick"/>
    <s v="Sue"/>
    <x v="0"/>
  </r>
  <r>
    <n v="10420"/>
    <n v="66"/>
    <n v="92.95"/>
    <n v="6"/>
    <n v="6134.7"/>
    <d v="2005-05-29T00:00:00"/>
    <x v="2"/>
    <n v="2"/>
    <x v="1"/>
    <x v="1"/>
    <x v="2"/>
    <x v="3"/>
    <n v="92"/>
    <x v="48"/>
    <x v="20"/>
    <s v="+61 2 9495 8555"/>
    <s v="Monitor Money Building, 815 Pacific Hwy"/>
    <s v="Level 6"/>
    <x v="17"/>
    <s v="NSW"/>
    <n v="2067"/>
    <x v="3"/>
    <x v="2"/>
    <s v="Huxley"/>
    <s v="Adrian"/>
    <x v="1"/>
  </r>
  <r>
    <n v="10105"/>
    <n v="41"/>
    <n v="82.5"/>
    <n v="10"/>
    <n v="3382.5"/>
    <d v="2003-02-11T00:00:00"/>
    <x v="0"/>
    <n v="1"/>
    <x v="0"/>
    <x v="0"/>
    <x v="0"/>
    <x v="3"/>
    <n v="87"/>
    <x v="49"/>
    <x v="48"/>
    <s v="31 12 3555"/>
    <s v="Vinb'ltet 34"/>
    <m/>
    <x v="40"/>
    <m/>
    <n v="1734"/>
    <x v="13"/>
    <x v="1"/>
    <s v="Petersen"/>
    <s v="Jytte"/>
    <x v="1"/>
  </r>
  <r>
    <n v="10117"/>
    <n v="23"/>
    <n v="97.42"/>
    <n v="4"/>
    <n v="2240.66"/>
    <d v="2003-04-16T00:00:00"/>
    <x v="0"/>
    <n v="2"/>
    <x v="8"/>
    <x v="8"/>
    <x v="0"/>
    <x v="3"/>
    <n v="87"/>
    <x v="49"/>
    <x v="26"/>
    <s v="+65 221 7555"/>
    <s v="Bronz Sok., Bronz Apt. 3/6 Tesvikiye"/>
    <m/>
    <x v="22"/>
    <m/>
    <n v="79903"/>
    <x v="9"/>
    <x v="3"/>
    <s v="Natividad"/>
    <s v="Eric"/>
    <x v="0"/>
  </r>
  <r>
    <n v="10128"/>
    <n v="43"/>
    <n v="92.16"/>
    <n v="1"/>
    <n v="3962.88"/>
    <d v="2003-06-06T00:00:00"/>
    <x v="0"/>
    <n v="2"/>
    <x v="9"/>
    <x v="9"/>
    <x v="0"/>
    <x v="3"/>
    <n v="87"/>
    <x v="49"/>
    <x v="23"/>
    <s v="(91) 555 94 44"/>
    <s v="C/ Moralzarzal, 86"/>
    <m/>
    <x v="20"/>
    <m/>
    <n v="28034"/>
    <x v="7"/>
    <x v="1"/>
    <s v="Freyre"/>
    <s v="Diego"/>
    <x v="1"/>
  </r>
  <r>
    <n v="10142"/>
    <n v="24"/>
    <n v="70.22"/>
    <n v="7"/>
    <n v="1685.28"/>
    <d v="2003-08-08T00:00:00"/>
    <x v="0"/>
    <n v="3"/>
    <x v="3"/>
    <x v="3"/>
    <x v="0"/>
    <x v="3"/>
    <n v="87"/>
    <x v="49"/>
    <x v="39"/>
    <n v="4155551450"/>
    <s v="5677 Strong St."/>
    <m/>
    <x v="33"/>
    <s v="CA"/>
    <n v="97562"/>
    <x v="0"/>
    <x v="0"/>
    <s v="Nelson"/>
    <s v="Valarie"/>
    <x v="0"/>
  </r>
  <r>
    <n v="10153"/>
    <n v="22"/>
    <n v="83.38"/>
    <n v="6"/>
    <n v="1834.36"/>
    <d v="2003-09-28T00:00:00"/>
    <x v="0"/>
    <n v="3"/>
    <x v="10"/>
    <x v="10"/>
    <x v="0"/>
    <x v="3"/>
    <n v="87"/>
    <x v="49"/>
    <x v="23"/>
    <s v="(91) 555 94 44"/>
    <s v="C/ Moralzarzal, 86"/>
    <m/>
    <x v="20"/>
    <m/>
    <n v="28034"/>
    <x v="7"/>
    <x v="1"/>
    <s v="Freyre"/>
    <s v="Diego"/>
    <x v="0"/>
  </r>
  <r>
    <n v="10166"/>
    <n v="26"/>
    <n v="73.73"/>
    <n v="1"/>
    <n v="1916.98"/>
    <d v="2003-10-21T00:00:00"/>
    <x v="0"/>
    <n v="4"/>
    <x v="4"/>
    <x v="4"/>
    <x v="0"/>
    <x v="3"/>
    <n v="87"/>
    <x v="49"/>
    <x v="21"/>
    <n v="5085552555"/>
    <s v="1785 First Street"/>
    <m/>
    <x v="18"/>
    <s v="MA"/>
    <n v="50553"/>
    <x v="0"/>
    <x v="0"/>
    <s v="Benitez"/>
    <s v="Violeta"/>
    <x v="0"/>
  </r>
  <r>
    <n v="10177"/>
    <n v="35"/>
    <n v="74.599999999999994"/>
    <n v="8"/>
    <n v="2611"/>
    <d v="2003-11-07T00:00:00"/>
    <x v="0"/>
    <n v="4"/>
    <x v="5"/>
    <x v="5"/>
    <x v="0"/>
    <x v="3"/>
    <n v="87"/>
    <x v="49"/>
    <x v="76"/>
    <s v="+34 913 728 555"/>
    <s v="Merchants House, 27-30 Merchant's Quay"/>
    <m/>
    <x v="20"/>
    <m/>
    <n v="28023"/>
    <x v="7"/>
    <x v="1"/>
    <s v="Fernandez"/>
    <s v="Jesus"/>
    <x v="0"/>
  </r>
  <r>
    <n v="10185"/>
    <n v="47"/>
    <n v="77.239999999999995"/>
    <n v="8"/>
    <n v="3630.28"/>
    <d v="2003-11-14T00:00:00"/>
    <x v="0"/>
    <n v="4"/>
    <x v="5"/>
    <x v="5"/>
    <x v="0"/>
    <x v="3"/>
    <n v="87"/>
    <x v="49"/>
    <x v="50"/>
    <n v="5085559555"/>
    <s v="4575 Hillside Dr."/>
    <m/>
    <x v="18"/>
    <s v="MA"/>
    <n v="50553"/>
    <x v="0"/>
    <x v="0"/>
    <s v="Tam"/>
    <s v="Wing C"/>
    <x v="1"/>
  </r>
  <r>
    <n v="10197"/>
    <n v="50"/>
    <n v="100"/>
    <n v="14"/>
    <n v="5090.5"/>
    <d v="2003-11-26T00:00:00"/>
    <x v="0"/>
    <n v="4"/>
    <x v="5"/>
    <x v="5"/>
    <x v="0"/>
    <x v="3"/>
    <n v="87"/>
    <x v="49"/>
    <x v="53"/>
    <s v="(93) 203 4555"/>
    <s v="Rambla de Catalu¤a, 23"/>
    <m/>
    <x v="43"/>
    <m/>
    <n v="8022"/>
    <x v="7"/>
    <x v="1"/>
    <s v="Saavedra"/>
    <s v="Eduardo"/>
    <x v="1"/>
  </r>
  <r>
    <n v="10208"/>
    <n v="45"/>
    <n v="87.77"/>
    <n v="8"/>
    <n v="3949.65"/>
    <d v="2004-01-02T00:00:00"/>
    <x v="0"/>
    <n v="1"/>
    <x v="7"/>
    <x v="7"/>
    <x v="1"/>
    <x v="3"/>
    <n v="87"/>
    <x v="49"/>
    <x v="30"/>
    <s v="78.32.5555"/>
    <s v="2, rue du Commerce"/>
    <m/>
    <x v="25"/>
    <m/>
    <n v="69004"/>
    <x v="1"/>
    <x v="1"/>
    <s v="Saveley"/>
    <s v="Mary"/>
    <x v="1"/>
  </r>
  <r>
    <n v="10221"/>
    <n v="39"/>
    <n v="89.53"/>
    <n v="2"/>
    <n v="3491.67"/>
    <d v="2004-02-18T00:00:00"/>
    <x v="0"/>
    <n v="1"/>
    <x v="0"/>
    <x v="0"/>
    <x v="1"/>
    <x v="3"/>
    <n v="87"/>
    <x v="49"/>
    <x v="56"/>
    <s v="(02) 5554 67"/>
    <s v="Rue Joseph-Bens 532"/>
    <m/>
    <x v="46"/>
    <m/>
    <s v="B-1180"/>
    <x v="14"/>
    <x v="1"/>
    <s v="Dewey"/>
    <s v="Catherine"/>
    <x v="1"/>
  </r>
  <r>
    <n v="10232"/>
    <n v="23"/>
    <n v="89.53"/>
    <n v="5"/>
    <n v="2059.19"/>
    <d v="2004-03-20T00:00:00"/>
    <x v="0"/>
    <n v="1"/>
    <x v="11"/>
    <x v="11"/>
    <x v="1"/>
    <x v="3"/>
    <n v="87"/>
    <x v="49"/>
    <x v="59"/>
    <s v="(198) 555-8888"/>
    <s v="Garden House Crowther Way"/>
    <m/>
    <x v="49"/>
    <s v="Isle of Wight"/>
    <s v="PO31 7PJ"/>
    <x v="6"/>
    <x v="1"/>
    <s v="Bennett"/>
    <s v="Helen"/>
    <x v="0"/>
  </r>
  <r>
    <n v="10248"/>
    <n v="42"/>
    <n v="75.48"/>
    <n v="11"/>
    <n v="3170.16"/>
    <d v="2004-05-07T00:00:00"/>
    <x v="3"/>
    <n v="2"/>
    <x v="1"/>
    <x v="1"/>
    <x v="1"/>
    <x v="3"/>
    <n v="87"/>
    <x v="49"/>
    <x v="0"/>
    <n v="2125557818"/>
    <s v="897 Long Airport Avenue"/>
    <m/>
    <x v="0"/>
    <s v="NY"/>
    <n v="10022"/>
    <x v="0"/>
    <x v="0"/>
    <s v="Yu"/>
    <s v="Kwai"/>
    <x v="1"/>
  </r>
  <r>
    <n v="10261"/>
    <n v="20"/>
    <n v="89.53"/>
    <n v="9"/>
    <n v="1790.6"/>
    <d v="2004-06-17T00:00:00"/>
    <x v="0"/>
    <n v="2"/>
    <x v="9"/>
    <x v="9"/>
    <x v="1"/>
    <x v="3"/>
    <n v="87"/>
    <x v="49"/>
    <x v="43"/>
    <s v="(514) 555-8054"/>
    <s v="43 rue St. Laurent"/>
    <m/>
    <x v="37"/>
    <s v="Quebec"/>
    <s v="H1J 1C3"/>
    <x v="10"/>
    <x v="0"/>
    <s v="Fresnisre"/>
    <s v="Jean"/>
    <x v="0"/>
  </r>
  <r>
    <n v="10273"/>
    <n v="33"/>
    <n v="71.09"/>
    <n v="12"/>
    <n v="2345.9699999999998"/>
    <d v="2004-07-21T00:00:00"/>
    <x v="0"/>
    <n v="3"/>
    <x v="2"/>
    <x v="2"/>
    <x v="1"/>
    <x v="3"/>
    <n v="87"/>
    <x v="49"/>
    <x v="56"/>
    <s v="(02) 5554 67"/>
    <s v="Rue Joseph-Bens 532"/>
    <m/>
    <x v="46"/>
    <m/>
    <s v="B-1180"/>
    <x v="14"/>
    <x v="1"/>
    <s v="Dewey"/>
    <s v="Catherine"/>
    <x v="0"/>
  </r>
  <r>
    <n v="10283"/>
    <n v="34"/>
    <n v="100"/>
    <n v="14"/>
    <n v="3580.88"/>
    <d v="2004-08-20T00:00:00"/>
    <x v="0"/>
    <n v="3"/>
    <x v="3"/>
    <x v="3"/>
    <x v="1"/>
    <x v="3"/>
    <n v="87"/>
    <x v="49"/>
    <x v="57"/>
    <s v="(604) 555-4555"/>
    <s v="23 Tsawassen Blvd."/>
    <m/>
    <x v="47"/>
    <s v="BC"/>
    <s v="T2F 8M4"/>
    <x v="10"/>
    <x v="0"/>
    <s v="Lincoln"/>
    <s v="Elizabeth"/>
    <x v="1"/>
  </r>
  <r>
    <n v="10293"/>
    <n v="49"/>
    <n v="100"/>
    <n v="3"/>
    <n v="4946.0600000000004"/>
    <d v="2004-09-09T00:00:00"/>
    <x v="0"/>
    <n v="3"/>
    <x v="10"/>
    <x v="10"/>
    <x v="1"/>
    <x v="3"/>
    <n v="87"/>
    <x v="49"/>
    <x v="36"/>
    <s v="011-4988555"/>
    <s v="Via Monte Bianco 34"/>
    <m/>
    <x v="30"/>
    <m/>
    <n v="10100"/>
    <x v="12"/>
    <x v="1"/>
    <s v="Accorti"/>
    <s v="Paolo"/>
    <x v="1"/>
  </r>
  <r>
    <n v="10306"/>
    <n v="39"/>
    <n v="90.4"/>
    <n v="8"/>
    <n v="3525.6"/>
    <d v="2004-10-14T00:00:00"/>
    <x v="0"/>
    <n v="4"/>
    <x v="4"/>
    <x v="4"/>
    <x v="1"/>
    <x v="3"/>
    <n v="87"/>
    <x v="49"/>
    <x v="77"/>
    <s v="(171) 555-1555"/>
    <s v="Fauntleroy Circus"/>
    <m/>
    <x v="61"/>
    <m/>
    <s v="EC2 5NT"/>
    <x v="6"/>
    <x v="1"/>
    <s v="Ashworth"/>
    <s v="Victoria"/>
    <x v="1"/>
  </r>
  <r>
    <n v="10315"/>
    <n v="36"/>
    <n v="100"/>
    <n v="7"/>
    <n v="3602.16"/>
    <d v="2004-10-29T00:00:00"/>
    <x v="0"/>
    <n v="4"/>
    <x v="4"/>
    <x v="4"/>
    <x v="1"/>
    <x v="3"/>
    <n v="87"/>
    <x v="49"/>
    <x v="14"/>
    <s v="40.67.8555"/>
    <s v="67, rue des Cinquante Otages"/>
    <m/>
    <x v="11"/>
    <m/>
    <n v="44000"/>
    <x v="1"/>
    <x v="1"/>
    <s v="Labrune"/>
    <s v="Janine"/>
    <x v="1"/>
  </r>
  <r>
    <n v="10326"/>
    <n v="50"/>
    <n v="86.01"/>
    <n v="5"/>
    <n v="4300.5"/>
    <d v="2004-11-09T00:00:00"/>
    <x v="0"/>
    <n v="4"/>
    <x v="5"/>
    <x v="5"/>
    <x v="1"/>
    <x v="3"/>
    <n v="87"/>
    <x v="49"/>
    <x v="24"/>
    <s v="0921-12 3555"/>
    <s v="Berguvsv„gen  8"/>
    <m/>
    <x v="21"/>
    <m/>
    <s v="S-958 22"/>
    <x v="8"/>
    <x v="1"/>
    <s v="Berglund"/>
    <s v="Christina"/>
    <x v="1"/>
  </r>
  <r>
    <n v="10337"/>
    <n v="29"/>
    <n v="100"/>
    <n v="2"/>
    <n v="4498.1899999999996"/>
    <d v="2004-11-21T00:00:00"/>
    <x v="0"/>
    <n v="4"/>
    <x v="5"/>
    <x v="5"/>
    <x v="1"/>
    <x v="3"/>
    <n v="87"/>
    <x v="49"/>
    <x v="27"/>
    <n v="2125558493"/>
    <s v="5905 Pompton St."/>
    <s v="Suite 750"/>
    <x v="0"/>
    <s v="NY"/>
    <n v="10022"/>
    <x v="0"/>
    <x v="0"/>
    <s v="Hernandez"/>
    <s v="Maria"/>
    <x v="1"/>
  </r>
  <r>
    <n v="10350"/>
    <n v="30"/>
    <n v="100"/>
    <n v="3"/>
    <n v="3023.1"/>
    <d v="2004-12-02T00:00:00"/>
    <x v="0"/>
    <n v="4"/>
    <x v="6"/>
    <x v="6"/>
    <x v="1"/>
    <x v="3"/>
    <n v="87"/>
    <x v="49"/>
    <x v="23"/>
    <s v="(91) 555 94 44"/>
    <s v="C/ Moralzarzal, 86"/>
    <m/>
    <x v="20"/>
    <m/>
    <n v="28034"/>
    <x v="7"/>
    <x v="1"/>
    <s v="Freyre"/>
    <s v="Diego"/>
    <x v="1"/>
  </r>
  <r>
    <n v="10372"/>
    <n v="41"/>
    <n v="86.89"/>
    <n v="7"/>
    <n v="3562.49"/>
    <d v="2005-01-26T00:00:00"/>
    <x v="0"/>
    <n v="1"/>
    <x v="7"/>
    <x v="7"/>
    <x v="2"/>
    <x v="3"/>
    <n v="87"/>
    <x v="49"/>
    <x v="35"/>
    <s v="+81 3 3584 0555"/>
    <s v="2-2-8 Roppongi"/>
    <m/>
    <x v="29"/>
    <s v="Tokyo"/>
    <s v="106-0032"/>
    <x v="11"/>
    <x v="3"/>
    <s v="Shimamura"/>
    <s v="Akiko"/>
    <x v="1"/>
  </r>
  <r>
    <n v="10383"/>
    <n v="28"/>
    <n v="58.58"/>
    <n v="7"/>
    <n v="1640.24"/>
    <d v="2005-02-22T00:00:00"/>
    <x v="0"/>
    <n v="1"/>
    <x v="0"/>
    <x v="0"/>
    <x v="2"/>
    <x v="3"/>
    <n v="87"/>
    <x v="49"/>
    <x v="23"/>
    <s v="(91) 555 94 44"/>
    <s v="C/ Moralzarzal, 86"/>
    <m/>
    <x v="20"/>
    <m/>
    <n v="28034"/>
    <x v="7"/>
    <x v="1"/>
    <s v="Freyre"/>
    <s v="Diego"/>
    <x v="0"/>
  </r>
  <r>
    <n v="10396"/>
    <n v="45"/>
    <n v="100"/>
    <n v="5"/>
    <n v="4739.3999999999996"/>
    <d v="2005-03-23T00:00:00"/>
    <x v="0"/>
    <n v="1"/>
    <x v="11"/>
    <x v="11"/>
    <x v="2"/>
    <x v="3"/>
    <n v="87"/>
    <x v="49"/>
    <x v="39"/>
    <n v="4155551450"/>
    <s v="5677 Strong St."/>
    <m/>
    <x v="33"/>
    <s v="CA"/>
    <n v="97562"/>
    <x v="0"/>
    <x v="0"/>
    <s v="Nelson"/>
    <s v="Valarie"/>
    <x v="1"/>
  </r>
  <r>
    <n v="10414"/>
    <n v="16"/>
    <n v="75.48"/>
    <n v="11"/>
    <n v="1207.68"/>
    <d v="2005-05-06T00:00:00"/>
    <x v="4"/>
    <n v="2"/>
    <x v="1"/>
    <x v="1"/>
    <x v="2"/>
    <x v="3"/>
    <n v="87"/>
    <x v="49"/>
    <x v="58"/>
    <n v="6175559555"/>
    <s v="8616 Spinnaker Dr."/>
    <m/>
    <x v="48"/>
    <s v="MA"/>
    <n v="51003"/>
    <x v="0"/>
    <x v="0"/>
    <s v="Yoshido"/>
    <s v="Juri"/>
    <x v="0"/>
  </r>
  <r>
    <n v="10103"/>
    <n v="36"/>
    <n v="100"/>
    <n v="5"/>
    <n v="4228.2"/>
    <d v="2003-01-29T00:00:00"/>
    <x v="0"/>
    <n v="1"/>
    <x v="7"/>
    <x v="7"/>
    <x v="0"/>
    <x v="2"/>
    <n v="121"/>
    <x v="50"/>
    <x v="17"/>
    <s v="07-98 9555"/>
    <s v="Erling Skakkes gate 78"/>
    <m/>
    <x v="14"/>
    <m/>
    <n v="4110"/>
    <x v="2"/>
    <x v="1"/>
    <s v="Bergulfsen"/>
    <s v="Jonas"/>
    <x v="1"/>
  </r>
  <r>
    <n v="10114"/>
    <n v="41"/>
    <n v="100"/>
    <n v="9"/>
    <n v="4815.45"/>
    <d v="2003-04-01T00:00:00"/>
    <x v="0"/>
    <n v="2"/>
    <x v="8"/>
    <x v="8"/>
    <x v="0"/>
    <x v="2"/>
    <n v="121"/>
    <x v="50"/>
    <x v="62"/>
    <s v="(1) 42.34.2555"/>
    <s v="265, boulevard Charonne"/>
    <m/>
    <x v="2"/>
    <m/>
    <n v="75012"/>
    <x v="1"/>
    <x v="1"/>
    <s v="Bertrand"/>
    <s v="Marie"/>
    <x v="1"/>
  </r>
  <r>
    <n v="10126"/>
    <n v="50"/>
    <n v="100"/>
    <n v="5"/>
    <n v="7083"/>
    <d v="2003-05-28T00:00:00"/>
    <x v="0"/>
    <n v="2"/>
    <x v="1"/>
    <x v="1"/>
    <x v="0"/>
    <x v="2"/>
    <n v="121"/>
    <x v="50"/>
    <x v="25"/>
    <s v="(91) 555 22 82"/>
    <s v="C/ Araquil, 67"/>
    <m/>
    <x v="20"/>
    <m/>
    <n v="28023"/>
    <x v="7"/>
    <x v="1"/>
    <s v="Sommer"/>
    <s v="Mart¡n"/>
    <x v="2"/>
  </r>
  <r>
    <n v="10140"/>
    <n v="40"/>
    <n v="100"/>
    <n v="5"/>
    <n v="4601.2"/>
    <d v="2003-07-24T00:00:00"/>
    <x v="0"/>
    <n v="3"/>
    <x v="2"/>
    <x v="2"/>
    <x v="0"/>
    <x v="2"/>
    <n v="121"/>
    <x v="50"/>
    <x v="5"/>
    <n v="6505556809"/>
    <s v="9408 Furth Circle"/>
    <m/>
    <x v="5"/>
    <s v="CA"/>
    <n v="94217"/>
    <x v="0"/>
    <x v="0"/>
    <s v="Hirano"/>
    <s v="Juri"/>
    <x v="1"/>
  </r>
  <r>
    <n v="10150"/>
    <n v="49"/>
    <n v="100"/>
    <n v="2"/>
    <n v="6467.02"/>
    <d v="2003-09-19T00:00:00"/>
    <x v="0"/>
    <n v="3"/>
    <x v="10"/>
    <x v="10"/>
    <x v="0"/>
    <x v="2"/>
    <n v="121"/>
    <x v="50"/>
    <x v="26"/>
    <s v="+65 221 7555"/>
    <s v="Bronz Sok., Bronz Apt. 3/6 Tesvikiye"/>
    <m/>
    <x v="22"/>
    <m/>
    <n v="79903"/>
    <x v="9"/>
    <x v="3"/>
    <s v="Natividad"/>
    <s v="Eric"/>
    <x v="1"/>
  </r>
  <r>
    <n v="10164"/>
    <n v="45"/>
    <n v="100"/>
    <n v="3"/>
    <n v="5012.55"/>
    <d v="2003-10-21T00:00:00"/>
    <x v="5"/>
    <n v="4"/>
    <x v="4"/>
    <x v="4"/>
    <x v="0"/>
    <x v="2"/>
    <n v="121"/>
    <x v="50"/>
    <x v="63"/>
    <s v="7675-3555"/>
    <s v="Kirchgasse 6"/>
    <m/>
    <x v="52"/>
    <m/>
    <n v="8010"/>
    <x v="5"/>
    <x v="1"/>
    <s v="Mendel"/>
    <s v="Roland"/>
    <x v="1"/>
  </r>
  <r>
    <n v="10175"/>
    <n v="47"/>
    <n v="100"/>
    <n v="10"/>
    <n v="5121.59"/>
    <d v="2003-11-06T00:00:00"/>
    <x v="0"/>
    <n v="4"/>
    <x v="5"/>
    <x v="5"/>
    <x v="0"/>
    <x v="2"/>
    <n v="121"/>
    <x v="50"/>
    <x v="49"/>
    <s v="(171) 555-0297"/>
    <s v="35 King George"/>
    <m/>
    <x v="41"/>
    <m/>
    <s v="WX3 6FW"/>
    <x v="6"/>
    <x v="1"/>
    <s v="Brown"/>
    <s v="Ann"/>
    <x v="1"/>
  </r>
  <r>
    <n v="10183"/>
    <n v="21"/>
    <n v="100"/>
    <n v="2"/>
    <n v="2441.04"/>
    <d v="2003-11-13T00:00:00"/>
    <x v="0"/>
    <n v="4"/>
    <x v="5"/>
    <x v="5"/>
    <x v="0"/>
    <x v="2"/>
    <n v="121"/>
    <x v="50"/>
    <x v="29"/>
    <n v="2155554695"/>
    <s v="782 First Street"/>
    <m/>
    <x v="24"/>
    <s v="PA"/>
    <n v="71270"/>
    <x v="0"/>
    <x v="0"/>
    <s v="Cervantes"/>
    <s v="Francisca"/>
    <x v="0"/>
  </r>
  <r>
    <n v="10194"/>
    <n v="32"/>
    <n v="100"/>
    <n v="5"/>
    <n v="4262.08"/>
    <d v="2003-11-25T00:00:00"/>
    <x v="0"/>
    <n v="4"/>
    <x v="5"/>
    <x v="5"/>
    <x v="0"/>
    <x v="2"/>
    <n v="121"/>
    <x v="50"/>
    <x v="30"/>
    <s v="78.32.5555"/>
    <s v="2, rue du Commerce"/>
    <m/>
    <x v="25"/>
    <m/>
    <n v="69004"/>
    <x v="1"/>
    <x v="1"/>
    <s v="Saveley"/>
    <s v="Mary"/>
    <x v="1"/>
  </r>
  <r>
    <n v="10207"/>
    <n v="47"/>
    <n v="100"/>
    <n v="16"/>
    <n v="6658.02"/>
    <d v="2003-12-09T00:00:00"/>
    <x v="0"/>
    <n v="4"/>
    <x v="6"/>
    <x v="6"/>
    <x v="0"/>
    <x v="2"/>
    <n v="121"/>
    <x v="50"/>
    <x v="64"/>
    <n v="6175552555"/>
    <s v="6251 Ingle Ln."/>
    <m/>
    <x v="48"/>
    <s v="MA"/>
    <n v="51003"/>
    <x v="0"/>
    <x v="0"/>
    <s v="Franco"/>
    <s v="Valarie"/>
    <x v="1"/>
  </r>
  <r>
    <n v="10217"/>
    <n v="38"/>
    <n v="100"/>
    <n v="5"/>
    <n v="4509.08"/>
    <d v="2004-02-04T00:00:00"/>
    <x v="0"/>
    <n v="1"/>
    <x v="0"/>
    <x v="0"/>
    <x v="1"/>
    <x v="2"/>
    <n v="121"/>
    <x v="50"/>
    <x v="65"/>
    <s v="+65 224 1555"/>
    <s v="Village Close - 106 Linden Road Sandown"/>
    <s v="2nd Floor"/>
    <x v="22"/>
    <m/>
    <n v="69045"/>
    <x v="9"/>
    <x v="2"/>
    <s v="Victorino"/>
    <s v="Wendy"/>
    <x v="1"/>
  </r>
  <r>
    <n v="10229"/>
    <n v="41"/>
    <n v="100"/>
    <n v="10"/>
    <n v="4716.2299999999996"/>
    <d v="2004-03-11T00:00:00"/>
    <x v="0"/>
    <n v="1"/>
    <x v="11"/>
    <x v="11"/>
    <x v="1"/>
    <x v="2"/>
    <n v="121"/>
    <x v="50"/>
    <x v="39"/>
    <n v="4155551450"/>
    <s v="5677 Strong St."/>
    <m/>
    <x v="33"/>
    <s v="CA"/>
    <n v="97562"/>
    <x v="0"/>
    <x v="0"/>
    <s v="Nelson"/>
    <s v="Valarie"/>
    <x v="1"/>
  </r>
  <r>
    <n v="10245"/>
    <n v="21"/>
    <n v="100"/>
    <n v="3"/>
    <n v="2390.2199999999998"/>
    <d v="2004-05-04T00:00:00"/>
    <x v="0"/>
    <n v="2"/>
    <x v="1"/>
    <x v="1"/>
    <x v="1"/>
    <x v="2"/>
    <n v="121"/>
    <x v="50"/>
    <x v="34"/>
    <n v="2035559545"/>
    <s v="567 North Pendale Street"/>
    <m/>
    <x v="28"/>
    <s v="CT"/>
    <n v="97823"/>
    <x v="0"/>
    <x v="0"/>
    <s v="Murphy"/>
    <s v="Leslie"/>
    <x v="0"/>
  </r>
  <r>
    <n v="10259"/>
    <n v="41"/>
    <n v="100"/>
    <n v="13"/>
    <n v="4666.62"/>
    <d v="2004-06-15T00:00:00"/>
    <x v="0"/>
    <n v="2"/>
    <x v="9"/>
    <x v="9"/>
    <x v="1"/>
    <x v="2"/>
    <n v="121"/>
    <x v="50"/>
    <x v="65"/>
    <s v="+65 224 1555"/>
    <s v="Village Close - 106 Linden Road Sandown"/>
    <s v="2nd Floor"/>
    <x v="22"/>
    <m/>
    <n v="69045"/>
    <x v="9"/>
    <x v="2"/>
    <s v="Victorino"/>
    <s v="Wendy"/>
    <x v="1"/>
  </r>
  <r>
    <n v="10270"/>
    <n v="38"/>
    <n v="100"/>
    <n v="3"/>
    <n v="5383.08"/>
    <d v="2004-07-19T00:00:00"/>
    <x v="0"/>
    <n v="3"/>
    <x v="2"/>
    <x v="2"/>
    <x v="1"/>
    <x v="2"/>
    <n v="121"/>
    <x v="50"/>
    <x v="20"/>
    <s v="+61 2 9495 8555"/>
    <s v="Monitor Money Building, 815 Pacific Hwy"/>
    <s v="Level 6"/>
    <x v="17"/>
    <s v="NSW"/>
    <n v="2067"/>
    <x v="3"/>
    <x v="2"/>
    <s v="Huxley"/>
    <s v="Adrian"/>
    <x v="1"/>
  </r>
  <r>
    <n v="10281"/>
    <n v="25"/>
    <n v="99.29"/>
    <n v="10"/>
    <n v="2482.25"/>
    <d v="2004-08-19T00:00:00"/>
    <x v="0"/>
    <n v="3"/>
    <x v="3"/>
    <x v="3"/>
    <x v="1"/>
    <x v="2"/>
    <n v="121"/>
    <x v="50"/>
    <x v="18"/>
    <n v="2155551555"/>
    <s v="7586 Pompton St."/>
    <m/>
    <x v="15"/>
    <s v="PA"/>
    <n v="70267"/>
    <x v="0"/>
    <x v="0"/>
    <s v="Yu"/>
    <s v="Kyung"/>
    <x v="0"/>
  </r>
  <r>
    <n v="10291"/>
    <n v="48"/>
    <n v="100"/>
    <n v="5"/>
    <n v="5288.64"/>
    <d v="2004-09-08T00:00:00"/>
    <x v="0"/>
    <n v="3"/>
    <x v="10"/>
    <x v="10"/>
    <x v="1"/>
    <x v="2"/>
    <n v="121"/>
    <x v="50"/>
    <x v="37"/>
    <s v="0695-34 6555"/>
    <s v="?kergatan 24"/>
    <m/>
    <x v="31"/>
    <m/>
    <s v="S-844 67"/>
    <x v="8"/>
    <x v="1"/>
    <s v="Larsson"/>
    <s v="Maria"/>
    <x v="1"/>
  </r>
  <r>
    <n v="10305"/>
    <n v="22"/>
    <n v="99.29"/>
    <n v="14"/>
    <n v="2184.38"/>
    <d v="2004-10-13T00:00:00"/>
    <x v="0"/>
    <n v="4"/>
    <x v="4"/>
    <x v="4"/>
    <x v="1"/>
    <x v="2"/>
    <n v="121"/>
    <x v="50"/>
    <x v="15"/>
    <n v="6175558555"/>
    <s v="39323 Spinnaker Dr."/>
    <m/>
    <x v="12"/>
    <s v="MA"/>
    <n v="51247"/>
    <x v="0"/>
    <x v="0"/>
    <s v="Hernandez"/>
    <s v="Marta"/>
    <x v="0"/>
  </r>
  <r>
    <n v="10313"/>
    <n v="28"/>
    <n v="100"/>
    <n v="8"/>
    <n v="2881.76"/>
    <d v="2004-10-22T00:00:00"/>
    <x v="0"/>
    <n v="4"/>
    <x v="4"/>
    <x v="4"/>
    <x v="1"/>
    <x v="2"/>
    <n v="121"/>
    <x v="50"/>
    <x v="31"/>
    <s v="(604) 555-3392"/>
    <s v="1900 Oak St."/>
    <m/>
    <x v="26"/>
    <s v="BC"/>
    <s v="V3F 2K1"/>
    <x v="10"/>
    <x v="0"/>
    <s v="Tannamuri"/>
    <s v="Yoshi"/>
    <x v="0"/>
  </r>
  <r>
    <n v="10323"/>
    <n v="47"/>
    <n v="100"/>
    <n v="1"/>
    <n v="6203.06"/>
    <d v="2004-11-05T00:00:00"/>
    <x v="0"/>
    <n v="4"/>
    <x v="5"/>
    <x v="5"/>
    <x v="1"/>
    <x v="2"/>
    <n v="121"/>
    <x v="50"/>
    <x v="72"/>
    <s v="+49 69 66 90 2555"/>
    <s v="Lyonerstr. 34"/>
    <m/>
    <x v="58"/>
    <m/>
    <n v="60528"/>
    <x v="16"/>
    <x v="1"/>
    <s v="Keitel"/>
    <s v="Roland"/>
    <x v="1"/>
  </r>
  <r>
    <n v="10334"/>
    <n v="49"/>
    <n v="100"/>
    <n v="4"/>
    <n v="6763.47"/>
    <d v="2004-11-19T00:00:00"/>
    <x v="4"/>
    <n v="4"/>
    <x v="5"/>
    <x v="5"/>
    <x v="1"/>
    <x v="2"/>
    <n v="121"/>
    <x v="50"/>
    <x v="24"/>
    <s v="0921-12 3555"/>
    <s v="Berguvsv„gen  8"/>
    <m/>
    <x v="21"/>
    <m/>
    <s v="S-958 22"/>
    <x v="8"/>
    <x v="1"/>
    <s v="Berglund"/>
    <s v="Christina"/>
    <x v="1"/>
  </r>
  <r>
    <n v="10347"/>
    <n v="45"/>
    <n v="100"/>
    <n v="4"/>
    <n v="5884.65"/>
    <d v="2004-11-29T00:00:00"/>
    <x v="0"/>
    <n v="4"/>
    <x v="5"/>
    <x v="5"/>
    <x v="1"/>
    <x v="2"/>
    <n v="121"/>
    <x v="50"/>
    <x v="10"/>
    <s v="03 9520 4555"/>
    <s v="636 St Kilda Road"/>
    <s v="Level 3"/>
    <x v="8"/>
    <s v="Victoria"/>
    <n v="3004"/>
    <x v="3"/>
    <x v="2"/>
    <s v="Ferguson"/>
    <s v="Peter"/>
    <x v="1"/>
  </r>
  <r>
    <n v="10357"/>
    <n v="28"/>
    <n v="100"/>
    <n v="2"/>
    <n v="3559.64"/>
    <d v="2004-12-10T00:00:00"/>
    <x v="0"/>
    <n v="4"/>
    <x v="6"/>
    <x v="6"/>
    <x v="1"/>
    <x v="2"/>
    <n v="121"/>
    <x v="50"/>
    <x v="39"/>
    <n v="4155551450"/>
    <s v="5677 Strong St."/>
    <m/>
    <x v="33"/>
    <s v="CA"/>
    <n v="97562"/>
    <x v="0"/>
    <x v="0"/>
    <s v="Nelson"/>
    <s v="Valarie"/>
    <x v="1"/>
  </r>
  <r>
    <n v="10370"/>
    <n v="29"/>
    <n v="57.53"/>
    <n v="6"/>
    <n v="1668.37"/>
    <d v="2005-01-20T00:00:00"/>
    <x v="0"/>
    <n v="1"/>
    <x v="7"/>
    <x v="7"/>
    <x v="2"/>
    <x v="2"/>
    <n v="121"/>
    <x v="50"/>
    <x v="42"/>
    <s v="02 9936 8555"/>
    <s v="201 Miller Street"/>
    <s v="Level 15"/>
    <x v="36"/>
    <s v="NSW"/>
    <n v="2060"/>
    <x v="3"/>
    <x v="2"/>
    <s v="O'Hara"/>
    <s v="Anna"/>
    <x v="0"/>
  </r>
  <r>
    <n v="10382"/>
    <n v="39"/>
    <n v="100"/>
    <n v="1"/>
    <n v="4890.6000000000004"/>
    <d v="2005-02-17T00:00:00"/>
    <x v="0"/>
    <n v="1"/>
    <x v="0"/>
    <x v="0"/>
    <x v="2"/>
    <x v="2"/>
    <n v="121"/>
    <x v="50"/>
    <x v="39"/>
    <n v="4155551450"/>
    <s v="5677 Strong St."/>
    <m/>
    <x v="33"/>
    <s v="CA"/>
    <n v="97562"/>
    <x v="0"/>
    <x v="0"/>
    <s v="Nelson"/>
    <s v="Valarie"/>
    <x v="1"/>
  </r>
  <r>
    <n v="10411"/>
    <n v="46"/>
    <n v="100"/>
    <n v="3"/>
    <n v="5235.72"/>
    <d v="2005-05-01T00:00:00"/>
    <x v="0"/>
    <n v="2"/>
    <x v="1"/>
    <x v="1"/>
    <x v="2"/>
    <x v="2"/>
    <n v="121"/>
    <x v="50"/>
    <x v="43"/>
    <s v="(514) 555-8054"/>
    <s v="43 rue St. Laurent"/>
    <m/>
    <x v="37"/>
    <s v="Quebec"/>
    <s v="H1J 1C3"/>
    <x v="10"/>
    <x v="0"/>
    <s v="Fresnisre"/>
    <s v="Jean"/>
    <x v="1"/>
  </r>
  <r>
    <n v="10425"/>
    <n v="38"/>
    <n v="100"/>
    <n v="13"/>
    <n v="4325.16"/>
    <d v="2005-05-31T00:00:00"/>
    <x v="2"/>
    <n v="2"/>
    <x v="1"/>
    <x v="1"/>
    <x v="2"/>
    <x v="2"/>
    <n v="121"/>
    <x v="50"/>
    <x v="14"/>
    <s v="40.67.8555"/>
    <s v="67, rue des Cinquante Otages"/>
    <m/>
    <x v="11"/>
    <m/>
    <n v="44000"/>
    <x v="1"/>
    <x v="1"/>
    <s v="Labrune"/>
    <s v="Janine"/>
    <x v="1"/>
  </r>
  <r>
    <n v="10103"/>
    <n v="41"/>
    <n v="47.29"/>
    <n v="9"/>
    <n v="1938.89"/>
    <d v="2003-01-29T00:00:00"/>
    <x v="0"/>
    <n v="1"/>
    <x v="7"/>
    <x v="7"/>
    <x v="0"/>
    <x v="3"/>
    <n v="50"/>
    <x v="51"/>
    <x v="17"/>
    <s v="07-98 9555"/>
    <s v="Erling Skakkes gate 78"/>
    <m/>
    <x v="14"/>
    <m/>
    <n v="4110"/>
    <x v="2"/>
    <x v="1"/>
    <s v="Bergulfsen"/>
    <s v="Jonas"/>
    <x v="0"/>
  </r>
  <r>
    <n v="10113"/>
    <n v="50"/>
    <n v="49.81"/>
    <n v="3"/>
    <n v="2490.5"/>
    <d v="2003-03-26T00:00:00"/>
    <x v="0"/>
    <n v="1"/>
    <x v="11"/>
    <x v="11"/>
    <x v="0"/>
    <x v="3"/>
    <n v="50"/>
    <x v="51"/>
    <x v="39"/>
    <n v="4155551450"/>
    <s v="5677 Strong St."/>
    <m/>
    <x v="33"/>
    <s v="CA"/>
    <n v="97562"/>
    <x v="0"/>
    <x v="0"/>
    <s v="Nelson"/>
    <s v="Valarie"/>
    <x v="0"/>
  </r>
  <r>
    <n v="10126"/>
    <n v="43"/>
    <n v="53.83"/>
    <n v="9"/>
    <n v="2314.69"/>
    <d v="2003-05-28T00:00:00"/>
    <x v="0"/>
    <n v="2"/>
    <x v="1"/>
    <x v="1"/>
    <x v="0"/>
    <x v="3"/>
    <n v="50"/>
    <x v="51"/>
    <x v="25"/>
    <s v="(91) 555 22 82"/>
    <s v="C/ Araquil, 67"/>
    <m/>
    <x v="20"/>
    <m/>
    <n v="28023"/>
    <x v="7"/>
    <x v="1"/>
    <s v="Sommer"/>
    <s v="Mart¡n"/>
    <x v="0"/>
  </r>
  <r>
    <n v="10140"/>
    <n v="29"/>
    <n v="43.27"/>
    <n v="9"/>
    <n v="1254.83"/>
    <d v="2003-07-24T00:00:00"/>
    <x v="0"/>
    <n v="3"/>
    <x v="2"/>
    <x v="2"/>
    <x v="0"/>
    <x v="3"/>
    <n v="50"/>
    <x v="51"/>
    <x v="5"/>
    <n v="6505556809"/>
    <s v="9408 Furth Circle"/>
    <m/>
    <x v="5"/>
    <s v="CA"/>
    <n v="94217"/>
    <x v="0"/>
    <x v="0"/>
    <s v="Hirano"/>
    <s v="Juri"/>
    <x v="0"/>
  </r>
  <r>
    <n v="10150"/>
    <n v="30"/>
    <n v="42.76"/>
    <n v="6"/>
    <n v="1282.8"/>
    <d v="2003-09-19T00:00:00"/>
    <x v="0"/>
    <n v="3"/>
    <x v="10"/>
    <x v="10"/>
    <x v="0"/>
    <x v="3"/>
    <n v="50"/>
    <x v="51"/>
    <x v="26"/>
    <s v="+65 221 7555"/>
    <s v="Bronz Sok., Bronz Apt. 3/6 Tesvikiye"/>
    <m/>
    <x v="22"/>
    <m/>
    <n v="79903"/>
    <x v="9"/>
    <x v="3"/>
    <s v="Natividad"/>
    <s v="Eric"/>
    <x v="0"/>
  </r>
  <r>
    <n v="10164"/>
    <n v="25"/>
    <n v="53.83"/>
    <n v="7"/>
    <n v="1345.75"/>
    <d v="2003-10-21T00:00:00"/>
    <x v="5"/>
    <n v="4"/>
    <x v="4"/>
    <x v="4"/>
    <x v="0"/>
    <x v="3"/>
    <n v="50"/>
    <x v="51"/>
    <x v="63"/>
    <s v="7675-3555"/>
    <s v="Kirchgasse 6"/>
    <m/>
    <x v="52"/>
    <m/>
    <n v="8010"/>
    <x v="5"/>
    <x v="1"/>
    <s v="Mendel"/>
    <s v="Roland"/>
    <x v="0"/>
  </r>
  <r>
    <n v="10174"/>
    <n v="49"/>
    <n v="44.78"/>
    <n v="2"/>
    <n v="2194.2199999999998"/>
    <d v="2003-11-06T00:00:00"/>
    <x v="0"/>
    <n v="4"/>
    <x v="5"/>
    <x v="5"/>
    <x v="0"/>
    <x v="3"/>
    <n v="50"/>
    <x v="51"/>
    <x v="28"/>
    <s v="61-7-3844-6555"/>
    <s v="31 Duncan St. West End"/>
    <m/>
    <x v="23"/>
    <s v="Queensland"/>
    <n v="4101"/>
    <x v="3"/>
    <x v="2"/>
    <s v="Calaghan"/>
    <s v="Tony"/>
    <x v="0"/>
  </r>
  <r>
    <n v="10183"/>
    <n v="40"/>
    <n v="49.3"/>
    <n v="6"/>
    <n v="1972"/>
    <d v="2003-11-13T00:00:00"/>
    <x v="0"/>
    <n v="4"/>
    <x v="5"/>
    <x v="5"/>
    <x v="0"/>
    <x v="3"/>
    <n v="50"/>
    <x v="51"/>
    <x v="29"/>
    <n v="2155554695"/>
    <s v="782 First Street"/>
    <m/>
    <x v="24"/>
    <s v="PA"/>
    <n v="71270"/>
    <x v="0"/>
    <x v="0"/>
    <s v="Cervantes"/>
    <s v="Francisca"/>
    <x v="0"/>
  </r>
  <r>
    <n v="10194"/>
    <n v="41"/>
    <n v="44.78"/>
    <n v="9"/>
    <n v="1835.98"/>
    <d v="2003-11-25T00:00:00"/>
    <x v="0"/>
    <n v="4"/>
    <x v="5"/>
    <x v="5"/>
    <x v="0"/>
    <x v="3"/>
    <n v="50"/>
    <x v="51"/>
    <x v="30"/>
    <s v="78.32.5555"/>
    <s v="2, rue du Commerce"/>
    <m/>
    <x v="25"/>
    <m/>
    <n v="69004"/>
    <x v="1"/>
    <x v="1"/>
    <s v="Saveley"/>
    <s v="Mary"/>
    <x v="0"/>
  </r>
  <r>
    <n v="10206"/>
    <n v="21"/>
    <n v="53.33"/>
    <n v="4"/>
    <n v="1119.93"/>
    <d v="2003-12-05T00:00:00"/>
    <x v="0"/>
    <n v="4"/>
    <x v="6"/>
    <x v="6"/>
    <x v="0"/>
    <x v="3"/>
    <n v="50"/>
    <x v="51"/>
    <x v="31"/>
    <s v="(604) 555-3392"/>
    <s v="1900 Oak St."/>
    <m/>
    <x v="26"/>
    <s v="BC"/>
    <s v="V3F 2K1"/>
    <x v="10"/>
    <x v="0"/>
    <s v="Tannamuri"/>
    <s v="Yoshi"/>
    <x v="0"/>
  </r>
  <r>
    <n v="10215"/>
    <n v="46"/>
    <n v="45.28"/>
    <n v="1"/>
    <n v="2082.88"/>
    <d v="2004-01-29T00:00:00"/>
    <x v="0"/>
    <n v="1"/>
    <x v="7"/>
    <x v="7"/>
    <x v="1"/>
    <x v="3"/>
    <n v="50"/>
    <x v="51"/>
    <x v="32"/>
    <n v="3105553722"/>
    <s v="3675 Furth Circle"/>
    <m/>
    <x v="27"/>
    <s v="CA"/>
    <n v="94019"/>
    <x v="0"/>
    <x v="0"/>
    <s v="Thompson"/>
    <s v="Steve"/>
    <x v="0"/>
  </r>
  <r>
    <n v="10229"/>
    <n v="39"/>
    <n v="40.25"/>
    <n v="14"/>
    <n v="1569.75"/>
    <d v="2004-03-11T00:00:00"/>
    <x v="0"/>
    <n v="1"/>
    <x v="11"/>
    <x v="11"/>
    <x v="1"/>
    <x v="3"/>
    <n v="50"/>
    <x v="51"/>
    <x v="39"/>
    <n v="4155551450"/>
    <s v="5677 Strong St."/>
    <m/>
    <x v="33"/>
    <s v="CA"/>
    <n v="97562"/>
    <x v="0"/>
    <x v="0"/>
    <s v="Nelson"/>
    <s v="Valarie"/>
    <x v="0"/>
  </r>
  <r>
    <n v="10245"/>
    <n v="45"/>
    <n v="59.87"/>
    <n v="7"/>
    <n v="2694.15"/>
    <d v="2004-05-04T00:00:00"/>
    <x v="0"/>
    <n v="2"/>
    <x v="1"/>
    <x v="1"/>
    <x v="1"/>
    <x v="3"/>
    <n v="50"/>
    <x v="51"/>
    <x v="34"/>
    <n v="2035559545"/>
    <s v="567 North Pendale Street"/>
    <m/>
    <x v="28"/>
    <s v="CT"/>
    <n v="97823"/>
    <x v="0"/>
    <x v="0"/>
    <s v="Murphy"/>
    <s v="Leslie"/>
    <x v="0"/>
  </r>
  <r>
    <n v="10258"/>
    <n v="21"/>
    <n v="59.87"/>
    <n v="4"/>
    <n v="1257.27"/>
    <d v="2004-06-15T00:00:00"/>
    <x v="0"/>
    <n v="2"/>
    <x v="9"/>
    <x v="9"/>
    <x v="1"/>
    <x v="3"/>
    <n v="50"/>
    <x v="51"/>
    <x v="35"/>
    <s v="+81 3 3584 0555"/>
    <s v="2-2-8 Roppongi"/>
    <m/>
    <x v="29"/>
    <s v="Tokyo"/>
    <s v="106-0032"/>
    <x v="11"/>
    <x v="3"/>
    <s v="Shimamura"/>
    <s v="Akiko"/>
    <x v="0"/>
  </r>
  <r>
    <n v="10270"/>
    <n v="44"/>
    <n v="58.36"/>
    <n v="7"/>
    <n v="2567.84"/>
    <d v="2004-07-19T00:00:00"/>
    <x v="0"/>
    <n v="3"/>
    <x v="2"/>
    <x v="2"/>
    <x v="1"/>
    <x v="3"/>
    <n v="50"/>
    <x v="51"/>
    <x v="20"/>
    <s v="+61 2 9495 8555"/>
    <s v="Monitor Money Building, 815 Pacific Hwy"/>
    <s v="Level 6"/>
    <x v="17"/>
    <s v="NSW"/>
    <n v="2067"/>
    <x v="3"/>
    <x v="2"/>
    <s v="Huxley"/>
    <s v="Adrian"/>
    <x v="0"/>
  </r>
  <r>
    <n v="10281"/>
    <n v="44"/>
    <n v="59.87"/>
    <n v="14"/>
    <n v="2634.28"/>
    <d v="2004-08-19T00:00:00"/>
    <x v="0"/>
    <n v="3"/>
    <x v="3"/>
    <x v="3"/>
    <x v="1"/>
    <x v="3"/>
    <n v="50"/>
    <x v="51"/>
    <x v="18"/>
    <n v="2155551555"/>
    <s v="7586 Pompton St."/>
    <m/>
    <x v="15"/>
    <s v="PA"/>
    <n v="70267"/>
    <x v="0"/>
    <x v="0"/>
    <s v="Yu"/>
    <s v="Kyung"/>
    <x v="0"/>
  </r>
  <r>
    <n v="10291"/>
    <n v="29"/>
    <n v="51.82"/>
    <n v="9"/>
    <n v="1502.78"/>
    <d v="2004-09-08T00:00:00"/>
    <x v="0"/>
    <n v="3"/>
    <x v="10"/>
    <x v="10"/>
    <x v="1"/>
    <x v="3"/>
    <n v="50"/>
    <x v="51"/>
    <x v="37"/>
    <s v="0695-34 6555"/>
    <s v="?kergatan 24"/>
    <m/>
    <x v="31"/>
    <m/>
    <s v="S-844 67"/>
    <x v="8"/>
    <x v="1"/>
    <s v="Larsson"/>
    <s v="Maria"/>
    <x v="0"/>
  </r>
  <r>
    <n v="10304"/>
    <n v="34"/>
    <n v="49.3"/>
    <n v="4"/>
    <n v="1676.2"/>
    <d v="2004-10-11T00:00:00"/>
    <x v="0"/>
    <n v="4"/>
    <x v="4"/>
    <x v="4"/>
    <x v="1"/>
    <x v="3"/>
    <n v="50"/>
    <x v="51"/>
    <x v="38"/>
    <s v="30.59.8555"/>
    <s v="67, avenue de l'Europe"/>
    <m/>
    <x v="32"/>
    <m/>
    <n v="78000"/>
    <x v="1"/>
    <x v="1"/>
    <s v="Tonini"/>
    <s v="Daniel"/>
    <x v="0"/>
  </r>
  <r>
    <n v="10312"/>
    <n v="39"/>
    <n v="56.85"/>
    <n v="1"/>
    <n v="2217.15"/>
    <d v="2004-10-21T00:00:00"/>
    <x v="0"/>
    <n v="4"/>
    <x v="4"/>
    <x v="4"/>
    <x v="1"/>
    <x v="3"/>
    <n v="50"/>
    <x v="51"/>
    <x v="39"/>
    <n v="4155551450"/>
    <s v="5677 Strong St."/>
    <m/>
    <x v="33"/>
    <s v="CA"/>
    <n v="97562"/>
    <x v="0"/>
    <x v="0"/>
    <s v="Nelson"/>
    <s v="Valarie"/>
    <x v="0"/>
  </r>
  <r>
    <n v="10324"/>
    <n v="38"/>
    <n v="100"/>
    <n v="6"/>
    <n v="6832.02"/>
    <d v="2004-11-05T00:00:00"/>
    <x v="0"/>
    <n v="4"/>
    <x v="5"/>
    <x v="5"/>
    <x v="1"/>
    <x v="3"/>
    <n v="50"/>
    <x v="51"/>
    <x v="11"/>
    <n v="2125551500"/>
    <s v="2678 Kingston Rd."/>
    <s v="Suite 101"/>
    <x v="0"/>
    <s v="NY"/>
    <n v="10022"/>
    <x v="0"/>
    <x v="0"/>
    <s v="Frick"/>
    <s v="Michael"/>
    <x v="1"/>
  </r>
  <r>
    <n v="10333"/>
    <n v="24"/>
    <n v="79.86"/>
    <n v="8"/>
    <n v="1916.64"/>
    <d v="2004-11-18T00:00:00"/>
    <x v="0"/>
    <n v="4"/>
    <x v="5"/>
    <x v="5"/>
    <x v="1"/>
    <x v="3"/>
    <n v="50"/>
    <x v="51"/>
    <x v="8"/>
    <n v="6505555787"/>
    <s v="5557 North Pendale Street"/>
    <m/>
    <x v="4"/>
    <s v="CA"/>
    <m/>
    <x v="0"/>
    <x v="0"/>
    <s v="Murphy"/>
    <s v="Julie"/>
    <x v="0"/>
  </r>
  <r>
    <n v="10348"/>
    <n v="29"/>
    <n v="100"/>
    <n v="6"/>
    <n v="7110.8"/>
    <d v="2004-11-01T00:00:00"/>
    <x v="0"/>
    <n v="4"/>
    <x v="5"/>
    <x v="5"/>
    <x v="1"/>
    <x v="3"/>
    <n v="50"/>
    <x v="51"/>
    <x v="25"/>
    <s v="(91) 555 22 82"/>
    <s v="C/ Araquil, 67"/>
    <m/>
    <x v="20"/>
    <m/>
    <n v="28023"/>
    <x v="7"/>
    <x v="1"/>
    <s v="Sommer"/>
    <s v="Mart¡n"/>
    <x v="2"/>
  </r>
  <r>
    <n v="10358"/>
    <n v="30"/>
    <n v="100"/>
    <n v="8"/>
    <n v="5302.8"/>
    <d v="2004-12-10T00:00:00"/>
    <x v="0"/>
    <n v="4"/>
    <x v="6"/>
    <x v="6"/>
    <x v="1"/>
    <x v="3"/>
    <n v="50"/>
    <x v="51"/>
    <x v="23"/>
    <s v="(91) 555 94 44"/>
    <s v="C/ Moralzarzal, 86"/>
    <m/>
    <x v="20"/>
    <m/>
    <n v="28034"/>
    <x v="7"/>
    <x v="1"/>
    <s v="Freyre"/>
    <s v="Diego"/>
    <x v="1"/>
  </r>
  <r>
    <n v="10370"/>
    <n v="20"/>
    <n v="100"/>
    <n v="2"/>
    <n v="2730"/>
    <d v="2005-01-20T00:00:00"/>
    <x v="0"/>
    <n v="1"/>
    <x v="7"/>
    <x v="7"/>
    <x v="2"/>
    <x v="3"/>
    <n v="50"/>
    <x v="51"/>
    <x v="42"/>
    <s v="02 9936 8555"/>
    <s v="201 Miller Street"/>
    <s v="Level 15"/>
    <x v="36"/>
    <s v="NSW"/>
    <n v="2060"/>
    <x v="3"/>
    <x v="2"/>
    <s v="O'Hara"/>
    <s v="Anna"/>
    <x v="0"/>
  </r>
  <r>
    <n v="10382"/>
    <n v="39"/>
    <n v="100"/>
    <n v="2"/>
    <n v="7827.3"/>
    <d v="2005-02-17T00:00:00"/>
    <x v="0"/>
    <n v="1"/>
    <x v="0"/>
    <x v="0"/>
    <x v="2"/>
    <x v="3"/>
    <n v="50"/>
    <x v="51"/>
    <x v="39"/>
    <n v="4155551450"/>
    <s v="5677 Strong St."/>
    <m/>
    <x v="33"/>
    <s v="CA"/>
    <n v="97562"/>
    <x v="0"/>
    <x v="0"/>
    <s v="Nelson"/>
    <s v="Valarie"/>
    <x v="2"/>
  </r>
  <r>
    <n v="10411"/>
    <n v="35"/>
    <n v="59.87"/>
    <n v="7"/>
    <n v="2095.4499999999998"/>
    <d v="2005-05-01T00:00:00"/>
    <x v="0"/>
    <n v="2"/>
    <x v="1"/>
    <x v="1"/>
    <x v="2"/>
    <x v="3"/>
    <n v="50"/>
    <x v="51"/>
    <x v="43"/>
    <s v="(514) 555-8054"/>
    <s v="43 rue St. Laurent"/>
    <m/>
    <x v="37"/>
    <s v="Quebec"/>
    <s v="H1J 1C3"/>
    <x v="10"/>
    <x v="0"/>
    <s v="Fresnisre"/>
    <s v="Jean"/>
    <x v="0"/>
  </r>
  <r>
    <n v="10424"/>
    <n v="26"/>
    <n v="59.87"/>
    <n v="4"/>
    <n v="1556.62"/>
    <d v="2005-05-31T00:00:00"/>
    <x v="2"/>
    <n v="2"/>
    <x v="1"/>
    <x v="1"/>
    <x v="2"/>
    <x v="3"/>
    <n v="50"/>
    <x v="51"/>
    <x v="23"/>
    <s v="(91) 555 94 44"/>
    <s v="C/ Moralzarzal, 86"/>
    <m/>
    <x v="20"/>
    <m/>
    <n v="28034"/>
    <x v="7"/>
    <x v="1"/>
    <s v="Freyre"/>
    <s v="Diego"/>
    <x v="0"/>
  </r>
  <r>
    <n v="10108"/>
    <n v="44"/>
    <n v="100"/>
    <n v="11"/>
    <n v="5565.12"/>
    <d v="2003-03-03T00:00:00"/>
    <x v="0"/>
    <n v="1"/>
    <x v="11"/>
    <x v="11"/>
    <x v="0"/>
    <x v="1"/>
    <n v="148"/>
    <x v="52"/>
    <x v="66"/>
    <s v="+63 2 555 3587"/>
    <s v="15 McCallum Street - NatWest Center #13-03"/>
    <m/>
    <x v="53"/>
    <m/>
    <s v="1227 MM"/>
    <x v="15"/>
    <x v="3"/>
    <s v="Cruz"/>
    <s v="Arnold"/>
    <x v="1"/>
  </r>
  <r>
    <n v="10122"/>
    <n v="28"/>
    <n v="100"/>
    <n v="15"/>
    <n v="3583.16"/>
    <d v="2003-05-08T00:00:00"/>
    <x v="0"/>
    <n v="2"/>
    <x v="1"/>
    <x v="1"/>
    <x v="0"/>
    <x v="1"/>
    <n v="148"/>
    <x v="52"/>
    <x v="67"/>
    <s v="91.24.4555"/>
    <s v="12, rue des Bouchers"/>
    <m/>
    <x v="54"/>
    <m/>
    <n v="13008"/>
    <x v="1"/>
    <x v="1"/>
    <s v="Lebihan"/>
    <s v="Laurence"/>
    <x v="1"/>
  </r>
  <r>
    <n v="10135"/>
    <n v="31"/>
    <n v="100"/>
    <n v="12"/>
    <n v="4705.18"/>
    <d v="2003-07-02T00:00:00"/>
    <x v="0"/>
    <n v="3"/>
    <x v="2"/>
    <x v="2"/>
    <x v="0"/>
    <x v="1"/>
    <n v="148"/>
    <x v="52"/>
    <x v="39"/>
    <n v="4155551450"/>
    <s v="5677 Strong St."/>
    <m/>
    <x v="33"/>
    <s v="CA"/>
    <n v="97562"/>
    <x v="0"/>
    <x v="0"/>
    <s v="Nelson"/>
    <s v="Valarie"/>
    <x v="1"/>
  </r>
  <r>
    <n v="10146"/>
    <n v="29"/>
    <n v="100"/>
    <n v="1"/>
    <n v="4444.54"/>
    <d v="2003-09-03T00:00:00"/>
    <x v="0"/>
    <n v="3"/>
    <x v="10"/>
    <x v="10"/>
    <x v="0"/>
    <x v="1"/>
    <n v="148"/>
    <x v="52"/>
    <x v="88"/>
    <n v="2035554407"/>
    <s v="2440 Pompton St."/>
    <m/>
    <x v="63"/>
    <s v="CT"/>
    <n v="97561"/>
    <x v="0"/>
    <x v="0"/>
    <s v="Lewis"/>
    <s v="Dan"/>
    <x v="1"/>
  </r>
  <r>
    <n v="10159"/>
    <n v="32"/>
    <n v="100"/>
    <n v="7"/>
    <n v="4618.88"/>
    <d v="2003-10-10T00:00:00"/>
    <x v="0"/>
    <n v="4"/>
    <x v="4"/>
    <x v="4"/>
    <x v="0"/>
    <x v="1"/>
    <n v="148"/>
    <x v="52"/>
    <x v="4"/>
    <n v="6505551386"/>
    <s v="7734 Strong St."/>
    <m/>
    <x v="4"/>
    <s v="CA"/>
    <m/>
    <x v="0"/>
    <x v="0"/>
    <s v="Brown"/>
    <s v="Julie"/>
    <x v="1"/>
  </r>
  <r>
    <n v="10169"/>
    <n v="33"/>
    <n v="100"/>
    <n v="7"/>
    <n v="4910.3999999999996"/>
    <d v="2003-11-04T00:00:00"/>
    <x v="0"/>
    <n v="4"/>
    <x v="5"/>
    <x v="5"/>
    <x v="0"/>
    <x v="1"/>
    <n v="148"/>
    <x v="52"/>
    <x v="42"/>
    <s v="02 9936 8555"/>
    <s v="201 Miller Street"/>
    <s v="Level 15"/>
    <x v="36"/>
    <s v="NSW"/>
    <n v="2060"/>
    <x v="3"/>
    <x v="2"/>
    <s v="O'Hara"/>
    <s v="Anna"/>
    <x v="1"/>
  </r>
  <r>
    <n v="10180"/>
    <n v="44"/>
    <n v="100"/>
    <n v="2"/>
    <n v="5565.12"/>
    <d v="2003-11-11T00:00:00"/>
    <x v="0"/>
    <n v="4"/>
    <x v="5"/>
    <x v="5"/>
    <x v="0"/>
    <x v="1"/>
    <n v="148"/>
    <x v="52"/>
    <x v="6"/>
    <s v="20.16.1555"/>
    <s v="184, chausse de Tournai"/>
    <m/>
    <x v="6"/>
    <m/>
    <n v="59000"/>
    <x v="1"/>
    <x v="1"/>
    <s v="Rance"/>
    <s v="Martine"/>
    <x v="1"/>
  </r>
  <r>
    <n v="10191"/>
    <n v="32"/>
    <n v="100"/>
    <n v="8"/>
    <n v="4237.76"/>
    <d v="2003-11-20T00:00:00"/>
    <x v="0"/>
    <n v="4"/>
    <x v="5"/>
    <x v="5"/>
    <x v="0"/>
    <x v="1"/>
    <n v="148"/>
    <x v="52"/>
    <x v="68"/>
    <s v="0221-5554327"/>
    <s v="Mehrheimerstr. 369"/>
    <m/>
    <x v="55"/>
    <m/>
    <n v="50739"/>
    <x v="16"/>
    <x v="1"/>
    <s v="Pfalzheim"/>
    <s v="Henriette"/>
    <x v="1"/>
  </r>
  <r>
    <n v="10211"/>
    <n v="41"/>
    <n v="100"/>
    <n v="7"/>
    <n v="5673.58"/>
    <d v="2004-01-15T00:00:00"/>
    <x v="0"/>
    <n v="1"/>
    <x v="7"/>
    <x v="7"/>
    <x v="1"/>
    <x v="1"/>
    <n v="148"/>
    <x v="52"/>
    <x v="9"/>
    <s v="(1) 47.55.6555"/>
    <s v="25, rue Lauriston"/>
    <m/>
    <x v="2"/>
    <m/>
    <n v="75016"/>
    <x v="1"/>
    <x v="1"/>
    <s v="Perrier"/>
    <s v="Dominique"/>
    <x v="1"/>
  </r>
  <r>
    <n v="10225"/>
    <n v="35"/>
    <n v="100"/>
    <n v="14"/>
    <n v="5260.15"/>
    <d v="2004-02-22T00:00:00"/>
    <x v="0"/>
    <n v="1"/>
    <x v="0"/>
    <x v="0"/>
    <x v="1"/>
    <x v="1"/>
    <n v="148"/>
    <x v="52"/>
    <x v="69"/>
    <s v="0897-034555"/>
    <s v="Grenzacherweg 237"/>
    <m/>
    <x v="56"/>
    <m/>
    <n v="1203"/>
    <x v="17"/>
    <x v="1"/>
    <s v="Holz"/>
    <s v="Michael"/>
    <x v="1"/>
  </r>
  <r>
    <n v="10238"/>
    <n v="44"/>
    <n v="100"/>
    <n v="8"/>
    <n v="6350.96"/>
    <d v="2004-04-09T00:00:00"/>
    <x v="0"/>
    <n v="2"/>
    <x v="8"/>
    <x v="8"/>
    <x v="1"/>
    <x v="1"/>
    <n v="148"/>
    <x v="52"/>
    <x v="48"/>
    <s v="31 12 3555"/>
    <s v="Vinb'ltet 34"/>
    <m/>
    <x v="40"/>
    <m/>
    <n v="1734"/>
    <x v="13"/>
    <x v="1"/>
    <s v="Petersen"/>
    <s v="Jytte"/>
    <x v="1"/>
  </r>
  <r>
    <n v="10252"/>
    <n v="26"/>
    <n v="100"/>
    <n v="4"/>
    <n v="3559.4"/>
    <d v="2004-05-26T00:00:00"/>
    <x v="0"/>
    <n v="2"/>
    <x v="1"/>
    <x v="1"/>
    <x v="1"/>
    <x v="1"/>
    <n v="148"/>
    <x v="52"/>
    <x v="9"/>
    <s v="(1) 47.55.6555"/>
    <s v="25, rue Lauriston"/>
    <m/>
    <x v="2"/>
    <m/>
    <n v="75016"/>
    <x v="1"/>
    <x v="1"/>
    <s v="Perrier"/>
    <s v="Dominique"/>
    <x v="1"/>
  </r>
  <r>
    <n v="10264"/>
    <n v="20"/>
    <n v="100"/>
    <n v="2"/>
    <n v="2410.6"/>
    <d v="2004-06-30T00:00:00"/>
    <x v="0"/>
    <n v="2"/>
    <x v="9"/>
    <x v="9"/>
    <x v="1"/>
    <x v="1"/>
    <n v="148"/>
    <x v="52"/>
    <x v="58"/>
    <n v="6175559555"/>
    <s v="8616 Spinnaker Dr."/>
    <m/>
    <x v="48"/>
    <s v="MA"/>
    <n v="51003"/>
    <x v="0"/>
    <x v="0"/>
    <s v="Yoshido"/>
    <s v="Juri"/>
    <x v="0"/>
  </r>
  <r>
    <n v="10276"/>
    <n v="48"/>
    <n v="100"/>
    <n v="8"/>
    <n v="5713.92"/>
    <d v="2004-08-02T00:00:00"/>
    <x v="0"/>
    <n v="3"/>
    <x v="3"/>
    <x v="3"/>
    <x v="1"/>
    <x v="1"/>
    <n v="148"/>
    <x v="52"/>
    <x v="71"/>
    <n v="6175557555"/>
    <s v="7635 Spinnaker Dr."/>
    <m/>
    <x v="35"/>
    <s v="MA"/>
    <n v="58339"/>
    <x v="0"/>
    <x v="0"/>
    <s v="Barajas"/>
    <s v="Miguel"/>
    <x v="1"/>
  </r>
  <r>
    <n v="10287"/>
    <n v="34"/>
    <n v="100"/>
    <n v="17"/>
    <n v="4300.32"/>
    <d v="2004-08-30T00:00:00"/>
    <x v="0"/>
    <n v="3"/>
    <x v="3"/>
    <x v="3"/>
    <x v="1"/>
    <x v="1"/>
    <n v="148"/>
    <x v="52"/>
    <x v="69"/>
    <s v="0897-034555"/>
    <s v="Grenzacherweg 237"/>
    <m/>
    <x v="56"/>
    <m/>
    <n v="1203"/>
    <x v="17"/>
    <x v="1"/>
    <s v="Holz"/>
    <s v="Michael"/>
    <x v="1"/>
  </r>
  <r>
    <n v="10299"/>
    <n v="49"/>
    <n v="100"/>
    <n v="2"/>
    <n v="7947.31"/>
    <d v="2004-09-30T00:00:00"/>
    <x v="0"/>
    <n v="3"/>
    <x v="10"/>
    <x v="10"/>
    <x v="1"/>
    <x v="1"/>
    <n v="148"/>
    <x v="52"/>
    <x v="16"/>
    <s v="90-224 8555"/>
    <s v="Keskuskatu 45"/>
    <m/>
    <x v="13"/>
    <m/>
    <n v="21240"/>
    <x v="4"/>
    <x v="1"/>
    <s v="Karttunen"/>
    <s v="Matti"/>
    <x v="2"/>
  </r>
  <r>
    <n v="10310"/>
    <n v="40"/>
    <n v="100"/>
    <n v="15"/>
    <n v="5356.8"/>
    <d v="2004-10-16T00:00:00"/>
    <x v="0"/>
    <n v="4"/>
    <x v="4"/>
    <x v="4"/>
    <x v="1"/>
    <x v="1"/>
    <n v="148"/>
    <x v="52"/>
    <x v="68"/>
    <s v="0221-5554327"/>
    <s v="Mehrheimerstr. 369"/>
    <m/>
    <x v="55"/>
    <m/>
    <n v="50739"/>
    <x v="16"/>
    <x v="1"/>
    <s v="Pfalzheim"/>
    <s v="Henriette"/>
    <x v="1"/>
  </r>
  <r>
    <n v="10319"/>
    <n v="45"/>
    <n v="100"/>
    <n v="3"/>
    <n v="7901.1"/>
    <d v="2004-11-03T00:00:00"/>
    <x v="0"/>
    <n v="4"/>
    <x v="5"/>
    <x v="5"/>
    <x v="1"/>
    <x v="1"/>
    <n v="148"/>
    <x v="52"/>
    <x v="79"/>
    <n v="2125551957"/>
    <s v="5290 North Pendale Street"/>
    <s v="Suite 200"/>
    <x v="0"/>
    <s v="NY"/>
    <n v="10022"/>
    <x v="0"/>
    <x v="0"/>
    <s v="Kuo"/>
    <s v="Kee"/>
    <x v="2"/>
  </r>
  <r>
    <n v="10330"/>
    <n v="50"/>
    <n v="100"/>
    <n v="4"/>
    <n v="6101"/>
    <d v="2004-11-16T00:00:00"/>
    <x v="0"/>
    <n v="4"/>
    <x v="5"/>
    <x v="5"/>
    <x v="1"/>
    <x v="1"/>
    <n v="148"/>
    <x v="52"/>
    <x v="66"/>
    <s v="+63 2 555 3587"/>
    <s v="15 McCallum Street - NatWest Center #13-03"/>
    <m/>
    <x v="53"/>
    <m/>
    <s v="1227 MM"/>
    <x v="15"/>
    <x v="3"/>
    <s v="Cruz"/>
    <s v="Arnold"/>
    <x v="1"/>
  </r>
  <r>
    <n v="10342"/>
    <n v="38"/>
    <n v="100"/>
    <n v="11"/>
    <n v="6276.46"/>
    <d v="2004-11-24T00:00:00"/>
    <x v="0"/>
    <n v="4"/>
    <x v="5"/>
    <x v="5"/>
    <x v="1"/>
    <x v="1"/>
    <n v="148"/>
    <x v="52"/>
    <x v="10"/>
    <s v="03 9520 4555"/>
    <s v="636 St Kilda Road"/>
    <s v="Level 3"/>
    <x v="8"/>
    <s v="Victoria"/>
    <n v="3004"/>
    <x v="3"/>
    <x v="2"/>
    <s v="Ferguson"/>
    <s v="Peter"/>
    <x v="1"/>
  </r>
  <r>
    <n v="10355"/>
    <n v="25"/>
    <n v="100"/>
    <n v="2"/>
    <n v="4203.5"/>
    <d v="2004-12-07T00:00:00"/>
    <x v="0"/>
    <n v="4"/>
    <x v="6"/>
    <x v="6"/>
    <x v="1"/>
    <x v="1"/>
    <n v="148"/>
    <x v="52"/>
    <x v="23"/>
    <s v="(91) 555 94 44"/>
    <s v="C/ Moralzarzal, 86"/>
    <m/>
    <x v="20"/>
    <m/>
    <n v="28034"/>
    <x v="7"/>
    <x v="1"/>
    <s v="Freyre"/>
    <s v="Diego"/>
    <x v="1"/>
  </r>
  <r>
    <n v="10363"/>
    <n v="28"/>
    <n v="58.18"/>
    <n v="13"/>
    <n v="1629.04"/>
    <d v="2005-01-06T00:00:00"/>
    <x v="0"/>
    <n v="1"/>
    <x v="7"/>
    <x v="7"/>
    <x v="2"/>
    <x v="1"/>
    <n v="148"/>
    <x v="52"/>
    <x v="73"/>
    <s v="+358 9 8045 555"/>
    <s v="Software Engineering Center, SEC Oy"/>
    <m/>
    <x v="59"/>
    <m/>
    <s v="FIN-02271"/>
    <x v="4"/>
    <x v="1"/>
    <s v="Suominen"/>
    <s v="Kalle"/>
    <x v="0"/>
  </r>
  <r>
    <n v="10378"/>
    <n v="49"/>
    <n v="67.14"/>
    <n v="8"/>
    <n v="3289.86"/>
    <d v="2005-02-10T00:00:00"/>
    <x v="0"/>
    <n v="1"/>
    <x v="0"/>
    <x v="0"/>
    <x v="2"/>
    <x v="1"/>
    <n v="148"/>
    <x v="52"/>
    <x v="23"/>
    <s v="(91) 555 94 44"/>
    <s v="C/ Moralzarzal, 86"/>
    <m/>
    <x v="20"/>
    <m/>
    <n v="28034"/>
    <x v="7"/>
    <x v="1"/>
    <s v="Freyre"/>
    <s v="Diego"/>
    <x v="1"/>
  </r>
  <r>
    <n v="10390"/>
    <n v="49"/>
    <n v="100"/>
    <n v="3"/>
    <n v="6862.94"/>
    <d v="2005-03-04T00:00:00"/>
    <x v="0"/>
    <n v="1"/>
    <x v="11"/>
    <x v="11"/>
    <x v="2"/>
    <x v="1"/>
    <n v="148"/>
    <x v="52"/>
    <x v="39"/>
    <n v="4155551450"/>
    <s v="5677 Strong St."/>
    <m/>
    <x v="33"/>
    <s v="CA"/>
    <n v="97562"/>
    <x v="0"/>
    <x v="0"/>
    <s v="Nelson"/>
    <s v="Valarie"/>
    <x v="1"/>
  </r>
  <r>
    <n v="10110"/>
    <n v="42"/>
    <n v="61.29"/>
    <n v="9"/>
    <n v="2574.1799999999998"/>
    <d v="2003-03-18T00:00:00"/>
    <x v="0"/>
    <n v="1"/>
    <x v="11"/>
    <x v="11"/>
    <x v="0"/>
    <x v="1"/>
    <n v="71"/>
    <x v="53"/>
    <x v="77"/>
    <s v="(171) 555-1555"/>
    <s v="Fauntleroy Circus"/>
    <m/>
    <x v="61"/>
    <m/>
    <s v="EC2 5NT"/>
    <x v="6"/>
    <x v="1"/>
    <s v="Ashworth"/>
    <s v="Victoria"/>
    <x v="0"/>
  </r>
  <r>
    <n v="10124"/>
    <n v="23"/>
    <n v="57.73"/>
    <n v="8"/>
    <n v="1327.79"/>
    <d v="2003-05-21T00:00:00"/>
    <x v="0"/>
    <n v="2"/>
    <x v="1"/>
    <x v="1"/>
    <x v="0"/>
    <x v="1"/>
    <n v="71"/>
    <x v="53"/>
    <x v="84"/>
    <n v="7025551838"/>
    <s v="8489 Strong St."/>
    <m/>
    <x v="67"/>
    <s v="NV"/>
    <n v="83030"/>
    <x v="0"/>
    <x v="0"/>
    <s v="King"/>
    <s v="Sue"/>
    <x v="0"/>
  </r>
  <r>
    <n v="10148"/>
    <n v="29"/>
    <n v="81.25"/>
    <n v="2"/>
    <n v="2356.25"/>
    <d v="2003-09-11T00:00:00"/>
    <x v="0"/>
    <n v="3"/>
    <x v="10"/>
    <x v="10"/>
    <x v="0"/>
    <x v="1"/>
    <n v="71"/>
    <x v="53"/>
    <x v="42"/>
    <s v="02 9936 8555"/>
    <s v="201 Miller Street"/>
    <s v="Level 15"/>
    <x v="36"/>
    <s v="NSW"/>
    <n v="2060"/>
    <x v="3"/>
    <x v="2"/>
    <s v="O'Hara"/>
    <s v="Anna"/>
    <x v="0"/>
  </r>
  <r>
    <n v="10161"/>
    <n v="25"/>
    <n v="80.540000000000006"/>
    <n v="1"/>
    <n v="2013.5"/>
    <d v="2003-10-17T00:00:00"/>
    <x v="0"/>
    <n v="4"/>
    <x v="4"/>
    <x v="4"/>
    <x v="0"/>
    <x v="1"/>
    <n v="71"/>
    <x v="53"/>
    <x v="78"/>
    <s v="86 21 3555"/>
    <s v="Smagsloget 45"/>
    <m/>
    <x v="62"/>
    <m/>
    <n v="8200"/>
    <x v="13"/>
    <x v="1"/>
    <s v="Ibsen"/>
    <s v="Palle"/>
    <x v="0"/>
  </r>
  <r>
    <n v="10173"/>
    <n v="39"/>
    <n v="71.98"/>
    <n v="15"/>
    <n v="2807.22"/>
    <d v="2003-11-05T00:00:00"/>
    <x v="0"/>
    <n v="4"/>
    <x v="5"/>
    <x v="5"/>
    <x v="0"/>
    <x v="1"/>
    <n v="71"/>
    <x v="53"/>
    <x v="86"/>
    <s v="035-640555"/>
    <s v="Via Ludovico il Moro 22"/>
    <m/>
    <x v="69"/>
    <m/>
    <n v="24100"/>
    <x v="12"/>
    <x v="1"/>
    <s v="Rovelli"/>
    <s v="Giovanni"/>
    <x v="0"/>
  </r>
  <r>
    <n v="10182"/>
    <n v="44"/>
    <n v="69.84"/>
    <n v="12"/>
    <n v="3072.96"/>
    <d v="2003-11-12T00:00:00"/>
    <x v="0"/>
    <n v="4"/>
    <x v="5"/>
    <x v="5"/>
    <x v="0"/>
    <x v="1"/>
    <n v="71"/>
    <x v="53"/>
    <x v="39"/>
    <n v="4155551450"/>
    <s v="5677 Strong St."/>
    <m/>
    <x v="33"/>
    <s v="CA"/>
    <n v="97562"/>
    <x v="0"/>
    <x v="0"/>
    <s v="Nelson"/>
    <s v="Valarie"/>
    <x v="1"/>
  </r>
  <r>
    <n v="10193"/>
    <n v="25"/>
    <n v="76.260000000000005"/>
    <n v="16"/>
    <n v="1906.5"/>
    <d v="2003-11-21T00:00:00"/>
    <x v="0"/>
    <n v="4"/>
    <x v="5"/>
    <x v="5"/>
    <x v="0"/>
    <x v="1"/>
    <n v="71"/>
    <x v="53"/>
    <x v="87"/>
    <s v="61-9-3844-6555"/>
    <s v="7 Allen Street"/>
    <m/>
    <x v="70"/>
    <s v="Victoria"/>
    <n v="3150"/>
    <x v="3"/>
    <x v="2"/>
    <s v="Connery"/>
    <s v="Sean"/>
    <x v="0"/>
  </r>
  <r>
    <n v="10204"/>
    <n v="45"/>
    <n v="76.260000000000005"/>
    <n v="6"/>
    <n v="3431.7"/>
    <d v="2003-12-02T00:00:00"/>
    <x v="0"/>
    <n v="4"/>
    <x v="6"/>
    <x v="6"/>
    <x v="0"/>
    <x v="1"/>
    <n v="71"/>
    <x v="53"/>
    <x v="74"/>
    <n v="2125557413"/>
    <s v="4092 Furth Circle"/>
    <s v="Suite 400"/>
    <x v="0"/>
    <s v="NY"/>
    <n v="10022"/>
    <x v="0"/>
    <x v="0"/>
    <s v="Young"/>
    <s v="Jeff"/>
    <x v="1"/>
  </r>
  <r>
    <n v="10213"/>
    <n v="25"/>
    <n v="83.39"/>
    <n v="2"/>
    <n v="2084.75"/>
    <d v="2004-01-22T00:00:00"/>
    <x v="0"/>
    <n v="1"/>
    <x v="7"/>
    <x v="7"/>
    <x v="1"/>
    <x v="1"/>
    <n v="71"/>
    <x v="53"/>
    <x v="52"/>
    <s v="(171) 555-7555"/>
    <s v="120 Hanover Sq."/>
    <m/>
    <x v="41"/>
    <m/>
    <s v="WA1 1DP"/>
    <x v="6"/>
    <x v="1"/>
    <s v="Hardy"/>
    <s v="Thomas"/>
    <x v="0"/>
  </r>
  <r>
    <n v="10227"/>
    <n v="37"/>
    <n v="57.73"/>
    <n v="12"/>
    <n v="2136.0100000000002"/>
    <d v="2004-03-02T00:00:00"/>
    <x v="0"/>
    <n v="1"/>
    <x v="11"/>
    <x v="11"/>
    <x v="1"/>
    <x v="1"/>
    <n v="71"/>
    <x v="53"/>
    <x v="30"/>
    <s v="78.32.5555"/>
    <s v="2, rue du Commerce"/>
    <m/>
    <x v="25"/>
    <m/>
    <n v="69004"/>
    <x v="1"/>
    <x v="1"/>
    <s v="Saveley"/>
    <s v="Mary"/>
    <x v="0"/>
  </r>
  <r>
    <n v="10241"/>
    <n v="30"/>
    <n v="66.989999999999995"/>
    <n v="4"/>
    <n v="2009.7"/>
    <d v="2004-04-13T00:00:00"/>
    <x v="0"/>
    <n v="2"/>
    <x v="8"/>
    <x v="8"/>
    <x v="1"/>
    <x v="1"/>
    <n v="71"/>
    <x v="53"/>
    <x v="83"/>
    <s v="88.60.1555"/>
    <s v="24, place Kluber"/>
    <m/>
    <x v="66"/>
    <m/>
    <n v="67000"/>
    <x v="1"/>
    <x v="1"/>
    <s v="Citeaux"/>
    <s v="Frederique"/>
    <x v="0"/>
  </r>
  <r>
    <n v="10267"/>
    <n v="36"/>
    <n v="75.55"/>
    <n v="1"/>
    <n v="2719.8"/>
    <d v="2004-07-07T00:00:00"/>
    <x v="0"/>
    <n v="3"/>
    <x v="2"/>
    <x v="2"/>
    <x v="1"/>
    <x v="1"/>
    <n v="71"/>
    <x v="53"/>
    <x v="74"/>
    <n v="2125557413"/>
    <s v="4092 Furth Circle"/>
    <s v="Suite 400"/>
    <x v="0"/>
    <s v="NY"/>
    <n v="10022"/>
    <x v="0"/>
    <x v="0"/>
    <s v="Young"/>
    <s v="Jeff"/>
    <x v="0"/>
  </r>
  <r>
    <n v="10279"/>
    <n v="26"/>
    <n v="60.58"/>
    <n v="1"/>
    <n v="1575.08"/>
    <d v="2004-08-09T00:00:00"/>
    <x v="0"/>
    <n v="3"/>
    <x v="3"/>
    <x v="3"/>
    <x v="1"/>
    <x v="1"/>
    <n v="71"/>
    <x v="53"/>
    <x v="23"/>
    <s v="(91) 555 94 44"/>
    <s v="C/ Moralzarzal, 86"/>
    <m/>
    <x v="20"/>
    <m/>
    <n v="28034"/>
    <x v="7"/>
    <x v="1"/>
    <s v="Freyre"/>
    <s v="Diego"/>
    <x v="0"/>
  </r>
  <r>
    <n v="10288"/>
    <n v="23"/>
    <n v="73.41"/>
    <n v="7"/>
    <n v="1688.43"/>
    <d v="2004-09-01T00:00:00"/>
    <x v="0"/>
    <n v="3"/>
    <x v="10"/>
    <x v="10"/>
    <x v="1"/>
    <x v="1"/>
    <n v="71"/>
    <x v="53"/>
    <x v="65"/>
    <s v="+65 224 1555"/>
    <s v="Village Close - 106 Linden Road Sandown"/>
    <s v="2nd Floor"/>
    <x v="22"/>
    <m/>
    <n v="69045"/>
    <x v="9"/>
    <x v="2"/>
    <s v="Victorino"/>
    <s v="Wendy"/>
    <x v="0"/>
  </r>
  <r>
    <n v="10302"/>
    <n v="23"/>
    <n v="72.7"/>
    <n v="3"/>
    <n v="1672.1"/>
    <d v="2003-10-06T00:00:00"/>
    <x v="0"/>
    <n v="4"/>
    <x v="4"/>
    <x v="4"/>
    <x v="0"/>
    <x v="1"/>
    <n v="71"/>
    <x v="53"/>
    <x v="22"/>
    <s v="(171) 555-2282"/>
    <s v="Berkeley Gardens 12  Brewery"/>
    <m/>
    <x v="19"/>
    <m/>
    <s v="WX1 6LT"/>
    <x v="6"/>
    <x v="1"/>
    <s v="Devon"/>
    <s v="Elizabeth"/>
    <x v="0"/>
  </r>
  <r>
    <n v="10311"/>
    <n v="25"/>
    <n v="66.989999999999995"/>
    <n v="2"/>
    <n v="1674.75"/>
    <d v="2004-10-16T00:00:00"/>
    <x v="0"/>
    <n v="4"/>
    <x v="4"/>
    <x v="4"/>
    <x v="1"/>
    <x v="1"/>
    <n v="71"/>
    <x v="53"/>
    <x v="23"/>
    <s v="(91) 555 94 44"/>
    <s v="C/ Moralzarzal, 86"/>
    <m/>
    <x v="20"/>
    <m/>
    <n v="28034"/>
    <x v="7"/>
    <x v="1"/>
    <s v="Freyre"/>
    <s v="Diego"/>
    <x v="0"/>
  </r>
  <r>
    <n v="10332"/>
    <n v="21"/>
    <n v="100"/>
    <n v="3"/>
    <n v="3472.98"/>
    <d v="2004-11-17T00:00:00"/>
    <x v="0"/>
    <n v="4"/>
    <x v="5"/>
    <x v="5"/>
    <x v="1"/>
    <x v="1"/>
    <n v="71"/>
    <x v="53"/>
    <x v="77"/>
    <s v="(171) 555-1555"/>
    <s v="Fauntleroy Circus"/>
    <m/>
    <x v="61"/>
    <m/>
    <s v="EC2 5NT"/>
    <x v="6"/>
    <x v="1"/>
    <s v="Ashworth"/>
    <s v="Victoria"/>
    <x v="1"/>
  </r>
  <r>
    <n v="10344"/>
    <n v="26"/>
    <n v="63.43"/>
    <n v="5"/>
    <n v="1649.18"/>
    <d v="2004-11-25T00:00:00"/>
    <x v="0"/>
    <n v="4"/>
    <x v="5"/>
    <x v="5"/>
    <x v="1"/>
    <x v="1"/>
    <n v="71"/>
    <x v="53"/>
    <x v="67"/>
    <s v="91.24.4555"/>
    <s v="12, rue des Bouchers"/>
    <m/>
    <x v="54"/>
    <m/>
    <n v="13008"/>
    <x v="1"/>
    <x v="1"/>
    <s v="Lebihan"/>
    <s v="Laurence"/>
    <x v="0"/>
  </r>
  <r>
    <n v="10367"/>
    <n v="44"/>
    <n v="85.25"/>
    <n v="9"/>
    <n v="3751"/>
    <d v="2005-01-12T00:00:00"/>
    <x v="5"/>
    <n v="1"/>
    <x v="7"/>
    <x v="7"/>
    <x v="2"/>
    <x v="1"/>
    <n v="71"/>
    <x v="53"/>
    <x v="3"/>
    <n v="6265557265"/>
    <s v="78934 Hillside Dr."/>
    <m/>
    <x v="3"/>
    <s v="CA"/>
    <n v="90003"/>
    <x v="0"/>
    <x v="0"/>
    <s v="Young"/>
    <s v="Julie"/>
    <x v="1"/>
  </r>
  <r>
    <n v="10380"/>
    <n v="24"/>
    <n v="100"/>
    <n v="2"/>
    <n v="4536"/>
    <d v="2005-02-16T00:00:00"/>
    <x v="0"/>
    <n v="1"/>
    <x v="0"/>
    <x v="0"/>
    <x v="2"/>
    <x v="1"/>
    <n v="71"/>
    <x v="53"/>
    <x v="23"/>
    <s v="(91) 555 94 44"/>
    <s v="C/ Moralzarzal, 86"/>
    <m/>
    <x v="20"/>
    <m/>
    <n v="28034"/>
    <x v="7"/>
    <x v="1"/>
    <s v="Freyre"/>
    <s v="Diego"/>
    <x v="1"/>
  </r>
  <r>
    <n v="10407"/>
    <n v="66"/>
    <n v="66.989999999999995"/>
    <n v="4"/>
    <n v="4421.34"/>
    <d v="2005-04-22T00:00:00"/>
    <x v="4"/>
    <n v="2"/>
    <x v="8"/>
    <x v="8"/>
    <x v="2"/>
    <x v="1"/>
    <n v="71"/>
    <x v="53"/>
    <x v="61"/>
    <n v="4085553659"/>
    <s v="3086 Ingle Ln."/>
    <m/>
    <x v="51"/>
    <s v="CA"/>
    <n v="94217"/>
    <x v="0"/>
    <x v="0"/>
    <s v="Frick"/>
    <s v="Sue"/>
    <x v="1"/>
  </r>
  <r>
    <n v="10420"/>
    <n v="36"/>
    <n v="57.73"/>
    <n v="7"/>
    <n v="2078.2800000000002"/>
    <d v="2005-05-29T00:00:00"/>
    <x v="2"/>
    <n v="2"/>
    <x v="1"/>
    <x v="1"/>
    <x v="2"/>
    <x v="1"/>
    <n v="71"/>
    <x v="53"/>
    <x v="20"/>
    <s v="+61 2 9495 8555"/>
    <s v="Monitor Money Building, 815 Pacific Hwy"/>
    <s v="Level 6"/>
    <x v="17"/>
    <s v="NSW"/>
    <n v="2067"/>
    <x v="3"/>
    <x v="2"/>
    <s v="Huxley"/>
    <s v="Adrian"/>
    <x v="0"/>
  </r>
  <r>
    <n v="10110"/>
    <n v="36"/>
    <n v="85.25"/>
    <n v="13"/>
    <n v="3069"/>
    <d v="2003-03-18T00:00:00"/>
    <x v="0"/>
    <n v="1"/>
    <x v="11"/>
    <x v="11"/>
    <x v="0"/>
    <x v="1"/>
    <n v="73"/>
    <x v="54"/>
    <x v="77"/>
    <s v="(171) 555-1555"/>
    <s v="Fauntleroy Circus"/>
    <m/>
    <x v="61"/>
    <m/>
    <s v="EC2 5NT"/>
    <x v="6"/>
    <x v="1"/>
    <s v="Ashworth"/>
    <s v="Victoria"/>
    <x v="1"/>
  </r>
  <r>
    <n v="10124"/>
    <n v="22"/>
    <n v="77.900000000000006"/>
    <n v="12"/>
    <n v="1713.8"/>
    <d v="2003-05-21T00:00:00"/>
    <x v="0"/>
    <n v="2"/>
    <x v="1"/>
    <x v="1"/>
    <x v="0"/>
    <x v="1"/>
    <n v="73"/>
    <x v="54"/>
    <x v="84"/>
    <n v="7025551838"/>
    <s v="8489 Strong St."/>
    <m/>
    <x v="67"/>
    <s v="NV"/>
    <n v="83030"/>
    <x v="0"/>
    <x v="0"/>
    <s v="King"/>
    <s v="Sue"/>
    <x v="0"/>
  </r>
  <r>
    <n v="10148"/>
    <n v="25"/>
    <n v="60.26"/>
    <n v="6"/>
    <n v="1506.5"/>
    <d v="2003-09-11T00:00:00"/>
    <x v="0"/>
    <n v="3"/>
    <x v="10"/>
    <x v="10"/>
    <x v="0"/>
    <x v="1"/>
    <n v="73"/>
    <x v="54"/>
    <x v="42"/>
    <s v="02 9936 8555"/>
    <s v="201 Miller Street"/>
    <s v="Level 15"/>
    <x v="36"/>
    <s v="NSW"/>
    <n v="2060"/>
    <x v="3"/>
    <x v="2"/>
    <s v="O'Hara"/>
    <s v="Anna"/>
    <x v="0"/>
  </r>
  <r>
    <n v="10161"/>
    <n v="37"/>
    <n v="72.760000000000005"/>
    <n v="5"/>
    <n v="2692.12"/>
    <d v="2003-10-17T00:00:00"/>
    <x v="0"/>
    <n v="4"/>
    <x v="4"/>
    <x v="4"/>
    <x v="0"/>
    <x v="1"/>
    <n v="73"/>
    <x v="54"/>
    <x v="78"/>
    <s v="86 21 3555"/>
    <s v="Smagsloget 45"/>
    <m/>
    <x v="62"/>
    <m/>
    <n v="8200"/>
    <x v="13"/>
    <x v="1"/>
    <s v="Ibsen"/>
    <s v="Palle"/>
    <x v="0"/>
  </r>
  <r>
    <n v="10172"/>
    <n v="32"/>
    <n v="75.69"/>
    <n v="3"/>
    <n v="2422.08"/>
    <d v="2003-11-05T00:00:00"/>
    <x v="0"/>
    <n v="4"/>
    <x v="5"/>
    <x v="5"/>
    <x v="0"/>
    <x v="1"/>
    <n v="73"/>
    <x v="54"/>
    <x v="13"/>
    <n v="2035552570"/>
    <s v="25593 South Bay Ln."/>
    <m/>
    <x v="10"/>
    <s v="CT"/>
    <n v="97562"/>
    <x v="0"/>
    <x v="0"/>
    <s v="King"/>
    <s v="Julie"/>
    <x v="0"/>
  </r>
  <r>
    <n v="10182"/>
    <n v="47"/>
    <n v="74.22"/>
    <n v="16"/>
    <n v="3488.34"/>
    <d v="2003-11-12T00:00:00"/>
    <x v="0"/>
    <n v="4"/>
    <x v="5"/>
    <x v="5"/>
    <x v="0"/>
    <x v="1"/>
    <n v="73"/>
    <x v="54"/>
    <x v="39"/>
    <n v="4155551450"/>
    <s v="5677 Strong St."/>
    <m/>
    <x v="33"/>
    <s v="CA"/>
    <n v="97562"/>
    <x v="0"/>
    <x v="0"/>
    <s v="Nelson"/>
    <s v="Valarie"/>
    <x v="1"/>
  </r>
  <r>
    <n v="10192"/>
    <n v="37"/>
    <n v="69.819999999999993"/>
    <n v="4"/>
    <n v="2583.34"/>
    <d v="2003-11-20T00:00:00"/>
    <x v="0"/>
    <n v="4"/>
    <x v="5"/>
    <x v="5"/>
    <x v="0"/>
    <x v="1"/>
    <n v="73"/>
    <x v="54"/>
    <x v="40"/>
    <n v="6035558647"/>
    <s v="2304 Long Airport Avenue"/>
    <m/>
    <x v="34"/>
    <s v="NH"/>
    <n v="62005"/>
    <x v="0"/>
    <x v="0"/>
    <s v="Young"/>
    <s v="Valarie"/>
    <x v="0"/>
  </r>
  <r>
    <n v="10204"/>
    <n v="20"/>
    <n v="62.47"/>
    <n v="10"/>
    <n v="1249.4000000000001"/>
    <d v="2003-12-02T00:00:00"/>
    <x v="0"/>
    <n v="4"/>
    <x v="6"/>
    <x v="6"/>
    <x v="0"/>
    <x v="1"/>
    <n v="73"/>
    <x v="54"/>
    <x v="74"/>
    <n v="2125557413"/>
    <s v="4092 Furth Circle"/>
    <s v="Suite 400"/>
    <x v="0"/>
    <s v="NY"/>
    <n v="10022"/>
    <x v="0"/>
    <x v="0"/>
    <s v="Young"/>
    <s v="Jeff"/>
    <x v="0"/>
  </r>
  <r>
    <n v="10212"/>
    <n v="41"/>
    <n v="82.31"/>
    <n v="3"/>
    <n v="3374.71"/>
    <d v="2004-01-16T00:00:00"/>
    <x v="0"/>
    <n v="1"/>
    <x v="7"/>
    <x v="7"/>
    <x v="1"/>
    <x v="1"/>
    <n v="73"/>
    <x v="54"/>
    <x v="23"/>
    <s v="(91) 555 94 44"/>
    <s v="C/ Moralzarzal, 86"/>
    <m/>
    <x v="20"/>
    <m/>
    <n v="28034"/>
    <x v="7"/>
    <x v="1"/>
    <s v="Freyre"/>
    <s v="Diego"/>
    <x v="1"/>
  </r>
  <r>
    <n v="10226"/>
    <n v="21"/>
    <n v="60.26"/>
    <n v="1"/>
    <n v="1265.46"/>
    <d v="2004-02-26T00:00:00"/>
    <x v="0"/>
    <n v="1"/>
    <x v="0"/>
    <x v="0"/>
    <x v="1"/>
    <x v="1"/>
    <n v="73"/>
    <x v="54"/>
    <x v="55"/>
    <n v="7605558146"/>
    <s v="361 Furth Circle"/>
    <m/>
    <x v="45"/>
    <s v="CA"/>
    <n v="91217"/>
    <x v="0"/>
    <x v="0"/>
    <s v="Thompson"/>
    <s v="Valarie"/>
    <x v="0"/>
  </r>
  <r>
    <n v="10241"/>
    <n v="22"/>
    <n v="76.430000000000007"/>
    <n v="8"/>
    <n v="1681.46"/>
    <d v="2004-04-13T00:00:00"/>
    <x v="0"/>
    <n v="2"/>
    <x v="8"/>
    <x v="8"/>
    <x v="1"/>
    <x v="1"/>
    <n v="73"/>
    <x v="54"/>
    <x v="83"/>
    <s v="88.60.1555"/>
    <s v="24, place Kluber"/>
    <m/>
    <x v="66"/>
    <m/>
    <n v="67000"/>
    <x v="1"/>
    <x v="1"/>
    <s v="Citeaux"/>
    <s v="Frederique"/>
    <x v="0"/>
  </r>
  <r>
    <n v="10267"/>
    <n v="40"/>
    <n v="80.099999999999994"/>
    <n v="5"/>
    <n v="3204"/>
    <d v="2004-07-07T00:00:00"/>
    <x v="0"/>
    <n v="3"/>
    <x v="2"/>
    <x v="2"/>
    <x v="1"/>
    <x v="1"/>
    <n v="73"/>
    <x v="54"/>
    <x v="74"/>
    <n v="2125557413"/>
    <s v="4092 Furth Circle"/>
    <s v="Suite 400"/>
    <x v="0"/>
    <s v="NY"/>
    <n v="10022"/>
    <x v="0"/>
    <x v="0"/>
    <s v="Young"/>
    <s v="Jeff"/>
    <x v="1"/>
  </r>
  <r>
    <n v="10279"/>
    <n v="32"/>
    <n v="74.959999999999994"/>
    <n v="5"/>
    <n v="2398.7199999999998"/>
    <d v="2004-08-09T00:00:00"/>
    <x v="0"/>
    <n v="3"/>
    <x v="3"/>
    <x v="3"/>
    <x v="1"/>
    <x v="1"/>
    <n v="73"/>
    <x v="54"/>
    <x v="23"/>
    <s v="(91) 555 94 44"/>
    <s v="C/ Moralzarzal, 86"/>
    <m/>
    <x v="20"/>
    <m/>
    <n v="28034"/>
    <x v="7"/>
    <x v="1"/>
    <s v="Freyre"/>
    <s v="Diego"/>
    <x v="0"/>
  </r>
  <r>
    <n v="10288"/>
    <n v="36"/>
    <n v="66.14"/>
    <n v="11"/>
    <n v="2381.04"/>
    <d v="2004-09-01T00:00:00"/>
    <x v="0"/>
    <n v="3"/>
    <x v="10"/>
    <x v="10"/>
    <x v="1"/>
    <x v="1"/>
    <n v="73"/>
    <x v="54"/>
    <x v="65"/>
    <s v="+65 224 1555"/>
    <s v="Village Close - 106 Linden Road Sandown"/>
    <s v="2nd Floor"/>
    <x v="22"/>
    <m/>
    <n v="69045"/>
    <x v="9"/>
    <x v="2"/>
    <s v="Victorino"/>
    <s v="Wendy"/>
    <x v="0"/>
  </r>
  <r>
    <n v="10301"/>
    <n v="27"/>
    <n v="72.02"/>
    <n v="1"/>
    <n v="1944.54"/>
    <d v="2003-10-05T00:00:00"/>
    <x v="0"/>
    <n v="4"/>
    <x v="4"/>
    <x v="4"/>
    <x v="0"/>
    <x v="1"/>
    <n v="73"/>
    <x v="54"/>
    <x v="85"/>
    <s v="+47 2212 1555"/>
    <s v="Drammensveien 126 A, PB 744 Sentrum"/>
    <m/>
    <x v="68"/>
    <m/>
    <s v="N 0106"/>
    <x v="2"/>
    <x v="1"/>
    <s v="Klaeboe"/>
    <s v="Jan"/>
    <x v="0"/>
  </r>
  <r>
    <n v="10311"/>
    <n v="26"/>
    <n v="87.45"/>
    <n v="6"/>
    <n v="2273.6999999999998"/>
    <d v="2004-10-16T00:00:00"/>
    <x v="0"/>
    <n v="4"/>
    <x v="4"/>
    <x v="4"/>
    <x v="1"/>
    <x v="1"/>
    <n v="73"/>
    <x v="54"/>
    <x v="23"/>
    <s v="(91) 555 94 44"/>
    <s v="C/ Moralzarzal, 86"/>
    <m/>
    <x v="20"/>
    <m/>
    <n v="28034"/>
    <x v="7"/>
    <x v="1"/>
    <s v="Freyre"/>
    <s v="Diego"/>
    <x v="0"/>
  </r>
  <r>
    <n v="10321"/>
    <n v="30"/>
    <n v="70.55"/>
    <n v="3"/>
    <n v="2116.5"/>
    <d v="2004-11-04T00:00:00"/>
    <x v="0"/>
    <n v="4"/>
    <x v="5"/>
    <x v="5"/>
    <x v="1"/>
    <x v="1"/>
    <n v="73"/>
    <x v="54"/>
    <x v="21"/>
    <n v="5085552555"/>
    <s v="1785 First Street"/>
    <m/>
    <x v="18"/>
    <s v="MA"/>
    <n v="50553"/>
    <x v="0"/>
    <x v="0"/>
    <s v="Benitez"/>
    <s v="Violeta"/>
    <x v="0"/>
  </r>
  <r>
    <n v="10332"/>
    <n v="23"/>
    <n v="56.84"/>
    <n v="4"/>
    <n v="1307.32"/>
    <d v="2004-11-17T00:00:00"/>
    <x v="0"/>
    <n v="4"/>
    <x v="5"/>
    <x v="5"/>
    <x v="1"/>
    <x v="1"/>
    <n v="73"/>
    <x v="54"/>
    <x v="77"/>
    <s v="(171) 555-1555"/>
    <s v="Fauntleroy Circus"/>
    <m/>
    <x v="61"/>
    <m/>
    <s v="EC2 5NT"/>
    <x v="6"/>
    <x v="1"/>
    <s v="Ashworth"/>
    <s v="Victoria"/>
    <x v="0"/>
  </r>
  <r>
    <n v="10344"/>
    <n v="29"/>
    <n v="59.53"/>
    <n v="7"/>
    <n v="1726.37"/>
    <d v="2004-11-25T00:00:00"/>
    <x v="0"/>
    <n v="4"/>
    <x v="5"/>
    <x v="5"/>
    <x v="1"/>
    <x v="1"/>
    <n v="73"/>
    <x v="54"/>
    <x v="67"/>
    <s v="91.24.4555"/>
    <s v="12, rue des Bouchers"/>
    <m/>
    <x v="54"/>
    <m/>
    <n v="13008"/>
    <x v="1"/>
    <x v="1"/>
    <s v="Lebihan"/>
    <s v="Laurence"/>
    <x v="0"/>
  </r>
  <r>
    <n v="10367"/>
    <n v="21"/>
    <n v="60.37"/>
    <n v="10"/>
    <n v="1267.77"/>
    <d v="2005-01-12T00:00:00"/>
    <x v="5"/>
    <n v="1"/>
    <x v="7"/>
    <x v="7"/>
    <x v="2"/>
    <x v="1"/>
    <n v="73"/>
    <x v="54"/>
    <x v="3"/>
    <n v="6265557265"/>
    <s v="78934 Hillside Dr."/>
    <m/>
    <x v="3"/>
    <s v="CA"/>
    <n v="90003"/>
    <x v="0"/>
    <x v="0"/>
    <s v="Young"/>
    <s v="Julie"/>
    <x v="0"/>
  </r>
  <r>
    <n v="10380"/>
    <n v="34"/>
    <n v="100"/>
    <n v="3"/>
    <n v="3441.82"/>
    <d v="2005-02-16T00:00:00"/>
    <x v="0"/>
    <n v="1"/>
    <x v="0"/>
    <x v="0"/>
    <x v="2"/>
    <x v="1"/>
    <n v="73"/>
    <x v="54"/>
    <x v="23"/>
    <s v="(91) 555 94 44"/>
    <s v="C/ Moralzarzal, 86"/>
    <m/>
    <x v="20"/>
    <m/>
    <n v="28034"/>
    <x v="7"/>
    <x v="1"/>
    <s v="Freyre"/>
    <s v="Diego"/>
    <x v="1"/>
  </r>
  <r>
    <n v="10407"/>
    <n v="26"/>
    <n v="76.430000000000007"/>
    <n v="8"/>
    <n v="1987.18"/>
    <d v="2005-04-22T00:00:00"/>
    <x v="4"/>
    <n v="2"/>
    <x v="8"/>
    <x v="8"/>
    <x v="2"/>
    <x v="1"/>
    <n v="73"/>
    <x v="54"/>
    <x v="61"/>
    <n v="4085553659"/>
    <s v="3086 Ingle Ln."/>
    <m/>
    <x v="51"/>
    <s v="CA"/>
    <n v="94217"/>
    <x v="0"/>
    <x v="0"/>
    <s v="Frick"/>
    <s v="Sue"/>
    <x v="0"/>
  </r>
  <r>
    <n v="10420"/>
    <n v="60"/>
    <n v="64.67"/>
    <n v="11"/>
    <n v="3880.2"/>
    <d v="2005-05-29T00:00:00"/>
    <x v="2"/>
    <n v="2"/>
    <x v="1"/>
    <x v="1"/>
    <x v="2"/>
    <x v="1"/>
    <n v="73"/>
    <x v="54"/>
    <x v="20"/>
    <s v="+61 2 9495 8555"/>
    <s v="Monitor Money Building, 815 Pacific Hwy"/>
    <s v="Level 6"/>
    <x v="17"/>
    <s v="NSW"/>
    <n v="2067"/>
    <x v="3"/>
    <x v="2"/>
    <s v="Huxley"/>
    <s v="Adrian"/>
    <x v="1"/>
  </r>
  <r>
    <n v="10104"/>
    <n v="35"/>
    <n v="55.49"/>
    <n v="6"/>
    <n v="1942.15"/>
    <d v="2003-01-31T00:00:00"/>
    <x v="0"/>
    <n v="1"/>
    <x v="7"/>
    <x v="7"/>
    <x v="0"/>
    <x v="1"/>
    <n v="57"/>
    <x v="55"/>
    <x v="23"/>
    <s v="(91) 555 94 44"/>
    <s v="C/ Moralzarzal, 86"/>
    <m/>
    <x v="20"/>
    <m/>
    <n v="28034"/>
    <x v="7"/>
    <x v="1"/>
    <s v="Freyre"/>
    <s v="Diego"/>
    <x v="0"/>
  </r>
  <r>
    <n v="10115"/>
    <n v="47"/>
    <n v="69.36"/>
    <n v="2"/>
    <n v="3259.92"/>
    <d v="2003-04-04T00:00:00"/>
    <x v="0"/>
    <n v="2"/>
    <x v="8"/>
    <x v="8"/>
    <x v="0"/>
    <x v="1"/>
    <n v="57"/>
    <x v="55"/>
    <x v="27"/>
    <n v="2125558493"/>
    <s v="5905 Pompton St."/>
    <s v="Suite 750"/>
    <x v="0"/>
    <s v="NY"/>
    <n v="10022"/>
    <x v="0"/>
    <x v="0"/>
    <s v="Hernandez"/>
    <s v="Maria"/>
    <x v="1"/>
  </r>
  <r>
    <n v="10127"/>
    <n v="20"/>
    <n v="60.69"/>
    <n v="8"/>
    <n v="1213.8"/>
    <d v="2003-06-03T00:00:00"/>
    <x v="0"/>
    <n v="2"/>
    <x v="9"/>
    <x v="9"/>
    <x v="0"/>
    <x v="1"/>
    <n v="57"/>
    <x v="55"/>
    <x v="74"/>
    <n v="2125557413"/>
    <s v="4092 Furth Circle"/>
    <s v="Suite 400"/>
    <x v="0"/>
    <s v="NY"/>
    <n v="10022"/>
    <x v="0"/>
    <x v="0"/>
    <s v="Young"/>
    <s v="Jeff"/>
    <x v="0"/>
  </r>
  <r>
    <n v="10141"/>
    <n v="20"/>
    <n v="54.33"/>
    <n v="2"/>
    <n v="1086.5999999999999"/>
    <d v="2003-08-01T00:00:00"/>
    <x v="0"/>
    <n v="3"/>
    <x v="3"/>
    <x v="3"/>
    <x v="0"/>
    <x v="1"/>
    <n v="57"/>
    <x v="55"/>
    <x v="73"/>
    <s v="+358 9 8045 555"/>
    <s v="Software Engineering Center, SEC Oy"/>
    <m/>
    <x v="59"/>
    <m/>
    <s v="FIN-02271"/>
    <x v="4"/>
    <x v="1"/>
    <s v="Suominen"/>
    <s v="Kalle"/>
    <x v="0"/>
  </r>
  <r>
    <n v="10152"/>
    <n v="25"/>
    <n v="65.31"/>
    <n v="4"/>
    <n v="1632.75"/>
    <d v="2003-09-25T00:00:00"/>
    <x v="0"/>
    <n v="3"/>
    <x v="10"/>
    <x v="10"/>
    <x v="0"/>
    <x v="1"/>
    <n v="57"/>
    <x v="55"/>
    <x v="28"/>
    <s v="61-7-3844-6555"/>
    <s v="31 Duncan St. West End"/>
    <m/>
    <x v="23"/>
    <s v="Queensland"/>
    <n v="4101"/>
    <x v="3"/>
    <x v="2"/>
    <s v="Calaghan"/>
    <s v="Tony"/>
    <x v="0"/>
  </r>
  <r>
    <n v="10165"/>
    <n v="25"/>
    <n v="69.36"/>
    <n v="9"/>
    <n v="1734"/>
    <d v="2003-10-22T00:00:00"/>
    <x v="0"/>
    <n v="4"/>
    <x v="4"/>
    <x v="4"/>
    <x v="0"/>
    <x v="1"/>
    <n v="57"/>
    <x v="55"/>
    <x v="26"/>
    <s v="+65 221 7555"/>
    <s v="Bronz Sok., Bronz Apt. 3/6 Tesvikiye"/>
    <m/>
    <x v="22"/>
    <m/>
    <n v="79903"/>
    <x v="9"/>
    <x v="3"/>
    <s v="Natividad"/>
    <s v="Eric"/>
    <x v="0"/>
  </r>
  <r>
    <n v="10176"/>
    <n v="27"/>
    <n v="68.78"/>
    <n v="8"/>
    <n v="1857.06"/>
    <d v="2003-11-06T00:00:00"/>
    <x v="0"/>
    <n v="4"/>
    <x v="5"/>
    <x v="5"/>
    <x v="0"/>
    <x v="1"/>
    <n v="57"/>
    <x v="55"/>
    <x v="70"/>
    <s v="0522-556555"/>
    <s v="Strada Provinciale 124"/>
    <m/>
    <x v="57"/>
    <m/>
    <n v="42100"/>
    <x v="12"/>
    <x v="1"/>
    <s v="Moroni"/>
    <s v="Maurizio"/>
    <x v="0"/>
  </r>
  <r>
    <n v="10184"/>
    <n v="31"/>
    <n v="60.11"/>
    <n v="3"/>
    <n v="1863.41"/>
    <d v="2003-11-14T00:00:00"/>
    <x v="0"/>
    <n v="4"/>
    <x v="5"/>
    <x v="5"/>
    <x v="0"/>
    <x v="1"/>
    <n v="57"/>
    <x v="55"/>
    <x v="81"/>
    <s v="(95) 555 82 82"/>
    <s v="C/ Romero, 33"/>
    <m/>
    <x v="64"/>
    <m/>
    <n v="41101"/>
    <x v="7"/>
    <x v="1"/>
    <s v="Roel"/>
    <s v="Jose Pedro"/>
    <x v="0"/>
  </r>
  <r>
    <n v="10195"/>
    <n v="44"/>
    <n v="66.47"/>
    <n v="3"/>
    <n v="2924.68"/>
    <d v="2003-11-25T00:00:00"/>
    <x v="0"/>
    <n v="4"/>
    <x v="5"/>
    <x v="5"/>
    <x v="0"/>
    <x v="1"/>
    <n v="57"/>
    <x v="55"/>
    <x v="47"/>
    <n v="9145554562"/>
    <s v="3758 North Pendale Street"/>
    <m/>
    <x v="39"/>
    <s v="NY"/>
    <n v="24067"/>
    <x v="0"/>
    <x v="0"/>
    <s v="Frick"/>
    <s v="Steve"/>
    <x v="0"/>
  </r>
  <r>
    <n v="10207"/>
    <n v="49"/>
    <n v="46.82"/>
    <n v="4"/>
    <n v="2294.1799999999998"/>
    <d v="2003-12-09T00:00:00"/>
    <x v="0"/>
    <n v="4"/>
    <x v="6"/>
    <x v="6"/>
    <x v="0"/>
    <x v="1"/>
    <n v="57"/>
    <x v="55"/>
    <x v="64"/>
    <n v="6175552555"/>
    <s v="6251 Ingle Ln."/>
    <m/>
    <x v="48"/>
    <s v="MA"/>
    <n v="51003"/>
    <x v="0"/>
    <x v="0"/>
    <s v="Franco"/>
    <s v="Valarie"/>
    <x v="0"/>
  </r>
  <r>
    <n v="10220"/>
    <n v="26"/>
    <n v="56.07"/>
    <n v="8"/>
    <n v="1457.82"/>
    <d v="2004-02-12T00:00:00"/>
    <x v="0"/>
    <n v="1"/>
    <x v="0"/>
    <x v="0"/>
    <x v="1"/>
    <x v="1"/>
    <n v="57"/>
    <x v="55"/>
    <x v="75"/>
    <s v="+353 1862 1555"/>
    <s v="25 Maiden Lane"/>
    <s v="Floor No. 4"/>
    <x v="60"/>
    <m/>
    <n v="2"/>
    <x v="18"/>
    <x v="1"/>
    <s v="Cassidy"/>
    <s v="Dean"/>
    <x v="0"/>
  </r>
  <r>
    <n v="10230"/>
    <n v="36"/>
    <n v="54.33"/>
    <n v="6"/>
    <n v="1955.88"/>
    <d v="2004-03-15T00:00:00"/>
    <x v="0"/>
    <n v="1"/>
    <x v="11"/>
    <x v="11"/>
    <x v="1"/>
    <x v="1"/>
    <n v="57"/>
    <x v="55"/>
    <x v="72"/>
    <s v="+49 69 66 90 2555"/>
    <s v="Lyonerstr. 34"/>
    <m/>
    <x v="58"/>
    <m/>
    <n v="60528"/>
    <x v="16"/>
    <x v="1"/>
    <s v="Keitel"/>
    <s v="Roland"/>
    <x v="0"/>
  </r>
  <r>
    <n v="10246"/>
    <n v="44"/>
    <n v="52.6"/>
    <n v="2"/>
    <n v="2314.4"/>
    <d v="2004-05-05T00:00:00"/>
    <x v="0"/>
    <n v="2"/>
    <x v="1"/>
    <x v="1"/>
    <x v="1"/>
    <x v="1"/>
    <n v="57"/>
    <x v="55"/>
    <x v="23"/>
    <s v="(91) 555 94 44"/>
    <s v="C/ Moralzarzal, 86"/>
    <m/>
    <x v="20"/>
    <m/>
    <n v="28034"/>
    <x v="7"/>
    <x v="1"/>
    <s v="Freyre"/>
    <s v="Diego"/>
    <x v="0"/>
  </r>
  <r>
    <n v="10259"/>
    <n v="28"/>
    <n v="46.82"/>
    <n v="1"/>
    <n v="1310.96"/>
    <d v="2004-06-15T00:00:00"/>
    <x v="0"/>
    <n v="2"/>
    <x v="9"/>
    <x v="9"/>
    <x v="1"/>
    <x v="1"/>
    <n v="57"/>
    <x v="55"/>
    <x v="65"/>
    <s v="+65 224 1555"/>
    <s v="Village Close - 106 Linden Road Sandown"/>
    <s v="2nd Floor"/>
    <x v="22"/>
    <m/>
    <n v="69045"/>
    <x v="9"/>
    <x v="2"/>
    <s v="Victorino"/>
    <s v="Wendy"/>
    <x v="0"/>
  </r>
  <r>
    <n v="10271"/>
    <n v="45"/>
    <n v="64.739999999999995"/>
    <n v="2"/>
    <n v="2913.3"/>
    <d v="2004-07-20T00:00:00"/>
    <x v="0"/>
    <n v="3"/>
    <x v="2"/>
    <x v="2"/>
    <x v="1"/>
    <x v="1"/>
    <n v="57"/>
    <x v="55"/>
    <x v="39"/>
    <n v="4155551450"/>
    <s v="5677 Strong St."/>
    <m/>
    <x v="33"/>
    <s v="CA"/>
    <n v="97562"/>
    <x v="0"/>
    <x v="0"/>
    <s v="Nelson"/>
    <s v="Valarie"/>
    <x v="0"/>
  </r>
  <r>
    <n v="10282"/>
    <n v="29"/>
    <n v="46.82"/>
    <n v="11"/>
    <n v="1357.78"/>
    <d v="2004-08-20T00:00:00"/>
    <x v="0"/>
    <n v="3"/>
    <x v="3"/>
    <x v="3"/>
    <x v="1"/>
    <x v="1"/>
    <n v="57"/>
    <x v="55"/>
    <x v="39"/>
    <n v="4155551450"/>
    <s v="5677 Strong St."/>
    <m/>
    <x v="33"/>
    <s v="CA"/>
    <n v="97562"/>
    <x v="0"/>
    <x v="0"/>
    <s v="Nelson"/>
    <s v="Valarie"/>
    <x v="0"/>
  </r>
  <r>
    <n v="10292"/>
    <n v="40"/>
    <n v="53.75"/>
    <n v="5"/>
    <n v="2150"/>
    <d v="2004-09-08T00:00:00"/>
    <x v="0"/>
    <n v="3"/>
    <x v="10"/>
    <x v="10"/>
    <x v="1"/>
    <x v="1"/>
    <n v="57"/>
    <x v="55"/>
    <x v="0"/>
    <n v="2125557818"/>
    <s v="897 Long Airport Avenue"/>
    <m/>
    <x v="0"/>
    <s v="NY"/>
    <n v="10022"/>
    <x v="0"/>
    <x v="0"/>
    <s v="Yu"/>
    <s v="Kwai"/>
    <x v="0"/>
  </r>
  <r>
    <n v="10305"/>
    <n v="45"/>
    <n v="61.85"/>
    <n v="2"/>
    <n v="2783.25"/>
    <d v="2004-10-13T00:00:00"/>
    <x v="0"/>
    <n v="4"/>
    <x v="4"/>
    <x v="4"/>
    <x v="1"/>
    <x v="1"/>
    <n v="57"/>
    <x v="55"/>
    <x v="15"/>
    <n v="6175558555"/>
    <s v="39323 Spinnaker Dr."/>
    <m/>
    <x v="12"/>
    <s v="MA"/>
    <n v="51247"/>
    <x v="0"/>
    <x v="0"/>
    <s v="Hernandez"/>
    <s v="Marta"/>
    <x v="0"/>
  </r>
  <r>
    <n v="10314"/>
    <n v="44"/>
    <n v="53.18"/>
    <n v="11"/>
    <n v="2339.92"/>
    <d v="2004-10-22T00:00:00"/>
    <x v="0"/>
    <n v="4"/>
    <x v="4"/>
    <x v="4"/>
    <x v="1"/>
    <x v="1"/>
    <n v="57"/>
    <x v="55"/>
    <x v="78"/>
    <s v="86 21 3555"/>
    <s v="Smagsloget 45"/>
    <m/>
    <x v="62"/>
    <m/>
    <n v="8200"/>
    <x v="13"/>
    <x v="1"/>
    <s v="Ibsen"/>
    <s v="Palle"/>
    <x v="0"/>
  </r>
  <r>
    <n v="10324"/>
    <n v="25"/>
    <n v="69.16"/>
    <n v="14"/>
    <n v="1729"/>
    <d v="2004-11-05T00:00:00"/>
    <x v="0"/>
    <n v="4"/>
    <x v="5"/>
    <x v="5"/>
    <x v="1"/>
    <x v="1"/>
    <n v="57"/>
    <x v="55"/>
    <x v="11"/>
    <n v="2125551500"/>
    <s v="2678 Kingston Rd."/>
    <s v="Suite 101"/>
    <x v="0"/>
    <s v="NY"/>
    <n v="10022"/>
    <x v="0"/>
    <x v="0"/>
    <s v="Frick"/>
    <s v="Michael"/>
    <x v="0"/>
  </r>
  <r>
    <n v="10336"/>
    <n v="45"/>
    <n v="100"/>
    <n v="4"/>
    <n v="5972.4"/>
    <d v="2004-11-20T00:00:00"/>
    <x v="0"/>
    <n v="4"/>
    <x v="5"/>
    <x v="5"/>
    <x v="1"/>
    <x v="1"/>
    <n v="57"/>
    <x v="55"/>
    <x v="62"/>
    <s v="(1) 42.34.2555"/>
    <s v="265, boulevard Charonne"/>
    <m/>
    <x v="2"/>
    <m/>
    <n v="75012"/>
    <x v="1"/>
    <x v="1"/>
    <s v="Bertrand"/>
    <s v="Marie"/>
    <x v="1"/>
  </r>
  <r>
    <n v="10349"/>
    <n v="48"/>
    <n v="47.4"/>
    <n v="4"/>
    <n v="2275.1999999999998"/>
    <d v="2004-12-01T00:00:00"/>
    <x v="0"/>
    <n v="4"/>
    <x v="6"/>
    <x v="6"/>
    <x v="1"/>
    <x v="1"/>
    <n v="57"/>
    <x v="55"/>
    <x v="74"/>
    <n v="2125557413"/>
    <s v="4092 Furth Circle"/>
    <s v="Suite 400"/>
    <x v="0"/>
    <s v="NY"/>
    <n v="10022"/>
    <x v="0"/>
    <x v="0"/>
    <s v="Young"/>
    <s v="Jeff"/>
    <x v="0"/>
  </r>
  <r>
    <n v="10358"/>
    <n v="44"/>
    <n v="60.76"/>
    <n v="14"/>
    <n v="2673.44"/>
    <d v="2004-12-10T00:00:00"/>
    <x v="0"/>
    <n v="4"/>
    <x v="6"/>
    <x v="6"/>
    <x v="1"/>
    <x v="1"/>
    <n v="57"/>
    <x v="55"/>
    <x v="23"/>
    <s v="(91) 555 94 44"/>
    <s v="C/ Moralzarzal, 86"/>
    <m/>
    <x v="20"/>
    <m/>
    <n v="28034"/>
    <x v="7"/>
    <x v="1"/>
    <s v="Freyre"/>
    <s v="Diego"/>
    <x v="0"/>
  </r>
  <r>
    <n v="10371"/>
    <n v="25"/>
    <n v="97.27"/>
    <n v="12"/>
    <n v="2431.75"/>
    <d v="2005-01-23T00:00:00"/>
    <x v="0"/>
    <n v="1"/>
    <x v="7"/>
    <x v="7"/>
    <x v="2"/>
    <x v="1"/>
    <n v="57"/>
    <x v="55"/>
    <x v="39"/>
    <n v="4155551450"/>
    <s v="5677 Strong St."/>
    <m/>
    <x v="33"/>
    <s v="CA"/>
    <n v="97562"/>
    <x v="0"/>
    <x v="0"/>
    <s v="Nelson"/>
    <s v="Valarie"/>
    <x v="0"/>
  </r>
  <r>
    <n v="10383"/>
    <n v="22"/>
    <n v="91.76"/>
    <n v="2"/>
    <n v="2018.72"/>
    <d v="2005-02-22T00:00:00"/>
    <x v="0"/>
    <n v="1"/>
    <x v="0"/>
    <x v="0"/>
    <x v="2"/>
    <x v="1"/>
    <n v="57"/>
    <x v="55"/>
    <x v="23"/>
    <s v="(91) 555 94 44"/>
    <s v="C/ Moralzarzal, 86"/>
    <m/>
    <x v="20"/>
    <m/>
    <n v="28034"/>
    <x v="7"/>
    <x v="1"/>
    <s v="Freyre"/>
    <s v="Diego"/>
    <x v="0"/>
  </r>
  <r>
    <n v="10394"/>
    <n v="31"/>
    <n v="50.29"/>
    <n v="2"/>
    <n v="1558.99"/>
    <d v="2005-03-15T00:00:00"/>
    <x v="0"/>
    <n v="1"/>
    <x v="11"/>
    <x v="11"/>
    <x v="2"/>
    <x v="1"/>
    <n v="57"/>
    <x v="55"/>
    <x v="23"/>
    <s v="(91) 555 94 44"/>
    <s v="C/ Moralzarzal, 86"/>
    <m/>
    <x v="20"/>
    <m/>
    <n v="28034"/>
    <x v="7"/>
    <x v="1"/>
    <s v="Freyre"/>
    <s v="Diego"/>
    <x v="0"/>
  </r>
  <r>
    <n v="10412"/>
    <n v="21"/>
    <n v="52.6"/>
    <n v="2"/>
    <n v="1104.5999999999999"/>
    <d v="2005-05-03T00:00:00"/>
    <x v="0"/>
    <n v="2"/>
    <x v="1"/>
    <x v="1"/>
    <x v="2"/>
    <x v="1"/>
    <n v="57"/>
    <x v="55"/>
    <x v="23"/>
    <s v="(91) 555 94 44"/>
    <s v="C/ Moralzarzal, 86"/>
    <m/>
    <x v="20"/>
    <m/>
    <n v="28034"/>
    <x v="7"/>
    <x v="1"/>
    <s v="Freyre"/>
    <s v="Diego"/>
    <x v="0"/>
  </r>
  <r>
    <n v="10425"/>
    <n v="55"/>
    <n v="46.82"/>
    <n v="1"/>
    <n v="2575.1"/>
    <d v="2005-05-31T00:00:00"/>
    <x v="2"/>
    <n v="2"/>
    <x v="1"/>
    <x v="1"/>
    <x v="2"/>
    <x v="1"/>
    <n v="57"/>
    <x v="55"/>
    <x v="14"/>
    <s v="40.67.8555"/>
    <s v="67, rue des Cinquante Otages"/>
    <m/>
    <x v="11"/>
    <m/>
    <n v="44000"/>
    <x v="1"/>
    <x v="1"/>
    <s v="Labrune"/>
    <s v="Janine"/>
    <x v="0"/>
  </r>
  <r>
    <n v="10107"/>
    <n v="25"/>
    <n v="100"/>
    <n v="3"/>
    <n v="2845.75"/>
    <d v="2003-02-24T00:00:00"/>
    <x v="0"/>
    <n v="1"/>
    <x v="0"/>
    <x v="0"/>
    <x v="0"/>
    <x v="0"/>
    <n v="112"/>
    <x v="56"/>
    <x v="0"/>
    <n v="2125557818"/>
    <s v="897 Long Airport Avenue"/>
    <m/>
    <x v="0"/>
    <s v="NY"/>
    <n v="10022"/>
    <x v="0"/>
    <x v="0"/>
    <s v="Yu"/>
    <s v="Kwai"/>
    <x v="0"/>
  </r>
  <r>
    <n v="10120"/>
    <n v="35"/>
    <n v="98.05"/>
    <n v="1"/>
    <n v="3431.75"/>
    <d v="2003-04-29T00:00:00"/>
    <x v="0"/>
    <n v="2"/>
    <x v="8"/>
    <x v="8"/>
    <x v="0"/>
    <x v="0"/>
    <n v="112"/>
    <x v="56"/>
    <x v="10"/>
    <s v="03 9520 4555"/>
    <s v="636 St Kilda Road"/>
    <s v="Level 3"/>
    <x v="8"/>
    <s v="Victoria"/>
    <n v="3004"/>
    <x v="3"/>
    <x v="2"/>
    <s v="Ferguson"/>
    <s v="Peter"/>
    <x v="1"/>
  </r>
  <r>
    <n v="10134"/>
    <n v="35"/>
    <n v="93.54"/>
    <n v="3"/>
    <n v="3273.9"/>
    <d v="2003-07-01T00:00:00"/>
    <x v="0"/>
    <n v="3"/>
    <x v="2"/>
    <x v="2"/>
    <x v="0"/>
    <x v="0"/>
    <n v="112"/>
    <x v="56"/>
    <x v="2"/>
    <s v="+33 1 46 62 7555"/>
    <s v="27 rue du Colonel Pierre Avia"/>
    <m/>
    <x v="2"/>
    <m/>
    <n v="75508"/>
    <x v="1"/>
    <x v="1"/>
    <s v="Da Cunha"/>
    <s v="Daniel"/>
    <x v="1"/>
  </r>
  <r>
    <n v="10145"/>
    <n v="43"/>
    <n v="95.8"/>
    <n v="7"/>
    <n v="4119.3999999999996"/>
    <d v="2003-08-25T00:00:00"/>
    <x v="0"/>
    <n v="3"/>
    <x v="3"/>
    <x v="3"/>
    <x v="0"/>
    <x v="0"/>
    <n v="112"/>
    <x v="56"/>
    <x v="3"/>
    <n v="6265557265"/>
    <s v="78934 Hillside Dr."/>
    <m/>
    <x v="3"/>
    <s v="CA"/>
    <n v="90003"/>
    <x v="0"/>
    <x v="0"/>
    <s v="Young"/>
    <s v="Julie"/>
    <x v="1"/>
  </r>
  <r>
    <n v="10159"/>
    <n v="44"/>
    <n v="100"/>
    <n v="15"/>
    <n v="5355.68"/>
    <d v="2003-10-10T00:00:00"/>
    <x v="0"/>
    <n v="4"/>
    <x v="4"/>
    <x v="4"/>
    <x v="0"/>
    <x v="0"/>
    <n v="112"/>
    <x v="56"/>
    <x v="4"/>
    <n v="6505551386"/>
    <s v="7734 Strong St."/>
    <m/>
    <x v="4"/>
    <s v="CA"/>
    <m/>
    <x v="0"/>
    <x v="0"/>
    <s v="Brown"/>
    <s v="Julie"/>
    <x v="1"/>
  </r>
  <r>
    <n v="10168"/>
    <n v="50"/>
    <n v="100"/>
    <n v="2"/>
    <n v="5747.5"/>
    <d v="2003-10-28T00:00:00"/>
    <x v="0"/>
    <n v="4"/>
    <x v="4"/>
    <x v="4"/>
    <x v="0"/>
    <x v="0"/>
    <n v="112"/>
    <x v="56"/>
    <x v="5"/>
    <n v="6505556809"/>
    <s v="9408 Furth Circle"/>
    <m/>
    <x v="5"/>
    <s v="CA"/>
    <n v="94217"/>
    <x v="0"/>
    <x v="0"/>
    <s v="Hirano"/>
    <s v="Juri"/>
    <x v="1"/>
  </r>
  <r>
    <n v="10180"/>
    <n v="48"/>
    <n v="100"/>
    <n v="10"/>
    <n v="5355.36"/>
    <d v="2003-11-11T00:00:00"/>
    <x v="0"/>
    <n v="4"/>
    <x v="5"/>
    <x v="5"/>
    <x v="0"/>
    <x v="0"/>
    <n v="112"/>
    <x v="56"/>
    <x v="6"/>
    <s v="20.16.1555"/>
    <s v="184, chausse de Tournai"/>
    <m/>
    <x v="6"/>
    <m/>
    <n v="59000"/>
    <x v="1"/>
    <x v="1"/>
    <s v="Rance"/>
    <s v="Martine"/>
    <x v="1"/>
  </r>
  <r>
    <n v="10188"/>
    <n v="25"/>
    <n v="100"/>
    <n v="2"/>
    <n v="2535.75"/>
    <d v="2003-11-18T00:00:00"/>
    <x v="0"/>
    <n v="4"/>
    <x v="5"/>
    <x v="5"/>
    <x v="0"/>
    <x v="0"/>
    <n v="112"/>
    <x v="56"/>
    <x v="7"/>
    <s v="+47 2267 3215"/>
    <s v="Drammen 121, PR 744 Sentrum"/>
    <m/>
    <x v="7"/>
    <m/>
    <s v="N 5804"/>
    <x v="2"/>
    <x v="1"/>
    <s v="Oeztan"/>
    <s v="Veysel"/>
    <x v="0"/>
  </r>
  <r>
    <n v="10201"/>
    <n v="39"/>
    <n v="100"/>
    <n v="3"/>
    <n v="4351.2299999999996"/>
    <d v="2003-12-01T00:00:00"/>
    <x v="0"/>
    <n v="4"/>
    <x v="6"/>
    <x v="6"/>
    <x v="0"/>
    <x v="0"/>
    <n v="112"/>
    <x v="56"/>
    <x v="8"/>
    <n v="6505555787"/>
    <s v="5557 North Pendale Street"/>
    <m/>
    <x v="4"/>
    <s v="CA"/>
    <m/>
    <x v="0"/>
    <x v="0"/>
    <s v="Murphy"/>
    <s v="Julie"/>
    <x v="1"/>
  </r>
  <r>
    <n v="10211"/>
    <n v="25"/>
    <n v="90.16"/>
    <n v="15"/>
    <n v="2254"/>
    <d v="2004-01-15T00:00:00"/>
    <x v="0"/>
    <n v="1"/>
    <x v="7"/>
    <x v="7"/>
    <x v="1"/>
    <x v="0"/>
    <n v="112"/>
    <x v="56"/>
    <x v="9"/>
    <s v="(1) 47.55.6555"/>
    <s v="25, rue Lauriston"/>
    <m/>
    <x v="2"/>
    <m/>
    <n v="75016"/>
    <x v="1"/>
    <x v="1"/>
    <s v="Perrier"/>
    <s v="Dominique"/>
    <x v="0"/>
  </r>
  <r>
    <n v="10223"/>
    <n v="32"/>
    <n v="91.29"/>
    <n v="2"/>
    <n v="2921.28"/>
    <d v="2004-02-20T00:00:00"/>
    <x v="0"/>
    <n v="1"/>
    <x v="0"/>
    <x v="0"/>
    <x v="1"/>
    <x v="0"/>
    <n v="112"/>
    <x v="56"/>
    <x v="10"/>
    <s v="03 9520 4555"/>
    <s v="636 St Kilda Road"/>
    <s v="Level 3"/>
    <x v="8"/>
    <s v="Victoria"/>
    <n v="3004"/>
    <x v="3"/>
    <x v="2"/>
    <s v="Ferguson"/>
    <s v="Peter"/>
    <x v="0"/>
  </r>
  <r>
    <n v="10237"/>
    <n v="20"/>
    <n v="100"/>
    <n v="8"/>
    <n v="2299"/>
    <d v="2004-04-05T00:00:00"/>
    <x v="0"/>
    <n v="2"/>
    <x v="8"/>
    <x v="8"/>
    <x v="1"/>
    <x v="0"/>
    <n v="112"/>
    <x v="56"/>
    <x v="11"/>
    <n v="2125551500"/>
    <s v="2678 Kingston Rd."/>
    <s v="Suite 101"/>
    <x v="0"/>
    <s v="NY"/>
    <n v="10022"/>
    <x v="0"/>
    <x v="0"/>
    <s v="Frick"/>
    <s v="Michael"/>
    <x v="0"/>
  </r>
  <r>
    <n v="10251"/>
    <n v="26"/>
    <n v="100"/>
    <n v="3"/>
    <n v="2637.18"/>
    <d v="2004-05-18T00:00:00"/>
    <x v="0"/>
    <n v="2"/>
    <x v="1"/>
    <x v="1"/>
    <x v="1"/>
    <x v="0"/>
    <n v="112"/>
    <x v="56"/>
    <x v="12"/>
    <n v="2015559350"/>
    <s v="7476 Moss Rd."/>
    <m/>
    <x v="9"/>
    <s v="NJ"/>
    <n v="94019"/>
    <x v="0"/>
    <x v="0"/>
    <s v="Brown"/>
    <s v="William"/>
    <x v="0"/>
  </r>
  <r>
    <n v="10263"/>
    <n v="42"/>
    <n v="100"/>
    <n v="3"/>
    <n v="4307.5200000000004"/>
    <d v="2004-06-28T00:00:00"/>
    <x v="0"/>
    <n v="2"/>
    <x v="9"/>
    <x v="9"/>
    <x v="1"/>
    <x v="0"/>
    <n v="112"/>
    <x v="56"/>
    <x v="13"/>
    <n v="2035552570"/>
    <s v="25593 South Bay Ln."/>
    <m/>
    <x v="10"/>
    <s v="CT"/>
    <n v="97562"/>
    <x v="0"/>
    <x v="0"/>
    <s v="King"/>
    <s v="Julie"/>
    <x v="1"/>
  </r>
  <r>
    <n v="10275"/>
    <n v="21"/>
    <n v="100"/>
    <n v="2"/>
    <n v="2153.7600000000002"/>
    <d v="2004-07-23T00:00:00"/>
    <x v="0"/>
    <n v="3"/>
    <x v="2"/>
    <x v="2"/>
    <x v="1"/>
    <x v="0"/>
    <n v="112"/>
    <x v="56"/>
    <x v="14"/>
    <s v="40.67.8555"/>
    <s v="67, rue des Cinquante Otages"/>
    <m/>
    <x v="11"/>
    <m/>
    <n v="44000"/>
    <x v="1"/>
    <x v="1"/>
    <s v="Labrune"/>
    <s v="Janine"/>
    <x v="0"/>
  </r>
  <r>
    <n v="10285"/>
    <n v="34"/>
    <n v="100"/>
    <n v="7"/>
    <n v="3716.88"/>
    <d v="2004-08-27T00:00:00"/>
    <x v="0"/>
    <n v="3"/>
    <x v="3"/>
    <x v="3"/>
    <x v="1"/>
    <x v="0"/>
    <n v="112"/>
    <x v="56"/>
    <x v="15"/>
    <n v="6175558555"/>
    <s v="39323 Spinnaker Dr."/>
    <m/>
    <x v="12"/>
    <s v="MA"/>
    <n v="51247"/>
    <x v="0"/>
    <x v="0"/>
    <s v="Hernandez"/>
    <s v="Marta"/>
    <x v="1"/>
  </r>
  <r>
    <n v="10299"/>
    <n v="47"/>
    <n v="100"/>
    <n v="10"/>
    <n v="5455.76"/>
    <d v="2004-09-30T00:00:00"/>
    <x v="0"/>
    <n v="3"/>
    <x v="10"/>
    <x v="10"/>
    <x v="1"/>
    <x v="0"/>
    <n v="112"/>
    <x v="56"/>
    <x v="16"/>
    <s v="90-224 8555"/>
    <s v="Keskuskatu 45"/>
    <m/>
    <x v="13"/>
    <m/>
    <n v="21240"/>
    <x v="4"/>
    <x v="1"/>
    <s v="Karttunen"/>
    <s v="Matti"/>
    <x v="1"/>
  </r>
  <r>
    <n v="10309"/>
    <n v="21"/>
    <n v="100"/>
    <n v="6"/>
    <n v="2650.62"/>
    <d v="2004-10-15T00:00:00"/>
    <x v="0"/>
    <n v="4"/>
    <x v="4"/>
    <x v="4"/>
    <x v="1"/>
    <x v="0"/>
    <n v="112"/>
    <x v="56"/>
    <x v="17"/>
    <s v="07-98 9555"/>
    <s v="Erling Skakkes gate 78"/>
    <m/>
    <x v="14"/>
    <m/>
    <n v="4110"/>
    <x v="2"/>
    <x v="1"/>
    <s v="Bergulfsen"/>
    <s v="Jonas"/>
    <x v="0"/>
  </r>
  <r>
    <n v="10318"/>
    <n v="48"/>
    <n v="100"/>
    <n v="2"/>
    <n v="6437.28"/>
    <d v="2004-11-02T00:00:00"/>
    <x v="0"/>
    <n v="4"/>
    <x v="5"/>
    <x v="5"/>
    <x v="1"/>
    <x v="0"/>
    <n v="112"/>
    <x v="56"/>
    <x v="18"/>
    <n v="2155551555"/>
    <s v="7586 Pompton St."/>
    <m/>
    <x v="15"/>
    <s v="PA"/>
    <n v="70267"/>
    <x v="0"/>
    <x v="0"/>
    <s v="Yu"/>
    <s v="Kyung"/>
    <x v="1"/>
  </r>
  <r>
    <n v="10329"/>
    <n v="30"/>
    <n v="87.78"/>
    <n v="7"/>
    <n v="2633.4"/>
    <d v="2004-11-15T00:00:00"/>
    <x v="0"/>
    <n v="4"/>
    <x v="5"/>
    <x v="5"/>
    <x v="1"/>
    <x v="0"/>
    <n v="112"/>
    <x v="56"/>
    <x v="0"/>
    <n v="2125557818"/>
    <s v="897 Long Airport Avenue"/>
    <m/>
    <x v="0"/>
    <s v="NY"/>
    <n v="10022"/>
    <x v="0"/>
    <x v="0"/>
    <s v="Yu"/>
    <s v="Kwai"/>
    <x v="0"/>
  </r>
  <r>
    <n v="10339"/>
    <n v="27"/>
    <n v="84.39"/>
    <n v="10"/>
    <n v="2278.5300000000002"/>
    <d v="2004-11-23T00:00:00"/>
    <x v="0"/>
    <n v="4"/>
    <x v="5"/>
    <x v="5"/>
    <x v="1"/>
    <x v="0"/>
    <n v="112"/>
    <x v="56"/>
    <x v="35"/>
    <s v="+81 3 3584 0555"/>
    <s v="2-2-8 Roppongi"/>
    <m/>
    <x v="29"/>
    <s v="Tokyo"/>
    <s v="106-0032"/>
    <x v="11"/>
    <x v="3"/>
    <s v="Shimamura"/>
    <s v="Akiko"/>
    <x v="0"/>
  </r>
  <r>
    <n v="10362"/>
    <n v="50"/>
    <n v="96.92"/>
    <n v="2"/>
    <n v="4846"/>
    <d v="2005-01-05T00:00:00"/>
    <x v="0"/>
    <n v="1"/>
    <x v="7"/>
    <x v="7"/>
    <x v="2"/>
    <x v="0"/>
    <n v="112"/>
    <x v="56"/>
    <x v="5"/>
    <n v="6505556809"/>
    <s v="9408 Furth Circle"/>
    <m/>
    <x v="5"/>
    <s v="CA"/>
    <n v="94217"/>
    <x v="0"/>
    <x v="0"/>
    <s v="Hirano"/>
    <s v="Juri"/>
    <x v="1"/>
  </r>
  <r>
    <n v="10374"/>
    <n v="38"/>
    <n v="100"/>
    <n v="6"/>
    <n v="4197.1000000000004"/>
    <d v="2005-02-02T00:00:00"/>
    <x v="0"/>
    <n v="1"/>
    <x v="0"/>
    <x v="0"/>
    <x v="2"/>
    <x v="0"/>
    <n v="112"/>
    <x v="56"/>
    <x v="28"/>
    <s v="61-7-3844-6555"/>
    <s v="31 Duncan St. West End"/>
    <m/>
    <x v="23"/>
    <s v="Queensland"/>
    <n v="4101"/>
    <x v="3"/>
    <x v="2"/>
    <s v="Calaghan"/>
    <s v="Tony"/>
    <x v="1"/>
  </r>
  <r>
    <n v="10389"/>
    <n v="45"/>
    <n v="100"/>
    <n v="1"/>
    <n v="4597.6499999999996"/>
    <d v="2005-03-03T00:00:00"/>
    <x v="0"/>
    <n v="1"/>
    <x v="11"/>
    <x v="11"/>
    <x v="2"/>
    <x v="0"/>
    <n v="112"/>
    <x v="56"/>
    <x v="37"/>
    <s v="0695-34 6555"/>
    <s v="?kergatan 24"/>
    <m/>
    <x v="31"/>
    <m/>
    <s v="S-844 67"/>
    <x v="8"/>
    <x v="1"/>
    <s v="Larsson"/>
    <s v="Maria"/>
    <x v="1"/>
  </r>
  <r>
    <n v="10403"/>
    <n v="46"/>
    <n v="100"/>
    <n v="8"/>
    <n v="5287.7"/>
    <d v="2005-04-08T00:00:00"/>
    <x v="0"/>
    <n v="2"/>
    <x v="8"/>
    <x v="8"/>
    <x v="2"/>
    <x v="0"/>
    <n v="112"/>
    <x v="56"/>
    <x v="22"/>
    <s v="(171) 555-2282"/>
    <s v="Berkeley Gardens 12  Brewery"/>
    <m/>
    <x v="19"/>
    <m/>
    <s v="WX1 6LT"/>
    <x v="6"/>
    <x v="1"/>
    <s v="Devon"/>
    <s v="Elizabeth"/>
    <x v="1"/>
  </r>
  <r>
    <n v="10417"/>
    <n v="35"/>
    <n v="100"/>
    <n v="3"/>
    <n v="3550.05"/>
    <d v="2005-05-13T00:00:00"/>
    <x v="1"/>
    <n v="2"/>
    <x v="1"/>
    <x v="1"/>
    <x v="2"/>
    <x v="0"/>
    <n v="112"/>
    <x v="56"/>
    <x v="23"/>
    <s v="(91) 555 94 44"/>
    <s v="C/ Moralzarzal, 86"/>
    <m/>
    <x v="20"/>
    <m/>
    <n v="28034"/>
    <x v="7"/>
    <x v="1"/>
    <s v="Freyre"/>
    <s v="Diego"/>
    <x v="1"/>
  </r>
  <r>
    <n v="10110"/>
    <n v="29"/>
    <n v="59.37"/>
    <n v="15"/>
    <n v="1721.73"/>
    <d v="2003-03-18T00:00:00"/>
    <x v="0"/>
    <n v="1"/>
    <x v="11"/>
    <x v="11"/>
    <x v="0"/>
    <x v="1"/>
    <n v="50"/>
    <x v="57"/>
    <x v="77"/>
    <s v="(171) 555-1555"/>
    <s v="Fauntleroy Circus"/>
    <m/>
    <x v="61"/>
    <m/>
    <s v="EC2 5NT"/>
    <x v="6"/>
    <x v="1"/>
    <s v="Ashworth"/>
    <s v="Victoria"/>
    <x v="0"/>
  </r>
  <r>
    <n v="10123"/>
    <n v="50"/>
    <n v="59.87"/>
    <n v="1"/>
    <n v="2993.5"/>
    <d v="2003-05-20T00:00:00"/>
    <x v="0"/>
    <n v="2"/>
    <x v="1"/>
    <x v="1"/>
    <x v="0"/>
    <x v="1"/>
    <n v="50"/>
    <x v="57"/>
    <x v="46"/>
    <s v="40.32.2555"/>
    <s v="54, rue Royale"/>
    <m/>
    <x v="11"/>
    <m/>
    <n v="44000"/>
    <x v="1"/>
    <x v="1"/>
    <s v="Schmitt"/>
    <s v="Carine"/>
    <x v="0"/>
  </r>
  <r>
    <n v="10137"/>
    <n v="26"/>
    <n v="49.81"/>
    <n v="1"/>
    <n v="1295.06"/>
    <d v="2003-07-10T00:00:00"/>
    <x v="0"/>
    <n v="3"/>
    <x v="2"/>
    <x v="2"/>
    <x v="0"/>
    <x v="1"/>
    <n v="50"/>
    <x v="57"/>
    <x v="1"/>
    <s v="26.47.1555"/>
    <s v="59 rue de l'Abbaye"/>
    <m/>
    <x v="1"/>
    <m/>
    <n v="51100"/>
    <x v="1"/>
    <x v="1"/>
    <s v="Henriot"/>
    <s v="Paul"/>
    <x v="0"/>
  </r>
  <r>
    <n v="10148"/>
    <n v="47"/>
    <n v="56.85"/>
    <n v="8"/>
    <n v="2671.95"/>
    <d v="2003-09-11T00:00:00"/>
    <x v="0"/>
    <n v="3"/>
    <x v="10"/>
    <x v="10"/>
    <x v="0"/>
    <x v="1"/>
    <n v="50"/>
    <x v="57"/>
    <x v="42"/>
    <s v="02 9936 8555"/>
    <s v="201 Miller Street"/>
    <s v="Level 15"/>
    <x v="36"/>
    <s v="NSW"/>
    <n v="2060"/>
    <x v="3"/>
    <x v="2"/>
    <s v="O'Hara"/>
    <s v="Anna"/>
    <x v="0"/>
  </r>
  <r>
    <n v="10161"/>
    <n v="23"/>
    <n v="53.33"/>
    <n v="7"/>
    <n v="1226.5899999999999"/>
    <d v="2003-10-17T00:00:00"/>
    <x v="0"/>
    <n v="4"/>
    <x v="4"/>
    <x v="4"/>
    <x v="0"/>
    <x v="1"/>
    <n v="50"/>
    <x v="57"/>
    <x v="78"/>
    <s v="86 21 3555"/>
    <s v="Smagsloget 45"/>
    <m/>
    <x v="62"/>
    <m/>
    <n v="8200"/>
    <x v="13"/>
    <x v="1"/>
    <s v="Ibsen"/>
    <s v="Palle"/>
    <x v="0"/>
  </r>
  <r>
    <n v="10172"/>
    <n v="34"/>
    <n v="42.76"/>
    <n v="5"/>
    <n v="1453.84"/>
    <d v="2003-11-05T00:00:00"/>
    <x v="0"/>
    <n v="4"/>
    <x v="5"/>
    <x v="5"/>
    <x v="0"/>
    <x v="1"/>
    <n v="50"/>
    <x v="57"/>
    <x v="13"/>
    <n v="2035552570"/>
    <s v="25593 South Bay Ln."/>
    <m/>
    <x v="10"/>
    <s v="CT"/>
    <n v="97562"/>
    <x v="0"/>
    <x v="0"/>
    <s v="King"/>
    <s v="Julie"/>
    <x v="0"/>
  </r>
  <r>
    <n v="10181"/>
    <n v="34"/>
    <n v="53.83"/>
    <n v="1"/>
    <n v="1830.22"/>
    <d v="2003-11-12T00:00:00"/>
    <x v="0"/>
    <n v="4"/>
    <x v="5"/>
    <x v="5"/>
    <x v="0"/>
    <x v="1"/>
    <n v="50"/>
    <x v="57"/>
    <x v="7"/>
    <s v="+47 2267 3215"/>
    <s v="Drammen 121, PR 744 Sentrum"/>
    <m/>
    <x v="7"/>
    <m/>
    <s v="N 5804"/>
    <x v="2"/>
    <x v="1"/>
    <s v="Oeztan"/>
    <s v="Veysel"/>
    <x v="0"/>
  </r>
  <r>
    <n v="10192"/>
    <n v="47"/>
    <n v="53.83"/>
    <n v="6"/>
    <n v="2530.0100000000002"/>
    <d v="2003-11-20T00:00:00"/>
    <x v="0"/>
    <n v="4"/>
    <x v="5"/>
    <x v="5"/>
    <x v="0"/>
    <x v="1"/>
    <n v="50"/>
    <x v="57"/>
    <x v="40"/>
    <n v="6035558647"/>
    <s v="2304 Long Airport Avenue"/>
    <m/>
    <x v="34"/>
    <s v="NH"/>
    <n v="62005"/>
    <x v="0"/>
    <x v="0"/>
    <s v="Young"/>
    <s v="Valarie"/>
    <x v="0"/>
  </r>
  <r>
    <n v="10204"/>
    <n v="45"/>
    <n v="49.81"/>
    <n v="12"/>
    <n v="2241.4499999999998"/>
    <d v="2003-12-02T00:00:00"/>
    <x v="0"/>
    <n v="4"/>
    <x v="6"/>
    <x v="6"/>
    <x v="0"/>
    <x v="1"/>
    <n v="50"/>
    <x v="57"/>
    <x v="74"/>
    <n v="2125557413"/>
    <s v="4092 Furth Circle"/>
    <s v="Suite 400"/>
    <x v="0"/>
    <s v="NY"/>
    <n v="10022"/>
    <x v="0"/>
    <x v="0"/>
    <s v="Young"/>
    <s v="Jeff"/>
    <x v="0"/>
  </r>
  <r>
    <n v="10212"/>
    <n v="45"/>
    <n v="53.33"/>
    <n v="5"/>
    <n v="2399.85"/>
    <d v="2004-01-16T00:00:00"/>
    <x v="0"/>
    <n v="1"/>
    <x v="7"/>
    <x v="7"/>
    <x v="1"/>
    <x v="1"/>
    <n v="50"/>
    <x v="57"/>
    <x v="23"/>
    <s v="(91) 555 94 44"/>
    <s v="C/ Moralzarzal, 86"/>
    <m/>
    <x v="20"/>
    <m/>
    <n v="28034"/>
    <x v="7"/>
    <x v="1"/>
    <s v="Freyre"/>
    <s v="Diego"/>
    <x v="0"/>
  </r>
  <r>
    <n v="10226"/>
    <n v="36"/>
    <n v="43.27"/>
    <n v="3"/>
    <n v="1557.72"/>
    <d v="2004-02-26T00:00:00"/>
    <x v="0"/>
    <n v="1"/>
    <x v="0"/>
    <x v="0"/>
    <x v="1"/>
    <x v="1"/>
    <n v="50"/>
    <x v="57"/>
    <x v="55"/>
    <n v="7605558146"/>
    <s v="361 Furth Circle"/>
    <m/>
    <x v="45"/>
    <s v="CA"/>
    <n v="91217"/>
    <x v="0"/>
    <x v="0"/>
    <s v="Thompson"/>
    <s v="Valarie"/>
    <x v="0"/>
  </r>
  <r>
    <n v="10241"/>
    <n v="21"/>
    <n v="40.25"/>
    <n v="10"/>
    <n v="845.25"/>
    <d v="2004-04-13T00:00:00"/>
    <x v="0"/>
    <n v="2"/>
    <x v="8"/>
    <x v="8"/>
    <x v="1"/>
    <x v="1"/>
    <n v="50"/>
    <x v="57"/>
    <x v="83"/>
    <s v="88.60.1555"/>
    <s v="24, place Kluber"/>
    <m/>
    <x v="66"/>
    <m/>
    <n v="67000"/>
    <x v="1"/>
    <x v="1"/>
    <s v="Citeaux"/>
    <s v="Frederique"/>
    <x v="0"/>
  </r>
  <r>
    <n v="10266"/>
    <n v="28"/>
    <n v="48.3"/>
    <n v="1"/>
    <n v="1352.4"/>
    <d v="2004-07-06T00:00:00"/>
    <x v="0"/>
    <n v="3"/>
    <x v="2"/>
    <x v="2"/>
    <x v="1"/>
    <x v="1"/>
    <n v="50"/>
    <x v="57"/>
    <x v="70"/>
    <s v="0522-556555"/>
    <s v="Strada Provinciale 124"/>
    <m/>
    <x v="57"/>
    <m/>
    <n v="42100"/>
    <x v="12"/>
    <x v="1"/>
    <s v="Moroni"/>
    <s v="Maurizio"/>
    <x v="0"/>
  </r>
  <r>
    <n v="10278"/>
    <n v="35"/>
    <n v="45.28"/>
    <n v="1"/>
    <n v="1584.8"/>
    <d v="2004-08-06T00:00:00"/>
    <x v="0"/>
    <n v="3"/>
    <x v="3"/>
    <x v="3"/>
    <x v="1"/>
    <x v="1"/>
    <n v="50"/>
    <x v="57"/>
    <x v="84"/>
    <n v="7025551838"/>
    <s v="8489 Strong St."/>
    <m/>
    <x v="67"/>
    <s v="NV"/>
    <n v="83030"/>
    <x v="0"/>
    <x v="0"/>
    <s v="King"/>
    <s v="Sue"/>
    <x v="0"/>
  </r>
  <r>
    <n v="10288"/>
    <n v="50"/>
    <n v="52.32"/>
    <n v="13"/>
    <n v="2616"/>
    <d v="2004-09-01T00:00:00"/>
    <x v="0"/>
    <n v="3"/>
    <x v="10"/>
    <x v="10"/>
    <x v="1"/>
    <x v="1"/>
    <n v="50"/>
    <x v="57"/>
    <x v="65"/>
    <s v="+65 224 1555"/>
    <s v="Village Close - 106 Linden Road Sandown"/>
    <s v="2nd Floor"/>
    <x v="22"/>
    <m/>
    <n v="69045"/>
    <x v="9"/>
    <x v="2"/>
    <s v="Victorino"/>
    <s v="Wendy"/>
    <x v="0"/>
  </r>
  <r>
    <n v="10301"/>
    <n v="22"/>
    <n v="51.32"/>
    <n v="3"/>
    <n v="1129.04"/>
    <d v="2003-10-05T00:00:00"/>
    <x v="0"/>
    <n v="4"/>
    <x v="4"/>
    <x v="4"/>
    <x v="0"/>
    <x v="1"/>
    <n v="50"/>
    <x v="57"/>
    <x v="85"/>
    <s v="+47 2212 1555"/>
    <s v="Drammensveien 126 A, PB 744 Sentrum"/>
    <m/>
    <x v="68"/>
    <m/>
    <s v="N 0106"/>
    <x v="2"/>
    <x v="1"/>
    <s v="Klaeboe"/>
    <s v="Jan"/>
    <x v="0"/>
  </r>
  <r>
    <n v="10311"/>
    <n v="45"/>
    <n v="49.3"/>
    <n v="8"/>
    <n v="2218.5"/>
    <d v="2004-10-16T00:00:00"/>
    <x v="0"/>
    <n v="4"/>
    <x v="4"/>
    <x v="4"/>
    <x v="1"/>
    <x v="1"/>
    <n v="50"/>
    <x v="57"/>
    <x v="23"/>
    <s v="(91) 555 94 44"/>
    <s v="C/ Moralzarzal, 86"/>
    <m/>
    <x v="20"/>
    <m/>
    <n v="28034"/>
    <x v="7"/>
    <x v="1"/>
    <s v="Freyre"/>
    <s v="Diego"/>
    <x v="0"/>
  </r>
  <r>
    <n v="10321"/>
    <n v="48"/>
    <n v="42.26"/>
    <n v="5"/>
    <n v="2028.48"/>
    <d v="2004-11-04T00:00:00"/>
    <x v="0"/>
    <n v="4"/>
    <x v="5"/>
    <x v="5"/>
    <x v="1"/>
    <x v="1"/>
    <n v="50"/>
    <x v="57"/>
    <x v="21"/>
    <n v="5085552555"/>
    <s v="1785 First Street"/>
    <m/>
    <x v="18"/>
    <s v="MA"/>
    <n v="50553"/>
    <x v="0"/>
    <x v="0"/>
    <s v="Benitez"/>
    <s v="Violeta"/>
    <x v="0"/>
  </r>
  <r>
    <n v="10332"/>
    <n v="20"/>
    <n v="87.96"/>
    <n v="5"/>
    <n v="1759.2"/>
    <d v="2004-11-17T00:00:00"/>
    <x v="0"/>
    <n v="4"/>
    <x v="5"/>
    <x v="5"/>
    <x v="1"/>
    <x v="1"/>
    <n v="50"/>
    <x v="57"/>
    <x v="77"/>
    <s v="(171) 555-1555"/>
    <s v="Fauntleroy Circus"/>
    <m/>
    <x v="61"/>
    <m/>
    <s v="EC2 5NT"/>
    <x v="6"/>
    <x v="1"/>
    <s v="Ashworth"/>
    <s v="Victoria"/>
    <x v="0"/>
  </r>
  <r>
    <n v="10343"/>
    <n v="27"/>
    <n v="36.21"/>
    <n v="6"/>
    <n v="977.67"/>
    <d v="2004-11-24T00:00:00"/>
    <x v="0"/>
    <n v="4"/>
    <x v="5"/>
    <x v="5"/>
    <x v="1"/>
    <x v="1"/>
    <n v="50"/>
    <x v="57"/>
    <x v="1"/>
    <s v="26.47.1555"/>
    <s v="59 rue de l'Abbaye"/>
    <m/>
    <x v="1"/>
    <m/>
    <n v="51100"/>
    <x v="1"/>
    <x v="1"/>
    <s v="Henriot"/>
    <s v="Paul"/>
    <x v="0"/>
  </r>
  <r>
    <n v="10367"/>
    <n v="38"/>
    <n v="38.5"/>
    <n v="11"/>
    <n v="1463"/>
    <d v="2005-01-12T00:00:00"/>
    <x v="5"/>
    <n v="1"/>
    <x v="7"/>
    <x v="7"/>
    <x v="2"/>
    <x v="1"/>
    <n v="50"/>
    <x v="57"/>
    <x v="3"/>
    <n v="6265557265"/>
    <s v="78934 Hillside Dr."/>
    <m/>
    <x v="3"/>
    <s v="CA"/>
    <n v="90003"/>
    <x v="0"/>
    <x v="0"/>
    <s v="Young"/>
    <s v="Julie"/>
    <x v="0"/>
  </r>
  <r>
    <n v="10379"/>
    <n v="32"/>
    <n v="100"/>
    <n v="3"/>
    <n v="3970.56"/>
    <d v="2005-02-10T00:00:00"/>
    <x v="0"/>
    <n v="1"/>
    <x v="0"/>
    <x v="0"/>
    <x v="2"/>
    <x v="1"/>
    <n v="50"/>
    <x v="57"/>
    <x v="23"/>
    <s v="(91) 555 94 44"/>
    <s v="C/ Moralzarzal, 86"/>
    <m/>
    <x v="20"/>
    <m/>
    <n v="28034"/>
    <x v="7"/>
    <x v="1"/>
    <s v="Freyre"/>
    <s v="Diego"/>
    <x v="1"/>
  </r>
  <r>
    <n v="10407"/>
    <n v="64"/>
    <n v="40.25"/>
    <n v="10"/>
    <n v="2576"/>
    <d v="2005-04-22T00:00:00"/>
    <x v="4"/>
    <n v="2"/>
    <x v="8"/>
    <x v="8"/>
    <x v="2"/>
    <x v="1"/>
    <n v="50"/>
    <x v="57"/>
    <x v="61"/>
    <n v="4085553659"/>
    <s v="3086 Ingle Ln."/>
    <m/>
    <x v="51"/>
    <s v="CA"/>
    <n v="94217"/>
    <x v="0"/>
    <x v="0"/>
    <s v="Frick"/>
    <s v="Sue"/>
    <x v="0"/>
  </r>
  <r>
    <n v="10420"/>
    <n v="37"/>
    <n v="60.37"/>
    <n v="13"/>
    <n v="2233.69"/>
    <d v="2005-05-29T00:00:00"/>
    <x v="2"/>
    <n v="2"/>
    <x v="1"/>
    <x v="1"/>
    <x v="2"/>
    <x v="1"/>
    <n v="50"/>
    <x v="57"/>
    <x v="20"/>
    <s v="+61 2 9495 8555"/>
    <s v="Monitor Money Building, 815 Pacific Hwy"/>
    <s v="Level 6"/>
    <x v="17"/>
    <s v="NSW"/>
    <n v="2067"/>
    <x v="3"/>
    <x v="2"/>
    <s v="Huxley"/>
    <s v="Adrian"/>
    <x v="0"/>
  </r>
  <r>
    <n v="10106"/>
    <n v="28"/>
    <n v="88.63"/>
    <n v="4"/>
    <n v="2481.64"/>
    <d v="2003-02-17T00:00:00"/>
    <x v="0"/>
    <n v="1"/>
    <x v="0"/>
    <x v="0"/>
    <x v="0"/>
    <x v="4"/>
    <n v="109"/>
    <x v="58"/>
    <x v="86"/>
    <s v="035-640555"/>
    <s v="Via Ludovico il Moro 22"/>
    <m/>
    <x v="69"/>
    <m/>
    <n v="24100"/>
    <x v="12"/>
    <x v="1"/>
    <s v="Rovelli"/>
    <s v="Giovanni"/>
    <x v="0"/>
  </r>
  <r>
    <n v="10120"/>
    <n v="39"/>
    <n v="100"/>
    <n v="10"/>
    <n v="4651.53"/>
    <d v="2003-04-29T00:00:00"/>
    <x v="0"/>
    <n v="2"/>
    <x v="8"/>
    <x v="8"/>
    <x v="0"/>
    <x v="4"/>
    <n v="109"/>
    <x v="58"/>
    <x v="10"/>
    <s v="03 9520 4555"/>
    <s v="636 St Kilda Road"/>
    <s v="Level 3"/>
    <x v="8"/>
    <s v="Victoria"/>
    <n v="3004"/>
    <x v="3"/>
    <x v="2"/>
    <s v="Ferguson"/>
    <s v="Peter"/>
    <x v="1"/>
  </r>
  <r>
    <n v="10133"/>
    <n v="41"/>
    <n v="94.1"/>
    <n v="5"/>
    <n v="3858.1"/>
    <d v="2003-06-27T00:00:00"/>
    <x v="0"/>
    <n v="2"/>
    <x v="9"/>
    <x v="9"/>
    <x v="0"/>
    <x v="4"/>
    <n v="109"/>
    <x v="58"/>
    <x v="23"/>
    <s v="(91) 555 94 44"/>
    <s v="C/ Moralzarzal, 86"/>
    <m/>
    <x v="20"/>
    <m/>
    <n v="28034"/>
    <x v="7"/>
    <x v="1"/>
    <s v="Freyre"/>
    <s v="Diego"/>
    <x v="1"/>
  </r>
  <r>
    <n v="10145"/>
    <n v="40"/>
    <n v="87.54"/>
    <n v="16"/>
    <n v="3501.6"/>
    <d v="2003-08-25T00:00:00"/>
    <x v="0"/>
    <n v="3"/>
    <x v="3"/>
    <x v="3"/>
    <x v="0"/>
    <x v="4"/>
    <n v="109"/>
    <x v="58"/>
    <x v="3"/>
    <n v="6265557265"/>
    <s v="78934 Hillside Dr."/>
    <m/>
    <x v="3"/>
    <s v="CA"/>
    <n v="90003"/>
    <x v="0"/>
    <x v="0"/>
    <s v="Young"/>
    <s v="Julie"/>
    <x v="1"/>
  </r>
  <r>
    <n v="10168"/>
    <n v="49"/>
    <n v="100"/>
    <n v="11"/>
    <n v="6433.7"/>
    <d v="2003-10-28T00:00:00"/>
    <x v="0"/>
    <n v="4"/>
    <x v="4"/>
    <x v="4"/>
    <x v="0"/>
    <x v="4"/>
    <n v="109"/>
    <x v="58"/>
    <x v="5"/>
    <n v="6505556809"/>
    <s v="9408 Furth Circle"/>
    <m/>
    <x v="5"/>
    <s v="CA"/>
    <n v="94217"/>
    <x v="0"/>
    <x v="0"/>
    <s v="Hirano"/>
    <s v="Juri"/>
    <x v="1"/>
  </r>
  <r>
    <n v="10210"/>
    <n v="27"/>
    <n v="98.48"/>
    <n v="9"/>
    <n v="2658.96"/>
    <d v="2004-01-12T00:00:00"/>
    <x v="0"/>
    <n v="1"/>
    <x v="7"/>
    <x v="7"/>
    <x v="1"/>
    <x v="4"/>
    <n v="109"/>
    <x v="58"/>
    <x v="44"/>
    <s v="+81 06 6342 5555"/>
    <s v="Dojima Avanza 4F, 1-6-20 Dojima, Kita-ku"/>
    <m/>
    <x v="38"/>
    <s v="Osaka"/>
    <s v="530-0003"/>
    <x v="11"/>
    <x v="3"/>
    <s v="Kentary"/>
    <s v="Mory"/>
    <x v="0"/>
  </r>
  <r>
    <n v="10223"/>
    <n v="34"/>
    <n v="100"/>
    <n v="11"/>
    <n v="3608.76"/>
    <d v="2004-02-20T00:00:00"/>
    <x v="0"/>
    <n v="1"/>
    <x v="0"/>
    <x v="0"/>
    <x v="1"/>
    <x v="4"/>
    <n v="109"/>
    <x v="58"/>
    <x v="10"/>
    <s v="03 9520 4555"/>
    <s v="636 St Kilda Road"/>
    <s v="Level 3"/>
    <x v="8"/>
    <s v="Victoria"/>
    <n v="3004"/>
    <x v="3"/>
    <x v="2"/>
    <s v="Ferguson"/>
    <s v="Peter"/>
    <x v="1"/>
  </r>
  <r>
    <n v="10235"/>
    <n v="23"/>
    <n v="96.29"/>
    <n v="5"/>
    <n v="2214.67"/>
    <d v="2004-04-02T00:00:00"/>
    <x v="0"/>
    <n v="2"/>
    <x v="8"/>
    <x v="8"/>
    <x v="1"/>
    <x v="4"/>
    <n v="109"/>
    <x v="58"/>
    <x v="57"/>
    <s v="(604) 555-4555"/>
    <s v="23 Tsawassen Blvd."/>
    <m/>
    <x v="47"/>
    <s v="BC"/>
    <s v="T2F 8M4"/>
    <x v="10"/>
    <x v="0"/>
    <s v="Lincoln"/>
    <s v="Elizabeth"/>
    <x v="0"/>
  </r>
  <r>
    <n v="10250"/>
    <n v="31"/>
    <n v="88.63"/>
    <n v="6"/>
    <n v="2747.53"/>
    <d v="2004-05-11T00:00:00"/>
    <x v="0"/>
    <n v="2"/>
    <x v="1"/>
    <x v="1"/>
    <x v="1"/>
    <x v="4"/>
    <n v="109"/>
    <x v="58"/>
    <x v="61"/>
    <n v="4085553659"/>
    <s v="3086 Ingle Ln."/>
    <m/>
    <x v="51"/>
    <s v="CA"/>
    <n v="94217"/>
    <x v="0"/>
    <x v="0"/>
    <s v="Frick"/>
    <s v="Sue"/>
    <x v="0"/>
  </r>
  <r>
    <n v="10262"/>
    <n v="34"/>
    <n v="97.38"/>
    <n v="1"/>
    <n v="3310.92"/>
    <d v="2004-06-24T00:00:00"/>
    <x v="3"/>
    <n v="2"/>
    <x v="9"/>
    <x v="9"/>
    <x v="1"/>
    <x v="4"/>
    <n v="109"/>
    <x v="58"/>
    <x v="23"/>
    <s v="(91) 555 94 44"/>
    <s v="C/ Moralzarzal, 86"/>
    <m/>
    <x v="20"/>
    <m/>
    <n v="28034"/>
    <x v="7"/>
    <x v="1"/>
    <s v="Freyre"/>
    <s v="Diego"/>
    <x v="1"/>
  </r>
  <r>
    <n v="10275"/>
    <n v="25"/>
    <n v="95.2"/>
    <n v="11"/>
    <n v="2380"/>
    <d v="2004-07-23T00:00:00"/>
    <x v="0"/>
    <n v="3"/>
    <x v="2"/>
    <x v="2"/>
    <x v="1"/>
    <x v="4"/>
    <n v="109"/>
    <x v="58"/>
    <x v="14"/>
    <s v="40.67.8555"/>
    <s v="67, rue des Cinquante Otages"/>
    <m/>
    <x v="11"/>
    <m/>
    <n v="44000"/>
    <x v="1"/>
    <x v="1"/>
    <s v="Labrune"/>
    <s v="Janine"/>
    <x v="0"/>
  </r>
  <r>
    <n v="10284"/>
    <n v="22"/>
    <n v="100"/>
    <n v="3"/>
    <n v="2310.88"/>
    <d v="2004-08-21T00:00:00"/>
    <x v="0"/>
    <n v="3"/>
    <x v="3"/>
    <x v="3"/>
    <x v="1"/>
    <x v="4"/>
    <n v="109"/>
    <x v="58"/>
    <x v="85"/>
    <s v="+47 2212 1555"/>
    <s v="Drammensveien 126 A, PB 744 Sentrum"/>
    <m/>
    <x v="68"/>
    <m/>
    <s v="N 0106"/>
    <x v="2"/>
    <x v="1"/>
    <s v="Klaeboe"/>
    <s v="Jan"/>
    <x v="0"/>
  </r>
  <r>
    <n v="10297"/>
    <n v="32"/>
    <n v="100"/>
    <n v="6"/>
    <n v="4061.76"/>
    <d v="2004-09-16T00:00:00"/>
    <x v="0"/>
    <n v="3"/>
    <x v="10"/>
    <x v="10"/>
    <x v="1"/>
    <x v="4"/>
    <n v="109"/>
    <x v="58"/>
    <x v="75"/>
    <s v="+353 1862 1555"/>
    <s v="25 Maiden Lane"/>
    <s v="Floor No. 4"/>
    <x v="60"/>
    <m/>
    <n v="2"/>
    <x v="18"/>
    <x v="1"/>
    <s v="Cassidy"/>
    <s v="Dean"/>
    <x v="1"/>
  </r>
  <r>
    <n v="10308"/>
    <n v="31"/>
    <n v="100"/>
    <n v="9"/>
    <n v="3493.7"/>
    <d v="2004-10-15T00:00:00"/>
    <x v="0"/>
    <n v="4"/>
    <x v="4"/>
    <x v="4"/>
    <x v="1"/>
    <x v="4"/>
    <n v="109"/>
    <x v="58"/>
    <x v="47"/>
    <n v="9145554562"/>
    <s v="3758 North Pendale Street"/>
    <m/>
    <x v="39"/>
    <s v="NY"/>
    <n v="24067"/>
    <x v="0"/>
    <x v="0"/>
    <s v="Frick"/>
    <s v="Steve"/>
    <x v="1"/>
  </r>
  <r>
    <n v="10316"/>
    <n v="25"/>
    <n v="100"/>
    <n v="1"/>
    <n v="2872.25"/>
    <d v="2004-11-01T00:00:00"/>
    <x v="0"/>
    <n v="4"/>
    <x v="5"/>
    <x v="5"/>
    <x v="1"/>
    <x v="4"/>
    <n v="109"/>
    <x v="58"/>
    <x v="59"/>
    <s v="(198) 555-8888"/>
    <s v="Garden House Crowther Way"/>
    <m/>
    <x v="49"/>
    <s v="Isle of Wight"/>
    <s v="PO31 7PJ"/>
    <x v="6"/>
    <x v="1"/>
    <s v="Bennett"/>
    <s v="Helen"/>
    <x v="0"/>
  </r>
  <r>
    <n v="10328"/>
    <n v="47"/>
    <n v="87.54"/>
    <n v="14"/>
    <n v="4114.38"/>
    <d v="2004-11-12T00:00:00"/>
    <x v="0"/>
    <n v="4"/>
    <x v="5"/>
    <x v="5"/>
    <x v="1"/>
    <x v="4"/>
    <n v="109"/>
    <x v="58"/>
    <x v="86"/>
    <s v="035-640555"/>
    <s v="Via Ludovico il Moro 22"/>
    <m/>
    <x v="69"/>
    <m/>
    <n v="24100"/>
    <x v="12"/>
    <x v="1"/>
    <s v="Rovelli"/>
    <s v="Giovanni"/>
    <x v="1"/>
  </r>
  <r>
    <n v="10339"/>
    <n v="21"/>
    <n v="50.65"/>
    <n v="7"/>
    <n v="1063.6500000000001"/>
    <d v="2004-11-23T00:00:00"/>
    <x v="0"/>
    <n v="4"/>
    <x v="5"/>
    <x v="5"/>
    <x v="1"/>
    <x v="4"/>
    <n v="109"/>
    <x v="58"/>
    <x v="35"/>
    <s v="+81 3 3584 0555"/>
    <s v="2-2-8 Roppongi"/>
    <m/>
    <x v="29"/>
    <s v="Tokyo"/>
    <s v="106-0032"/>
    <x v="11"/>
    <x v="3"/>
    <s v="Shimamura"/>
    <s v="Akiko"/>
    <x v="0"/>
  </r>
  <r>
    <n v="10353"/>
    <n v="28"/>
    <n v="71.73"/>
    <n v="2"/>
    <n v="2008.44"/>
    <d v="2004-12-04T00:00:00"/>
    <x v="0"/>
    <n v="4"/>
    <x v="6"/>
    <x v="6"/>
    <x v="1"/>
    <x v="4"/>
    <n v="109"/>
    <x v="58"/>
    <x v="88"/>
    <n v="2035554407"/>
    <s v="2440 Pompton St."/>
    <m/>
    <x v="63"/>
    <s v="CT"/>
    <n v="97561"/>
    <x v="0"/>
    <x v="0"/>
    <s v="Lewis"/>
    <s v="Dan"/>
    <x v="0"/>
  </r>
  <r>
    <n v="10374"/>
    <n v="46"/>
    <n v="94.1"/>
    <n v="3"/>
    <n v="4328.6000000000004"/>
    <d v="2005-02-02T00:00:00"/>
    <x v="0"/>
    <n v="1"/>
    <x v="0"/>
    <x v="0"/>
    <x v="2"/>
    <x v="4"/>
    <n v="109"/>
    <x v="58"/>
    <x v="28"/>
    <s v="61-7-3844-6555"/>
    <s v="31 Duncan St. West End"/>
    <m/>
    <x v="23"/>
    <s v="Queensland"/>
    <n v="4101"/>
    <x v="3"/>
    <x v="2"/>
    <s v="Calaghan"/>
    <s v="Tony"/>
    <x v="1"/>
  </r>
  <r>
    <n v="10386"/>
    <n v="33"/>
    <n v="41.71"/>
    <n v="11"/>
    <n v="1376.43"/>
    <d v="2005-03-01T00:00:00"/>
    <x v="5"/>
    <n v="1"/>
    <x v="11"/>
    <x v="11"/>
    <x v="2"/>
    <x v="4"/>
    <n v="109"/>
    <x v="58"/>
    <x v="23"/>
    <s v="(91) 555 94 44"/>
    <s v="C/ Moralzarzal, 86"/>
    <m/>
    <x v="20"/>
    <m/>
    <n v="28034"/>
    <x v="7"/>
    <x v="1"/>
    <s v="Freyre"/>
    <s v="Diego"/>
    <x v="0"/>
  </r>
  <r>
    <n v="10398"/>
    <n v="43"/>
    <n v="100"/>
    <n v="16"/>
    <n v="5552.16"/>
    <d v="2005-03-30T00:00:00"/>
    <x v="0"/>
    <n v="1"/>
    <x v="11"/>
    <x v="11"/>
    <x v="2"/>
    <x v="4"/>
    <n v="109"/>
    <x v="58"/>
    <x v="1"/>
    <s v="26.47.1555"/>
    <s v="59 rue de l'Abbaye"/>
    <m/>
    <x v="1"/>
    <m/>
    <n v="51100"/>
    <x v="1"/>
    <x v="1"/>
    <s v="Henriot"/>
    <s v="Paul"/>
    <x v="1"/>
  </r>
  <r>
    <n v="10401"/>
    <n v="38"/>
    <n v="96.29"/>
    <n v="5"/>
    <n v="3659.02"/>
    <d v="2005-04-03T00:00:00"/>
    <x v="4"/>
    <n v="2"/>
    <x v="8"/>
    <x v="8"/>
    <x v="2"/>
    <x v="4"/>
    <n v="109"/>
    <x v="58"/>
    <x v="12"/>
    <n v="2015559350"/>
    <s v="7476 Moss Rd."/>
    <m/>
    <x v="9"/>
    <s v="NJ"/>
    <n v="94019"/>
    <x v="0"/>
    <x v="0"/>
    <s v="Brown"/>
    <s v="William"/>
    <x v="1"/>
  </r>
  <r>
    <n v="10416"/>
    <n v="47"/>
    <n v="88.63"/>
    <n v="6"/>
    <n v="4165.6099999999997"/>
    <d v="2005-05-10T00:00:00"/>
    <x v="0"/>
    <n v="2"/>
    <x v="1"/>
    <x v="1"/>
    <x v="2"/>
    <x v="4"/>
    <n v="109"/>
    <x v="58"/>
    <x v="70"/>
    <s v="0522-556555"/>
    <s v="Strada Provinciale 124"/>
    <m/>
    <x v="57"/>
    <m/>
    <n v="42100"/>
    <x v="12"/>
    <x v="1"/>
    <s v="Moroni"/>
    <s v="Maurizio"/>
    <x v="1"/>
  </r>
  <r>
    <n v="10101"/>
    <n v="45"/>
    <n v="31.2"/>
    <n v="3"/>
    <n v="1404"/>
    <d v="2003-01-09T00:00:00"/>
    <x v="0"/>
    <n v="1"/>
    <x v="7"/>
    <x v="7"/>
    <x v="0"/>
    <x v="3"/>
    <n v="33"/>
    <x v="59"/>
    <x v="72"/>
    <s v="+49 69 66 90 2555"/>
    <s v="Lyonerstr. 34"/>
    <m/>
    <x v="58"/>
    <m/>
    <n v="60528"/>
    <x v="16"/>
    <x v="1"/>
    <s v="Keitel"/>
    <s v="Roland"/>
    <x v="0"/>
  </r>
  <r>
    <n v="10110"/>
    <n v="20"/>
    <n v="35.51"/>
    <n v="3"/>
    <n v="710.2"/>
    <d v="2003-03-18T00:00:00"/>
    <x v="0"/>
    <n v="1"/>
    <x v="11"/>
    <x v="11"/>
    <x v="0"/>
    <x v="3"/>
    <n v="33"/>
    <x v="59"/>
    <x v="77"/>
    <s v="(171) 555-1555"/>
    <s v="Fauntleroy Circus"/>
    <m/>
    <x v="61"/>
    <m/>
    <s v="EC2 5NT"/>
    <x v="6"/>
    <x v="1"/>
    <s v="Ashworth"/>
    <s v="Victoria"/>
    <x v="0"/>
  </r>
  <r>
    <n v="10124"/>
    <n v="45"/>
    <n v="37.840000000000003"/>
    <n v="2"/>
    <n v="1702.8"/>
    <d v="2003-05-21T00:00:00"/>
    <x v="0"/>
    <n v="2"/>
    <x v="1"/>
    <x v="1"/>
    <x v="0"/>
    <x v="3"/>
    <n v="33"/>
    <x v="59"/>
    <x v="84"/>
    <n v="7025551838"/>
    <s v="8489 Strong St."/>
    <m/>
    <x v="67"/>
    <s v="NV"/>
    <n v="83030"/>
    <x v="0"/>
    <x v="0"/>
    <s v="King"/>
    <s v="Sue"/>
    <x v="0"/>
  </r>
  <r>
    <n v="10149"/>
    <n v="36"/>
    <n v="33.19"/>
    <n v="7"/>
    <n v="1194.8399999999999"/>
    <d v="2003-09-12T00:00:00"/>
    <x v="0"/>
    <n v="3"/>
    <x v="10"/>
    <x v="10"/>
    <x v="0"/>
    <x v="3"/>
    <n v="33"/>
    <x v="59"/>
    <x v="82"/>
    <n v="4155554312"/>
    <s v="2793 Furth Circle"/>
    <m/>
    <x v="65"/>
    <s v="CA"/>
    <n v="94217"/>
    <x v="0"/>
    <x v="0"/>
    <s v="Taylor"/>
    <s v="Sue"/>
    <x v="0"/>
  </r>
  <r>
    <n v="10162"/>
    <n v="37"/>
    <n v="27.22"/>
    <n v="5"/>
    <n v="1007.14"/>
    <d v="2003-10-18T00:00:00"/>
    <x v="0"/>
    <n v="4"/>
    <x v="4"/>
    <x v="4"/>
    <x v="0"/>
    <x v="3"/>
    <n v="33"/>
    <x v="59"/>
    <x v="4"/>
    <n v="6505551386"/>
    <s v="7734 Strong St."/>
    <m/>
    <x v="4"/>
    <s v="CA"/>
    <m/>
    <x v="0"/>
    <x v="0"/>
    <s v="Brown"/>
    <s v="Julie"/>
    <x v="0"/>
  </r>
  <r>
    <n v="10173"/>
    <n v="31"/>
    <n v="31.53"/>
    <n v="9"/>
    <n v="977.43"/>
    <d v="2003-11-05T00:00:00"/>
    <x v="0"/>
    <n v="4"/>
    <x v="5"/>
    <x v="5"/>
    <x v="0"/>
    <x v="3"/>
    <n v="33"/>
    <x v="59"/>
    <x v="86"/>
    <s v="035-640555"/>
    <s v="Via Ludovico il Moro 22"/>
    <m/>
    <x v="69"/>
    <m/>
    <n v="24100"/>
    <x v="12"/>
    <x v="1"/>
    <s v="Rovelli"/>
    <s v="Giovanni"/>
    <x v="0"/>
  </r>
  <r>
    <n v="10182"/>
    <n v="39"/>
    <n v="36.840000000000003"/>
    <n v="6"/>
    <n v="1436.76"/>
    <d v="2003-11-12T00:00:00"/>
    <x v="0"/>
    <n v="4"/>
    <x v="5"/>
    <x v="5"/>
    <x v="0"/>
    <x v="3"/>
    <n v="33"/>
    <x v="59"/>
    <x v="39"/>
    <n v="4155551450"/>
    <s v="5677 Strong St."/>
    <m/>
    <x v="33"/>
    <s v="CA"/>
    <n v="97562"/>
    <x v="0"/>
    <x v="0"/>
    <s v="Nelson"/>
    <s v="Valarie"/>
    <x v="0"/>
  </r>
  <r>
    <n v="10193"/>
    <n v="26"/>
    <n v="29.21"/>
    <n v="10"/>
    <n v="759.46"/>
    <d v="2003-11-21T00:00:00"/>
    <x v="0"/>
    <n v="4"/>
    <x v="5"/>
    <x v="5"/>
    <x v="0"/>
    <x v="3"/>
    <n v="33"/>
    <x v="59"/>
    <x v="87"/>
    <s v="61-9-3844-6555"/>
    <s v="7 Allen Street"/>
    <m/>
    <x v="70"/>
    <s v="Victoria"/>
    <n v="3150"/>
    <x v="3"/>
    <x v="2"/>
    <s v="Connery"/>
    <s v="Sean"/>
    <x v="0"/>
  </r>
  <r>
    <n v="10205"/>
    <n v="32"/>
    <n v="37.17"/>
    <n v="5"/>
    <n v="1189.44"/>
    <d v="2003-12-03T00:00:00"/>
    <x v="0"/>
    <n v="4"/>
    <x v="6"/>
    <x v="6"/>
    <x v="0"/>
    <x v="3"/>
    <n v="33"/>
    <x v="59"/>
    <x v="23"/>
    <s v="(91) 555 94 44"/>
    <s v="C/ Moralzarzal, 86"/>
    <m/>
    <x v="20"/>
    <m/>
    <n v="28034"/>
    <x v="7"/>
    <x v="1"/>
    <s v="Freyre"/>
    <s v="Diego"/>
    <x v="0"/>
  </r>
  <r>
    <n v="10214"/>
    <n v="20"/>
    <n v="34.19"/>
    <n v="3"/>
    <n v="683.8"/>
    <d v="2004-01-26T00:00:00"/>
    <x v="0"/>
    <n v="1"/>
    <x v="7"/>
    <x v="7"/>
    <x v="1"/>
    <x v="3"/>
    <n v="33"/>
    <x v="59"/>
    <x v="25"/>
    <s v="(91) 555 22 82"/>
    <s v="C/ Araquil, 67"/>
    <m/>
    <x v="20"/>
    <m/>
    <n v="28023"/>
    <x v="7"/>
    <x v="1"/>
    <s v="Sommer"/>
    <s v="Mart¡n"/>
    <x v="0"/>
  </r>
  <r>
    <n v="10227"/>
    <n v="42"/>
    <n v="29.21"/>
    <n v="6"/>
    <n v="1226.82"/>
    <d v="2004-03-02T00:00:00"/>
    <x v="0"/>
    <n v="1"/>
    <x v="11"/>
    <x v="11"/>
    <x v="1"/>
    <x v="3"/>
    <n v="33"/>
    <x v="59"/>
    <x v="30"/>
    <s v="78.32.5555"/>
    <s v="2, rue du Commerce"/>
    <m/>
    <x v="25"/>
    <m/>
    <n v="69004"/>
    <x v="1"/>
    <x v="1"/>
    <s v="Saveley"/>
    <s v="Mary"/>
    <x v="0"/>
  </r>
  <r>
    <n v="10243"/>
    <n v="33"/>
    <n v="29.54"/>
    <n v="1"/>
    <n v="974.82"/>
    <d v="2004-04-26T00:00:00"/>
    <x v="0"/>
    <n v="2"/>
    <x v="8"/>
    <x v="8"/>
    <x v="1"/>
    <x v="3"/>
    <n v="33"/>
    <x v="59"/>
    <x v="64"/>
    <n v="6175552555"/>
    <s v="6251 Ingle Ln."/>
    <m/>
    <x v="48"/>
    <s v="MA"/>
    <n v="51003"/>
    <x v="0"/>
    <x v="0"/>
    <s v="Franco"/>
    <s v="Valarie"/>
    <x v="0"/>
  </r>
  <r>
    <n v="10280"/>
    <n v="20"/>
    <n v="28.88"/>
    <n v="12"/>
    <n v="577.6"/>
    <d v="2004-08-17T00:00:00"/>
    <x v="0"/>
    <n v="3"/>
    <x v="3"/>
    <x v="3"/>
    <x v="1"/>
    <x v="3"/>
    <n v="33"/>
    <x v="59"/>
    <x v="36"/>
    <s v="011-4988555"/>
    <s v="Via Monte Bianco 34"/>
    <m/>
    <x v="30"/>
    <m/>
    <n v="10100"/>
    <x v="12"/>
    <x v="1"/>
    <s v="Accorti"/>
    <s v="Paolo"/>
    <x v="0"/>
  </r>
  <r>
    <n v="10288"/>
    <n v="29"/>
    <n v="38.17"/>
    <n v="1"/>
    <n v="1106.93"/>
    <d v="2004-09-01T00:00:00"/>
    <x v="0"/>
    <n v="3"/>
    <x v="10"/>
    <x v="10"/>
    <x v="1"/>
    <x v="3"/>
    <n v="33"/>
    <x v="59"/>
    <x v="65"/>
    <s v="+65 224 1555"/>
    <s v="Village Close - 106 Linden Road Sandown"/>
    <s v="2nd Floor"/>
    <x v="22"/>
    <m/>
    <n v="69045"/>
    <x v="9"/>
    <x v="2"/>
    <s v="Victorino"/>
    <s v="Wendy"/>
    <x v="0"/>
  </r>
  <r>
    <n v="10304"/>
    <n v="23"/>
    <n v="30.2"/>
    <n v="16"/>
    <n v="694.6"/>
    <d v="2004-10-11T00:00:00"/>
    <x v="0"/>
    <n v="4"/>
    <x v="4"/>
    <x v="4"/>
    <x v="1"/>
    <x v="3"/>
    <n v="33"/>
    <x v="59"/>
    <x v="38"/>
    <s v="30.59.8555"/>
    <s v="67, avenue de l'Europe"/>
    <m/>
    <x v="32"/>
    <m/>
    <n v="78000"/>
    <x v="1"/>
    <x v="1"/>
    <s v="Tonini"/>
    <s v="Daniel"/>
    <x v="0"/>
  </r>
  <r>
    <n v="10312"/>
    <n v="39"/>
    <n v="29.54"/>
    <n v="13"/>
    <n v="1152.06"/>
    <d v="2004-10-21T00:00:00"/>
    <x v="0"/>
    <n v="4"/>
    <x v="4"/>
    <x v="4"/>
    <x v="1"/>
    <x v="3"/>
    <n v="33"/>
    <x v="59"/>
    <x v="39"/>
    <n v="4155551450"/>
    <s v="5677 Strong St."/>
    <m/>
    <x v="33"/>
    <s v="CA"/>
    <n v="97562"/>
    <x v="0"/>
    <x v="0"/>
    <s v="Nelson"/>
    <s v="Valarie"/>
    <x v="0"/>
  </r>
  <r>
    <n v="10322"/>
    <n v="20"/>
    <n v="100"/>
    <n v="3"/>
    <n v="2624"/>
    <d v="2004-11-04T00:00:00"/>
    <x v="0"/>
    <n v="4"/>
    <x v="5"/>
    <x v="5"/>
    <x v="1"/>
    <x v="3"/>
    <n v="33"/>
    <x v="59"/>
    <x v="40"/>
    <n v="6035558647"/>
    <s v="2304 Long Airport Avenue"/>
    <m/>
    <x v="34"/>
    <s v="NH"/>
    <n v="62005"/>
    <x v="0"/>
    <x v="0"/>
    <s v="Young"/>
    <s v="Valarie"/>
    <x v="0"/>
  </r>
  <r>
    <n v="10332"/>
    <n v="45"/>
    <n v="81.91"/>
    <n v="6"/>
    <n v="3685.95"/>
    <d v="2004-11-17T00:00:00"/>
    <x v="0"/>
    <n v="4"/>
    <x v="5"/>
    <x v="5"/>
    <x v="1"/>
    <x v="3"/>
    <n v="33"/>
    <x v="59"/>
    <x v="77"/>
    <s v="(171) 555-1555"/>
    <s v="Fauntleroy Circus"/>
    <m/>
    <x v="61"/>
    <m/>
    <s v="EC2 5NT"/>
    <x v="6"/>
    <x v="1"/>
    <s v="Ashworth"/>
    <s v="Victoria"/>
    <x v="1"/>
  </r>
  <r>
    <n v="10344"/>
    <n v="20"/>
    <n v="35.18"/>
    <n v="6"/>
    <n v="703.6"/>
    <d v="2004-11-25T00:00:00"/>
    <x v="0"/>
    <n v="4"/>
    <x v="5"/>
    <x v="5"/>
    <x v="1"/>
    <x v="3"/>
    <n v="33"/>
    <x v="59"/>
    <x v="67"/>
    <s v="91.24.4555"/>
    <s v="12, rue des Bouchers"/>
    <m/>
    <x v="54"/>
    <m/>
    <n v="13008"/>
    <x v="1"/>
    <x v="1"/>
    <s v="Lebihan"/>
    <s v="Laurence"/>
    <x v="0"/>
  </r>
  <r>
    <n v="10356"/>
    <n v="48"/>
    <n v="100"/>
    <n v="5"/>
    <n v="9720"/>
    <d v="2004-12-09T00:00:00"/>
    <x v="0"/>
    <n v="4"/>
    <x v="6"/>
    <x v="6"/>
    <x v="1"/>
    <x v="3"/>
    <n v="33"/>
    <x v="59"/>
    <x v="2"/>
    <s v="+33 1 46 62 7555"/>
    <s v="27 rue du Colonel Pierre Avia"/>
    <m/>
    <x v="2"/>
    <m/>
    <n v="75508"/>
    <x v="1"/>
    <x v="1"/>
    <s v="Da Cunha"/>
    <s v="Daniel"/>
    <x v="2"/>
  </r>
  <r>
    <n v="10367"/>
    <n v="23"/>
    <n v="36.29"/>
    <n v="13"/>
    <n v="834.67"/>
    <d v="2005-01-12T00:00:00"/>
    <x v="5"/>
    <n v="1"/>
    <x v="7"/>
    <x v="7"/>
    <x v="2"/>
    <x v="3"/>
    <n v="33"/>
    <x v="59"/>
    <x v="3"/>
    <n v="6265557265"/>
    <s v="78934 Hillside Dr."/>
    <m/>
    <x v="3"/>
    <s v="CA"/>
    <n v="90003"/>
    <x v="0"/>
    <x v="0"/>
    <s v="Young"/>
    <s v="Julie"/>
    <x v="0"/>
  </r>
  <r>
    <n v="10380"/>
    <n v="32"/>
    <n v="70.56"/>
    <n v="4"/>
    <n v="2257.92"/>
    <d v="2005-02-16T00:00:00"/>
    <x v="0"/>
    <n v="1"/>
    <x v="0"/>
    <x v="0"/>
    <x v="2"/>
    <x v="3"/>
    <n v="33"/>
    <x v="59"/>
    <x v="23"/>
    <s v="(91) 555 94 44"/>
    <s v="C/ Moralzarzal, 86"/>
    <m/>
    <x v="20"/>
    <m/>
    <n v="28034"/>
    <x v="7"/>
    <x v="1"/>
    <s v="Freyre"/>
    <s v="Diego"/>
    <x v="0"/>
  </r>
  <r>
    <n v="10391"/>
    <n v="33"/>
    <n v="100"/>
    <n v="8"/>
    <n v="8344.7099999999991"/>
    <d v="2005-03-09T00:00:00"/>
    <x v="0"/>
    <n v="1"/>
    <x v="11"/>
    <x v="11"/>
    <x v="2"/>
    <x v="3"/>
    <n v="33"/>
    <x v="59"/>
    <x v="42"/>
    <s v="02 9936 8555"/>
    <s v="201 Miller Street"/>
    <s v="Level 15"/>
    <x v="36"/>
    <s v="NSW"/>
    <n v="2060"/>
    <x v="3"/>
    <x v="2"/>
    <s v="O'Hara"/>
    <s v="Anna"/>
    <x v="2"/>
  </r>
  <r>
    <n v="10409"/>
    <n v="61"/>
    <n v="29.54"/>
    <n v="1"/>
    <n v="1801.94"/>
    <d v="2005-04-23T00:00:00"/>
    <x v="0"/>
    <n v="2"/>
    <x v="8"/>
    <x v="8"/>
    <x v="2"/>
    <x v="3"/>
    <n v="33"/>
    <x v="59"/>
    <x v="65"/>
    <s v="+65 224 1555"/>
    <s v="Village Close - 106 Linden Road Sandown"/>
    <s v="2nd Floor"/>
    <x v="22"/>
    <m/>
    <n v="69045"/>
    <x v="9"/>
    <x v="2"/>
    <s v="Victorino"/>
    <s v="Wendy"/>
    <x v="0"/>
  </r>
  <r>
    <n v="10420"/>
    <n v="45"/>
    <n v="26.88"/>
    <n v="1"/>
    <n v="1209.5999999999999"/>
    <d v="2005-05-29T00:00:00"/>
    <x v="2"/>
    <n v="2"/>
    <x v="1"/>
    <x v="1"/>
    <x v="2"/>
    <x v="3"/>
    <n v="33"/>
    <x v="59"/>
    <x v="20"/>
    <s v="+61 2 9495 8555"/>
    <s v="Monitor Money Building, 815 Pacific Hwy"/>
    <s v="Level 6"/>
    <x v="17"/>
    <s v="NSW"/>
    <n v="2067"/>
    <x v="3"/>
    <x v="2"/>
    <s v="Huxley"/>
    <s v="Adrian"/>
    <x v="0"/>
  </r>
  <r>
    <n v="10107"/>
    <n v="38"/>
    <n v="83.03"/>
    <n v="7"/>
    <n v="3155.14"/>
    <d v="2003-02-24T00:00:00"/>
    <x v="0"/>
    <n v="1"/>
    <x v="0"/>
    <x v="0"/>
    <x v="0"/>
    <x v="0"/>
    <n v="76"/>
    <x v="60"/>
    <x v="0"/>
    <n v="2125557818"/>
    <s v="897 Long Airport Avenue"/>
    <m/>
    <x v="0"/>
    <s v="NY"/>
    <n v="10022"/>
    <x v="0"/>
    <x v="0"/>
    <s v="Yu"/>
    <s v="Kwai"/>
    <x v="1"/>
  </r>
  <r>
    <n v="10120"/>
    <n v="34"/>
    <n v="83.79"/>
    <n v="5"/>
    <n v="2848.86"/>
    <d v="2003-04-29T00:00:00"/>
    <x v="0"/>
    <n v="2"/>
    <x v="8"/>
    <x v="8"/>
    <x v="0"/>
    <x v="0"/>
    <n v="76"/>
    <x v="60"/>
    <x v="10"/>
    <s v="03 9520 4555"/>
    <s v="636 St Kilda Road"/>
    <s v="Level 3"/>
    <x v="8"/>
    <s v="Victoria"/>
    <n v="3004"/>
    <x v="3"/>
    <x v="2"/>
    <s v="Ferguson"/>
    <s v="Peter"/>
    <x v="0"/>
  </r>
  <r>
    <n v="10134"/>
    <n v="43"/>
    <n v="83.03"/>
    <n v="7"/>
    <n v="3570.29"/>
    <d v="2003-07-01T00:00:00"/>
    <x v="0"/>
    <n v="3"/>
    <x v="2"/>
    <x v="2"/>
    <x v="0"/>
    <x v="0"/>
    <n v="76"/>
    <x v="60"/>
    <x v="2"/>
    <s v="+33 1 46 62 7555"/>
    <s v="27 rue du Colonel Pierre Avia"/>
    <m/>
    <x v="2"/>
    <m/>
    <n v="75508"/>
    <x v="1"/>
    <x v="1"/>
    <s v="Da Cunha"/>
    <s v="Daniel"/>
    <x v="1"/>
  </r>
  <r>
    <n v="10145"/>
    <n v="47"/>
    <n v="83.03"/>
    <n v="11"/>
    <n v="3902.41"/>
    <d v="2003-08-25T00:00:00"/>
    <x v="0"/>
    <n v="3"/>
    <x v="3"/>
    <x v="3"/>
    <x v="0"/>
    <x v="0"/>
    <n v="76"/>
    <x v="60"/>
    <x v="3"/>
    <n v="6265557265"/>
    <s v="78934 Hillside Dr."/>
    <m/>
    <x v="3"/>
    <s v="CA"/>
    <n v="90003"/>
    <x v="0"/>
    <x v="0"/>
    <s v="Young"/>
    <s v="Julie"/>
    <x v="1"/>
  </r>
  <r>
    <n v="10158"/>
    <n v="22"/>
    <n v="67.03"/>
    <n v="1"/>
    <n v="1474.66"/>
    <d v="2003-10-10T00:00:00"/>
    <x v="0"/>
    <n v="4"/>
    <x v="4"/>
    <x v="4"/>
    <x v="0"/>
    <x v="0"/>
    <n v="76"/>
    <x v="60"/>
    <x v="17"/>
    <s v="07-98 9555"/>
    <s v="Erling Skakkes gate 78"/>
    <m/>
    <x v="14"/>
    <m/>
    <n v="4110"/>
    <x v="2"/>
    <x v="1"/>
    <s v="Bergulfsen"/>
    <s v="Jonas"/>
    <x v="0"/>
  </r>
  <r>
    <n v="10168"/>
    <n v="29"/>
    <n v="75.41"/>
    <n v="6"/>
    <n v="2186.89"/>
    <d v="2003-10-28T00:00:00"/>
    <x v="0"/>
    <n v="4"/>
    <x v="4"/>
    <x v="4"/>
    <x v="0"/>
    <x v="0"/>
    <n v="76"/>
    <x v="60"/>
    <x v="5"/>
    <n v="6505556809"/>
    <s v="9408 Furth Circle"/>
    <m/>
    <x v="5"/>
    <s v="CA"/>
    <n v="94217"/>
    <x v="0"/>
    <x v="0"/>
    <s v="Hirano"/>
    <s v="Juri"/>
    <x v="0"/>
  </r>
  <r>
    <n v="10180"/>
    <n v="28"/>
    <n v="68.55"/>
    <n v="14"/>
    <n v="1919.4"/>
    <d v="2003-11-11T00:00:00"/>
    <x v="0"/>
    <n v="4"/>
    <x v="5"/>
    <x v="5"/>
    <x v="0"/>
    <x v="0"/>
    <n v="76"/>
    <x v="60"/>
    <x v="6"/>
    <s v="20.16.1555"/>
    <s v="184, chausse de Tournai"/>
    <m/>
    <x v="6"/>
    <m/>
    <n v="59000"/>
    <x v="1"/>
    <x v="1"/>
    <s v="Rance"/>
    <s v="Martine"/>
    <x v="0"/>
  </r>
  <r>
    <n v="10188"/>
    <n v="40"/>
    <n v="91.4"/>
    <n v="6"/>
    <n v="3656"/>
    <d v="2003-11-18T00:00:00"/>
    <x v="0"/>
    <n v="4"/>
    <x v="5"/>
    <x v="5"/>
    <x v="0"/>
    <x v="0"/>
    <n v="76"/>
    <x v="60"/>
    <x v="7"/>
    <s v="+47 2267 3215"/>
    <s v="Drammen 121, PR 744 Sentrum"/>
    <m/>
    <x v="7"/>
    <m/>
    <s v="N 5804"/>
    <x v="2"/>
    <x v="1"/>
    <s v="Oeztan"/>
    <s v="Veysel"/>
    <x v="1"/>
  </r>
  <r>
    <n v="10201"/>
    <n v="25"/>
    <n v="73.88"/>
    <n v="7"/>
    <n v="1847"/>
    <d v="2003-12-01T00:00:00"/>
    <x v="0"/>
    <n v="4"/>
    <x v="6"/>
    <x v="6"/>
    <x v="0"/>
    <x v="0"/>
    <n v="76"/>
    <x v="60"/>
    <x v="8"/>
    <n v="6505555787"/>
    <s v="5557 North Pendale Street"/>
    <m/>
    <x v="4"/>
    <s v="CA"/>
    <m/>
    <x v="0"/>
    <x v="0"/>
    <s v="Murphy"/>
    <s v="Julie"/>
    <x v="0"/>
  </r>
  <r>
    <n v="10210"/>
    <n v="30"/>
    <n v="61.7"/>
    <n v="4"/>
    <n v="1851"/>
    <d v="2004-01-12T00:00:00"/>
    <x v="0"/>
    <n v="1"/>
    <x v="7"/>
    <x v="7"/>
    <x v="1"/>
    <x v="0"/>
    <n v="76"/>
    <x v="60"/>
    <x v="44"/>
    <s v="+81 06 6342 5555"/>
    <s v="Dojima Avanza 4F, 1-6-20 Dojima, Kita-ku"/>
    <m/>
    <x v="38"/>
    <s v="Osaka"/>
    <s v="530-0003"/>
    <x v="11"/>
    <x v="3"/>
    <s v="Kentary"/>
    <s v="Mory"/>
    <x v="0"/>
  </r>
  <r>
    <n v="10223"/>
    <n v="38"/>
    <n v="69.31"/>
    <n v="6"/>
    <n v="2633.78"/>
    <d v="2004-02-20T00:00:00"/>
    <x v="0"/>
    <n v="1"/>
    <x v="0"/>
    <x v="0"/>
    <x v="1"/>
    <x v="0"/>
    <n v="76"/>
    <x v="60"/>
    <x v="10"/>
    <s v="03 9520 4555"/>
    <s v="636 St Kilda Road"/>
    <s v="Level 3"/>
    <x v="8"/>
    <s v="Victoria"/>
    <n v="3004"/>
    <x v="3"/>
    <x v="2"/>
    <s v="Ferguson"/>
    <s v="Peter"/>
    <x v="0"/>
  </r>
  <r>
    <n v="10236"/>
    <n v="36"/>
    <n v="87.6"/>
    <n v="3"/>
    <n v="3153.6"/>
    <d v="2004-04-03T00:00:00"/>
    <x v="0"/>
    <n v="2"/>
    <x v="8"/>
    <x v="8"/>
    <x v="1"/>
    <x v="0"/>
    <n v="76"/>
    <x v="60"/>
    <x v="45"/>
    <n v="2155559857"/>
    <s v="11328 Douglas Av."/>
    <m/>
    <x v="24"/>
    <s v="PA"/>
    <n v="71270"/>
    <x v="0"/>
    <x v="0"/>
    <s v="Hernandez"/>
    <s v="Rosa"/>
    <x v="1"/>
  </r>
  <r>
    <n v="10250"/>
    <n v="32"/>
    <n v="87.6"/>
    <n v="1"/>
    <n v="2803.2"/>
    <d v="2004-05-11T00:00:00"/>
    <x v="0"/>
    <n v="2"/>
    <x v="1"/>
    <x v="1"/>
    <x v="1"/>
    <x v="0"/>
    <n v="76"/>
    <x v="60"/>
    <x v="61"/>
    <n v="4085553659"/>
    <s v="3086 Ingle Ln."/>
    <m/>
    <x v="51"/>
    <s v="CA"/>
    <n v="94217"/>
    <x v="0"/>
    <x v="0"/>
    <s v="Frick"/>
    <s v="Sue"/>
    <x v="0"/>
  </r>
  <r>
    <n v="10263"/>
    <n v="37"/>
    <n v="62.46"/>
    <n v="7"/>
    <n v="2311.02"/>
    <d v="2004-06-28T00:00:00"/>
    <x v="0"/>
    <n v="2"/>
    <x v="9"/>
    <x v="9"/>
    <x v="1"/>
    <x v="0"/>
    <n v="76"/>
    <x v="60"/>
    <x v="13"/>
    <n v="2035552570"/>
    <s v="25593 South Bay Ln."/>
    <m/>
    <x v="10"/>
    <s v="CT"/>
    <n v="97562"/>
    <x v="0"/>
    <x v="0"/>
    <s v="King"/>
    <s v="Julie"/>
    <x v="0"/>
  </r>
  <r>
    <n v="10275"/>
    <n v="30"/>
    <n v="79.98"/>
    <n v="6"/>
    <n v="2399.4"/>
    <d v="2004-07-23T00:00:00"/>
    <x v="0"/>
    <n v="3"/>
    <x v="2"/>
    <x v="2"/>
    <x v="1"/>
    <x v="0"/>
    <n v="76"/>
    <x v="60"/>
    <x v="14"/>
    <s v="40.67.8555"/>
    <s v="67, rue des Cinquante Otages"/>
    <m/>
    <x v="11"/>
    <m/>
    <n v="44000"/>
    <x v="1"/>
    <x v="1"/>
    <s v="Labrune"/>
    <s v="Janine"/>
    <x v="0"/>
  </r>
  <r>
    <n v="10285"/>
    <n v="39"/>
    <n v="70.08"/>
    <n v="11"/>
    <n v="2733.12"/>
    <d v="2004-08-27T00:00:00"/>
    <x v="0"/>
    <n v="3"/>
    <x v="3"/>
    <x v="3"/>
    <x v="1"/>
    <x v="0"/>
    <n v="76"/>
    <x v="60"/>
    <x v="15"/>
    <n v="6175558555"/>
    <s v="39323 Spinnaker Dr."/>
    <m/>
    <x v="12"/>
    <s v="MA"/>
    <n v="51247"/>
    <x v="0"/>
    <x v="0"/>
    <s v="Hernandez"/>
    <s v="Marta"/>
    <x v="0"/>
  </r>
  <r>
    <n v="10297"/>
    <n v="32"/>
    <n v="65.510000000000005"/>
    <n v="1"/>
    <n v="2096.3200000000002"/>
    <d v="2004-09-16T00:00:00"/>
    <x v="0"/>
    <n v="3"/>
    <x v="10"/>
    <x v="10"/>
    <x v="1"/>
    <x v="0"/>
    <n v="76"/>
    <x v="60"/>
    <x v="75"/>
    <s v="+353 1862 1555"/>
    <s v="25 Maiden Lane"/>
    <s v="Floor No. 4"/>
    <x v="60"/>
    <m/>
    <n v="2"/>
    <x v="18"/>
    <x v="1"/>
    <s v="Cassidy"/>
    <s v="Dean"/>
    <x v="0"/>
  </r>
  <r>
    <n v="10308"/>
    <n v="47"/>
    <n v="63.22"/>
    <n v="4"/>
    <n v="2971.34"/>
    <d v="2004-10-15T00:00:00"/>
    <x v="0"/>
    <n v="4"/>
    <x v="4"/>
    <x v="4"/>
    <x v="1"/>
    <x v="0"/>
    <n v="76"/>
    <x v="60"/>
    <x v="47"/>
    <n v="9145554562"/>
    <s v="3758 North Pendale Street"/>
    <m/>
    <x v="39"/>
    <s v="NY"/>
    <n v="24067"/>
    <x v="0"/>
    <x v="0"/>
    <s v="Frick"/>
    <s v="Steve"/>
    <x v="0"/>
  </r>
  <r>
    <n v="10318"/>
    <n v="26"/>
    <n v="86.83"/>
    <n v="6"/>
    <n v="2257.58"/>
    <d v="2004-11-02T00:00:00"/>
    <x v="0"/>
    <n v="4"/>
    <x v="5"/>
    <x v="5"/>
    <x v="1"/>
    <x v="0"/>
    <n v="76"/>
    <x v="60"/>
    <x v="18"/>
    <n v="2155551555"/>
    <s v="7586 Pompton St."/>
    <m/>
    <x v="15"/>
    <s v="PA"/>
    <n v="70267"/>
    <x v="0"/>
    <x v="0"/>
    <s v="Yu"/>
    <s v="Kyung"/>
    <x v="0"/>
  </r>
  <r>
    <n v="10329"/>
    <n v="37"/>
    <n v="94.43"/>
    <n v="4"/>
    <n v="3493.91"/>
    <d v="2004-11-15T00:00:00"/>
    <x v="0"/>
    <n v="4"/>
    <x v="5"/>
    <x v="5"/>
    <x v="1"/>
    <x v="0"/>
    <n v="76"/>
    <x v="60"/>
    <x v="0"/>
    <n v="2125557818"/>
    <s v="897 Long Airport Avenue"/>
    <m/>
    <x v="0"/>
    <s v="NY"/>
    <n v="10022"/>
    <x v="0"/>
    <x v="0"/>
    <s v="Yu"/>
    <s v="Kwai"/>
    <x v="1"/>
  </r>
  <r>
    <n v="10340"/>
    <n v="55"/>
    <n v="79.98"/>
    <n v="8"/>
    <n v="4398.8999999999996"/>
    <d v="2004-11-24T00:00:00"/>
    <x v="0"/>
    <n v="4"/>
    <x v="5"/>
    <x v="5"/>
    <x v="1"/>
    <x v="0"/>
    <n v="76"/>
    <x v="60"/>
    <x v="53"/>
    <s v="(93) 203 4555"/>
    <s v="Rambla de Catalu¤a, 23"/>
    <m/>
    <x v="43"/>
    <m/>
    <n v="8022"/>
    <x v="7"/>
    <x v="1"/>
    <s v="Saavedra"/>
    <s v="Eduardo"/>
    <x v="1"/>
  </r>
  <r>
    <n v="10363"/>
    <n v="21"/>
    <n v="100"/>
    <n v="8"/>
    <n v="3595.62"/>
    <d v="2005-01-06T00:00:00"/>
    <x v="0"/>
    <n v="1"/>
    <x v="7"/>
    <x v="7"/>
    <x v="2"/>
    <x v="0"/>
    <n v="76"/>
    <x v="60"/>
    <x v="73"/>
    <s v="+358 9 8045 555"/>
    <s v="Software Engineering Center, SEC Oy"/>
    <m/>
    <x v="59"/>
    <m/>
    <s v="FIN-02271"/>
    <x v="4"/>
    <x v="1"/>
    <s v="Suominen"/>
    <s v="Kalle"/>
    <x v="1"/>
  </r>
  <r>
    <n v="10375"/>
    <n v="23"/>
    <n v="100"/>
    <n v="9"/>
    <n v="2443.29"/>
    <d v="2005-02-03T00:00:00"/>
    <x v="0"/>
    <n v="1"/>
    <x v="0"/>
    <x v="0"/>
    <x v="2"/>
    <x v="0"/>
    <n v="76"/>
    <x v="60"/>
    <x v="14"/>
    <s v="40.67.8555"/>
    <s v="67, rue des Cinquante Otages"/>
    <m/>
    <x v="11"/>
    <m/>
    <n v="44000"/>
    <x v="1"/>
    <x v="1"/>
    <s v="Labrune"/>
    <s v="Janine"/>
    <x v="0"/>
  </r>
  <r>
    <n v="10389"/>
    <n v="49"/>
    <n v="81.400000000000006"/>
    <n v="2"/>
    <n v="3988.6"/>
    <d v="2005-03-03T00:00:00"/>
    <x v="0"/>
    <n v="1"/>
    <x v="11"/>
    <x v="11"/>
    <x v="2"/>
    <x v="0"/>
    <n v="76"/>
    <x v="60"/>
    <x v="37"/>
    <s v="0695-34 6555"/>
    <s v="?kergatan 24"/>
    <m/>
    <x v="31"/>
    <m/>
    <s v="S-844 67"/>
    <x v="8"/>
    <x v="1"/>
    <s v="Larsson"/>
    <s v="Maria"/>
    <x v="1"/>
  </r>
  <r>
    <n v="10402"/>
    <n v="59"/>
    <n v="87.6"/>
    <n v="3"/>
    <n v="5168.3999999999996"/>
    <d v="2005-04-07T00:00:00"/>
    <x v="0"/>
    <n v="2"/>
    <x v="8"/>
    <x v="8"/>
    <x v="2"/>
    <x v="0"/>
    <n v="76"/>
    <x v="60"/>
    <x v="9"/>
    <s v="(1) 47.55.6555"/>
    <s v="25, rue Lauriston"/>
    <m/>
    <x v="2"/>
    <m/>
    <n v="75016"/>
    <x v="1"/>
    <x v="1"/>
    <s v="Perrier"/>
    <s v="Dominique"/>
    <x v="1"/>
  </r>
  <r>
    <n v="10416"/>
    <n v="32"/>
    <n v="87.6"/>
    <n v="1"/>
    <n v="2803.2"/>
    <d v="2005-05-10T00:00:00"/>
    <x v="0"/>
    <n v="2"/>
    <x v="1"/>
    <x v="1"/>
    <x v="2"/>
    <x v="0"/>
    <n v="76"/>
    <x v="60"/>
    <x v="70"/>
    <s v="0522-556555"/>
    <s v="Strada Provinciale 124"/>
    <m/>
    <x v="57"/>
    <m/>
    <n v="42100"/>
    <x v="12"/>
    <x v="1"/>
    <s v="Moroni"/>
    <s v="Maurizio"/>
    <x v="0"/>
  </r>
  <r>
    <n v="10105"/>
    <n v="43"/>
    <n v="100"/>
    <n v="9"/>
    <n v="6341.21"/>
    <d v="2003-02-11T00:00:00"/>
    <x v="0"/>
    <n v="1"/>
    <x v="0"/>
    <x v="0"/>
    <x v="0"/>
    <x v="5"/>
    <n v="122"/>
    <x v="61"/>
    <x v="48"/>
    <s v="31 12 3555"/>
    <s v="Vinb'ltet 34"/>
    <m/>
    <x v="40"/>
    <m/>
    <n v="1734"/>
    <x v="13"/>
    <x v="1"/>
    <s v="Petersen"/>
    <s v="Jytte"/>
    <x v="1"/>
  </r>
  <r>
    <n v="10117"/>
    <n v="41"/>
    <n v="100"/>
    <n v="3"/>
    <n v="5189.78"/>
    <d v="2003-04-16T00:00:00"/>
    <x v="0"/>
    <n v="2"/>
    <x v="8"/>
    <x v="8"/>
    <x v="0"/>
    <x v="5"/>
    <n v="122"/>
    <x v="61"/>
    <x v="26"/>
    <s v="+65 221 7555"/>
    <s v="Bronz Sok., Bronz Apt. 3/6 Tesvikiye"/>
    <m/>
    <x v="22"/>
    <m/>
    <n v="79903"/>
    <x v="9"/>
    <x v="3"/>
    <s v="Natividad"/>
    <s v="Eric"/>
    <x v="1"/>
  </r>
  <r>
    <n v="10129"/>
    <n v="45"/>
    <n v="100"/>
    <n v="9"/>
    <n v="6027.75"/>
    <d v="2003-06-12T00:00:00"/>
    <x v="0"/>
    <n v="2"/>
    <x v="9"/>
    <x v="9"/>
    <x v="0"/>
    <x v="5"/>
    <n v="122"/>
    <x v="61"/>
    <x v="49"/>
    <s v="(171) 555-0297"/>
    <s v="35 King George"/>
    <m/>
    <x v="41"/>
    <m/>
    <s v="WX3 6FW"/>
    <x v="6"/>
    <x v="1"/>
    <s v="Brown"/>
    <s v="Ann"/>
    <x v="1"/>
  </r>
  <r>
    <n v="10142"/>
    <n v="33"/>
    <n v="100"/>
    <n v="6"/>
    <n v="3366"/>
    <d v="2003-08-08T00:00:00"/>
    <x v="0"/>
    <n v="3"/>
    <x v="3"/>
    <x v="3"/>
    <x v="0"/>
    <x v="5"/>
    <n v="122"/>
    <x v="61"/>
    <x v="39"/>
    <n v="4155551450"/>
    <s v="5677 Strong St."/>
    <m/>
    <x v="33"/>
    <s v="CA"/>
    <n v="97562"/>
    <x v="0"/>
    <x v="0"/>
    <s v="Nelson"/>
    <s v="Valarie"/>
    <x v="1"/>
  </r>
  <r>
    <n v="10153"/>
    <n v="40"/>
    <n v="100"/>
    <n v="5"/>
    <n v="5456.4"/>
    <d v="2003-09-28T00:00:00"/>
    <x v="0"/>
    <n v="3"/>
    <x v="10"/>
    <x v="10"/>
    <x v="0"/>
    <x v="5"/>
    <n v="122"/>
    <x v="61"/>
    <x v="23"/>
    <s v="(91) 555 94 44"/>
    <s v="C/ Moralzarzal, 86"/>
    <m/>
    <x v="20"/>
    <m/>
    <n v="28034"/>
    <x v="7"/>
    <x v="1"/>
    <s v="Freyre"/>
    <s v="Diego"/>
    <x v="1"/>
  </r>
  <r>
    <n v="10167"/>
    <n v="33"/>
    <n v="100"/>
    <n v="16"/>
    <n v="3812.16"/>
    <d v="2003-10-23T00:00:00"/>
    <x v="3"/>
    <n v="4"/>
    <x v="4"/>
    <x v="4"/>
    <x v="0"/>
    <x v="5"/>
    <n v="122"/>
    <x v="61"/>
    <x v="37"/>
    <s v="0695-34 6555"/>
    <s v="?kergatan 24"/>
    <m/>
    <x v="31"/>
    <m/>
    <s v="S-844 67"/>
    <x v="8"/>
    <x v="1"/>
    <s v="Larsson"/>
    <s v="Maria"/>
    <x v="1"/>
  </r>
  <r>
    <n v="10177"/>
    <n v="50"/>
    <n v="100"/>
    <n v="7"/>
    <n v="6083"/>
    <d v="2003-11-07T00:00:00"/>
    <x v="0"/>
    <n v="4"/>
    <x v="5"/>
    <x v="5"/>
    <x v="0"/>
    <x v="5"/>
    <n v="122"/>
    <x v="61"/>
    <x v="76"/>
    <s v="+34 913 728 555"/>
    <s v="Merchants House, 27-30 Merchant's Quay"/>
    <m/>
    <x v="20"/>
    <m/>
    <n v="28023"/>
    <x v="7"/>
    <x v="1"/>
    <s v="Fernandez"/>
    <s v="Jesus"/>
    <x v="1"/>
  </r>
  <r>
    <n v="10185"/>
    <n v="30"/>
    <n v="100"/>
    <n v="7"/>
    <n v="3170.7"/>
    <d v="2003-11-14T00:00:00"/>
    <x v="0"/>
    <n v="4"/>
    <x v="5"/>
    <x v="5"/>
    <x v="0"/>
    <x v="5"/>
    <n v="122"/>
    <x v="61"/>
    <x v="50"/>
    <n v="5085559555"/>
    <s v="4575 Hillside Dr."/>
    <m/>
    <x v="18"/>
    <s v="MA"/>
    <n v="50553"/>
    <x v="0"/>
    <x v="0"/>
    <s v="Tam"/>
    <s v="Wing C"/>
    <x v="1"/>
  </r>
  <r>
    <n v="10197"/>
    <n v="41"/>
    <n v="100"/>
    <n v="13"/>
    <n v="4534.6000000000004"/>
    <d v="2003-11-26T00:00:00"/>
    <x v="0"/>
    <n v="4"/>
    <x v="5"/>
    <x v="5"/>
    <x v="0"/>
    <x v="5"/>
    <n v="122"/>
    <x v="61"/>
    <x v="53"/>
    <s v="(93) 203 4555"/>
    <s v="Rambla de Catalu¤a, 23"/>
    <m/>
    <x v="43"/>
    <m/>
    <n v="8022"/>
    <x v="7"/>
    <x v="1"/>
    <s v="Saavedra"/>
    <s v="Eduardo"/>
    <x v="1"/>
  </r>
  <r>
    <n v="10208"/>
    <n v="35"/>
    <n v="100"/>
    <n v="7"/>
    <n v="4301.1499999999996"/>
    <d v="2004-01-02T00:00:00"/>
    <x v="0"/>
    <n v="1"/>
    <x v="7"/>
    <x v="7"/>
    <x v="1"/>
    <x v="5"/>
    <n v="122"/>
    <x v="61"/>
    <x v="30"/>
    <s v="78.32.5555"/>
    <s v="2, rue du Commerce"/>
    <m/>
    <x v="25"/>
    <m/>
    <n v="69004"/>
    <x v="1"/>
    <x v="1"/>
    <s v="Saveley"/>
    <s v="Mary"/>
    <x v="1"/>
  </r>
  <r>
    <n v="10221"/>
    <n v="49"/>
    <n v="100"/>
    <n v="1"/>
    <n v="6804.63"/>
    <d v="2004-02-18T00:00:00"/>
    <x v="0"/>
    <n v="1"/>
    <x v="0"/>
    <x v="0"/>
    <x v="1"/>
    <x v="5"/>
    <n v="122"/>
    <x v="61"/>
    <x v="56"/>
    <s v="(02) 5554 67"/>
    <s v="Rue Joseph-Bens 532"/>
    <m/>
    <x v="46"/>
    <m/>
    <s v="B-1180"/>
    <x v="14"/>
    <x v="1"/>
    <s v="Dewey"/>
    <s v="Catherine"/>
    <x v="1"/>
  </r>
  <r>
    <n v="10232"/>
    <n v="46"/>
    <n v="100"/>
    <n v="4"/>
    <n v="5652.94"/>
    <d v="2004-03-20T00:00:00"/>
    <x v="0"/>
    <n v="1"/>
    <x v="11"/>
    <x v="11"/>
    <x v="1"/>
    <x v="5"/>
    <n v="122"/>
    <x v="61"/>
    <x v="59"/>
    <s v="(198) 555-8888"/>
    <s v="Garden House Crowther Way"/>
    <m/>
    <x v="49"/>
    <s v="Isle of Wight"/>
    <s v="PO31 7PJ"/>
    <x v="6"/>
    <x v="1"/>
    <s v="Bennett"/>
    <s v="Helen"/>
    <x v="1"/>
  </r>
  <r>
    <n v="10248"/>
    <n v="48"/>
    <n v="100"/>
    <n v="10"/>
    <n v="6960.48"/>
    <d v="2004-05-07T00:00:00"/>
    <x v="3"/>
    <n v="2"/>
    <x v="1"/>
    <x v="1"/>
    <x v="1"/>
    <x v="5"/>
    <n v="122"/>
    <x v="61"/>
    <x v="0"/>
    <n v="2125557818"/>
    <s v="897 Long Airport Avenue"/>
    <m/>
    <x v="0"/>
    <s v="NY"/>
    <n v="10022"/>
    <x v="0"/>
    <x v="0"/>
    <s v="Yu"/>
    <s v="Kwai"/>
    <x v="1"/>
  </r>
  <r>
    <n v="10261"/>
    <n v="36"/>
    <n v="100"/>
    <n v="8"/>
    <n v="4512.6000000000004"/>
    <d v="2004-06-17T00:00:00"/>
    <x v="0"/>
    <n v="2"/>
    <x v="9"/>
    <x v="9"/>
    <x v="1"/>
    <x v="5"/>
    <n v="122"/>
    <x v="61"/>
    <x v="43"/>
    <s v="(514) 555-8054"/>
    <s v="43 rue St. Laurent"/>
    <m/>
    <x v="37"/>
    <s v="Quebec"/>
    <s v="H1J 1C3"/>
    <x v="10"/>
    <x v="0"/>
    <s v="Fresnisre"/>
    <s v="Jean"/>
    <x v="1"/>
  </r>
  <r>
    <n v="10273"/>
    <n v="22"/>
    <n v="100"/>
    <n v="11"/>
    <n v="2784.76"/>
    <d v="2004-07-21T00:00:00"/>
    <x v="0"/>
    <n v="3"/>
    <x v="2"/>
    <x v="2"/>
    <x v="1"/>
    <x v="5"/>
    <n v="122"/>
    <x v="61"/>
    <x v="56"/>
    <s v="(02) 5554 67"/>
    <s v="Rue Joseph-Bens 532"/>
    <m/>
    <x v="46"/>
    <m/>
    <s v="B-1180"/>
    <x v="14"/>
    <x v="1"/>
    <s v="Dewey"/>
    <s v="Catherine"/>
    <x v="0"/>
  </r>
  <r>
    <n v="10283"/>
    <n v="42"/>
    <n v="100"/>
    <n v="13"/>
    <n v="5316.36"/>
    <d v="2004-08-20T00:00:00"/>
    <x v="0"/>
    <n v="3"/>
    <x v="3"/>
    <x v="3"/>
    <x v="1"/>
    <x v="5"/>
    <n v="122"/>
    <x v="61"/>
    <x v="57"/>
    <s v="(604) 555-4555"/>
    <s v="23 Tsawassen Blvd."/>
    <m/>
    <x v="47"/>
    <s v="BC"/>
    <s v="T2F 8M4"/>
    <x v="10"/>
    <x v="0"/>
    <s v="Lincoln"/>
    <s v="Elizabeth"/>
    <x v="1"/>
  </r>
  <r>
    <n v="10293"/>
    <n v="21"/>
    <n v="100"/>
    <n v="2"/>
    <n v="2941.89"/>
    <d v="2004-09-09T00:00:00"/>
    <x v="0"/>
    <n v="3"/>
    <x v="10"/>
    <x v="10"/>
    <x v="1"/>
    <x v="5"/>
    <n v="122"/>
    <x v="61"/>
    <x v="36"/>
    <s v="011-4988555"/>
    <s v="Via Monte Bianco 34"/>
    <m/>
    <x v="30"/>
    <m/>
    <n v="10100"/>
    <x v="12"/>
    <x v="1"/>
    <s v="Accorti"/>
    <s v="Paolo"/>
    <x v="0"/>
  </r>
  <r>
    <n v="10306"/>
    <n v="29"/>
    <n v="100"/>
    <n v="7"/>
    <n v="3207.4"/>
    <d v="2004-10-14T00:00:00"/>
    <x v="0"/>
    <n v="4"/>
    <x v="4"/>
    <x v="4"/>
    <x v="1"/>
    <x v="5"/>
    <n v="122"/>
    <x v="61"/>
    <x v="77"/>
    <s v="(171) 555-1555"/>
    <s v="Fauntleroy Circus"/>
    <m/>
    <x v="61"/>
    <m/>
    <s v="EC2 5NT"/>
    <x v="6"/>
    <x v="1"/>
    <s v="Ashworth"/>
    <s v="Victoria"/>
    <x v="1"/>
  </r>
  <r>
    <n v="10315"/>
    <n v="35"/>
    <n v="100"/>
    <n v="6"/>
    <n v="4215.05"/>
    <d v="2004-10-29T00:00:00"/>
    <x v="0"/>
    <n v="4"/>
    <x v="4"/>
    <x v="4"/>
    <x v="1"/>
    <x v="5"/>
    <n v="122"/>
    <x v="61"/>
    <x v="14"/>
    <s v="40.67.8555"/>
    <s v="67, rue des Cinquante Otages"/>
    <m/>
    <x v="11"/>
    <m/>
    <n v="44000"/>
    <x v="1"/>
    <x v="1"/>
    <s v="Labrune"/>
    <s v="Janine"/>
    <x v="1"/>
  </r>
  <r>
    <n v="10326"/>
    <n v="41"/>
    <n v="100"/>
    <n v="4"/>
    <n v="4333.29"/>
    <d v="2004-11-09T00:00:00"/>
    <x v="0"/>
    <n v="4"/>
    <x v="5"/>
    <x v="5"/>
    <x v="1"/>
    <x v="5"/>
    <n v="122"/>
    <x v="61"/>
    <x v="24"/>
    <s v="0921-12 3555"/>
    <s v="Berguvsv„gen  8"/>
    <m/>
    <x v="21"/>
    <m/>
    <s v="S-958 22"/>
    <x v="8"/>
    <x v="1"/>
    <s v="Berglund"/>
    <s v="Christina"/>
    <x v="1"/>
  </r>
  <r>
    <n v="10337"/>
    <n v="29"/>
    <n v="71.97"/>
    <n v="4"/>
    <n v="2087.13"/>
    <d v="2004-11-21T00:00:00"/>
    <x v="0"/>
    <n v="4"/>
    <x v="5"/>
    <x v="5"/>
    <x v="1"/>
    <x v="5"/>
    <n v="122"/>
    <x v="61"/>
    <x v="27"/>
    <n v="2125558493"/>
    <s v="5905 Pompton St."/>
    <s v="Suite 750"/>
    <x v="0"/>
    <s v="NY"/>
    <n v="10022"/>
    <x v="0"/>
    <x v="0"/>
    <s v="Hernandez"/>
    <s v="Maria"/>
    <x v="0"/>
  </r>
  <r>
    <n v="10350"/>
    <n v="34"/>
    <n v="50.33"/>
    <n v="7"/>
    <n v="1711.22"/>
    <d v="2004-12-02T00:00:00"/>
    <x v="0"/>
    <n v="4"/>
    <x v="6"/>
    <x v="6"/>
    <x v="1"/>
    <x v="5"/>
    <n v="122"/>
    <x v="61"/>
    <x v="23"/>
    <s v="(91) 555 94 44"/>
    <s v="C/ Moralzarzal, 86"/>
    <m/>
    <x v="20"/>
    <m/>
    <n v="28034"/>
    <x v="7"/>
    <x v="1"/>
    <s v="Freyre"/>
    <s v="Diego"/>
    <x v="0"/>
  </r>
  <r>
    <n v="10372"/>
    <n v="37"/>
    <n v="100"/>
    <n v="8"/>
    <n v="3910.53"/>
    <d v="2005-01-26T00:00:00"/>
    <x v="0"/>
    <n v="1"/>
    <x v="7"/>
    <x v="7"/>
    <x v="2"/>
    <x v="5"/>
    <n v="122"/>
    <x v="61"/>
    <x v="35"/>
    <s v="+81 3 3584 0555"/>
    <s v="2-2-8 Roppongi"/>
    <m/>
    <x v="29"/>
    <s v="Tokyo"/>
    <s v="106-0032"/>
    <x v="11"/>
    <x v="3"/>
    <s v="Shimamura"/>
    <s v="Akiko"/>
    <x v="1"/>
  </r>
  <r>
    <n v="10384"/>
    <n v="28"/>
    <n v="80.540000000000006"/>
    <n v="3"/>
    <n v="2255.12"/>
    <d v="2005-02-23T00:00:00"/>
    <x v="0"/>
    <n v="1"/>
    <x v="0"/>
    <x v="0"/>
    <x v="2"/>
    <x v="5"/>
    <n v="122"/>
    <x v="61"/>
    <x v="4"/>
    <n v="6505551386"/>
    <s v="7734 Strong St."/>
    <m/>
    <x v="4"/>
    <s v="CA"/>
    <m/>
    <x v="0"/>
    <x v="0"/>
    <s v="Brown"/>
    <s v="Julie"/>
    <x v="0"/>
  </r>
  <r>
    <n v="10396"/>
    <n v="49"/>
    <n v="100"/>
    <n v="6"/>
    <n v="5720.75"/>
    <d v="2005-03-23T00:00:00"/>
    <x v="0"/>
    <n v="1"/>
    <x v="11"/>
    <x v="11"/>
    <x v="2"/>
    <x v="5"/>
    <n v="122"/>
    <x v="61"/>
    <x v="39"/>
    <n v="4155551450"/>
    <s v="5677 Strong St."/>
    <m/>
    <x v="33"/>
    <s v="CA"/>
    <n v="97562"/>
    <x v="0"/>
    <x v="0"/>
    <s v="Nelson"/>
    <s v="Valarie"/>
    <x v="1"/>
  </r>
  <r>
    <n v="10414"/>
    <n v="23"/>
    <n v="100"/>
    <n v="10"/>
    <n v="3335.23"/>
    <d v="2005-05-06T00:00:00"/>
    <x v="4"/>
    <n v="2"/>
    <x v="1"/>
    <x v="1"/>
    <x v="2"/>
    <x v="5"/>
    <n v="122"/>
    <x v="61"/>
    <x v="58"/>
    <n v="6175559555"/>
    <s v="8616 Spinnaker Dr."/>
    <m/>
    <x v="48"/>
    <s v="MA"/>
    <n v="51003"/>
    <x v="0"/>
    <x v="0"/>
    <s v="Yoshido"/>
    <s v="Juri"/>
    <x v="1"/>
  </r>
  <r>
    <n v="10101"/>
    <n v="46"/>
    <n v="53.76"/>
    <n v="2"/>
    <n v="2472.96"/>
    <d v="2003-01-09T00:00:00"/>
    <x v="0"/>
    <n v="1"/>
    <x v="7"/>
    <x v="7"/>
    <x v="0"/>
    <x v="3"/>
    <n v="44"/>
    <x v="62"/>
    <x v="72"/>
    <s v="+49 69 66 90 2555"/>
    <s v="Lyonerstr. 34"/>
    <m/>
    <x v="58"/>
    <m/>
    <n v="60528"/>
    <x v="16"/>
    <x v="1"/>
    <s v="Keitel"/>
    <s v="Roland"/>
    <x v="0"/>
  </r>
  <r>
    <n v="10110"/>
    <n v="39"/>
    <n v="44.35"/>
    <n v="2"/>
    <n v="1729.65"/>
    <d v="2003-03-18T00:00:00"/>
    <x v="0"/>
    <n v="1"/>
    <x v="11"/>
    <x v="11"/>
    <x v="0"/>
    <x v="3"/>
    <n v="44"/>
    <x v="62"/>
    <x v="77"/>
    <s v="(171) 555-1555"/>
    <s v="Fauntleroy Circus"/>
    <m/>
    <x v="61"/>
    <m/>
    <s v="EC2 5NT"/>
    <x v="6"/>
    <x v="1"/>
    <s v="Ashworth"/>
    <s v="Victoria"/>
    <x v="0"/>
  </r>
  <r>
    <n v="10124"/>
    <n v="22"/>
    <n v="45.25"/>
    <n v="1"/>
    <n v="995.5"/>
    <d v="2003-05-21T00:00:00"/>
    <x v="0"/>
    <n v="2"/>
    <x v="1"/>
    <x v="1"/>
    <x v="0"/>
    <x v="3"/>
    <n v="44"/>
    <x v="62"/>
    <x v="84"/>
    <n v="7025551838"/>
    <s v="8489 Strong St."/>
    <m/>
    <x v="67"/>
    <s v="NV"/>
    <n v="83030"/>
    <x v="0"/>
    <x v="0"/>
    <s v="King"/>
    <s v="Sue"/>
    <x v="0"/>
  </r>
  <r>
    <n v="10149"/>
    <n v="49"/>
    <n v="49.28"/>
    <n v="6"/>
    <n v="2414.7199999999998"/>
    <d v="2003-09-12T00:00:00"/>
    <x v="0"/>
    <n v="3"/>
    <x v="10"/>
    <x v="10"/>
    <x v="0"/>
    <x v="3"/>
    <n v="44"/>
    <x v="62"/>
    <x v="82"/>
    <n v="4155554312"/>
    <s v="2793 Furth Circle"/>
    <m/>
    <x v="65"/>
    <s v="CA"/>
    <n v="94217"/>
    <x v="0"/>
    <x v="0"/>
    <s v="Taylor"/>
    <s v="Sue"/>
    <x v="0"/>
  </r>
  <r>
    <n v="10162"/>
    <n v="43"/>
    <n v="36.29"/>
    <n v="4"/>
    <n v="1560.47"/>
    <d v="2003-10-18T00:00:00"/>
    <x v="0"/>
    <n v="4"/>
    <x v="4"/>
    <x v="4"/>
    <x v="0"/>
    <x v="3"/>
    <n v="44"/>
    <x v="62"/>
    <x v="4"/>
    <n v="6505551386"/>
    <s v="7734 Strong St."/>
    <m/>
    <x v="4"/>
    <s v="CA"/>
    <m/>
    <x v="0"/>
    <x v="0"/>
    <s v="Brown"/>
    <s v="Julie"/>
    <x v="0"/>
  </r>
  <r>
    <n v="10173"/>
    <n v="27"/>
    <n v="41.22"/>
    <n v="8"/>
    <n v="1112.94"/>
    <d v="2003-11-05T00:00:00"/>
    <x v="0"/>
    <n v="4"/>
    <x v="5"/>
    <x v="5"/>
    <x v="0"/>
    <x v="3"/>
    <n v="44"/>
    <x v="62"/>
    <x v="86"/>
    <s v="035-640555"/>
    <s v="Via Ludovico il Moro 22"/>
    <m/>
    <x v="69"/>
    <m/>
    <n v="24100"/>
    <x v="12"/>
    <x v="1"/>
    <s v="Rovelli"/>
    <s v="Giovanni"/>
    <x v="0"/>
  </r>
  <r>
    <n v="10182"/>
    <n v="31"/>
    <n v="36.74"/>
    <n v="5"/>
    <n v="1138.94"/>
    <d v="2003-11-12T00:00:00"/>
    <x v="0"/>
    <n v="4"/>
    <x v="5"/>
    <x v="5"/>
    <x v="0"/>
    <x v="3"/>
    <n v="44"/>
    <x v="62"/>
    <x v="39"/>
    <n v="4155551450"/>
    <s v="5677 Strong St."/>
    <m/>
    <x v="33"/>
    <s v="CA"/>
    <n v="97562"/>
    <x v="0"/>
    <x v="0"/>
    <s v="Nelson"/>
    <s v="Valarie"/>
    <x v="0"/>
  </r>
  <r>
    <n v="10193"/>
    <n v="20"/>
    <n v="50.62"/>
    <n v="9"/>
    <n v="1012.4"/>
    <d v="2003-11-21T00:00:00"/>
    <x v="0"/>
    <n v="4"/>
    <x v="5"/>
    <x v="5"/>
    <x v="0"/>
    <x v="3"/>
    <n v="44"/>
    <x v="62"/>
    <x v="87"/>
    <s v="61-9-3844-6555"/>
    <s v="7 Allen Street"/>
    <m/>
    <x v="70"/>
    <s v="Victoria"/>
    <n v="3150"/>
    <x v="3"/>
    <x v="2"/>
    <s v="Connery"/>
    <s v="Sean"/>
    <x v="0"/>
  </r>
  <r>
    <n v="10205"/>
    <n v="24"/>
    <n v="38.08"/>
    <n v="4"/>
    <n v="913.92"/>
    <d v="2003-12-03T00:00:00"/>
    <x v="0"/>
    <n v="4"/>
    <x v="6"/>
    <x v="6"/>
    <x v="0"/>
    <x v="3"/>
    <n v="44"/>
    <x v="62"/>
    <x v="23"/>
    <s v="(91) 555 94 44"/>
    <s v="C/ Moralzarzal, 86"/>
    <m/>
    <x v="20"/>
    <m/>
    <n v="28034"/>
    <x v="7"/>
    <x v="1"/>
    <s v="Freyre"/>
    <s v="Diego"/>
    <x v="0"/>
  </r>
  <r>
    <n v="10214"/>
    <n v="49"/>
    <n v="47.94"/>
    <n v="2"/>
    <n v="2349.06"/>
    <d v="2004-01-26T00:00:00"/>
    <x v="0"/>
    <n v="1"/>
    <x v="7"/>
    <x v="7"/>
    <x v="1"/>
    <x v="3"/>
    <n v="44"/>
    <x v="62"/>
    <x v="25"/>
    <s v="(91) 555 22 82"/>
    <s v="C/ Araquil, 67"/>
    <m/>
    <x v="20"/>
    <m/>
    <n v="28023"/>
    <x v="7"/>
    <x v="1"/>
    <s v="Sommer"/>
    <s v="Mart¡n"/>
    <x v="0"/>
  </r>
  <r>
    <n v="10227"/>
    <n v="24"/>
    <n v="48.38"/>
    <n v="5"/>
    <n v="1161.1199999999999"/>
    <d v="2004-03-02T00:00:00"/>
    <x v="0"/>
    <n v="1"/>
    <x v="11"/>
    <x v="11"/>
    <x v="1"/>
    <x v="3"/>
    <n v="44"/>
    <x v="62"/>
    <x v="30"/>
    <s v="78.32.5555"/>
    <s v="2, rue du Commerce"/>
    <m/>
    <x v="25"/>
    <m/>
    <n v="69004"/>
    <x v="1"/>
    <x v="1"/>
    <s v="Saveley"/>
    <s v="Mary"/>
    <x v="0"/>
  </r>
  <r>
    <n v="10244"/>
    <n v="39"/>
    <n v="45.25"/>
    <n v="9"/>
    <n v="1764.75"/>
    <d v="2004-04-29T00:00:00"/>
    <x v="0"/>
    <n v="2"/>
    <x v="8"/>
    <x v="8"/>
    <x v="1"/>
    <x v="3"/>
    <n v="44"/>
    <x v="62"/>
    <x v="23"/>
    <s v="(91) 555 94 44"/>
    <s v="C/ Moralzarzal, 86"/>
    <m/>
    <x v="20"/>
    <m/>
    <n v="28034"/>
    <x v="7"/>
    <x v="1"/>
    <s v="Freyre"/>
    <s v="Diego"/>
    <x v="0"/>
  </r>
  <r>
    <n v="10255"/>
    <n v="37"/>
    <n v="45.7"/>
    <n v="2"/>
    <n v="1690.9"/>
    <d v="2004-06-04T00:00:00"/>
    <x v="0"/>
    <n v="2"/>
    <x v="9"/>
    <x v="9"/>
    <x v="1"/>
    <x v="3"/>
    <n v="44"/>
    <x v="62"/>
    <x v="83"/>
    <s v="88.60.1555"/>
    <s v="24, place Kluber"/>
    <m/>
    <x v="66"/>
    <m/>
    <n v="67000"/>
    <x v="1"/>
    <x v="1"/>
    <s v="Citeaux"/>
    <s v="Frederique"/>
    <x v="0"/>
  </r>
  <r>
    <n v="10280"/>
    <n v="45"/>
    <n v="47.49"/>
    <n v="11"/>
    <n v="2137.0500000000002"/>
    <d v="2004-08-17T00:00:00"/>
    <x v="0"/>
    <n v="3"/>
    <x v="3"/>
    <x v="3"/>
    <x v="1"/>
    <x v="3"/>
    <n v="44"/>
    <x v="62"/>
    <x v="36"/>
    <s v="011-4988555"/>
    <s v="Via Monte Bianco 34"/>
    <m/>
    <x v="30"/>
    <m/>
    <n v="10100"/>
    <x v="12"/>
    <x v="1"/>
    <s v="Accorti"/>
    <s v="Paolo"/>
    <x v="0"/>
  </r>
  <r>
    <n v="10289"/>
    <n v="45"/>
    <n v="48.38"/>
    <n v="4"/>
    <n v="2177.1"/>
    <d v="2004-09-03T00:00:00"/>
    <x v="0"/>
    <n v="3"/>
    <x v="10"/>
    <x v="10"/>
    <x v="1"/>
    <x v="3"/>
    <n v="44"/>
    <x v="62"/>
    <x v="7"/>
    <s v="+47 2267 3215"/>
    <s v="Drammen 121, PR 744 Sentrum"/>
    <m/>
    <x v="7"/>
    <m/>
    <s v="N 5804"/>
    <x v="2"/>
    <x v="1"/>
    <s v="Oeztan"/>
    <s v="Veysel"/>
    <x v="0"/>
  </r>
  <r>
    <n v="10304"/>
    <n v="44"/>
    <n v="39.42"/>
    <n v="15"/>
    <n v="1734.48"/>
    <d v="2004-10-11T00:00:00"/>
    <x v="0"/>
    <n v="4"/>
    <x v="4"/>
    <x v="4"/>
    <x v="1"/>
    <x v="3"/>
    <n v="44"/>
    <x v="62"/>
    <x v="38"/>
    <s v="30.59.8555"/>
    <s v="67, avenue de l'Europe"/>
    <m/>
    <x v="32"/>
    <m/>
    <n v="78000"/>
    <x v="1"/>
    <x v="1"/>
    <s v="Tonini"/>
    <s v="Daniel"/>
    <x v="0"/>
  </r>
  <r>
    <n v="10312"/>
    <n v="23"/>
    <n v="37.630000000000003"/>
    <n v="12"/>
    <n v="865.49"/>
    <d v="2004-10-21T00:00:00"/>
    <x v="0"/>
    <n v="4"/>
    <x v="4"/>
    <x v="4"/>
    <x v="1"/>
    <x v="3"/>
    <n v="44"/>
    <x v="62"/>
    <x v="39"/>
    <n v="4155551450"/>
    <s v="5677 Strong St."/>
    <m/>
    <x v="33"/>
    <s v="CA"/>
    <n v="97562"/>
    <x v="0"/>
    <x v="0"/>
    <s v="Nelson"/>
    <s v="Valarie"/>
    <x v="0"/>
  </r>
  <r>
    <n v="10322"/>
    <n v="30"/>
    <n v="100"/>
    <n v="4"/>
    <n v="3500.1"/>
    <d v="2004-11-04T00:00:00"/>
    <x v="0"/>
    <n v="4"/>
    <x v="5"/>
    <x v="5"/>
    <x v="1"/>
    <x v="3"/>
    <n v="44"/>
    <x v="62"/>
    <x v="40"/>
    <n v="6035558647"/>
    <s v="2304 Long Airport Avenue"/>
    <m/>
    <x v="34"/>
    <s v="NH"/>
    <n v="62005"/>
    <x v="0"/>
    <x v="0"/>
    <s v="Young"/>
    <s v="Valarie"/>
    <x v="1"/>
  </r>
  <r>
    <n v="10332"/>
    <n v="26"/>
    <n v="85.52"/>
    <n v="10"/>
    <n v="2223.52"/>
    <d v="2004-11-17T00:00:00"/>
    <x v="0"/>
    <n v="4"/>
    <x v="5"/>
    <x v="5"/>
    <x v="1"/>
    <x v="3"/>
    <n v="44"/>
    <x v="62"/>
    <x v="77"/>
    <s v="(171) 555-1555"/>
    <s v="Fauntleroy Circus"/>
    <m/>
    <x v="61"/>
    <m/>
    <s v="EC2 5NT"/>
    <x v="6"/>
    <x v="1"/>
    <s v="Ashworth"/>
    <s v="Victoria"/>
    <x v="0"/>
  </r>
  <r>
    <n v="10345"/>
    <n v="43"/>
    <n v="53.76"/>
    <n v="1"/>
    <n v="2311.6799999999998"/>
    <d v="2004-11-25T00:00:00"/>
    <x v="0"/>
    <n v="4"/>
    <x v="5"/>
    <x v="5"/>
    <x v="1"/>
    <x v="3"/>
    <n v="44"/>
    <x v="62"/>
    <x v="46"/>
    <s v="40.32.2555"/>
    <s v="54, rue Royale"/>
    <m/>
    <x v="11"/>
    <m/>
    <n v="44000"/>
    <x v="1"/>
    <x v="1"/>
    <s v="Schmitt"/>
    <s v="Carine"/>
    <x v="0"/>
  </r>
  <r>
    <n v="10356"/>
    <n v="26"/>
    <n v="31.86"/>
    <n v="7"/>
    <n v="828.36"/>
    <d v="2004-12-09T00:00:00"/>
    <x v="0"/>
    <n v="4"/>
    <x v="6"/>
    <x v="6"/>
    <x v="1"/>
    <x v="3"/>
    <n v="44"/>
    <x v="62"/>
    <x v="2"/>
    <s v="+33 1 46 62 7555"/>
    <s v="27 rue du Colonel Pierre Avia"/>
    <m/>
    <x v="2"/>
    <m/>
    <n v="75508"/>
    <x v="1"/>
    <x v="1"/>
    <s v="Da Cunha"/>
    <s v="Daniel"/>
    <x v="0"/>
  </r>
  <r>
    <n v="10367"/>
    <n v="28"/>
    <n v="30.59"/>
    <n v="12"/>
    <n v="856.52"/>
    <d v="2005-01-12T00:00:00"/>
    <x v="5"/>
    <n v="1"/>
    <x v="7"/>
    <x v="7"/>
    <x v="2"/>
    <x v="3"/>
    <n v="44"/>
    <x v="62"/>
    <x v="3"/>
    <n v="6265557265"/>
    <s v="78934 Hillside Dr."/>
    <m/>
    <x v="3"/>
    <s v="CA"/>
    <n v="90003"/>
    <x v="0"/>
    <x v="0"/>
    <s v="Young"/>
    <s v="Julie"/>
    <x v="0"/>
  </r>
  <r>
    <n v="10380"/>
    <n v="27"/>
    <n v="68.349999999999994"/>
    <n v="5"/>
    <n v="1845.45"/>
    <d v="2005-02-16T00:00:00"/>
    <x v="0"/>
    <n v="1"/>
    <x v="0"/>
    <x v="0"/>
    <x v="2"/>
    <x v="3"/>
    <n v="44"/>
    <x v="62"/>
    <x v="23"/>
    <s v="(91) 555 94 44"/>
    <s v="C/ Moralzarzal, 86"/>
    <m/>
    <x v="20"/>
    <m/>
    <n v="28034"/>
    <x v="7"/>
    <x v="1"/>
    <s v="Freyre"/>
    <s v="Diego"/>
    <x v="0"/>
  </r>
  <r>
    <n v="10391"/>
    <n v="24"/>
    <n v="100"/>
    <n v="1"/>
    <n v="4042.08"/>
    <d v="2005-03-09T00:00:00"/>
    <x v="0"/>
    <n v="1"/>
    <x v="11"/>
    <x v="11"/>
    <x v="2"/>
    <x v="3"/>
    <n v="44"/>
    <x v="62"/>
    <x v="42"/>
    <s v="02 9936 8555"/>
    <s v="201 Miller Street"/>
    <s v="Level 15"/>
    <x v="36"/>
    <s v="NSW"/>
    <n v="2060"/>
    <x v="3"/>
    <x v="2"/>
    <s v="O'Hara"/>
    <s v="Anna"/>
    <x v="1"/>
  </r>
  <r>
    <n v="10421"/>
    <n v="40"/>
    <n v="45.7"/>
    <n v="2"/>
    <n v="1828"/>
    <d v="2005-05-29T00:00:00"/>
    <x v="2"/>
    <n v="2"/>
    <x v="1"/>
    <x v="1"/>
    <x v="2"/>
    <x v="3"/>
    <n v="44"/>
    <x v="62"/>
    <x v="39"/>
    <n v="4155551450"/>
    <s v="5677 Strong St."/>
    <m/>
    <x v="33"/>
    <s v="CA"/>
    <n v="97562"/>
    <x v="0"/>
    <x v="0"/>
    <s v="Nelson"/>
    <s v="Valarie"/>
    <x v="0"/>
  </r>
  <r>
    <n v="10103"/>
    <n v="36"/>
    <n v="100"/>
    <n v="1"/>
    <n v="3680.28"/>
    <d v="2003-01-29T00:00:00"/>
    <x v="0"/>
    <n v="1"/>
    <x v="7"/>
    <x v="7"/>
    <x v="0"/>
    <x v="2"/>
    <n v="127"/>
    <x v="63"/>
    <x v="17"/>
    <s v="07-98 9555"/>
    <s v="Erling Skakkes gate 78"/>
    <m/>
    <x v="14"/>
    <m/>
    <n v="4110"/>
    <x v="2"/>
    <x v="1"/>
    <s v="Bergulfsen"/>
    <s v="Jonas"/>
    <x v="1"/>
  </r>
  <r>
    <n v="10114"/>
    <n v="21"/>
    <n v="100"/>
    <n v="5"/>
    <n v="2925.09"/>
    <d v="2003-04-01T00:00:00"/>
    <x v="0"/>
    <n v="2"/>
    <x v="8"/>
    <x v="8"/>
    <x v="0"/>
    <x v="2"/>
    <n v="127"/>
    <x v="63"/>
    <x v="62"/>
    <s v="(1) 42.34.2555"/>
    <s v="265, boulevard Charonne"/>
    <m/>
    <x v="2"/>
    <m/>
    <n v="75012"/>
    <x v="1"/>
    <x v="1"/>
    <s v="Bertrand"/>
    <s v="Marie"/>
    <x v="0"/>
  </r>
  <r>
    <n v="10126"/>
    <n v="27"/>
    <n v="100"/>
    <n v="1"/>
    <n v="3415.77"/>
    <d v="2003-05-28T00:00:00"/>
    <x v="0"/>
    <n v="2"/>
    <x v="1"/>
    <x v="1"/>
    <x v="0"/>
    <x v="2"/>
    <n v="127"/>
    <x v="63"/>
    <x v="25"/>
    <s v="(91) 555 22 82"/>
    <s v="C/ Araquil, 67"/>
    <m/>
    <x v="20"/>
    <m/>
    <n v="28023"/>
    <x v="7"/>
    <x v="1"/>
    <s v="Sommer"/>
    <s v="Mart¡n"/>
    <x v="1"/>
  </r>
  <r>
    <n v="10140"/>
    <n v="47"/>
    <n v="100"/>
    <n v="1"/>
    <n v="5105.1400000000003"/>
    <d v="2003-07-24T00:00:00"/>
    <x v="0"/>
    <n v="3"/>
    <x v="2"/>
    <x v="2"/>
    <x v="0"/>
    <x v="2"/>
    <n v="127"/>
    <x v="63"/>
    <x v="5"/>
    <n v="6505556809"/>
    <s v="9408 Furth Circle"/>
    <m/>
    <x v="5"/>
    <s v="CA"/>
    <n v="94217"/>
    <x v="0"/>
    <x v="0"/>
    <s v="Hirano"/>
    <s v="Juri"/>
    <x v="1"/>
  </r>
  <r>
    <n v="10151"/>
    <n v="42"/>
    <n v="100"/>
    <n v="8"/>
    <n v="5098.8"/>
    <d v="2003-09-21T00:00:00"/>
    <x v="0"/>
    <n v="3"/>
    <x v="10"/>
    <x v="10"/>
    <x v="0"/>
    <x v="2"/>
    <n v="127"/>
    <x v="63"/>
    <x v="60"/>
    <s v="981-443655"/>
    <s v="Torikatu 38"/>
    <m/>
    <x v="50"/>
    <m/>
    <n v="90110"/>
    <x v="4"/>
    <x v="1"/>
    <s v="Koskitalo"/>
    <s v="Pirkko"/>
    <x v="1"/>
  </r>
  <r>
    <n v="10165"/>
    <n v="32"/>
    <n v="100"/>
    <n v="17"/>
    <n v="4661.76"/>
    <d v="2003-10-22T00:00:00"/>
    <x v="0"/>
    <n v="4"/>
    <x v="4"/>
    <x v="4"/>
    <x v="0"/>
    <x v="2"/>
    <n v="127"/>
    <x v="63"/>
    <x v="26"/>
    <s v="+65 221 7555"/>
    <s v="Bronz Sok., Bronz Apt. 3/6 Tesvikiye"/>
    <m/>
    <x v="22"/>
    <m/>
    <n v="79903"/>
    <x v="9"/>
    <x v="3"/>
    <s v="Natividad"/>
    <s v="Eric"/>
    <x v="1"/>
  </r>
  <r>
    <n v="10175"/>
    <n v="28"/>
    <n v="100"/>
    <n v="6"/>
    <n v="2969.96"/>
    <d v="2003-11-06T00:00:00"/>
    <x v="0"/>
    <n v="4"/>
    <x v="5"/>
    <x v="5"/>
    <x v="0"/>
    <x v="2"/>
    <n v="127"/>
    <x v="63"/>
    <x v="49"/>
    <s v="(171) 555-0297"/>
    <s v="35 King George"/>
    <m/>
    <x v="41"/>
    <m/>
    <s v="WX3 6FW"/>
    <x v="6"/>
    <x v="1"/>
    <s v="Brown"/>
    <s v="Ann"/>
    <x v="0"/>
  </r>
  <r>
    <n v="10184"/>
    <n v="24"/>
    <n v="100"/>
    <n v="11"/>
    <n v="3496.32"/>
    <d v="2003-11-14T00:00:00"/>
    <x v="0"/>
    <n v="4"/>
    <x v="5"/>
    <x v="5"/>
    <x v="0"/>
    <x v="2"/>
    <n v="127"/>
    <x v="63"/>
    <x v="81"/>
    <s v="(95) 555 82 82"/>
    <s v="C/ Romero, 33"/>
    <m/>
    <x v="64"/>
    <m/>
    <n v="41101"/>
    <x v="7"/>
    <x v="1"/>
    <s v="Roel"/>
    <s v="Jose Pedro"/>
    <x v="1"/>
  </r>
  <r>
    <n v="10194"/>
    <n v="49"/>
    <n v="100"/>
    <n v="1"/>
    <n v="5760.93"/>
    <d v="2003-11-25T00:00:00"/>
    <x v="0"/>
    <n v="4"/>
    <x v="5"/>
    <x v="5"/>
    <x v="0"/>
    <x v="2"/>
    <n v="127"/>
    <x v="63"/>
    <x v="30"/>
    <s v="78.32.5555"/>
    <s v="2, rue du Commerce"/>
    <m/>
    <x v="25"/>
    <m/>
    <n v="69004"/>
    <x v="1"/>
    <x v="1"/>
    <s v="Saveley"/>
    <s v="Mary"/>
    <x v="1"/>
  </r>
  <r>
    <n v="10207"/>
    <n v="46"/>
    <n v="100"/>
    <n v="12"/>
    <n v="6819.04"/>
    <d v="2003-12-09T00:00:00"/>
    <x v="0"/>
    <n v="4"/>
    <x v="6"/>
    <x v="6"/>
    <x v="0"/>
    <x v="2"/>
    <n v="127"/>
    <x v="63"/>
    <x v="64"/>
    <n v="6175552555"/>
    <s v="6251 Ingle Ln."/>
    <m/>
    <x v="48"/>
    <s v="MA"/>
    <n v="51003"/>
    <x v="0"/>
    <x v="0"/>
    <s v="Franco"/>
    <s v="Valarie"/>
    <x v="1"/>
  </r>
  <r>
    <n v="10217"/>
    <n v="28"/>
    <n v="100"/>
    <n v="1"/>
    <n v="3148.88"/>
    <d v="2004-02-04T00:00:00"/>
    <x v="0"/>
    <n v="1"/>
    <x v="0"/>
    <x v="0"/>
    <x v="1"/>
    <x v="2"/>
    <n v="127"/>
    <x v="63"/>
    <x v="65"/>
    <s v="+65 224 1555"/>
    <s v="Village Close - 106 Linden Road Sandown"/>
    <s v="2nd Floor"/>
    <x v="22"/>
    <m/>
    <n v="69045"/>
    <x v="9"/>
    <x v="2"/>
    <s v="Victorino"/>
    <s v="Wendy"/>
    <x v="1"/>
  </r>
  <r>
    <n v="10229"/>
    <n v="48"/>
    <n v="100"/>
    <n v="6"/>
    <n v="5704.32"/>
    <d v="2004-03-11T00:00:00"/>
    <x v="0"/>
    <n v="1"/>
    <x v="11"/>
    <x v="11"/>
    <x v="1"/>
    <x v="2"/>
    <n v="127"/>
    <x v="63"/>
    <x v="39"/>
    <n v="4155551450"/>
    <s v="5677 Strong St."/>
    <m/>
    <x v="33"/>
    <s v="CA"/>
    <n v="97562"/>
    <x v="0"/>
    <x v="0"/>
    <s v="Nelson"/>
    <s v="Valarie"/>
    <x v="1"/>
  </r>
  <r>
    <n v="10246"/>
    <n v="29"/>
    <n v="100"/>
    <n v="10"/>
    <n v="3520.6"/>
    <d v="2004-05-05T00:00:00"/>
    <x v="0"/>
    <n v="2"/>
    <x v="1"/>
    <x v="1"/>
    <x v="1"/>
    <x v="2"/>
    <n v="127"/>
    <x v="63"/>
    <x v="23"/>
    <s v="(91) 555 94 44"/>
    <s v="C/ Moralzarzal, 86"/>
    <m/>
    <x v="20"/>
    <m/>
    <n v="28034"/>
    <x v="7"/>
    <x v="1"/>
    <s v="Freyre"/>
    <s v="Diego"/>
    <x v="1"/>
  </r>
  <r>
    <n v="10259"/>
    <n v="47"/>
    <n v="100"/>
    <n v="9"/>
    <n v="5285.62"/>
    <d v="2004-06-15T00:00:00"/>
    <x v="0"/>
    <n v="2"/>
    <x v="9"/>
    <x v="9"/>
    <x v="1"/>
    <x v="2"/>
    <n v="127"/>
    <x v="63"/>
    <x v="65"/>
    <s v="+65 224 1555"/>
    <s v="Village Close - 106 Linden Road Sandown"/>
    <s v="2nd Floor"/>
    <x v="22"/>
    <m/>
    <n v="69045"/>
    <x v="9"/>
    <x v="2"/>
    <s v="Victorino"/>
    <s v="Wendy"/>
    <x v="1"/>
  </r>
  <r>
    <n v="10271"/>
    <n v="43"/>
    <n v="100"/>
    <n v="10"/>
    <n v="5605.05"/>
    <d v="2004-07-20T00:00:00"/>
    <x v="0"/>
    <n v="3"/>
    <x v="2"/>
    <x v="2"/>
    <x v="1"/>
    <x v="2"/>
    <n v="127"/>
    <x v="63"/>
    <x v="39"/>
    <n v="4155551450"/>
    <s v="5677 Strong St."/>
    <m/>
    <x v="33"/>
    <s v="CA"/>
    <n v="97562"/>
    <x v="0"/>
    <x v="0"/>
    <s v="Nelson"/>
    <s v="Valarie"/>
    <x v="1"/>
  </r>
  <r>
    <n v="10281"/>
    <n v="25"/>
    <n v="100"/>
    <n v="6"/>
    <n v="2779.5"/>
    <d v="2004-08-19T00:00:00"/>
    <x v="0"/>
    <n v="3"/>
    <x v="3"/>
    <x v="3"/>
    <x v="1"/>
    <x v="2"/>
    <n v="127"/>
    <x v="63"/>
    <x v="18"/>
    <n v="2155551555"/>
    <s v="7586 Pompton St."/>
    <m/>
    <x v="15"/>
    <s v="PA"/>
    <n v="70267"/>
    <x v="0"/>
    <x v="0"/>
    <s v="Yu"/>
    <s v="Kyung"/>
    <x v="0"/>
  </r>
  <r>
    <n v="10291"/>
    <n v="48"/>
    <n v="100"/>
    <n v="1"/>
    <n v="5398.08"/>
    <d v="2004-09-08T00:00:00"/>
    <x v="0"/>
    <n v="3"/>
    <x v="10"/>
    <x v="10"/>
    <x v="1"/>
    <x v="2"/>
    <n v="127"/>
    <x v="63"/>
    <x v="37"/>
    <s v="0695-34 6555"/>
    <s v="?kergatan 24"/>
    <m/>
    <x v="31"/>
    <m/>
    <s v="S-844 67"/>
    <x v="8"/>
    <x v="1"/>
    <s v="Larsson"/>
    <s v="Maria"/>
    <x v="1"/>
  </r>
  <r>
    <n v="10305"/>
    <n v="24"/>
    <n v="100"/>
    <n v="10"/>
    <n v="3189.6"/>
    <d v="2004-10-13T00:00:00"/>
    <x v="0"/>
    <n v="4"/>
    <x v="4"/>
    <x v="4"/>
    <x v="1"/>
    <x v="2"/>
    <n v="127"/>
    <x v="63"/>
    <x v="15"/>
    <n v="6175558555"/>
    <s v="39323 Spinnaker Dr."/>
    <m/>
    <x v="12"/>
    <s v="MA"/>
    <n v="51247"/>
    <x v="0"/>
    <x v="0"/>
    <s v="Hernandez"/>
    <s v="Marta"/>
    <x v="1"/>
  </r>
  <r>
    <n v="10313"/>
    <n v="42"/>
    <n v="100"/>
    <n v="4"/>
    <n v="5581.8"/>
    <d v="2004-10-22T00:00:00"/>
    <x v="0"/>
    <n v="4"/>
    <x v="4"/>
    <x v="4"/>
    <x v="1"/>
    <x v="2"/>
    <n v="127"/>
    <x v="63"/>
    <x v="31"/>
    <s v="(604) 555-3392"/>
    <s v="1900 Oak St."/>
    <m/>
    <x v="26"/>
    <s v="BC"/>
    <s v="V3F 2K1"/>
    <x v="10"/>
    <x v="0"/>
    <s v="Tannamuri"/>
    <s v="Yoshi"/>
    <x v="1"/>
  </r>
  <r>
    <n v="10324"/>
    <n v="31"/>
    <n v="100"/>
    <n v="2"/>
    <n v="3820.44"/>
    <d v="2004-11-05T00:00:00"/>
    <x v="0"/>
    <n v="4"/>
    <x v="5"/>
    <x v="5"/>
    <x v="1"/>
    <x v="2"/>
    <n v="127"/>
    <x v="63"/>
    <x v="11"/>
    <n v="2125551500"/>
    <s v="2678 Kingston Rd."/>
    <s v="Suite 101"/>
    <x v="0"/>
    <s v="NY"/>
    <n v="10022"/>
    <x v="0"/>
    <x v="0"/>
    <s v="Frick"/>
    <s v="Michael"/>
    <x v="1"/>
  </r>
  <r>
    <n v="10334"/>
    <n v="42"/>
    <n v="100"/>
    <n v="5"/>
    <n v="5528.04"/>
    <d v="2004-11-19T00:00:00"/>
    <x v="4"/>
    <n v="4"/>
    <x v="5"/>
    <x v="5"/>
    <x v="1"/>
    <x v="2"/>
    <n v="127"/>
    <x v="63"/>
    <x v="24"/>
    <s v="0921-12 3555"/>
    <s v="Berguvsv„gen  8"/>
    <m/>
    <x v="21"/>
    <m/>
    <s v="S-958 22"/>
    <x v="8"/>
    <x v="1"/>
    <s v="Berglund"/>
    <s v="Christina"/>
    <x v="1"/>
  </r>
  <r>
    <n v="10348"/>
    <n v="37"/>
    <n v="100"/>
    <n v="1"/>
    <n v="5981.42"/>
    <d v="2004-11-01T00:00:00"/>
    <x v="0"/>
    <n v="4"/>
    <x v="5"/>
    <x v="5"/>
    <x v="1"/>
    <x v="2"/>
    <n v="127"/>
    <x v="63"/>
    <x v="25"/>
    <s v="(91) 555 22 82"/>
    <s v="C/ Araquil, 67"/>
    <m/>
    <x v="20"/>
    <m/>
    <n v="28023"/>
    <x v="7"/>
    <x v="1"/>
    <s v="Sommer"/>
    <s v="Mart¡n"/>
    <x v="1"/>
  </r>
  <r>
    <n v="10358"/>
    <n v="41"/>
    <n v="100"/>
    <n v="7"/>
    <n v="5684.65"/>
    <d v="2004-12-10T00:00:00"/>
    <x v="0"/>
    <n v="4"/>
    <x v="6"/>
    <x v="6"/>
    <x v="1"/>
    <x v="2"/>
    <n v="127"/>
    <x v="63"/>
    <x v="23"/>
    <s v="(91) 555 94 44"/>
    <s v="C/ Moralzarzal, 86"/>
    <m/>
    <x v="20"/>
    <m/>
    <n v="28034"/>
    <x v="7"/>
    <x v="1"/>
    <s v="Freyre"/>
    <s v="Diego"/>
    <x v="1"/>
  </r>
  <r>
    <n v="10371"/>
    <n v="20"/>
    <n v="100"/>
    <n v="5"/>
    <n v="3449.4"/>
    <d v="2005-01-23T00:00:00"/>
    <x v="0"/>
    <n v="1"/>
    <x v="7"/>
    <x v="7"/>
    <x v="2"/>
    <x v="2"/>
    <n v="127"/>
    <x v="63"/>
    <x v="39"/>
    <n v="4155551450"/>
    <s v="5677 Strong St."/>
    <m/>
    <x v="33"/>
    <s v="CA"/>
    <n v="97562"/>
    <x v="0"/>
    <x v="0"/>
    <s v="Nelson"/>
    <s v="Valarie"/>
    <x v="1"/>
  </r>
  <r>
    <n v="10382"/>
    <n v="20"/>
    <n v="100"/>
    <n v="3"/>
    <n v="2654.4"/>
    <d v="2005-02-17T00:00:00"/>
    <x v="0"/>
    <n v="1"/>
    <x v="0"/>
    <x v="0"/>
    <x v="2"/>
    <x v="2"/>
    <n v="127"/>
    <x v="63"/>
    <x v="39"/>
    <n v="4155551450"/>
    <s v="5677 Strong St."/>
    <m/>
    <x v="33"/>
    <s v="CA"/>
    <n v="97562"/>
    <x v="0"/>
    <x v="0"/>
    <s v="Nelson"/>
    <s v="Valarie"/>
    <x v="0"/>
  </r>
  <r>
    <n v="10412"/>
    <n v="70"/>
    <n v="100"/>
    <n v="10"/>
    <n v="8498"/>
    <d v="2005-05-03T00:00:00"/>
    <x v="0"/>
    <n v="2"/>
    <x v="1"/>
    <x v="1"/>
    <x v="2"/>
    <x v="2"/>
    <n v="127"/>
    <x v="63"/>
    <x v="23"/>
    <s v="(91) 555 94 44"/>
    <s v="C/ Moralzarzal, 86"/>
    <m/>
    <x v="20"/>
    <m/>
    <n v="28034"/>
    <x v="7"/>
    <x v="1"/>
    <s v="Freyre"/>
    <s v="Diego"/>
    <x v="2"/>
  </r>
  <r>
    <n v="10425"/>
    <n v="49"/>
    <n v="100"/>
    <n v="9"/>
    <n v="5510.54"/>
    <d v="2005-05-31T00:00:00"/>
    <x v="2"/>
    <n v="2"/>
    <x v="1"/>
    <x v="1"/>
    <x v="2"/>
    <x v="2"/>
    <n v="127"/>
    <x v="63"/>
    <x v="14"/>
    <s v="40.67.8555"/>
    <s v="67, rue des Cinquante Otages"/>
    <m/>
    <x v="11"/>
    <m/>
    <n v="44000"/>
    <x v="1"/>
    <x v="1"/>
    <s v="Labrune"/>
    <s v="Janine"/>
    <x v="1"/>
  </r>
  <r>
    <n v="10108"/>
    <n v="35"/>
    <n v="58.87"/>
    <n v="15"/>
    <n v="2060.4499999999998"/>
    <d v="2003-03-03T00:00:00"/>
    <x v="0"/>
    <n v="1"/>
    <x v="11"/>
    <x v="11"/>
    <x v="0"/>
    <x v="0"/>
    <n v="69"/>
    <x v="64"/>
    <x v="66"/>
    <s v="+63 2 555 3587"/>
    <s v="15 McCallum Street - NatWest Center #13-03"/>
    <m/>
    <x v="53"/>
    <m/>
    <s v="1227 MM"/>
    <x v="15"/>
    <x v="3"/>
    <s v="Cruz"/>
    <s v="Arnold"/>
    <x v="0"/>
  </r>
  <r>
    <n v="10121"/>
    <n v="32"/>
    <n v="76.88"/>
    <n v="2"/>
    <n v="2460.16"/>
    <d v="2003-05-07T00:00:00"/>
    <x v="0"/>
    <n v="2"/>
    <x v="1"/>
    <x v="1"/>
    <x v="0"/>
    <x v="0"/>
    <n v="69"/>
    <x v="64"/>
    <x v="1"/>
    <s v="26.47.1555"/>
    <s v="59 rue de l'Abbaye"/>
    <m/>
    <x v="1"/>
    <m/>
    <n v="51100"/>
    <x v="1"/>
    <x v="1"/>
    <s v="Henriot"/>
    <s v="Paul"/>
    <x v="0"/>
  </r>
  <r>
    <n v="10135"/>
    <n v="29"/>
    <n v="61.64"/>
    <n v="16"/>
    <n v="1787.56"/>
    <d v="2003-07-02T00:00:00"/>
    <x v="0"/>
    <n v="3"/>
    <x v="2"/>
    <x v="2"/>
    <x v="0"/>
    <x v="0"/>
    <n v="69"/>
    <x v="64"/>
    <x v="39"/>
    <n v="4155551450"/>
    <s v="5677 Strong St."/>
    <m/>
    <x v="33"/>
    <s v="CA"/>
    <n v="97562"/>
    <x v="0"/>
    <x v="0"/>
    <s v="Nelson"/>
    <s v="Valarie"/>
    <x v="0"/>
  </r>
  <r>
    <n v="10145"/>
    <n v="27"/>
    <n v="60.95"/>
    <n v="3"/>
    <n v="1645.65"/>
    <d v="2003-08-25T00:00:00"/>
    <x v="0"/>
    <n v="3"/>
    <x v="3"/>
    <x v="3"/>
    <x v="0"/>
    <x v="0"/>
    <n v="69"/>
    <x v="64"/>
    <x v="3"/>
    <n v="6265557265"/>
    <s v="78934 Hillside Dr."/>
    <m/>
    <x v="3"/>
    <s v="CA"/>
    <n v="90003"/>
    <x v="0"/>
    <x v="0"/>
    <s v="Young"/>
    <s v="Julie"/>
    <x v="0"/>
  </r>
  <r>
    <n v="10159"/>
    <n v="27"/>
    <n v="80.34"/>
    <n v="11"/>
    <n v="2169.1799999999998"/>
    <d v="2003-10-10T00:00:00"/>
    <x v="0"/>
    <n v="4"/>
    <x v="4"/>
    <x v="4"/>
    <x v="0"/>
    <x v="0"/>
    <n v="69"/>
    <x v="64"/>
    <x v="4"/>
    <n v="6505551386"/>
    <s v="7734 Strong St."/>
    <m/>
    <x v="4"/>
    <s v="CA"/>
    <m/>
    <x v="0"/>
    <x v="0"/>
    <s v="Brown"/>
    <s v="Julie"/>
    <x v="0"/>
  </r>
  <r>
    <n v="10169"/>
    <n v="38"/>
    <n v="74.11"/>
    <n v="11"/>
    <n v="2816.18"/>
    <d v="2003-11-04T00:00:00"/>
    <x v="0"/>
    <n v="4"/>
    <x v="5"/>
    <x v="5"/>
    <x v="0"/>
    <x v="0"/>
    <n v="69"/>
    <x v="64"/>
    <x v="42"/>
    <s v="02 9936 8555"/>
    <s v="201 Miller Street"/>
    <s v="Level 15"/>
    <x v="36"/>
    <s v="NSW"/>
    <n v="2060"/>
    <x v="3"/>
    <x v="2"/>
    <s v="O'Hara"/>
    <s v="Anna"/>
    <x v="0"/>
  </r>
  <r>
    <n v="10180"/>
    <n v="35"/>
    <n v="72.03"/>
    <n v="6"/>
    <n v="2521.0500000000002"/>
    <d v="2003-11-11T00:00:00"/>
    <x v="0"/>
    <n v="4"/>
    <x v="5"/>
    <x v="5"/>
    <x v="0"/>
    <x v="0"/>
    <n v="69"/>
    <x v="64"/>
    <x v="6"/>
    <s v="20.16.1555"/>
    <s v="184, chausse de Tournai"/>
    <m/>
    <x v="6"/>
    <m/>
    <n v="59000"/>
    <x v="1"/>
    <x v="1"/>
    <s v="Rance"/>
    <s v="Martine"/>
    <x v="0"/>
  </r>
  <r>
    <n v="10190"/>
    <n v="42"/>
    <n v="76.19"/>
    <n v="3"/>
    <n v="3199.98"/>
    <d v="2003-11-19T00:00:00"/>
    <x v="0"/>
    <n v="4"/>
    <x v="5"/>
    <x v="5"/>
    <x v="0"/>
    <x v="0"/>
    <n v="69"/>
    <x v="64"/>
    <x v="23"/>
    <s v="(91) 555 94 44"/>
    <s v="C/ Moralzarzal, 86"/>
    <m/>
    <x v="20"/>
    <m/>
    <n v="28034"/>
    <x v="7"/>
    <x v="1"/>
    <s v="Freyre"/>
    <s v="Diego"/>
    <x v="1"/>
  </r>
  <r>
    <n v="10211"/>
    <n v="21"/>
    <n v="63.72"/>
    <n v="11"/>
    <n v="1338.12"/>
    <d v="2004-01-15T00:00:00"/>
    <x v="0"/>
    <n v="1"/>
    <x v="7"/>
    <x v="7"/>
    <x v="1"/>
    <x v="0"/>
    <n v="69"/>
    <x v="64"/>
    <x v="9"/>
    <s v="(1) 47.55.6555"/>
    <s v="25, rue Lauriston"/>
    <m/>
    <x v="2"/>
    <m/>
    <n v="75016"/>
    <x v="1"/>
    <x v="1"/>
    <s v="Perrier"/>
    <s v="Dominique"/>
    <x v="0"/>
  </r>
  <r>
    <n v="10224"/>
    <n v="37"/>
    <n v="80.34"/>
    <n v="4"/>
    <n v="2972.58"/>
    <d v="2004-02-21T00:00:00"/>
    <x v="0"/>
    <n v="1"/>
    <x v="0"/>
    <x v="0"/>
    <x v="1"/>
    <x v="0"/>
    <n v="69"/>
    <x v="64"/>
    <x v="6"/>
    <s v="20.16.1555"/>
    <s v="184, chausse de Tournai"/>
    <m/>
    <x v="6"/>
    <m/>
    <n v="59000"/>
    <x v="1"/>
    <x v="1"/>
    <s v="Rance"/>
    <s v="Martine"/>
    <x v="0"/>
  </r>
  <r>
    <n v="10237"/>
    <n v="26"/>
    <n v="79.650000000000006"/>
    <n v="4"/>
    <n v="2070.9"/>
    <d v="2004-04-05T00:00:00"/>
    <x v="0"/>
    <n v="2"/>
    <x v="8"/>
    <x v="8"/>
    <x v="1"/>
    <x v="0"/>
    <n v="69"/>
    <x v="64"/>
    <x v="11"/>
    <n v="2125551500"/>
    <s v="2678 Kingston Rd."/>
    <s v="Suite 101"/>
    <x v="0"/>
    <s v="NY"/>
    <n v="10022"/>
    <x v="0"/>
    <x v="0"/>
    <s v="Frick"/>
    <s v="Michael"/>
    <x v="0"/>
  </r>
  <r>
    <n v="10252"/>
    <n v="47"/>
    <n v="65.8"/>
    <n v="8"/>
    <n v="3092.6"/>
    <d v="2004-05-26T00:00:00"/>
    <x v="0"/>
    <n v="2"/>
    <x v="1"/>
    <x v="1"/>
    <x v="1"/>
    <x v="0"/>
    <n v="69"/>
    <x v="64"/>
    <x v="9"/>
    <s v="(1) 47.55.6555"/>
    <s v="25, rue Lauriston"/>
    <m/>
    <x v="2"/>
    <m/>
    <n v="75016"/>
    <x v="1"/>
    <x v="1"/>
    <s v="Perrier"/>
    <s v="Dominique"/>
    <x v="1"/>
  </r>
  <r>
    <n v="10264"/>
    <n v="37"/>
    <n v="65.099999999999994"/>
    <n v="6"/>
    <n v="2408.6999999999998"/>
    <d v="2004-06-30T00:00:00"/>
    <x v="0"/>
    <n v="2"/>
    <x v="9"/>
    <x v="9"/>
    <x v="1"/>
    <x v="0"/>
    <n v="69"/>
    <x v="64"/>
    <x v="58"/>
    <n v="6175559555"/>
    <s v="8616 Spinnaker Dr."/>
    <m/>
    <x v="48"/>
    <s v="MA"/>
    <n v="51003"/>
    <x v="0"/>
    <x v="0"/>
    <s v="Yoshido"/>
    <s v="Juri"/>
    <x v="0"/>
  </r>
  <r>
    <n v="10276"/>
    <n v="46"/>
    <n v="75.489999999999995"/>
    <n v="12"/>
    <n v="3472.54"/>
    <d v="2004-08-02T00:00:00"/>
    <x v="0"/>
    <n v="3"/>
    <x v="3"/>
    <x v="3"/>
    <x v="1"/>
    <x v="0"/>
    <n v="69"/>
    <x v="64"/>
    <x v="71"/>
    <n v="6175557555"/>
    <s v="7635 Spinnaker Dr."/>
    <m/>
    <x v="35"/>
    <s v="MA"/>
    <n v="58339"/>
    <x v="0"/>
    <x v="0"/>
    <s v="Barajas"/>
    <s v="Miguel"/>
    <x v="1"/>
  </r>
  <r>
    <n v="10285"/>
    <n v="38"/>
    <n v="59.56"/>
    <n v="3"/>
    <n v="2263.2800000000002"/>
    <d v="2004-08-27T00:00:00"/>
    <x v="0"/>
    <n v="3"/>
    <x v="3"/>
    <x v="3"/>
    <x v="1"/>
    <x v="0"/>
    <n v="69"/>
    <x v="64"/>
    <x v="15"/>
    <n v="6175558555"/>
    <s v="39323 Spinnaker Dr."/>
    <m/>
    <x v="12"/>
    <s v="MA"/>
    <n v="51247"/>
    <x v="0"/>
    <x v="0"/>
    <s v="Hernandez"/>
    <s v="Marta"/>
    <x v="0"/>
  </r>
  <r>
    <n v="10299"/>
    <n v="33"/>
    <n v="66.489999999999995"/>
    <n v="6"/>
    <n v="2194.17"/>
    <d v="2004-09-30T00:00:00"/>
    <x v="0"/>
    <n v="3"/>
    <x v="10"/>
    <x v="10"/>
    <x v="1"/>
    <x v="0"/>
    <n v="69"/>
    <x v="64"/>
    <x v="16"/>
    <s v="90-224 8555"/>
    <s v="Keskuskatu 45"/>
    <m/>
    <x v="13"/>
    <m/>
    <n v="21240"/>
    <x v="4"/>
    <x v="1"/>
    <s v="Karttunen"/>
    <s v="Matti"/>
    <x v="0"/>
  </r>
  <r>
    <n v="10309"/>
    <n v="24"/>
    <n v="56.1"/>
    <n v="2"/>
    <n v="1346.4"/>
    <d v="2004-10-15T00:00:00"/>
    <x v="0"/>
    <n v="4"/>
    <x v="4"/>
    <x v="4"/>
    <x v="1"/>
    <x v="0"/>
    <n v="69"/>
    <x v="64"/>
    <x v="17"/>
    <s v="07-98 9555"/>
    <s v="Erling Skakkes gate 78"/>
    <m/>
    <x v="14"/>
    <m/>
    <n v="4110"/>
    <x v="2"/>
    <x v="1"/>
    <s v="Bergulfsen"/>
    <s v="Jonas"/>
    <x v="0"/>
  </r>
  <r>
    <n v="10319"/>
    <n v="31"/>
    <n v="81.73"/>
    <n v="7"/>
    <n v="2533.63"/>
    <d v="2004-11-03T00:00:00"/>
    <x v="0"/>
    <n v="4"/>
    <x v="5"/>
    <x v="5"/>
    <x v="1"/>
    <x v="0"/>
    <n v="69"/>
    <x v="64"/>
    <x v="79"/>
    <n v="2125551957"/>
    <s v="5290 North Pendale Street"/>
    <s v="Suite 200"/>
    <x v="0"/>
    <s v="NY"/>
    <n v="10022"/>
    <x v="0"/>
    <x v="0"/>
    <s v="Kuo"/>
    <s v="Kee"/>
    <x v="0"/>
  </r>
  <r>
    <n v="10330"/>
    <n v="42"/>
    <n v="81.03"/>
    <n v="1"/>
    <n v="3403.26"/>
    <d v="2004-11-16T00:00:00"/>
    <x v="0"/>
    <n v="4"/>
    <x v="5"/>
    <x v="5"/>
    <x v="1"/>
    <x v="0"/>
    <n v="69"/>
    <x v="64"/>
    <x v="66"/>
    <s v="+63 2 555 3587"/>
    <s v="15 McCallum Street - NatWest Center #13-03"/>
    <m/>
    <x v="53"/>
    <m/>
    <s v="1227 MM"/>
    <x v="15"/>
    <x v="3"/>
    <s v="Cruz"/>
    <s v="Arnold"/>
    <x v="1"/>
  </r>
  <r>
    <n v="10341"/>
    <n v="32"/>
    <n v="100"/>
    <n v="6"/>
    <n v="3307.2"/>
    <d v="2004-11-24T00:00:00"/>
    <x v="0"/>
    <n v="4"/>
    <x v="5"/>
    <x v="5"/>
    <x v="1"/>
    <x v="0"/>
    <n v="69"/>
    <x v="64"/>
    <x v="19"/>
    <s v="6562-9555"/>
    <s v="Geislweg 14"/>
    <m/>
    <x v="16"/>
    <m/>
    <n v="5020"/>
    <x v="5"/>
    <x v="1"/>
    <s v="Pipps"/>
    <s v="Georg"/>
    <x v="1"/>
  </r>
  <r>
    <n v="10355"/>
    <n v="41"/>
    <n v="70.650000000000006"/>
    <n v="3"/>
    <n v="2896.65"/>
    <d v="2004-12-07T00:00:00"/>
    <x v="0"/>
    <n v="4"/>
    <x v="6"/>
    <x v="6"/>
    <x v="1"/>
    <x v="0"/>
    <n v="69"/>
    <x v="64"/>
    <x v="23"/>
    <s v="(91) 555 94 44"/>
    <s v="C/ Moralzarzal, 86"/>
    <m/>
    <x v="20"/>
    <m/>
    <n v="28034"/>
    <x v="7"/>
    <x v="1"/>
    <s v="Freyre"/>
    <s v="Diego"/>
    <x v="0"/>
  </r>
  <r>
    <n v="10363"/>
    <n v="43"/>
    <n v="61.23"/>
    <n v="14"/>
    <n v="2632.89"/>
    <d v="2005-01-06T00:00:00"/>
    <x v="0"/>
    <n v="1"/>
    <x v="7"/>
    <x v="7"/>
    <x v="2"/>
    <x v="0"/>
    <n v="69"/>
    <x v="64"/>
    <x v="73"/>
    <s v="+358 9 8045 555"/>
    <s v="Software Engineering Center, SEC Oy"/>
    <m/>
    <x v="59"/>
    <m/>
    <s v="FIN-02271"/>
    <x v="4"/>
    <x v="1"/>
    <s v="Suominen"/>
    <s v="Kalle"/>
    <x v="0"/>
  </r>
  <r>
    <n v="10375"/>
    <n v="20"/>
    <n v="100"/>
    <n v="14"/>
    <n v="2046"/>
    <d v="2005-02-03T00:00:00"/>
    <x v="0"/>
    <n v="1"/>
    <x v="0"/>
    <x v="0"/>
    <x v="2"/>
    <x v="0"/>
    <n v="69"/>
    <x v="64"/>
    <x v="14"/>
    <s v="40.67.8555"/>
    <s v="67, rue des Cinquante Otages"/>
    <m/>
    <x v="11"/>
    <m/>
    <n v="44000"/>
    <x v="1"/>
    <x v="1"/>
    <s v="Labrune"/>
    <s v="Janine"/>
    <x v="0"/>
  </r>
  <r>
    <n v="10390"/>
    <n v="35"/>
    <n v="65.13"/>
    <n v="4"/>
    <n v="2279.5500000000002"/>
    <d v="2005-03-04T00:00:00"/>
    <x v="0"/>
    <n v="1"/>
    <x v="11"/>
    <x v="11"/>
    <x v="2"/>
    <x v="0"/>
    <n v="69"/>
    <x v="64"/>
    <x v="39"/>
    <n v="4155551450"/>
    <s v="5677 Strong St."/>
    <m/>
    <x v="33"/>
    <s v="CA"/>
    <n v="97562"/>
    <x v="0"/>
    <x v="0"/>
    <s v="Nelson"/>
    <s v="Valarie"/>
    <x v="0"/>
  </r>
  <r>
    <n v="10403"/>
    <n v="27"/>
    <n v="79.650000000000006"/>
    <n v="4"/>
    <n v="2150.5500000000002"/>
    <d v="2005-04-08T00:00:00"/>
    <x v="0"/>
    <n v="2"/>
    <x v="8"/>
    <x v="8"/>
    <x v="2"/>
    <x v="0"/>
    <n v="69"/>
    <x v="64"/>
    <x v="22"/>
    <s v="(171) 555-2282"/>
    <s v="Berkeley Gardens 12  Brewery"/>
    <m/>
    <x v="19"/>
    <m/>
    <s v="WX1 6LT"/>
    <x v="6"/>
    <x v="1"/>
    <s v="Devon"/>
    <s v="Elizabeth"/>
    <x v="0"/>
  </r>
  <r>
    <n v="10110"/>
    <n v="43"/>
    <n v="78.150000000000006"/>
    <n v="11"/>
    <n v="3360.45"/>
    <d v="2003-03-18T00:00:00"/>
    <x v="0"/>
    <n v="1"/>
    <x v="11"/>
    <x v="11"/>
    <x v="0"/>
    <x v="1"/>
    <n v="90"/>
    <x v="65"/>
    <x v="77"/>
    <s v="(171) 555-1555"/>
    <s v="Fauntleroy Circus"/>
    <m/>
    <x v="61"/>
    <m/>
    <s v="EC2 5NT"/>
    <x v="6"/>
    <x v="1"/>
    <s v="Ashworth"/>
    <s v="Victoria"/>
    <x v="1"/>
  </r>
  <r>
    <n v="10124"/>
    <n v="32"/>
    <n v="72.7"/>
    <n v="10"/>
    <n v="2326.4"/>
    <d v="2003-05-21T00:00:00"/>
    <x v="0"/>
    <n v="2"/>
    <x v="1"/>
    <x v="1"/>
    <x v="0"/>
    <x v="1"/>
    <n v="90"/>
    <x v="65"/>
    <x v="84"/>
    <n v="7025551838"/>
    <s v="8489 Strong St."/>
    <m/>
    <x v="67"/>
    <s v="NV"/>
    <n v="83030"/>
    <x v="0"/>
    <x v="0"/>
    <s v="King"/>
    <s v="Sue"/>
    <x v="0"/>
  </r>
  <r>
    <n v="10148"/>
    <n v="21"/>
    <n v="73.599999999999994"/>
    <n v="4"/>
    <n v="1545.6"/>
    <d v="2003-09-11T00:00:00"/>
    <x v="0"/>
    <n v="3"/>
    <x v="10"/>
    <x v="10"/>
    <x v="0"/>
    <x v="1"/>
    <n v="90"/>
    <x v="65"/>
    <x v="42"/>
    <s v="02 9936 8555"/>
    <s v="201 Miller Street"/>
    <s v="Level 15"/>
    <x v="36"/>
    <s v="NSW"/>
    <n v="2060"/>
    <x v="3"/>
    <x v="2"/>
    <s v="O'Hara"/>
    <s v="Anna"/>
    <x v="0"/>
  </r>
  <r>
    <n v="10161"/>
    <n v="20"/>
    <n v="100"/>
    <n v="3"/>
    <n v="2144.6"/>
    <d v="2003-10-17T00:00:00"/>
    <x v="0"/>
    <n v="4"/>
    <x v="4"/>
    <x v="4"/>
    <x v="0"/>
    <x v="1"/>
    <n v="90"/>
    <x v="65"/>
    <x v="78"/>
    <s v="86 21 3555"/>
    <s v="Smagsloget 45"/>
    <m/>
    <x v="62"/>
    <m/>
    <n v="8200"/>
    <x v="13"/>
    <x v="1"/>
    <s v="Ibsen"/>
    <s v="Palle"/>
    <x v="0"/>
  </r>
  <r>
    <n v="10172"/>
    <n v="22"/>
    <n v="74.510000000000005"/>
    <n v="1"/>
    <n v="1639.22"/>
    <d v="2003-11-05T00:00:00"/>
    <x v="0"/>
    <n v="4"/>
    <x v="5"/>
    <x v="5"/>
    <x v="0"/>
    <x v="1"/>
    <n v="90"/>
    <x v="65"/>
    <x v="13"/>
    <n v="2035552570"/>
    <s v="25593 South Bay Ln."/>
    <m/>
    <x v="10"/>
    <s v="CT"/>
    <n v="97562"/>
    <x v="0"/>
    <x v="0"/>
    <s v="King"/>
    <s v="Julie"/>
    <x v="0"/>
  </r>
  <r>
    <n v="10182"/>
    <n v="36"/>
    <n v="73.599999999999994"/>
    <n v="14"/>
    <n v="2649.6"/>
    <d v="2003-11-12T00:00:00"/>
    <x v="0"/>
    <n v="4"/>
    <x v="5"/>
    <x v="5"/>
    <x v="0"/>
    <x v="1"/>
    <n v="90"/>
    <x v="65"/>
    <x v="39"/>
    <n v="4155551450"/>
    <s v="5677 Strong St."/>
    <m/>
    <x v="33"/>
    <s v="CA"/>
    <n v="97562"/>
    <x v="0"/>
    <x v="0"/>
    <s v="Nelson"/>
    <s v="Valarie"/>
    <x v="0"/>
  </r>
  <r>
    <n v="10192"/>
    <n v="46"/>
    <n v="83.6"/>
    <n v="2"/>
    <n v="3845.6"/>
    <d v="2003-11-20T00:00:00"/>
    <x v="0"/>
    <n v="4"/>
    <x v="5"/>
    <x v="5"/>
    <x v="0"/>
    <x v="1"/>
    <n v="90"/>
    <x v="65"/>
    <x v="40"/>
    <n v="6035558647"/>
    <s v="2304 Long Airport Avenue"/>
    <m/>
    <x v="34"/>
    <s v="NH"/>
    <n v="62005"/>
    <x v="0"/>
    <x v="0"/>
    <s v="Young"/>
    <s v="Valarie"/>
    <x v="1"/>
  </r>
  <r>
    <n v="10204"/>
    <n v="47"/>
    <n v="96.32"/>
    <n v="8"/>
    <n v="4527.04"/>
    <d v="2003-12-02T00:00:00"/>
    <x v="0"/>
    <n v="4"/>
    <x v="6"/>
    <x v="6"/>
    <x v="0"/>
    <x v="1"/>
    <n v="90"/>
    <x v="65"/>
    <x v="74"/>
    <n v="2125557413"/>
    <s v="4092 Furth Circle"/>
    <s v="Suite 400"/>
    <x v="0"/>
    <s v="NY"/>
    <n v="10022"/>
    <x v="0"/>
    <x v="0"/>
    <s v="Young"/>
    <s v="Jeff"/>
    <x v="1"/>
  </r>
  <r>
    <n v="10212"/>
    <n v="45"/>
    <n v="88.14"/>
    <n v="1"/>
    <n v="3966.3"/>
    <d v="2004-01-16T00:00:00"/>
    <x v="0"/>
    <n v="1"/>
    <x v="7"/>
    <x v="7"/>
    <x v="1"/>
    <x v="1"/>
    <n v="90"/>
    <x v="65"/>
    <x v="23"/>
    <s v="(91) 555 94 44"/>
    <s v="C/ Moralzarzal, 86"/>
    <m/>
    <x v="20"/>
    <m/>
    <n v="28034"/>
    <x v="7"/>
    <x v="1"/>
    <s v="Freyre"/>
    <s v="Diego"/>
    <x v="1"/>
  </r>
  <r>
    <n v="10227"/>
    <n v="47"/>
    <n v="88.14"/>
    <n v="14"/>
    <n v="4142.58"/>
    <d v="2004-03-02T00:00:00"/>
    <x v="0"/>
    <n v="1"/>
    <x v="11"/>
    <x v="11"/>
    <x v="1"/>
    <x v="1"/>
    <n v="90"/>
    <x v="65"/>
    <x v="30"/>
    <s v="78.32.5555"/>
    <s v="2, rue du Commerce"/>
    <m/>
    <x v="25"/>
    <m/>
    <n v="69004"/>
    <x v="1"/>
    <x v="1"/>
    <s v="Saveley"/>
    <s v="Mary"/>
    <x v="1"/>
  </r>
  <r>
    <n v="10241"/>
    <n v="47"/>
    <n v="94.5"/>
    <n v="6"/>
    <n v="4441.5"/>
    <d v="2004-04-13T00:00:00"/>
    <x v="0"/>
    <n v="2"/>
    <x v="8"/>
    <x v="8"/>
    <x v="1"/>
    <x v="1"/>
    <n v="90"/>
    <x v="65"/>
    <x v="83"/>
    <s v="88.60.1555"/>
    <s v="24, place Kluber"/>
    <m/>
    <x v="66"/>
    <m/>
    <n v="67000"/>
    <x v="1"/>
    <x v="1"/>
    <s v="Citeaux"/>
    <s v="Frederique"/>
    <x v="1"/>
  </r>
  <r>
    <n v="10267"/>
    <n v="38"/>
    <n v="87.24"/>
    <n v="3"/>
    <n v="3315.12"/>
    <d v="2004-07-07T00:00:00"/>
    <x v="0"/>
    <n v="3"/>
    <x v="2"/>
    <x v="2"/>
    <x v="1"/>
    <x v="1"/>
    <n v="90"/>
    <x v="65"/>
    <x v="74"/>
    <n v="2125557413"/>
    <s v="4092 Furth Circle"/>
    <s v="Suite 400"/>
    <x v="0"/>
    <s v="NY"/>
    <n v="10022"/>
    <x v="0"/>
    <x v="0"/>
    <s v="Young"/>
    <s v="Jeff"/>
    <x v="1"/>
  </r>
  <r>
    <n v="10279"/>
    <n v="49"/>
    <n v="79.97"/>
    <n v="3"/>
    <n v="3918.53"/>
    <d v="2004-08-09T00:00:00"/>
    <x v="0"/>
    <n v="3"/>
    <x v="3"/>
    <x v="3"/>
    <x v="1"/>
    <x v="1"/>
    <n v="90"/>
    <x v="65"/>
    <x v="23"/>
    <s v="(91) 555 94 44"/>
    <s v="C/ Moralzarzal, 86"/>
    <m/>
    <x v="20"/>
    <m/>
    <n v="28034"/>
    <x v="7"/>
    <x v="1"/>
    <s v="Freyre"/>
    <s v="Diego"/>
    <x v="1"/>
  </r>
  <r>
    <n v="10288"/>
    <n v="35"/>
    <n v="80.87"/>
    <n v="9"/>
    <n v="2830.45"/>
    <d v="2004-09-01T00:00:00"/>
    <x v="0"/>
    <n v="3"/>
    <x v="10"/>
    <x v="10"/>
    <x v="1"/>
    <x v="1"/>
    <n v="90"/>
    <x v="65"/>
    <x v="65"/>
    <s v="+65 224 1555"/>
    <s v="Village Close - 106 Linden Road Sandown"/>
    <s v="2nd Floor"/>
    <x v="22"/>
    <m/>
    <n v="69045"/>
    <x v="9"/>
    <x v="2"/>
    <s v="Victorino"/>
    <s v="Wendy"/>
    <x v="0"/>
  </r>
  <r>
    <n v="10302"/>
    <n v="49"/>
    <n v="100"/>
    <n v="5"/>
    <n v="5298.86"/>
    <d v="2003-10-06T00:00:00"/>
    <x v="0"/>
    <n v="4"/>
    <x v="4"/>
    <x v="4"/>
    <x v="0"/>
    <x v="1"/>
    <n v="90"/>
    <x v="65"/>
    <x v="22"/>
    <s v="(171) 555-2282"/>
    <s v="Berkeley Gardens 12  Brewery"/>
    <m/>
    <x v="19"/>
    <m/>
    <s v="WX1 6LT"/>
    <x v="6"/>
    <x v="1"/>
    <s v="Devon"/>
    <s v="Elizabeth"/>
    <x v="1"/>
  </r>
  <r>
    <n v="10311"/>
    <n v="28"/>
    <n v="93.6"/>
    <n v="4"/>
    <n v="2620.8000000000002"/>
    <d v="2004-10-16T00:00:00"/>
    <x v="0"/>
    <n v="4"/>
    <x v="4"/>
    <x v="4"/>
    <x v="1"/>
    <x v="1"/>
    <n v="90"/>
    <x v="65"/>
    <x v="23"/>
    <s v="(91) 555 94 44"/>
    <s v="C/ Moralzarzal, 86"/>
    <m/>
    <x v="20"/>
    <m/>
    <n v="28034"/>
    <x v="7"/>
    <x v="1"/>
    <s v="Freyre"/>
    <s v="Diego"/>
    <x v="0"/>
  </r>
  <r>
    <n v="10321"/>
    <n v="30"/>
    <n v="72.7"/>
    <n v="1"/>
    <n v="2181"/>
    <d v="2004-11-04T00:00:00"/>
    <x v="0"/>
    <n v="4"/>
    <x v="5"/>
    <x v="5"/>
    <x v="1"/>
    <x v="1"/>
    <n v="90"/>
    <x v="65"/>
    <x v="21"/>
    <n v="5085552555"/>
    <s v="1785 First Street"/>
    <m/>
    <x v="18"/>
    <s v="MA"/>
    <n v="50553"/>
    <x v="0"/>
    <x v="0"/>
    <s v="Benitez"/>
    <s v="Violeta"/>
    <x v="0"/>
  </r>
  <r>
    <n v="10332"/>
    <n v="39"/>
    <n v="86.72"/>
    <n v="7"/>
    <n v="3382.08"/>
    <d v="2004-11-17T00:00:00"/>
    <x v="0"/>
    <n v="4"/>
    <x v="5"/>
    <x v="5"/>
    <x v="1"/>
    <x v="1"/>
    <n v="90"/>
    <x v="65"/>
    <x v="77"/>
    <s v="(171) 555-1555"/>
    <s v="Fauntleroy Circus"/>
    <m/>
    <x v="61"/>
    <m/>
    <s v="EC2 5NT"/>
    <x v="6"/>
    <x v="1"/>
    <s v="Ashworth"/>
    <s v="Victoria"/>
    <x v="1"/>
  </r>
  <r>
    <n v="10346"/>
    <n v="25"/>
    <n v="100"/>
    <n v="1"/>
    <n v="2876.75"/>
    <d v="2004-11-29T00:00:00"/>
    <x v="0"/>
    <n v="4"/>
    <x v="5"/>
    <x v="5"/>
    <x v="1"/>
    <x v="1"/>
    <n v="90"/>
    <x v="65"/>
    <x v="84"/>
    <n v="7025551838"/>
    <s v="8489 Strong St."/>
    <m/>
    <x v="67"/>
    <s v="NV"/>
    <n v="83030"/>
    <x v="0"/>
    <x v="0"/>
    <s v="King"/>
    <s v="Sue"/>
    <x v="0"/>
  </r>
  <r>
    <n v="10368"/>
    <n v="40"/>
    <n v="100"/>
    <n v="2"/>
    <n v="4107.2"/>
    <d v="2005-01-19T00:00:00"/>
    <x v="0"/>
    <n v="1"/>
    <x v="7"/>
    <x v="7"/>
    <x v="2"/>
    <x v="1"/>
    <n v="90"/>
    <x v="65"/>
    <x v="39"/>
    <n v="4155551450"/>
    <s v="5677 Strong St."/>
    <m/>
    <x v="33"/>
    <s v="CA"/>
    <n v="97562"/>
    <x v="0"/>
    <x v="0"/>
    <s v="Nelson"/>
    <s v="Valarie"/>
    <x v="1"/>
  </r>
  <r>
    <n v="10380"/>
    <n v="36"/>
    <n v="37.5"/>
    <n v="6"/>
    <n v="1350"/>
    <d v="2005-02-16T00:00:00"/>
    <x v="0"/>
    <n v="1"/>
    <x v="0"/>
    <x v="0"/>
    <x v="2"/>
    <x v="1"/>
    <n v="90"/>
    <x v="65"/>
    <x v="23"/>
    <s v="(91) 555 94 44"/>
    <s v="C/ Moralzarzal, 86"/>
    <m/>
    <x v="20"/>
    <m/>
    <n v="28034"/>
    <x v="7"/>
    <x v="1"/>
    <s v="Freyre"/>
    <s v="Diego"/>
    <x v="0"/>
  </r>
  <r>
    <n v="10407"/>
    <n v="76"/>
    <n v="94.5"/>
    <n v="6"/>
    <n v="7182"/>
    <d v="2005-04-22T00:00:00"/>
    <x v="4"/>
    <n v="2"/>
    <x v="8"/>
    <x v="8"/>
    <x v="2"/>
    <x v="1"/>
    <n v="90"/>
    <x v="65"/>
    <x v="61"/>
    <n v="4085553659"/>
    <s v="3086 Ingle Ln."/>
    <m/>
    <x v="51"/>
    <s v="CA"/>
    <n v="94217"/>
    <x v="0"/>
    <x v="0"/>
    <s v="Frick"/>
    <s v="Sue"/>
    <x v="2"/>
  </r>
  <r>
    <n v="10420"/>
    <n v="39"/>
    <n v="100"/>
    <n v="9"/>
    <n v="3933.93"/>
    <d v="2005-05-29T00:00:00"/>
    <x v="2"/>
    <n v="2"/>
    <x v="1"/>
    <x v="1"/>
    <x v="2"/>
    <x v="1"/>
    <n v="90"/>
    <x v="65"/>
    <x v="20"/>
    <s v="+61 2 9495 8555"/>
    <s v="Monitor Money Building, 815 Pacific Hwy"/>
    <s v="Level 6"/>
    <x v="17"/>
    <s v="NSW"/>
    <n v="2067"/>
    <x v="3"/>
    <x v="2"/>
    <s v="Huxley"/>
    <s v="Adrian"/>
    <x v="1"/>
  </r>
  <r>
    <n v="10104"/>
    <n v="44"/>
    <n v="39.6"/>
    <n v="10"/>
    <n v="1742.4"/>
    <d v="2003-01-31T00:00:00"/>
    <x v="0"/>
    <n v="1"/>
    <x v="7"/>
    <x v="7"/>
    <x v="0"/>
    <x v="1"/>
    <n v="35"/>
    <x v="66"/>
    <x v="23"/>
    <s v="(91) 555 94 44"/>
    <s v="C/ Moralzarzal, 86"/>
    <m/>
    <x v="20"/>
    <m/>
    <n v="28034"/>
    <x v="7"/>
    <x v="1"/>
    <s v="Freyre"/>
    <s v="Diego"/>
    <x v="0"/>
  </r>
  <r>
    <n v="10114"/>
    <n v="24"/>
    <n v="30.06"/>
    <n v="1"/>
    <n v="721.44"/>
    <d v="2003-04-01T00:00:00"/>
    <x v="0"/>
    <n v="2"/>
    <x v="8"/>
    <x v="8"/>
    <x v="0"/>
    <x v="1"/>
    <n v="35"/>
    <x v="66"/>
    <x v="62"/>
    <s v="(1) 42.34.2555"/>
    <s v="265, boulevard Charonne"/>
    <m/>
    <x v="2"/>
    <m/>
    <n v="75012"/>
    <x v="1"/>
    <x v="1"/>
    <s v="Bertrand"/>
    <s v="Marie"/>
    <x v="0"/>
  </r>
  <r>
    <n v="10127"/>
    <n v="39"/>
    <n v="38.19"/>
    <n v="12"/>
    <n v="1489.41"/>
    <d v="2003-06-03T00:00:00"/>
    <x v="0"/>
    <n v="2"/>
    <x v="9"/>
    <x v="9"/>
    <x v="0"/>
    <x v="1"/>
    <n v="35"/>
    <x v="66"/>
    <x v="74"/>
    <n v="2125557413"/>
    <s v="4092 Furth Circle"/>
    <s v="Suite 400"/>
    <x v="0"/>
    <s v="NY"/>
    <n v="10022"/>
    <x v="0"/>
    <x v="0"/>
    <s v="Young"/>
    <s v="Jeff"/>
    <x v="0"/>
  </r>
  <r>
    <n v="10141"/>
    <n v="21"/>
    <n v="42.43"/>
    <n v="6"/>
    <n v="891.03"/>
    <d v="2003-08-01T00:00:00"/>
    <x v="0"/>
    <n v="3"/>
    <x v="3"/>
    <x v="3"/>
    <x v="0"/>
    <x v="1"/>
    <n v="35"/>
    <x v="66"/>
    <x v="73"/>
    <s v="+358 9 8045 555"/>
    <s v="Software Engineering Center, SEC Oy"/>
    <m/>
    <x v="59"/>
    <m/>
    <s v="FIN-02271"/>
    <x v="4"/>
    <x v="1"/>
    <s v="Suominen"/>
    <s v="Kalle"/>
    <x v="0"/>
  </r>
  <r>
    <n v="10151"/>
    <n v="30"/>
    <n v="40.31"/>
    <n v="4"/>
    <n v="1209.3"/>
    <d v="2003-09-21T00:00:00"/>
    <x v="0"/>
    <n v="3"/>
    <x v="10"/>
    <x v="10"/>
    <x v="0"/>
    <x v="1"/>
    <n v="35"/>
    <x v="66"/>
    <x v="60"/>
    <s v="981-443655"/>
    <s v="Torikatu 38"/>
    <m/>
    <x v="50"/>
    <m/>
    <n v="90110"/>
    <x v="4"/>
    <x v="1"/>
    <s v="Koskitalo"/>
    <s v="Pirkko"/>
    <x v="0"/>
  </r>
  <r>
    <n v="10165"/>
    <n v="27"/>
    <n v="31.82"/>
    <n v="13"/>
    <n v="859.14"/>
    <d v="2003-10-22T00:00:00"/>
    <x v="0"/>
    <n v="4"/>
    <x v="4"/>
    <x v="4"/>
    <x v="0"/>
    <x v="1"/>
    <n v="35"/>
    <x v="66"/>
    <x v="26"/>
    <s v="+65 221 7555"/>
    <s v="Bronz Sok., Bronz Apt. 3/6 Tesvikiye"/>
    <m/>
    <x v="22"/>
    <m/>
    <n v="79903"/>
    <x v="9"/>
    <x v="3"/>
    <s v="Natividad"/>
    <s v="Eric"/>
    <x v="0"/>
  </r>
  <r>
    <n v="10175"/>
    <n v="37"/>
    <n v="31.12"/>
    <n v="2"/>
    <n v="1151.44"/>
    <d v="2003-11-06T00:00:00"/>
    <x v="0"/>
    <n v="4"/>
    <x v="5"/>
    <x v="5"/>
    <x v="0"/>
    <x v="1"/>
    <n v="35"/>
    <x v="66"/>
    <x v="49"/>
    <s v="(171) 555-0297"/>
    <s v="35 King George"/>
    <m/>
    <x v="41"/>
    <m/>
    <s v="WX3 6FW"/>
    <x v="6"/>
    <x v="1"/>
    <s v="Brown"/>
    <s v="Ann"/>
    <x v="0"/>
  </r>
  <r>
    <n v="10184"/>
    <n v="42"/>
    <n v="31.82"/>
    <n v="7"/>
    <n v="1336.44"/>
    <d v="2003-11-14T00:00:00"/>
    <x v="0"/>
    <n v="4"/>
    <x v="5"/>
    <x v="5"/>
    <x v="0"/>
    <x v="1"/>
    <n v="35"/>
    <x v="66"/>
    <x v="81"/>
    <s v="(95) 555 82 82"/>
    <s v="C/ Romero, 33"/>
    <m/>
    <x v="64"/>
    <m/>
    <n v="41101"/>
    <x v="7"/>
    <x v="1"/>
    <s v="Roel"/>
    <s v="Jose Pedro"/>
    <x v="0"/>
  </r>
  <r>
    <n v="10195"/>
    <n v="32"/>
    <n v="28.29"/>
    <n v="7"/>
    <n v="905.28"/>
    <d v="2003-11-25T00:00:00"/>
    <x v="0"/>
    <n v="4"/>
    <x v="5"/>
    <x v="5"/>
    <x v="0"/>
    <x v="1"/>
    <n v="35"/>
    <x v="66"/>
    <x v="47"/>
    <n v="9145554562"/>
    <s v="3758 North Pendale Street"/>
    <m/>
    <x v="39"/>
    <s v="NY"/>
    <n v="24067"/>
    <x v="0"/>
    <x v="0"/>
    <s v="Frick"/>
    <s v="Steve"/>
    <x v="0"/>
  </r>
  <r>
    <n v="10207"/>
    <n v="42"/>
    <n v="29.7"/>
    <n v="8"/>
    <n v="1247.4000000000001"/>
    <d v="2003-12-09T00:00:00"/>
    <x v="0"/>
    <n v="4"/>
    <x v="6"/>
    <x v="6"/>
    <x v="0"/>
    <x v="1"/>
    <n v="35"/>
    <x v="66"/>
    <x v="64"/>
    <n v="6175552555"/>
    <s v="6251 Ingle Ln."/>
    <m/>
    <x v="48"/>
    <s v="MA"/>
    <n v="51003"/>
    <x v="0"/>
    <x v="0"/>
    <s v="Franco"/>
    <s v="Valarie"/>
    <x v="0"/>
  </r>
  <r>
    <n v="10219"/>
    <n v="21"/>
    <n v="40.31"/>
    <n v="3"/>
    <n v="846.51"/>
    <d v="2004-02-10T00:00:00"/>
    <x v="0"/>
    <n v="1"/>
    <x v="0"/>
    <x v="0"/>
    <x v="1"/>
    <x v="1"/>
    <n v="35"/>
    <x v="66"/>
    <x v="82"/>
    <n v="4155554312"/>
    <s v="2793 Furth Circle"/>
    <m/>
    <x v="65"/>
    <s v="CA"/>
    <n v="94217"/>
    <x v="0"/>
    <x v="0"/>
    <s v="Taylor"/>
    <s v="Sue"/>
    <x v="0"/>
  </r>
  <r>
    <n v="10229"/>
    <n v="33"/>
    <n v="32.880000000000003"/>
    <n v="2"/>
    <n v="1085.04"/>
    <d v="2004-03-11T00:00:00"/>
    <x v="0"/>
    <n v="1"/>
    <x v="11"/>
    <x v="11"/>
    <x v="1"/>
    <x v="1"/>
    <n v="35"/>
    <x v="66"/>
    <x v="39"/>
    <n v="4155551450"/>
    <s v="5677 Strong St."/>
    <m/>
    <x v="33"/>
    <s v="CA"/>
    <n v="97562"/>
    <x v="0"/>
    <x v="0"/>
    <s v="Nelson"/>
    <s v="Valarie"/>
    <x v="0"/>
  </r>
  <r>
    <n v="10246"/>
    <n v="49"/>
    <n v="36.07"/>
    <n v="6"/>
    <n v="1767.43"/>
    <d v="2004-05-05T00:00:00"/>
    <x v="0"/>
    <n v="2"/>
    <x v="1"/>
    <x v="1"/>
    <x v="1"/>
    <x v="1"/>
    <n v="35"/>
    <x v="66"/>
    <x v="23"/>
    <s v="(91) 555 94 44"/>
    <s v="C/ Moralzarzal, 86"/>
    <m/>
    <x v="20"/>
    <m/>
    <n v="28034"/>
    <x v="7"/>
    <x v="1"/>
    <s v="Freyre"/>
    <s v="Diego"/>
    <x v="0"/>
  </r>
  <r>
    <n v="10259"/>
    <n v="31"/>
    <n v="33.24"/>
    <n v="5"/>
    <n v="1030.44"/>
    <d v="2004-06-15T00:00:00"/>
    <x v="0"/>
    <n v="2"/>
    <x v="9"/>
    <x v="9"/>
    <x v="1"/>
    <x v="1"/>
    <n v="35"/>
    <x v="66"/>
    <x v="65"/>
    <s v="+65 224 1555"/>
    <s v="Village Close - 106 Linden Road Sandown"/>
    <s v="2nd Floor"/>
    <x v="22"/>
    <m/>
    <n v="69045"/>
    <x v="9"/>
    <x v="2"/>
    <s v="Victorino"/>
    <s v="Wendy"/>
    <x v="0"/>
  </r>
  <r>
    <n v="10271"/>
    <n v="38"/>
    <n v="41.72"/>
    <n v="6"/>
    <n v="1585.36"/>
    <d v="2004-07-20T00:00:00"/>
    <x v="0"/>
    <n v="3"/>
    <x v="2"/>
    <x v="2"/>
    <x v="1"/>
    <x v="1"/>
    <n v="35"/>
    <x v="66"/>
    <x v="39"/>
    <n v="4155551450"/>
    <s v="5677 Strong St."/>
    <m/>
    <x v="33"/>
    <s v="CA"/>
    <n v="97562"/>
    <x v="0"/>
    <x v="0"/>
    <s v="Nelson"/>
    <s v="Valarie"/>
    <x v="0"/>
  </r>
  <r>
    <n v="10281"/>
    <n v="20"/>
    <n v="40.659999999999997"/>
    <n v="2"/>
    <n v="813.2"/>
    <d v="2004-08-19T00:00:00"/>
    <x v="0"/>
    <n v="3"/>
    <x v="3"/>
    <x v="3"/>
    <x v="1"/>
    <x v="1"/>
    <n v="35"/>
    <x v="66"/>
    <x v="18"/>
    <n v="2155551555"/>
    <s v="7586 Pompton St."/>
    <m/>
    <x v="15"/>
    <s v="PA"/>
    <n v="70267"/>
    <x v="0"/>
    <x v="0"/>
    <s v="Yu"/>
    <s v="Kyung"/>
    <x v="0"/>
  </r>
  <r>
    <n v="10292"/>
    <n v="39"/>
    <n v="30.06"/>
    <n v="9"/>
    <n v="1172.3399999999999"/>
    <d v="2004-09-08T00:00:00"/>
    <x v="0"/>
    <n v="3"/>
    <x v="10"/>
    <x v="10"/>
    <x v="1"/>
    <x v="1"/>
    <n v="35"/>
    <x v="66"/>
    <x v="0"/>
    <n v="2125557818"/>
    <s v="897 Long Airport Avenue"/>
    <m/>
    <x v="0"/>
    <s v="NY"/>
    <n v="10022"/>
    <x v="0"/>
    <x v="0"/>
    <s v="Yu"/>
    <s v="Kwai"/>
    <x v="0"/>
  </r>
  <r>
    <n v="10305"/>
    <n v="48"/>
    <n v="31.47"/>
    <n v="6"/>
    <n v="1510.56"/>
    <d v="2004-10-13T00:00:00"/>
    <x v="0"/>
    <n v="4"/>
    <x v="4"/>
    <x v="4"/>
    <x v="1"/>
    <x v="1"/>
    <n v="35"/>
    <x v="66"/>
    <x v="15"/>
    <n v="6175558555"/>
    <s v="39323 Spinnaker Dr."/>
    <m/>
    <x v="12"/>
    <s v="MA"/>
    <n v="51247"/>
    <x v="0"/>
    <x v="0"/>
    <s v="Hernandez"/>
    <s v="Marta"/>
    <x v="0"/>
  </r>
  <r>
    <n v="10314"/>
    <n v="39"/>
    <n v="37.130000000000003"/>
    <n v="15"/>
    <n v="1448.07"/>
    <d v="2004-10-22T00:00:00"/>
    <x v="0"/>
    <n v="4"/>
    <x v="4"/>
    <x v="4"/>
    <x v="1"/>
    <x v="1"/>
    <n v="35"/>
    <x v="66"/>
    <x v="78"/>
    <s v="86 21 3555"/>
    <s v="Smagsloget 45"/>
    <m/>
    <x v="62"/>
    <m/>
    <n v="8200"/>
    <x v="13"/>
    <x v="1"/>
    <s v="Ibsen"/>
    <s v="Palle"/>
    <x v="0"/>
  </r>
  <r>
    <n v="10324"/>
    <n v="30"/>
    <n v="100"/>
    <n v="9"/>
    <n v="3338.1"/>
    <d v="2004-11-05T00:00:00"/>
    <x v="0"/>
    <n v="4"/>
    <x v="5"/>
    <x v="5"/>
    <x v="1"/>
    <x v="1"/>
    <n v="35"/>
    <x v="66"/>
    <x v="11"/>
    <n v="2125551500"/>
    <s v="2678 Kingston Rd."/>
    <s v="Suite 101"/>
    <x v="0"/>
    <s v="NY"/>
    <n v="10022"/>
    <x v="0"/>
    <x v="0"/>
    <s v="Frick"/>
    <s v="Michael"/>
    <x v="1"/>
  </r>
  <r>
    <n v="10335"/>
    <n v="33"/>
    <n v="37.130000000000003"/>
    <n v="2"/>
    <n v="1225.29"/>
    <d v="2004-11-19T00:00:00"/>
    <x v="0"/>
    <n v="4"/>
    <x v="5"/>
    <x v="5"/>
    <x v="1"/>
    <x v="1"/>
    <n v="35"/>
    <x v="66"/>
    <x v="39"/>
    <n v="4155551450"/>
    <s v="5677 Strong St."/>
    <m/>
    <x v="33"/>
    <s v="CA"/>
    <n v="97562"/>
    <x v="0"/>
    <x v="0"/>
    <s v="Nelson"/>
    <s v="Valarie"/>
    <x v="0"/>
  </r>
  <r>
    <n v="10349"/>
    <n v="36"/>
    <n v="37.130000000000003"/>
    <n v="3"/>
    <n v="1336.68"/>
    <d v="2004-12-01T00:00:00"/>
    <x v="0"/>
    <n v="4"/>
    <x v="6"/>
    <x v="6"/>
    <x v="1"/>
    <x v="1"/>
    <n v="35"/>
    <x v="66"/>
    <x v="74"/>
    <n v="2125557413"/>
    <s v="4092 Furth Circle"/>
    <s v="Suite 400"/>
    <x v="0"/>
    <s v="NY"/>
    <n v="10022"/>
    <x v="0"/>
    <x v="0"/>
    <s v="Young"/>
    <s v="Jeff"/>
    <x v="0"/>
  </r>
  <r>
    <n v="10358"/>
    <n v="36"/>
    <n v="82.94"/>
    <n v="4"/>
    <n v="2985.84"/>
    <d v="2004-12-10T00:00:00"/>
    <x v="0"/>
    <n v="4"/>
    <x v="6"/>
    <x v="6"/>
    <x v="1"/>
    <x v="1"/>
    <n v="35"/>
    <x v="66"/>
    <x v="23"/>
    <s v="(91) 555 94 44"/>
    <s v="C/ Moralzarzal, 86"/>
    <m/>
    <x v="20"/>
    <m/>
    <n v="28034"/>
    <x v="7"/>
    <x v="1"/>
    <s v="Freyre"/>
    <s v="Diego"/>
    <x v="0"/>
  </r>
  <r>
    <n v="10371"/>
    <n v="45"/>
    <n v="100"/>
    <n v="8"/>
    <n v="5545.8"/>
    <d v="2005-01-23T00:00:00"/>
    <x v="0"/>
    <n v="1"/>
    <x v="7"/>
    <x v="7"/>
    <x v="2"/>
    <x v="1"/>
    <n v="35"/>
    <x v="66"/>
    <x v="39"/>
    <n v="4155551450"/>
    <s v="5677 Strong St."/>
    <m/>
    <x v="33"/>
    <s v="CA"/>
    <n v="97562"/>
    <x v="0"/>
    <x v="0"/>
    <s v="Nelson"/>
    <s v="Valarie"/>
    <x v="1"/>
  </r>
  <r>
    <n v="10383"/>
    <n v="40"/>
    <n v="100"/>
    <n v="3"/>
    <n v="6089.6"/>
    <d v="2005-02-22T00:00:00"/>
    <x v="0"/>
    <n v="1"/>
    <x v="0"/>
    <x v="0"/>
    <x v="2"/>
    <x v="1"/>
    <n v="35"/>
    <x v="66"/>
    <x v="23"/>
    <s v="(91) 555 94 44"/>
    <s v="C/ Moralzarzal, 86"/>
    <m/>
    <x v="20"/>
    <m/>
    <n v="28034"/>
    <x v="7"/>
    <x v="1"/>
    <s v="Freyre"/>
    <s v="Diego"/>
    <x v="1"/>
  </r>
  <r>
    <n v="10394"/>
    <n v="46"/>
    <n v="38.9"/>
    <n v="6"/>
    <n v="1789.4"/>
    <d v="2005-03-15T00:00:00"/>
    <x v="0"/>
    <n v="1"/>
    <x v="11"/>
    <x v="11"/>
    <x v="2"/>
    <x v="1"/>
    <n v="35"/>
    <x v="66"/>
    <x v="23"/>
    <s v="(91) 555 94 44"/>
    <s v="C/ Moralzarzal, 86"/>
    <m/>
    <x v="20"/>
    <m/>
    <n v="28034"/>
    <x v="7"/>
    <x v="1"/>
    <s v="Freyre"/>
    <s v="Diego"/>
    <x v="0"/>
  </r>
  <r>
    <n v="10412"/>
    <n v="30"/>
    <n v="36.07"/>
    <n v="6"/>
    <n v="1082.0999999999999"/>
    <d v="2005-05-03T00:00:00"/>
    <x v="0"/>
    <n v="2"/>
    <x v="1"/>
    <x v="1"/>
    <x v="2"/>
    <x v="1"/>
    <n v="35"/>
    <x v="66"/>
    <x v="23"/>
    <s v="(91) 555 94 44"/>
    <s v="C/ Moralzarzal, 86"/>
    <m/>
    <x v="20"/>
    <m/>
    <n v="28034"/>
    <x v="7"/>
    <x v="1"/>
    <s v="Freyre"/>
    <s v="Diego"/>
    <x v="0"/>
  </r>
  <r>
    <n v="10425"/>
    <n v="31"/>
    <n v="33.24"/>
    <n v="5"/>
    <n v="1030.44"/>
    <d v="2005-05-31T00:00:00"/>
    <x v="2"/>
    <n v="2"/>
    <x v="1"/>
    <x v="1"/>
    <x v="2"/>
    <x v="1"/>
    <n v="35"/>
    <x v="66"/>
    <x v="14"/>
    <s v="40.67.8555"/>
    <s v="67, rue des Cinquante Otages"/>
    <m/>
    <x v="11"/>
    <m/>
    <n v="44000"/>
    <x v="1"/>
    <x v="1"/>
    <s v="Labrune"/>
    <s v="Janine"/>
    <x v="0"/>
  </r>
  <r>
    <n v="10106"/>
    <n v="49"/>
    <n v="74.680000000000007"/>
    <n v="13"/>
    <n v="3659.32"/>
    <d v="2003-02-17T00:00:00"/>
    <x v="0"/>
    <n v="1"/>
    <x v="0"/>
    <x v="0"/>
    <x v="0"/>
    <x v="4"/>
    <n v="68"/>
    <x v="67"/>
    <x v="86"/>
    <s v="035-640555"/>
    <s v="Via Ludovico il Moro 22"/>
    <m/>
    <x v="69"/>
    <m/>
    <n v="24100"/>
    <x v="12"/>
    <x v="1"/>
    <s v="Rovelli"/>
    <s v="Giovanni"/>
    <x v="1"/>
  </r>
  <r>
    <n v="10119"/>
    <n v="41"/>
    <n v="59.6"/>
    <n v="4"/>
    <n v="2443.6"/>
    <d v="2003-04-28T00:00:00"/>
    <x v="0"/>
    <n v="2"/>
    <x v="8"/>
    <x v="8"/>
    <x v="0"/>
    <x v="4"/>
    <n v="68"/>
    <x v="67"/>
    <x v="19"/>
    <s v="6562-9555"/>
    <s v="Geislweg 14"/>
    <m/>
    <x v="16"/>
    <m/>
    <n v="5020"/>
    <x v="5"/>
    <x v="1"/>
    <s v="Pipps"/>
    <s v="Georg"/>
    <x v="0"/>
  </r>
  <r>
    <n v="10131"/>
    <n v="35"/>
    <n v="67.14"/>
    <n v="5"/>
    <n v="2349.9"/>
    <d v="2003-06-16T00:00:00"/>
    <x v="0"/>
    <n v="2"/>
    <x v="9"/>
    <x v="9"/>
    <x v="0"/>
    <x v="4"/>
    <n v="68"/>
    <x v="67"/>
    <x v="88"/>
    <n v="2035554407"/>
    <s v="2440 Pompton St."/>
    <m/>
    <x v="63"/>
    <s v="CT"/>
    <n v="97561"/>
    <x v="0"/>
    <x v="0"/>
    <s v="Lewis"/>
    <s v="Dan"/>
    <x v="0"/>
  </r>
  <r>
    <n v="10143"/>
    <n v="27"/>
    <n v="60.97"/>
    <n v="8"/>
    <n v="1646.19"/>
    <d v="2003-08-10T00:00:00"/>
    <x v="0"/>
    <n v="3"/>
    <x v="3"/>
    <x v="3"/>
    <x v="0"/>
    <x v="4"/>
    <n v="68"/>
    <x v="67"/>
    <x v="50"/>
    <n v="5085559555"/>
    <s v="4575 Hillside Dr."/>
    <m/>
    <x v="18"/>
    <s v="MA"/>
    <n v="50553"/>
    <x v="0"/>
    <x v="0"/>
    <s v="Tam"/>
    <s v="Wing C"/>
    <x v="0"/>
  </r>
  <r>
    <n v="10155"/>
    <n v="23"/>
    <n v="72.62"/>
    <n v="6"/>
    <n v="1670.26"/>
    <d v="2003-10-06T00:00:00"/>
    <x v="0"/>
    <n v="4"/>
    <x v="4"/>
    <x v="4"/>
    <x v="0"/>
    <x v="4"/>
    <n v="68"/>
    <x v="67"/>
    <x v="16"/>
    <s v="90-224 8555"/>
    <s v="Keskuskatu 45"/>
    <m/>
    <x v="13"/>
    <m/>
    <n v="21240"/>
    <x v="4"/>
    <x v="1"/>
    <s v="Karttunen"/>
    <s v="Matti"/>
    <x v="0"/>
  </r>
  <r>
    <n v="10167"/>
    <n v="21"/>
    <n v="69.88"/>
    <n v="2"/>
    <n v="1467.48"/>
    <d v="2003-10-23T00:00:00"/>
    <x v="3"/>
    <n v="4"/>
    <x v="4"/>
    <x v="4"/>
    <x v="0"/>
    <x v="4"/>
    <n v="68"/>
    <x v="67"/>
    <x v="37"/>
    <s v="0695-34 6555"/>
    <s v="?kergatan 24"/>
    <m/>
    <x v="31"/>
    <m/>
    <s v="S-844 67"/>
    <x v="8"/>
    <x v="1"/>
    <s v="Larsson"/>
    <s v="Maria"/>
    <x v="0"/>
  </r>
  <r>
    <n v="10178"/>
    <n v="34"/>
    <n v="80.84"/>
    <n v="5"/>
    <n v="2748.56"/>
    <d v="2003-11-08T00:00:00"/>
    <x v="0"/>
    <n v="4"/>
    <x v="5"/>
    <x v="5"/>
    <x v="0"/>
    <x v="4"/>
    <n v="68"/>
    <x v="67"/>
    <x v="51"/>
    <s v="61.77.6555"/>
    <s v="1 rue Alsace-Lorraine"/>
    <m/>
    <x v="42"/>
    <m/>
    <n v="31000"/>
    <x v="1"/>
    <x v="1"/>
    <s v="Roulet"/>
    <s v="Annette"/>
    <x v="0"/>
  </r>
  <r>
    <n v="10186"/>
    <n v="22"/>
    <n v="69.2"/>
    <n v="2"/>
    <n v="1522.4"/>
    <d v="2003-11-14T00:00:00"/>
    <x v="0"/>
    <n v="4"/>
    <x v="5"/>
    <x v="5"/>
    <x v="0"/>
    <x v="4"/>
    <n v="68"/>
    <x v="67"/>
    <x v="52"/>
    <s v="(171) 555-7555"/>
    <s v="120 Hanover Sq."/>
    <m/>
    <x v="41"/>
    <m/>
    <s v="WA1 1DP"/>
    <x v="6"/>
    <x v="1"/>
    <s v="Hardy"/>
    <s v="Thomas"/>
    <x v="0"/>
  </r>
  <r>
    <n v="10198"/>
    <n v="48"/>
    <n v="67.819999999999993"/>
    <n v="5"/>
    <n v="3255.36"/>
    <d v="2003-11-27T00:00:00"/>
    <x v="0"/>
    <n v="4"/>
    <x v="5"/>
    <x v="5"/>
    <x v="0"/>
    <x v="4"/>
    <n v="68"/>
    <x v="67"/>
    <x v="66"/>
    <s v="+63 2 555 3587"/>
    <s v="15 McCallum Street - NatWest Center #13-03"/>
    <m/>
    <x v="53"/>
    <m/>
    <s v="1227 MM"/>
    <x v="15"/>
    <x v="3"/>
    <s v="Cruz"/>
    <s v="Arnold"/>
    <x v="1"/>
  </r>
  <r>
    <n v="10209"/>
    <n v="43"/>
    <n v="82.21"/>
    <n v="1"/>
    <n v="3535.03"/>
    <d v="2004-01-09T00:00:00"/>
    <x v="0"/>
    <n v="1"/>
    <x v="7"/>
    <x v="7"/>
    <x v="1"/>
    <x v="4"/>
    <n v="68"/>
    <x v="67"/>
    <x v="54"/>
    <n v="2155554369"/>
    <s v="6047 Douglas Av."/>
    <m/>
    <x v="44"/>
    <s v="CA"/>
    <m/>
    <x v="0"/>
    <x v="0"/>
    <s v="Chandler"/>
    <s v="Michael"/>
    <x v="1"/>
  </r>
  <r>
    <n v="10222"/>
    <n v="32"/>
    <n v="81.53"/>
    <n v="5"/>
    <n v="2608.96"/>
    <d v="2004-02-19T00:00:00"/>
    <x v="0"/>
    <n v="1"/>
    <x v="0"/>
    <x v="0"/>
    <x v="1"/>
    <x v="4"/>
    <n v="68"/>
    <x v="67"/>
    <x v="55"/>
    <n v="7605558146"/>
    <s v="361 Furth Circle"/>
    <m/>
    <x v="45"/>
    <s v="CA"/>
    <n v="91217"/>
    <x v="0"/>
    <x v="0"/>
    <s v="Thompson"/>
    <s v="Valarie"/>
    <x v="0"/>
  </r>
  <r>
    <n v="10249"/>
    <n v="20"/>
    <n v="67.819999999999993"/>
    <n v="1"/>
    <n v="1356.4"/>
    <d v="2004-05-08T00:00:00"/>
    <x v="0"/>
    <n v="2"/>
    <x v="1"/>
    <x v="1"/>
    <x v="1"/>
    <x v="4"/>
    <n v="68"/>
    <x v="67"/>
    <x v="33"/>
    <n v="6175555555"/>
    <s v="4658 Baden Av."/>
    <m/>
    <x v="12"/>
    <s v="MA"/>
    <n v="51247"/>
    <x v="0"/>
    <x v="0"/>
    <s v="Tseng"/>
    <s v="Kyung"/>
    <x v="0"/>
  </r>
  <r>
    <n v="10262"/>
    <n v="24"/>
    <n v="67.14"/>
    <n v="10"/>
    <n v="1611.36"/>
    <d v="2004-06-24T00:00:00"/>
    <x v="3"/>
    <n v="2"/>
    <x v="9"/>
    <x v="9"/>
    <x v="1"/>
    <x v="4"/>
    <n v="68"/>
    <x v="67"/>
    <x v="23"/>
    <s v="(91) 555 94 44"/>
    <s v="C/ Moralzarzal, 86"/>
    <m/>
    <x v="20"/>
    <m/>
    <n v="28034"/>
    <x v="7"/>
    <x v="1"/>
    <s v="Freyre"/>
    <s v="Diego"/>
    <x v="0"/>
  </r>
  <r>
    <n v="10274"/>
    <n v="40"/>
    <n v="65.08"/>
    <n v="2"/>
    <n v="2603.1999999999998"/>
    <d v="2004-07-21T00:00:00"/>
    <x v="0"/>
    <n v="3"/>
    <x v="2"/>
    <x v="2"/>
    <x v="1"/>
    <x v="4"/>
    <n v="68"/>
    <x v="67"/>
    <x v="41"/>
    <n v="6175558555"/>
    <s v="7825 Douglas Av."/>
    <m/>
    <x v="35"/>
    <s v="MA"/>
    <n v="58339"/>
    <x v="0"/>
    <x v="0"/>
    <s v="Nelson"/>
    <s v="Allen"/>
    <x v="0"/>
  </r>
  <r>
    <n v="10284"/>
    <n v="30"/>
    <n v="73.989999999999995"/>
    <n v="12"/>
    <n v="2219.6999999999998"/>
    <d v="2004-08-21T00:00:00"/>
    <x v="0"/>
    <n v="3"/>
    <x v="3"/>
    <x v="3"/>
    <x v="1"/>
    <x v="4"/>
    <n v="68"/>
    <x v="67"/>
    <x v="85"/>
    <s v="+47 2212 1555"/>
    <s v="Drammensveien 126 A, PB 744 Sentrum"/>
    <m/>
    <x v="68"/>
    <m/>
    <s v="N 0106"/>
    <x v="2"/>
    <x v="1"/>
    <s v="Klaeboe"/>
    <s v="Jan"/>
    <x v="0"/>
  </r>
  <r>
    <n v="10296"/>
    <n v="21"/>
    <n v="71.25"/>
    <n v="8"/>
    <n v="1496.25"/>
    <d v="2004-09-15T00:00:00"/>
    <x v="0"/>
    <n v="3"/>
    <x v="10"/>
    <x v="10"/>
    <x v="1"/>
    <x v="4"/>
    <n v="68"/>
    <x v="67"/>
    <x v="89"/>
    <s v="+49 89 61 08 9555"/>
    <s v="Hansastr. 15"/>
    <m/>
    <x v="71"/>
    <m/>
    <n v="80686"/>
    <x v="16"/>
    <x v="1"/>
    <s v="Donnermeyer"/>
    <s v="Michael"/>
    <x v="0"/>
  </r>
  <r>
    <n v="10307"/>
    <n v="25"/>
    <n v="75.36"/>
    <n v="2"/>
    <n v="1884"/>
    <d v="2004-10-14T00:00:00"/>
    <x v="0"/>
    <n v="4"/>
    <x v="4"/>
    <x v="4"/>
    <x v="1"/>
    <x v="4"/>
    <n v="68"/>
    <x v="67"/>
    <x v="29"/>
    <n v="2155554695"/>
    <s v="782 First Street"/>
    <m/>
    <x v="24"/>
    <s v="PA"/>
    <n v="71270"/>
    <x v="0"/>
    <x v="0"/>
    <s v="Cervantes"/>
    <s v="Francisca"/>
    <x v="0"/>
  </r>
  <r>
    <n v="10316"/>
    <n v="34"/>
    <n v="63.71"/>
    <n v="10"/>
    <n v="2166.14"/>
    <d v="2004-11-01T00:00:00"/>
    <x v="0"/>
    <n v="4"/>
    <x v="5"/>
    <x v="5"/>
    <x v="1"/>
    <x v="4"/>
    <n v="68"/>
    <x v="67"/>
    <x v="59"/>
    <s v="(198) 555-8888"/>
    <s v="Garden House Crowther Way"/>
    <m/>
    <x v="49"/>
    <s v="Isle of Wight"/>
    <s v="PO31 7PJ"/>
    <x v="6"/>
    <x v="1"/>
    <s v="Bennett"/>
    <s v="Helen"/>
    <x v="0"/>
  </r>
  <r>
    <n v="10328"/>
    <n v="48"/>
    <n v="58.92"/>
    <n v="1"/>
    <n v="2828.16"/>
    <d v="2004-11-12T00:00:00"/>
    <x v="0"/>
    <n v="4"/>
    <x v="5"/>
    <x v="5"/>
    <x v="1"/>
    <x v="4"/>
    <n v="68"/>
    <x v="67"/>
    <x v="86"/>
    <s v="035-640555"/>
    <s v="Via Ludovico il Moro 22"/>
    <m/>
    <x v="69"/>
    <m/>
    <n v="24100"/>
    <x v="12"/>
    <x v="1"/>
    <s v="Rovelli"/>
    <s v="Giovanni"/>
    <x v="0"/>
  </r>
  <r>
    <n v="10339"/>
    <n v="55"/>
    <n v="100"/>
    <n v="12"/>
    <n v="6214.45"/>
    <d v="2004-11-23T00:00:00"/>
    <x v="0"/>
    <n v="4"/>
    <x v="5"/>
    <x v="5"/>
    <x v="1"/>
    <x v="4"/>
    <n v="68"/>
    <x v="67"/>
    <x v="35"/>
    <s v="+81 3 3584 0555"/>
    <s v="2-2-8 Roppongi"/>
    <m/>
    <x v="29"/>
    <s v="Tokyo"/>
    <s v="106-0032"/>
    <x v="11"/>
    <x v="3"/>
    <s v="Shimamura"/>
    <s v="Akiko"/>
    <x v="1"/>
  </r>
  <r>
    <n v="10351"/>
    <n v="25"/>
    <n v="74.680000000000007"/>
    <n v="5"/>
    <n v="1867"/>
    <d v="2004-12-03T00:00:00"/>
    <x v="0"/>
    <n v="4"/>
    <x v="6"/>
    <x v="6"/>
    <x v="1"/>
    <x v="4"/>
    <n v="68"/>
    <x v="67"/>
    <x v="49"/>
    <s v="(171) 555-0297"/>
    <s v="35 King George"/>
    <m/>
    <x v="41"/>
    <m/>
    <s v="WX3 6FW"/>
    <x v="6"/>
    <x v="1"/>
    <s v="Brown"/>
    <s v="Ann"/>
    <x v="0"/>
  </r>
  <r>
    <n v="10373"/>
    <n v="38"/>
    <n v="70.44"/>
    <n v="7"/>
    <n v="2676.72"/>
    <d v="2005-01-31T00:00:00"/>
    <x v="0"/>
    <n v="1"/>
    <x v="7"/>
    <x v="7"/>
    <x v="2"/>
    <x v="4"/>
    <n v="68"/>
    <x v="67"/>
    <x v="60"/>
    <s v="981-443655"/>
    <s v="Torikatu 38"/>
    <m/>
    <x v="50"/>
    <m/>
    <n v="90110"/>
    <x v="4"/>
    <x v="1"/>
    <s v="Koskitalo"/>
    <s v="Pirkko"/>
    <x v="0"/>
  </r>
  <r>
    <n v="10386"/>
    <n v="39"/>
    <n v="55.96"/>
    <n v="1"/>
    <n v="2182.44"/>
    <d v="2005-03-01T00:00:00"/>
    <x v="5"/>
    <n v="1"/>
    <x v="11"/>
    <x v="11"/>
    <x v="2"/>
    <x v="4"/>
    <n v="68"/>
    <x v="67"/>
    <x v="23"/>
    <s v="(91) 555 94 44"/>
    <s v="C/ Moralzarzal, 86"/>
    <m/>
    <x v="20"/>
    <m/>
    <n v="28034"/>
    <x v="7"/>
    <x v="1"/>
    <s v="Freyre"/>
    <s v="Diego"/>
    <x v="0"/>
  </r>
  <r>
    <n v="10398"/>
    <n v="28"/>
    <n v="57.55"/>
    <n v="3"/>
    <n v="1611.4"/>
    <d v="2005-03-30T00:00:00"/>
    <x v="0"/>
    <n v="1"/>
    <x v="11"/>
    <x v="11"/>
    <x v="2"/>
    <x v="4"/>
    <n v="68"/>
    <x v="67"/>
    <x v="1"/>
    <s v="26.47.1555"/>
    <s v="59 rue de l'Abbaye"/>
    <m/>
    <x v="1"/>
    <m/>
    <n v="51100"/>
    <x v="1"/>
    <x v="1"/>
    <s v="Henriot"/>
    <s v="Paul"/>
    <x v="0"/>
  </r>
  <r>
    <n v="10400"/>
    <n v="24"/>
    <n v="61.66"/>
    <n v="2"/>
    <n v="1479.84"/>
    <d v="2005-04-01T00:00:00"/>
    <x v="0"/>
    <n v="2"/>
    <x v="8"/>
    <x v="8"/>
    <x v="2"/>
    <x v="4"/>
    <n v="68"/>
    <x v="67"/>
    <x v="61"/>
    <n v="4085553659"/>
    <s v="3086 Ingle Ln."/>
    <m/>
    <x v="51"/>
    <s v="CA"/>
    <n v="94217"/>
    <x v="0"/>
    <x v="0"/>
    <s v="Frick"/>
    <s v="Sue"/>
    <x v="0"/>
  </r>
  <r>
    <n v="10415"/>
    <n v="21"/>
    <n v="67.819999999999993"/>
    <n v="1"/>
    <n v="1424.22"/>
    <d v="2005-05-09T00:00:00"/>
    <x v="1"/>
    <n v="2"/>
    <x v="1"/>
    <x v="1"/>
    <x v="2"/>
    <x v="4"/>
    <n v="68"/>
    <x v="67"/>
    <x v="87"/>
    <s v="61-9-3844-6555"/>
    <s v="7 Allen Street"/>
    <m/>
    <x v="70"/>
    <s v="Victoria"/>
    <n v="3150"/>
    <x v="3"/>
    <x v="2"/>
    <s v="Connery"/>
    <s v="Sean"/>
    <x v="0"/>
  </r>
  <r>
    <n v="10110"/>
    <n v="46"/>
    <n v="100"/>
    <n v="10"/>
    <n v="5942.28"/>
    <d v="2003-03-18T00:00:00"/>
    <x v="0"/>
    <n v="1"/>
    <x v="11"/>
    <x v="11"/>
    <x v="0"/>
    <x v="1"/>
    <n v="117"/>
    <x v="68"/>
    <x v="77"/>
    <s v="(171) 555-1555"/>
    <s v="Fauntleroy Circus"/>
    <m/>
    <x v="61"/>
    <m/>
    <s v="EC2 5NT"/>
    <x v="6"/>
    <x v="1"/>
    <s v="Ashworth"/>
    <s v="Victoria"/>
    <x v="1"/>
  </r>
  <r>
    <n v="10124"/>
    <n v="25"/>
    <n v="93.95"/>
    <n v="9"/>
    <n v="2348.75"/>
    <d v="2003-05-21T00:00:00"/>
    <x v="0"/>
    <n v="2"/>
    <x v="1"/>
    <x v="1"/>
    <x v="0"/>
    <x v="1"/>
    <n v="117"/>
    <x v="68"/>
    <x v="84"/>
    <n v="7025551838"/>
    <s v="8489 Strong St."/>
    <m/>
    <x v="67"/>
    <s v="NV"/>
    <n v="83030"/>
    <x v="0"/>
    <x v="0"/>
    <s v="King"/>
    <s v="Sue"/>
    <x v="0"/>
  </r>
  <r>
    <n v="10148"/>
    <n v="34"/>
    <n v="100"/>
    <n v="3"/>
    <n v="4392.12"/>
    <d v="2003-09-11T00:00:00"/>
    <x v="0"/>
    <n v="3"/>
    <x v="10"/>
    <x v="10"/>
    <x v="0"/>
    <x v="1"/>
    <n v="117"/>
    <x v="68"/>
    <x v="42"/>
    <s v="02 9936 8555"/>
    <s v="201 Miller Street"/>
    <s v="Level 15"/>
    <x v="36"/>
    <s v="NSW"/>
    <n v="2060"/>
    <x v="3"/>
    <x v="2"/>
    <s v="O'Hara"/>
    <s v="Anna"/>
    <x v="1"/>
  </r>
  <r>
    <n v="10161"/>
    <n v="25"/>
    <n v="100"/>
    <n v="2"/>
    <n v="2759.75"/>
    <d v="2003-10-17T00:00:00"/>
    <x v="0"/>
    <n v="4"/>
    <x v="4"/>
    <x v="4"/>
    <x v="0"/>
    <x v="1"/>
    <n v="117"/>
    <x v="68"/>
    <x v="78"/>
    <s v="86 21 3555"/>
    <s v="Smagsloget 45"/>
    <m/>
    <x v="62"/>
    <m/>
    <n v="8200"/>
    <x v="13"/>
    <x v="1"/>
    <s v="Ibsen"/>
    <s v="Palle"/>
    <x v="0"/>
  </r>
  <r>
    <n v="10173"/>
    <n v="23"/>
    <n v="100"/>
    <n v="16"/>
    <n v="2728.03"/>
    <d v="2003-11-05T00:00:00"/>
    <x v="0"/>
    <n v="4"/>
    <x v="5"/>
    <x v="5"/>
    <x v="0"/>
    <x v="1"/>
    <n v="117"/>
    <x v="68"/>
    <x v="86"/>
    <s v="035-640555"/>
    <s v="Via Ludovico il Moro 22"/>
    <m/>
    <x v="69"/>
    <m/>
    <n v="24100"/>
    <x v="12"/>
    <x v="1"/>
    <s v="Rovelli"/>
    <s v="Giovanni"/>
    <x v="0"/>
  </r>
  <r>
    <n v="10182"/>
    <n v="20"/>
    <n v="100"/>
    <n v="13"/>
    <n v="2395.8000000000002"/>
    <d v="2003-11-12T00:00:00"/>
    <x v="0"/>
    <n v="4"/>
    <x v="5"/>
    <x v="5"/>
    <x v="0"/>
    <x v="1"/>
    <n v="117"/>
    <x v="68"/>
    <x v="39"/>
    <n v="4155551450"/>
    <s v="5677 Strong St."/>
    <m/>
    <x v="33"/>
    <s v="CA"/>
    <n v="97562"/>
    <x v="0"/>
    <x v="0"/>
    <s v="Nelson"/>
    <s v="Valarie"/>
    <x v="0"/>
  </r>
  <r>
    <n v="10192"/>
    <n v="23"/>
    <n v="100"/>
    <n v="1"/>
    <n v="3052.33"/>
    <d v="2003-11-20T00:00:00"/>
    <x v="0"/>
    <n v="4"/>
    <x v="5"/>
    <x v="5"/>
    <x v="0"/>
    <x v="1"/>
    <n v="117"/>
    <x v="68"/>
    <x v="40"/>
    <n v="6035558647"/>
    <s v="2304 Long Airport Avenue"/>
    <m/>
    <x v="34"/>
    <s v="NH"/>
    <n v="62005"/>
    <x v="0"/>
    <x v="0"/>
    <s v="Young"/>
    <s v="Valarie"/>
    <x v="1"/>
  </r>
  <r>
    <n v="10204"/>
    <n v="42"/>
    <n v="100"/>
    <n v="7"/>
    <n v="4242"/>
    <d v="2003-12-02T00:00:00"/>
    <x v="0"/>
    <n v="4"/>
    <x v="6"/>
    <x v="6"/>
    <x v="0"/>
    <x v="1"/>
    <n v="117"/>
    <x v="68"/>
    <x v="74"/>
    <n v="2125557413"/>
    <s v="4092 Furth Circle"/>
    <s v="Suite 400"/>
    <x v="0"/>
    <s v="NY"/>
    <n v="10022"/>
    <x v="0"/>
    <x v="0"/>
    <s v="Young"/>
    <s v="Jeff"/>
    <x v="1"/>
  </r>
  <r>
    <n v="10213"/>
    <n v="27"/>
    <n v="100"/>
    <n v="3"/>
    <n v="2790.45"/>
    <d v="2004-01-22T00:00:00"/>
    <x v="0"/>
    <n v="1"/>
    <x v="7"/>
    <x v="7"/>
    <x v="1"/>
    <x v="1"/>
    <n v="117"/>
    <x v="68"/>
    <x v="52"/>
    <s v="(171) 555-7555"/>
    <s v="120 Hanover Sq."/>
    <m/>
    <x v="41"/>
    <m/>
    <s v="WA1 1DP"/>
    <x v="6"/>
    <x v="1"/>
    <s v="Hardy"/>
    <s v="Thomas"/>
    <x v="0"/>
  </r>
  <r>
    <n v="10227"/>
    <n v="33"/>
    <n v="100"/>
    <n v="13"/>
    <n v="4340.49"/>
    <d v="2004-03-02T00:00:00"/>
    <x v="0"/>
    <n v="1"/>
    <x v="11"/>
    <x v="11"/>
    <x v="1"/>
    <x v="1"/>
    <n v="117"/>
    <x v="68"/>
    <x v="30"/>
    <s v="78.32.5555"/>
    <s v="2, rue du Commerce"/>
    <m/>
    <x v="25"/>
    <m/>
    <n v="69004"/>
    <x v="1"/>
    <x v="1"/>
    <s v="Saveley"/>
    <s v="Mary"/>
    <x v="1"/>
  </r>
  <r>
    <n v="10241"/>
    <n v="28"/>
    <n v="98.65"/>
    <n v="5"/>
    <n v="2762.2"/>
    <d v="2004-04-13T00:00:00"/>
    <x v="0"/>
    <n v="2"/>
    <x v="8"/>
    <x v="8"/>
    <x v="1"/>
    <x v="1"/>
    <n v="117"/>
    <x v="68"/>
    <x v="83"/>
    <s v="88.60.1555"/>
    <s v="24, place Kluber"/>
    <m/>
    <x v="66"/>
    <m/>
    <n v="67000"/>
    <x v="1"/>
    <x v="1"/>
    <s v="Citeaux"/>
    <s v="Frederique"/>
    <x v="0"/>
  </r>
  <r>
    <n v="10267"/>
    <n v="43"/>
    <n v="100"/>
    <n v="2"/>
    <n v="4645.72"/>
    <d v="2004-07-07T00:00:00"/>
    <x v="0"/>
    <n v="3"/>
    <x v="2"/>
    <x v="2"/>
    <x v="1"/>
    <x v="1"/>
    <n v="117"/>
    <x v="68"/>
    <x v="74"/>
    <n v="2125557413"/>
    <s v="4092 Furth Circle"/>
    <s v="Suite 400"/>
    <x v="0"/>
    <s v="NY"/>
    <n v="10022"/>
    <x v="0"/>
    <x v="0"/>
    <s v="Young"/>
    <s v="Jeff"/>
    <x v="1"/>
  </r>
  <r>
    <n v="10279"/>
    <n v="48"/>
    <n v="100"/>
    <n v="2"/>
    <n v="5580.96"/>
    <d v="2004-08-09T00:00:00"/>
    <x v="0"/>
    <n v="3"/>
    <x v="3"/>
    <x v="3"/>
    <x v="1"/>
    <x v="1"/>
    <n v="117"/>
    <x v="68"/>
    <x v="23"/>
    <s v="(91) 555 94 44"/>
    <s v="C/ Moralzarzal, 86"/>
    <m/>
    <x v="20"/>
    <m/>
    <n v="28034"/>
    <x v="7"/>
    <x v="1"/>
    <s v="Freyre"/>
    <s v="Diego"/>
    <x v="1"/>
  </r>
  <r>
    <n v="10288"/>
    <n v="48"/>
    <n v="100"/>
    <n v="8"/>
    <n v="6539.04"/>
    <d v="2004-09-01T00:00:00"/>
    <x v="0"/>
    <n v="3"/>
    <x v="10"/>
    <x v="10"/>
    <x v="1"/>
    <x v="1"/>
    <n v="117"/>
    <x v="68"/>
    <x v="65"/>
    <s v="+65 224 1555"/>
    <s v="Village Close - 106 Linden Road Sandown"/>
    <s v="2nd Floor"/>
    <x v="22"/>
    <m/>
    <n v="69045"/>
    <x v="9"/>
    <x v="2"/>
    <s v="Victorino"/>
    <s v="Wendy"/>
    <x v="1"/>
  </r>
  <r>
    <n v="10302"/>
    <n v="45"/>
    <n v="100"/>
    <n v="4"/>
    <n v="5548.95"/>
    <d v="2003-10-06T00:00:00"/>
    <x v="0"/>
    <n v="4"/>
    <x v="4"/>
    <x v="4"/>
    <x v="0"/>
    <x v="1"/>
    <n v="117"/>
    <x v="68"/>
    <x v="22"/>
    <s v="(171) 555-2282"/>
    <s v="Berkeley Gardens 12  Brewery"/>
    <m/>
    <x v="19"/>
    <m/>
    <s v="WX1 6LT"/>
    <x v="6"/>
    <x v="1"/>
    <s v="Devon"/>
    <s v="Elizabeth"/>
    <x v="1"/>
  </r>
  <r>
    <n v="10311"/>
    <n v="43"/>
    <n v="100"/>
    <n v="3"/>
    <n v="4595.41"/>
    <d v="2004-10-16T00:00:00"/>
    <x v="0"/>
    <n v="4"/>
    <x v="4"/>
    <x v="4"/>
    <x v="1"/>
    <x v="1"/>
    <n v="117"/>
    <x v="68"/>
    <x v="23"/>
    <s v="(91) 555 94 44"/>
    <s v="C/ Moralzarzal, 86"/>
    <m/>
    <x v="20"/>
    <m/>
    <n v="28034"/>
    <x v="7"/>
    <x v="1"/>
    <s v="Freyre"/>
    <s v="Diego"/>
    <x v="1"/>
  </r>
  <r>
    <n v="10332"/>
    <n v="44"/>
    <n v="42.26"/>
    <n v="11"/>
    <n v="1859.44"/>
    <d v="2004-11-17T00:00:00"/>
    <x v="0"/>
    <n v="4"/>
    <x v="5"/>
    <x v="5"/>
    <x v="1"/>
    <x v="1"/>
    <n v="117"/>
    <x v="68"/>
    <x v="77"/>
    <s v="(171) 555-1555"/>
    <s v="Fauntleroy Circus"/>
    <m/>
    <x v="61"/>
    <m/>
    <s v="EC2 5NT"/>
    <x v="6"/>
    <x v="1"/>
    <s v="Ashworth"/>
    <s v="Victoria"/>
    <x v="0"/>
  </r>
  <r>
    <n v="10346"/>
    <n v="24"/>
    <n v="87.24"/>
    <n v="5"/>
    <n v="2093.7600000000002"/>
    <d v="2004-11-29T00:00:00"/>
    <x v="0"/>
    <n v="4"/>
    <x v="5"/>
    <x v="5"/>
    <x v="1"/>
    <x v="1"/>
    <n v="117"/>
    <x v="68"/>
    <x v="84"/>
    <n v="7025551838"/>
    <s v="8489 Strong St."/>
    <m/>
    <x v="67"/>
    <s v="NV"/>
    <n v="83030"/>
    <x v="0"/>
    <x v="0"/>
    <s v="King"/>
    <s v="Sue"/>
    <x v="0"/>
  </r>
  <r>
    <n v="10368"/>
    <n v="31"/>
    <n v="100"/>
    <n v="5"/>
    <n v="4223.13"/>
    <d v="2005-01-19T00:00:00"/>
    <x v="0"/>
    <n v="1"/>
    <x v="7"/>
    <x v="7"/>
    <x v="2"/>
    <x v="1"/>
    <n v="117"/>
    <x v="68"/>
    <x v="39"/>
    <n v="4155551450"/>
    <s v="5677 Strong St."/>
    <m/>
    <x v="33"/>
    <s v="CA"/>
    <n v="97562"/>
    <x v="0"/>
    <x v="0"/>
    <s v="Nelson"/>
    <s v="Valarie"/>
    <x v="1"/>
  </r>
  <r>
    <n v="10380"/>
    <n v="44"/>
    <n v="36.29"/>
    <n v="7"/>
    <n v="1596.76"/>
    <d v="2005-02-16T00:00:00"/>
    <x v="0"/>
    <n v="1"/>
    <x v="0"/>
    <x v="0"/>
    <x v="2"/>
    <x v="1"/>
    <n v="117"/>
    <x v="68"/>
    <x v="23"/>
    <s v="(91) 555 94 44"/>
    <s v="C/ Moralzarzal, 86"/>
    <m/>
    <x v="20"/>
    <m/>
    <n v="28034"/>
    <x v="7"/>
    <x v="1"/>
    <s v="Freyre"/>
    <s v="Diego"/>
    <x v="0"/>
  </r>
  <r>
    <n v="10407"/>
    <n v="59"/>
    <n v="98.65"/>
    <n v="5"/>
    <n v="5820.35"/>
    <d v="2005-04-22T00:00:00"/>
    <x v="4"/>
    <n v="2"/>
    <x v="8"/>
    <x v="8"/>
    <x v="2"/>
    <x v="1"/>
    <n v="117"/>
    <x v="68"/>
    <x v="61"/>
    <n v="4085553659"/>
    <s v="3086 Ingle Ln."/>
    <m/>
    <x v="51"/>
    <s v="CA"/>
    <n v="94217"/>
    <x v="0"/>
    <x v="0"/>
    <s v="Frick"/>
    <s v="Sue"/>
    <x v="1"/>
  </r>
  <r>
    <n v="10420"/>
    <n v="55"/>
    <n v="96.3"/>
    <n v="8"/>
    <n v="5296.5"/>
    <d v="2005-05-29T00:00:00"/>
    <x v="2"/>
    <n v="2"/>
    <x v="1"/>
    <x v="1"/>
    <x v="2"/>
    <x v="1"/>
    <n v="117"/>
    <x v="68"/>
    <x v="20"/>
    <s v="+61 2 9495 8555"/>
    <s v="Monitor Money Building, 815 Pacific Hwy"/>
    <s v="Level 6"/>
    <x v="17"/>
    <s v="NSW"/>
    <n v="2067"/>
    <x v="3"/>
    <x v="2"/>
    <s v="Huxley"/>
    <s v="Adrian"/>
    <x v="1"/>
  </r>
  <r>
    <n v="10109"/>
    <n v="29"/>
    <n v="32.1"/>
    <n v="6"/>
    <n v="930.9"/>
    <d v="2003-03-10T00:00:00"/>
    <x v="0"/>
    <n v="1"/>
    <x v="11"/>
    <x v="11"/>
    <x v="0"/>
    <x v="1"/>
    <n v="37"/>
    <x v="69"/>
    <x v="45"/>
    <n v="2155559857"/>
    <s v="11328 Douglas Av."/>
    <m/>
    <x v="24"/>
    <s v="PA"/>
    <n v="71270"/>
    <x v="0"/>
    <x v="0"/>
    <s v="Hernandez"/>
    <s v="Rosa"/>
    <x v="0"/>
  </r>
  <r>
    <n v="10122"/>
    <n v="39"/>
    <n v="30.96"/>
    <n v="4"/>
    <n v="1207.44"/>
    <d v="2003-05-08T00:00:00"/>
    <x v="0"/>
    <n v="2"/>
    <x v="1"/>
    <x v="1"/>
    <x v="0"/>
    <x v="1"/>
    <n v="37"/>
    <x v="69"/>
    <x v="67"/>
    <s v="91.24.4555"/>
    <s v="12, rue des Bouchers"/>
    <m/>
    <x v="54"/>
    <m/>
    <n v="13008"/>
    <x v="1"/>
    <x v="1"/>
    <s v="Lebihan"/>
    <s v="Laurence"/>
    <x v="0"/>
  </r>
  <r>
    <n v="10135"/>
    <n v="20"/>
    <n v="35.869999999999997"/>
    <n v="1"/>
    <n v="717.4"/>
    <d v="2003-07-02T00:00:00"/>
    <x v="0"/>
    <n v="3"/>
    <x v="2"/>
    <x v="2"/>
    <x v="0"/>
    <x v="1"/>
    <n v="37"/>
    <x v="69"/>
    <x v="39"/>
    <n v="4155551450"/>
    <s v="5677 Strong St."/>
    <m/>
    <x v="33"/>
    <s v="CA"/>
    <n v="97562"/>
    <x v="0"/>
    <x v="0"/>
    <s v="Nelson"/>
    <s v="Valarie"/>
    <x v="0"/>
  </r>
  <r>
    <n v="10147"/>
    <n v="25"/>
    <n v="42.67"/>
    <n v="1"/>
    <n v="1066.75"/>
    <d v="2003-09-05T00:00:00"/>
    <x v="0"/>
    <n v="3"/>
    <x v="10"/>
    <x v="10"/>
    <x v="0"/>
    <x v="1"/>
    <n v="37"/>
    <x v="69"/>
    <x v="41"/>
    <n v="6175558555"/>
    <s v="7825 Douglas Av."/>
    <m/>
    <x v="35"/>
    <s v="MA"/>
    <n v="58339"/>
    <x v="0"/>
    <x v="0"/>
    <s v="Nelson"/>
    <s v="Allen"/>
    <x v="0"/>
  </r>
  <r>
    <n v="10160"/>
    <n v="42"/>
    <n v="37"/>
    <n v="2"/>
    <n v="1554"/>
    <d v="2003-10-11T00:00:00"/>
    <x v="0"/>
    <n v="4"/>
    <x v="4"/>
    <x v="4"/>
    <x v="0"/>
    <x v="1"/>
    <n v="37"/>
    <x v="69"/>
    <x v="54"/>
    <n v="2155554369"/>
    <s v="6047 Douglas Av."/>
    <m/>
    <x v="44"/>
    <s v="CA"/>
    <m/>
    <x v="0"/>
    <x v="0"/>
    <s v="Chandler"/>
    <s v="Michael"/>
    <x v="0"/>
  </r>
  <r>
    <n v="10171"/>
    <n v="36"/>
    <n v="35.49"/>
    <n v="4"/>
    <n v="1277.6400000000001"/>
    <d v="2003-11-05T00:00:00"/>
    <x v="0"/>
    <n v="4"/>
    <x v="5"/>
    <x v="5"/>
    <x v="0"/>
    <x v="1"/>
    <n v="37"/>
    <x v="69"/>
    <x v="43"/>
    <s v="(514) 555-8054"/>
    <s v="43 rue St. Laurent"/>
    <m/>
    <x v="37"/>
    <s v="Quebec"/>
    <s v="H1J 1C3"/>
    <x v="10"/>
    <x v="0"/>
    <s v="Fresnisre"/>
    <s v="Jean"/>
    <x v="0"/>
  </r>
  <r>
    <n v="10181"/>
    <n v="37"/>
    <n v="42.67"/>
    <n v="8"/>
    <n v="1578.79"/>
    <d v="2003-11-12T00:00:00"/>
    <x v="0"/>
    <n v="4"/>
    <x v="5"/>
    <x v="5"/>
    <x v="0"/>
    <x v="1"/>
    <n v="37"/>
    <x v="69"/>
    <x v="7"/>
    <s v="+47 2267 3215"/>
    <s v="Drammen 121, PR 744 Sentrum"/>
    <m/>
    <x v="7"/>
    <m/>
    <s v="N 5804"/>
    <x v="2"/>
    <x v="1"/>
    <s v="Oeztan"/>
    <s v="Veysel"/>
    <x v="0"/>
  </r>
  <r>
    <n v="10192"/>
    <n v="30"/>
    <n v="30.59"/>
    <n v="13"/>
    <n v="917.7"/>
    <d v="2003-11-20T00:00:00"/>
    <x v="0"/>
    <n v="4"/>
    <x v="5"/>
    <x v="5"/>
    <x v="0"/>
    <x v="1"/>
    <n v="37"/>
    <x v="69"/>
    <x v="40"/>
    <n v="6035558647"/>
    <s v="2304 Long Airport Avenue"/>
    <m/>
    <x v="34"/>
    <s v="NH"/>
    <n v="62005"/>
    <x v="0"/>
    <x v="0"/>
    <s v="Young"/>
    <s v="Valarie"/>
    <x v="0"/>
  </r>
  <r>
    <n v="10203"/>
    <n v="21"/>
    <n v="37"/>
    <n v="2"/>
    <n v="777"/>
    <d v="2003-12-02T00:00:00"/>
    <x v="0"/>
    <n v="4"/>
    <x v="6"/>
    <x v="6"/>
    <x v="0"/>
    <x v="1"/>
    <n v="37"/>
    <x v="69"/>
    <x v="23"/>
    <s v="(91) 555 94 44"/>
    <s v="C/ Moralzarzal, 86"/>
    <m/>
    <x v="20"/>
    <m/>
    <n v="28034"/>
    <x v="7"/>
    <x v="1"/>
    <s v="Freyre"/>
    <s v="Diego"/>
    <x v="0"/>
  </r>
  <r>
    <n v="10212"/>
    <n v="34"/>
    <n v="43.42"/>
    <n v="12"/>
    <n v="1476.28"/>
    <d v="2004-01-16T00:00:00"/>
    <x v="0"/>
    <n v="1"/>
    <x v="7"/>
    <x v="7"/>
    <x v="1"/>
    <x v="1"/>
    <n v="37"/>
    <x v="69"/>
    <x v="23"/>
    <s v="(91) 555 94 44"/>
    <s v="C/ Moralzarzal, 86"/>
    <m/>
    <x v="20"/>
    <m/>
    <n v="28034"/>
    <x v="7"/>
    <x v="1"/>
    <s v="Freyre"/>
    <s v="Diego"/>
    <x v="0"/>
  </r>
  <r>
    <n v="10225"/>
    <n v="42"/>
    <n v="36.630000000000003"/>
    <n v="3"/>
    <n v="1538.46"/>
    <d v="2004-02-22T00:00:00"/>
    <x v="0"/>
    <n v="1"/>
    <x v="0"/>
    <x v="0"/>
    <x v="1"/>
    <x v="1"/>
    <n v="37"/>
    <x v="69"/>
    <x v="69"/>
    <s v="0897-034555"/>
    <s v="Grenzacherweg 237"/>
    <m/>
    <x v="56"/>
    <m/>
    <n v="1203"/>
    <x v="17"/>
    <x v="1"/>
    <s v="Holz"/>
    <s v="Michael"/>
    <x v="0"/>
  </r>
  <r>
    <n v="10239"/>
    <n v="20"/>
    <n v="44.56"/>
    <n v="2"/>
    <n v="891.2"/>
    <d v="2004-04-12T00:00:00"/>
    <x v="0"/>
    <n v="2"/>
    <x v="8"/>
    <x v="8"/>
    <x v="1"/>
    <x v="1"/>
    <n v="37"/>
    <x v="69"/>
    <x v="60"/>
    <s v="981-443655"/>
    <s v="Torikatu 38"/>
    <m/>
    <x v="50"/>
    <m/>
    <n v="90110"/>
    <x v="4"/>
    <x v="1"/>
    <s v="Koskitalo"/>
    <s v="Pirkko"/>
    <x v="0"/>
  </r>
  <r>
    <n v="10253"/>
    <n v="40"/>
    <n v="42.67"/>
    <n v="7"/>
    <n v="1706.8"/>
    <d v="2004-06-01T00:00:00"/>
    <x v="3"/>
    <n v="2"/>
    <x v="9"/>
    <x v="9"/>
    <x v="1"/>
    <x v="1"/>
    <n v="37"/>
    <x v="69"/>
    <x v="22"/>
    <s v="(171) 555-2282"/>
    <s v="Berkeley Gardens 12  Brewery"/>
    <m/>
    <x v="19"/>
    <m/>
    <s v="WX1 6LT"/>
    <x v="6"/>
    <x v="1"/>
    <s v="Devon"/>
    <s v="Elizabeth"/>
    <x v="0"/>
  </r>
  <r>
    <n v="10266"/>
    <n v="34"/>
    <n v="40.4"/>
    <n v="8"/>
    <n v="1373.6"/>
    <d v="2004-07-06T00:00:00"/>
    <x v="0"/>
    <n v="3"/>
    <x v="2"/>
    <x v="2"/>
    <x v="1"/>
    <x v="1"/>
    <n v="37"/>
    <x v="69"/>
    <x v="70"/>
    <s v="0522-556555"/>
    <s v="Strada Provinciale 124"/>
    <m/>
    <x v="57"/>
    <m/>
    <n v="42100"/>
    <x v="12"/>
    <x v="1"/>
    <s v="Moroni"/>
    <s v="Maurizio"/>
    <x v="0"/>
  </r>
  <r>
    <n v="10278"/>
    <n v="31"/>
    <n v="38.89"/>
    <n v="8"/>
    <n v="1205.5899999999999"/>
    <d v="2004-08-06T00:00:00"/>
    <x v="0"/>
    <n v="3"/>
    <x v="3"/>
    <x v="3"/>
    <x v="1"/>
    <x v="1"/>
    <n v="37"/>
    <x v="69"/>
    <x v="84"/>
    <n v="7025551838"/>
    <s v="8489 Strong St."/>
    <m/>
    <x v="67"/>
    <s v="NV"/>
    <n v="83030"/>
    <x v="0"/>
    <x v="0"/>
    <s v="King"/>
    <s v="Sue"/>
    <x v="0"/>
  </r>
  <r>
    <n v="10287"/>
    <n v="36"/>
    <n v="39.65"/>
    <n v="6"/>
    <n v="1427.4"/>
    <d v="2004-08-30T00:00:00"/>
    <x v="0"/>
    <n v="3"/>
    <x v="3"/>
    <x v="3"/>
    <x v="1"/>
    <x v="1"/>
    <n v="37"/>
    <x v="69"/>
    <x v="69"/>
    <s v="0897-034555"/>
    <s v="Grenzacherweg 237"/>
    <m/>
    <x v="56"/>
    <m/>
    <n v="1203"/>
    <x v="17"/>
    <x v="1"/>
    <s v="Holz"/>
    <s v="Michael"/>
    <x v="0"/>
  </r>
  <r>
    <n v="10301"/>
    <n v="48"/>
    <n v="34.36"/>
    <n v="10"/>
    <n v="1649.28"/>
    <d v="2003-10-05T00:00:00"/>
    <x v="0"/>
    <n v="4"/>
    <x v="4"/>
    <x v="4"/>
    <x v="0"/>
    <x v="1"/>
    <n v="37"/>
    <x v="69"/>
    <x v="85"/>
    <s v="+47 2212 1555"/>
    <s v="Drammensveien 126 A, PB 744 Sentrum"/>
    <m/>
    <x v="68"/>
    <m/>
    <s v="N 0106"/>
    <x v="2"/>
    <x v="1"/>
    <s v="Klaeboe"/>
    <s v="Jan"/>
    <x v="0"/>
  </r>
  <r>
    <n v="10310"/>
    <n v="33"/>
    <n v="41.91"/>
    <n v="4"/>
    <n v="1383.03"/>
    <d v="2004-10-16T00:00:00"/>
    <x v="0"/>
    <n v="4"/>
    <x v="4"/>
    <x v="4"/>
    <x v="1"/>
    <x v="1"/>
    <n v="37"/>
    <x v="69"/>
    <x v="68"/>
    <s v="0221-5554327"/>
    <s v="Mehrheimerstr. 369"/>
    <m/>
    <x v="55"/>
    <m/>
    <n v="50739"/>
    <x v="16"/>
    <x v="1"/>
    <s v="Pfalzheim"/>
    <s v="Henriette"/>
    <x v="0"/>
  </r>
  <r>
    <n v="10321"/>
    <n v="37"/>
    <n v="33.229999999999997"/>
    <n v="12"/>
    <n v="1229.51"/>
    <d v="2004-11-04T00:00:00"/>
    <x v="0"/>
    <n v="4"/>
    <x v="5"/>
    <x v="5"/>
    <x v="1"/>
    <x v="1"/>
    <n v="37"/>
    <x v="69"/>
    <x v="21"/>
    <n v="5085552555"/>
    <s v="1785 First Street"/>
    <m/>
    <x v="18"/>
    <s v="MA"/>
    <n v="50553"/>
    <x v="0"/>
    <x v="0"/>
    <s v="Benitez"/>
    <s v="Violeta"/>
    <x v="0"/>
  </r>
  <r>
    <n v="10331"/>
    <n v="27"/>
    <n v="42.24"/>
    <n v="13"/>
    <n v="1140.48"/>
    <d v="2004-11-17T00:00:00"/>
    <x v="0"/>
    <n v="4"/>
    <x v="5"/>
    <x v="5"/>
    <x v="1"/>
    <x v="1"/>
    <n v="37"/>
    <x v="69"/>
    <x v="45"/>
    <n v="2155559857"/>
    <s v="11328 Douglas Av."/>
    <m/>
    <x v="24"/>
    <s v="PA"/>
    <n v="71270"/>
    <x v="0"/>
    <x v="0"/>
    <s v="Hernandez"/>
    <s v="Rosa"/>
    <x v="0"/>
  </r>
  <r>
    <n v="10342"/>
    <n v="39"/>
    <n v="40.4"/>
    <n v="9"/>
    <n v="1575.6"/>
    <d v="2004-11-24T00:00:00"/>
    <x v="0"/>
    <n v="4"/>
    <x v="5"/>
    <x v="5"/>
    <x v="1"/>
    <x v="1"/>
    <n v="37"/>
    <x v="69"/>
    <x v="10"/>
    <s v="03 9520 4555"/>
    <s v="636 St Kilda Road"/>
    <s v="Level 3"/>
    <x v="8"/>
    <s v="Victoria"/>
    <n v="3004"/>
    <x v="3"/>
    <x v="2"/>
    <s v="Ferguson"/>
    <s v="Peter"/>
    <x v="0"/>
  </r>
  <r>
    <n v="10355"/>
    <n v="36"/>
    <n v="38.520000000000003"/>
    <n v="4"/>
    <n v="1386.72"/>
    <d v="2004-12-07T00:00:00"/>
    <x v="0"/>
    <n v="4"/>
    <x v="6"/>
    <x v="6"/>
    <x v="1"/>
    <x v="1"/>
    <n v="37"/>
    <x v="69"/>
    <x v="23"/>
    <s v="(91) 555 94 44"/>
    <s v="C/ Moralzarzal, 86"/>
    <m/>
    <x v="20"/>
    <m/>
    <n v="28034"/>
    <x v="7"/>
    <x v="1"/>
    <s v="Freyre"/>
    <s v="Diego"/>
    <x v="0"/>
  </r>
  <r>
    <n v="10367"/>
    <n v="36"/>
    <n v="100"/>
    <n v="2"/>
    <n v="5018.3999999999996"/>
    <d v="2005-01-12T00:00:00"/>
    <x v="5"/>
    <n v="1"/>
    <x v="7"/>
    <x v="7"/>
    <x v="2"/>
    <x v="1"/>
    <n v="37"/>
    <x v="69"/>
    <x v="3"/>
    <n v="6265557265"/>
    <s v="78934 Hillside Dr."/>
    <m/>
    <x v="3"/>
    <s v="CA"/>
    <n v="90003"/>
    <x v="0"/>
    <x v="0"/>
    <s v="Young"/>
    <s v="Julie"/>
    <x v="1"/>
  </r>
  <r>
    <n v="10378"/>
    <n v="41"/>
    <n v="100"/>
    <n v="7"/>
    <n v="5856.85"/>
    <d v="2005-02-10T00:00:00"/>
    <x v="0"/>
    <n v="1"/>
    <x v="0"/>
    <x v="0"/>
    <x v="2"/>
    <x v="1"/>
    <n v="37"/>
    <x v="69"/>
    <x v="23"/>
    <s v="(91) 555 94 44"/>
    <s v="C/ Moralzarzal, 86"/>
    <m/>
    <x v="20"/>
    <m/>
    <n v="28034"/>
    <x v="7"/>
    <x v="1"/>
    <s v="Freyre"/>
    <s v="Diego"/>
    <x v="1"/>
  </r>
  <r>
    <n v="10390"/>
    <n v="37"/>
    <n v="100"/>
    <n v="5"/>
    <n v="4894.7299999999996"/>
    <d v="2005-03-04T00:00:00"/>
    <x v="0"/>
    <n v="1"/>
    <x v="11"/>
    <x v="11"/>
    <x v="2"/>
    <x v="1"/>
    <n v="37"/>
    <x v="69"/>
    <x v="39"/>
    <n v="4155551450"/>
    <s v="5677 Strong St."/>
    <m/>
    <x v="33"/>
    <s v="CA"/>
    <n v="97562"/>
    <x v="0"/>
    <x v="0"/>
    <s v="Nelson"/>
    <s v="Valarie"/>
    <x v="1"/>
  </r>
  <r>
    <n v="10405"/>
    <n v="47"/>
    <n v="44.56"/>
    <n v="2"/>
    <n v="2094.3200000000002"/>
    <d v="2005-04-14T00:00:00"/>
    <x v="0"/>
    <n v="2"/>
    <x v="8"/>
    <x v="8"/>
    <x v="2"/>
    <x v="1"/>
    <n v="37"/>
    <x v="69"/>
    <x v="83"/>
    <s v="88.60.1555"/>
    <s v="24, place Kluber"/>
    <m/>
    <x v="66"/>
    <m/>
    <n v="67000"/>
    <x v="1"/>
    <x v="1"/>
    <s v="Citeaux"/>
    <s v="Frederique"/>
    <x v="0"/>
  </r>
  <r>
    <n v="10419"/>
    <n v="15"/>
    <n v="42.67"/>
    <n v="7"/>
    <n v="640.04999999999995"/>
    <d v="2005-05-17T00:00:00"/>
    <x v="0"/>
    <n v="2"/>
    <x v="1"/>
    <x v="1"/>
    <x v="2"/>
    <x v="1"/>
    <n v="37"/>
    <x v="69"/>
    <x v="19"/>
    <s v="6562-9555"/>
    <s v="Geislweg 14"/>
    <m/>
    <x v="16"/>
    <m/>
    <n v="5020"/>
    <x v="5"/>
    <x v="1"/>
    <s v="Pipps"/>
    <s v="Georg"/>
    <x v="0"/>
  </r>
  <r>
    <n v="10105"/>
    <n v="44"/>
    <n v="72.58"/>
    <n v="4"/>
    <n v="3193.52"/>
    <d v="2003-02-11T00:00:00"/>
    <x v="0"/>
    <n v="1"/>
    <x v="0"/>
    <x v="0"/>
    <x v="0"/>
    <x v="3"/>
    <n v="88"/>
    <x v="70"/>
    <x v="48"/>
    <s v="31 12 3555"/>
    <s v="Vinb'ltet 34"/>
    <m/>
    <x v="40"/>
    <m/>
    <n v="1734"/>
    <x v="13"/>
    <x v="1"/>
    <s v="Petersen"/>
    <s v="Jytte"/>
    <x v="1"/>
  </r>
  <r>
    <n v="10119"/>
    <n v="35"/>
    <n v="87.62"/>
    <n v="13"/>
    <n v="3066.7"/>
    <d v="2003-04-28T00:00:00"/>
    <x v="0"/>
    <n v="2"/>
    <x v="8"/>
    <x v="8"/>
    <x v="0"/>
    <x v="3"/>
    <n v="88"/>
    <x v="70"/>
    <x v="19"/>
    <s v="6562-9555"/>
    <s v="Geislweg 14"/>
    <m/>
    <x v="16"/>
    <m/>
    <n v="5020"/>
    <x v="5"/>
    <x v="1"/>
    <s v="Pipps"/>
    <s v="Georg"/>
    <x v="1"/>
  </r>
  <r>
    <n v="10129"/>
    <n v="41"/>
    <n v="94.71"/>
    <n v="4"/>
    <n v="3883.11"/>
    <d v="2003-06-12T00:00:00"/>
    <x v="0"/>
    <n v="2"/>
    <x v="9"/>
    <x v="9"/>
    <x v="0"/>
    <x v="3"/>
    <n v="88"/>
    <x v="70"/>
    <x v="49"/>
    <s v="(171) 555-0297"/>
    <s v="35 King George"/>
    <m/>
    <x v="41"/>
    <m/>
    <s v="WX3 6FW"/>
    <x v="6"/>
    <x v="1"/>
    <s v="Brown"/>
    <s v="Ann"/>
    <x v="1"/>
  </r>
  <r>
    <n v="10142"/>
    <n v="49"/>
    <n v="98.25"/>
    <n v="1"/>
    <n v="4814.25"/>
    <d v="2003-08-08T00:00:00"/>
    <x v="0"/>
    <n v="3"/>
    <x v="3"/>
    <x v="3"/>
    <x v="0"/>
    <x v="3"/>
    <n v="88"/>
    <x v="70"/>
    <x v="39"/>
    <n v="4155551450"/>
    <s v="5677 Strong St."/>
    <m/>
    <x v="33"/>
    <s v="CA"/>
    <n v="97562"/>
    <x v="0"/>
    <x v="0"/>
    <s v="Nelson"/>
    <s v="Valarie"/>
    <x v="1"/>
  </r>
  <r>
    <n v="10154"/>
    <n v="31"/>
    <n v="91.17"/>
    <n v="2"/>
    <n v="2826.27"/>
    <d v="2003-10-02T00:00:00"/>
    <x v="0"/>
    <n v="4"/>
    <x v="4"/>
    <x v="4"/>
    <x v="0"/>
    <x v="3"/>
    <n v="88"/>
    <x v="70"/>
    <x v="80"/>
    <n v="3105552373"/>
    <s v="4097 Douglas Av."/>
    <m/>
    <x v="63"/>
    <s v="CA"/>
    <n v="92561"/>
    <x v="0"/>
    <x v="0"/>
    <s v="Young"/>
    <s v="Leslie"/>
    <x v="0"/>
  </r>
  <r>
    <n v="10167"/>
    <n v="20"/>
    <n v="79.66"/>
    <n v="11"/>
    <n v="1593.2"/>
    <d v="2003-10-23T00:00:00"/>
    <x v="3"/>
    <n v="4"/>
    <x v="4"/>
    <x v="4"/>
    <x v="0"/>
    <x v="3"/>
    <n v="88"/>
    <x v="70"/>
    <x v="37"/>
    <s v="0695-34 6555"/>
    <s v="?kergatan 24"/>
    <m/>
    <x v="31"/>
    <m/>
    <s v="S-844 67"/>
    <x v="8"/>
    <x v="1"/>
    <s v="Larsson"/>
    <s v="Maria"/>
    <x v="0"/>
  </r>
  <r>
    <n v="10177"/>
    <n v="45"/>
    <n v="72.58"/>
    <n v="2"/>
    <n v="3266.1"/>
    <d v="2003-11-07T00:00:00"/>
    <x v="0"/>
    <n v="4"/>
    <x v="5"/>
    <x v="5"/>
    <x v="0"/>
    <x v="3"/>
    <n v="88"/>
    <x v="70"/>
    <x v="76"/>
    <s v="+34 913 728 555"/>
    <s v="Merchants House, 27-30 Merchant's Quay"/>
    <m/>
    <x v="20"/>
    <m/>
    <n v="28023"/>
    <x v="7"/>
    <x v="1"/>
    <s v="Fernandez"/>
    <s v="Jesus"/>
    <x v="1"/>
  </r>
  <r>
    <n v="10185"/>
    <n v="33"/>
    <n v="74.349999999999994"/>
    <n v="2"/>
    <n v="2453.5500000000002"/>
    <d v="2003-11-14T00:00:00"/>
    <x v="0"/>
    <n v="4"/>
    <x v="5"/>
    <x v="5"/>
    <x v="0"/>
    <x v="3"/>
    <n v="88"/>
    <x v="70"/>
    <x v="50"/>
    <n v="5085559555"/>
    <s v="4575 Hillside Dr."/>
    <m/>
    <x v="18"/>
    <s v="MA"/>
    <n v="50553"/>
    <x v="0"/>
    <x v="0"/>
    <s v="Tam"/>
    <s v="Wing C"/>
    <x v="0"/>
  </r>
  <r>
    <n v="10197"/>
    <n v="47"/>
    <n v="83.2"/>
    <n v="8"/>
    <n v="3910.4"/>
    <d v="2003-11-26T00:00:00"/>
    <x v="0"/>
    <n v="4"/>
    <x v="5"/>
    <x v="5"/>
    <x v="0"/>
    <x v="3"/>
    <n v="88"/>
    <x v="70"/>
    <x v="53"/>
    <s v="(93) 203 4555"/>
    <s v="Rambla de Catalu¤a, 23"/>
    <m/>
    <x v="43"/>
    <m/>
    <n v="8022"/>
    <x v="7"/>
    <x v="1"/>
    <s v="Saavedra"/>
    <s v="Eduardo"/>
    <x v="1"/>
  </r>
  <r>
    <n v="10208"/>
    <n v="20"/>
    <n v="89.4"/>
    <n v="2"/>
    <n v="1788"/>
    <d v="2004-01-02T00:00:00"/>
    <x v="0"/>
    <n v="1"/>
    <x v="7"/>
    <x v="7"/>
    <x v="1"/>
    <x v="3"/>
    <n v="88"/>
    <x v="70"/>
    <x v="30"/>
    <s v="78.32.5555"/>
    <s v="2, rue du Commerce"/>
    <m/>
    <x v="25"/>
    <m/>
    <n v="69004"/>
    <x v="1"/>
    <x v="1"/>
    <s v="Saveley"/>
    <s v="Mary"/>
    <x v="0"/>
  </r>
  <r>
    <n v="10222"/>
    <n v="47"/>
    <n v="70.81"/>
    <n v="14"/>
    <n v="3328.07"/>
    <d v="2004-02-19T00:00:00"/>
    <x v="0"/>
    <n v="1"/>
    <x v="0"/>
    <x v="0"/>
    <x v="1"/>
    <x v="3"/>
    <n v="88"/>
    <x v="70"/>
    <x v="55"/>
    <n v="7605558146"/>
    <s v="361 Furth Circle"/>
    <m/>
    <x v="45"/>
    <s v="CA"/>
    <n v="91217"/>
    <x v="0"/>
    <x v="0"/>
    <s v="Thompson"/>
    <s v="Valarie"/>
    <x v="1"/>
  </r>
  <r>
    <n v="10233"/>
    <n v="40"/>
    <n v="94.71"/>
    <n v="2"/>
    <n v="3788.4"/>
    <d v="2004-03-29T00:00:00"/>
    <x v="0"/>
    <n v="1"/>
    <x v="11"/>
    <x v="11"/>
    <x v="1"/>
    <x v="3"/>
    <n v="88"/>
    <x v="70"/>
    <x v="12"/>
    <n v="2015559350"/>
    <s v="7476 Moss Rd."/>
    <m/>
    <x v="9"/>
    <s v="NJ"/>
    <n v="94019"/>
    <x v="0"/>
    <x v="0"/>
    <s v="Brown"/>
    <s v="William"/>
    <x v="1"/>
  </r>
  <r>
    <n v="10248"/>
    <n v="30"/>
    <n v="100"/>
    <n v="5"/>
    <n v="3053.7"/>
    <d v="2004-05-07T00:00:00"/>
    <x v="3"/>
    <n v="2"/>
    <x v="1"/>
    <x v="1"/>
    <x v="1"/>
    <x v="3"/>
    <n v="88"/>
    <x v="70"/>
    <x v="0"/>
    <n v="2125557818"/>
    <s v="897 Long Airport Avenue"/>
    <m/>
    <x v="0"/>
    <s v="NY"/>
    <n v="10022"/>
    <x v="0"/>
    <x v="0"/>
    <s v="Yu"/>
    <s v="Kwai"/>
    <x v="1"/>
  </r>
  <r>
    <n v="10261"/>
    <n v="22"/>
    <n v="91.17"/>
    <n v="3"/>
    <n v="2005.74"/>
    <d v="2004-06-17T00:00:00"/>
    <x v="0"/>
    <n v="2"/>
    <x v="9"/>
    <x v="9"/>
    <x v="1"/>
    <x v="3"/>
    <n v="88"/>
    <x v="70"/>
    <x v="43"/>
    <s v="(514) 555-8054"/>
    <s v="43 rue St. Laurent"/>
    <m/>
    <x v="37"/>
    <s v="Quebec"/>
    <s v="H1J 1C3"/>
    <x v="10"/>
    <x v="0"/>
    <s v="Fresnisre"/>
    <s v="Jean"/>
    <x v="0"/>
  </r>
  <r>
    <n v="10273"/>
    <n v="27"/>
    <n v="100"/>
    <n v="6"/>
    <n v="2796.12"/>
    <d v="2004-07-21T00:00:00"/>
    <x v="0"/>
    <n v="3"/>
    <x v="2"/>
    <x v="2"/>
    <x v="1"/>
    <x v="3"/>
    <n v="88"/>
    <x v="70"/>
    <x v="56"/>
    <s v="(02) 5554 67"/>
    <s v="Rue Joseph-Bens 532"/>
    <m/>
    <x v="46"/>
    <m/>
    <s v="B-1180"/>
    <x v="14"/>
    <x v="1"/>
    <s v="Dewey"/>
    <s v="Catherine"/>
    <x v="0"/>
  </r>
  <r>
    <n v="10283"/>
    <n v="34"/>
    <n v="92.94"/>
    <n v="8"/>
    <n v="3159.96"/>
    <d v="2004-08-20T00:00:00"/>
    <x v="0"/>
    <n v="3"/>
    <x v="3"/>
    <x v="3"/>
    <x v="1"/>
    <x v="3"/>
    <n v="88"/>
    <x v="70"/>
    <x v="57"/>
    <s v="(604) 555-4555"/>
    <s v="23 Tsawassen Blvd."/>
    <m/>
    <x v="47"/>
    <s v="BC"/>
    <s v="T2F 8M4"/>
    <x v="10"/>
    <x v="0"/>
    <s v="Lincoln"/>
    <s v="Elizabeth"/>
    <x v="1"/>
  </r>
  <r>
    <n v="10295"/>
    <n v="46"/>
    <n v="84.97"/>
    <n v="3"/>
    <n v="3908.62"/>
    <d v="2004-09-10T00:00:00"/>
    <x v="0"/>
    <n v="3"/>
    <x v="10"/>
    <x v="10"/>
    <x v="1"/>
    <x v="3"/>
    <n v="88"/>
    <x v="70"/>
    <x v="58"/>
    <n v="6175559555"/>
    <s v="8616 Spinnaker Dr."/>
    <m/>
    <x v="48"/>
    <s v="MA"/>
    <n v="51003"/>
    <x v="0"/>
    <x v="0"/>
    <s v="Yoshido"/>
    <s v="Juri"/>
    <x v="1"/>
  </r>
  <r>
    <n v="10306"/>
    <n v="31"/>
    <n v="84.08"/>
    <n v="2"/>
    <n v="2606.48"/>
    <d v="2004-10-14T00:00:00"/>
    <x v="0"/>
    <n v="4"/>
    <x v="4"/>
    <x v="4"/>
    <x v="1"/>
    <x v="3"/>
    <n v="88"/>
    <x v="70"/>
    <x v="77"/>
    <s v="(171) 555-1555"/>
    <s v="Fauntleroy Circus"/>
    <m/>
    <x v="61"/>
    <m/>
    <s v="EC2 5NT"/>
    <x v="6"/>
    <x v="1"/>
    <s v="Ashworth"/>
    <s v="Victoria"/>
    <x v="0"/>
  </r>
  <r>
    <n v="10315"/>
    <n v="24"/>
    <n v="86.74"/>
    <n v="1"/>
    <n v="2081.7600000000002"/>
    <d v="2004-10-29T00:00:00"/>
    <x v="0"/>
    <n v="4"/>
    <x v="4"/>
    <x v="4"/>
    <x v="1"/>
    <x v="3"/>
    <n v="88"/>
    <x v="70"/>
    <x v="14"/>
    <s v="40.67.8555"/>
    <s v="67, rue des Cinquante Otages"/>
    <m/>
    <x v="11"/>
    <m/>
    <n v="44000"/>
    <x v="1"/>
    <x v="1"/>
    <s v="Labrune"/>
    <s v="Janine"/>
    <x v="0"/>
  </r>
  <r>
    <n v="10326"/>
    <n v="41"/>
    <n v="85.85"/>
    <n v="3"/>
    <n v="3519.85"/>
    <d v="2004-11-09T00:00:00"/>
    <x v="0"/>
    <n v="4"/>
    <x v="5"/>
    <x v="5"/>
    <x v="1"/>
    <x v="3"/>
    <n v="88"/>
    <x v="70"/>
    <x v="24"/>
    <s v="0921-12 3555"/>
    <s v="Berguvsv„gen  8"/>
    <m/>
    <x v="21"/>
    <m/>
    <s v="S-958 22"/>
    <x v="8"/>
    <x v="1"/>
    <s v="Berglund"/>
    <s v="Christina"/>
    <x v="1"/>
  </r>
  <r>
    <n v="10339"/>
    <n v="55"/>
    <n v="100"/>
    <n v="13"/>
    <n v="10758"/>
    <d v="2004-11-23T00:00:00"/>
    <x v="0"/>
    <n v="4"/>
    <x v="5"/>
    <x v="5"/>
    <x v="1"/>
    <x v="3"/>
    <n v="88"/>
    <x v="70"/>
    <x v="35"/>
    <s v="+81 3 3584 0555"/>
    <s v="2-2-8 Roppongi"/>
    <m/>
    <x v="29"/>
    <s v="Tokyo"/>
    <s v="106-0032"/>
    <x v="11"/>
    <x v="3"/>
    <s v="Shimamura"/>
    <s v="Akiko"/>
    <x v="2"/>
  </r>
  <r>
    <n v="10350"/>
    <n v="30"/>
    <n v="100"/>
    <n v="9"/>
    <n v="3021"/>
    <d v="2004-12-02T00:00:00"/>
    <x v="0"/>
    <n v="4"/>
    <x v="6"/>
    <x v="6"/>
    <x v="1"/>
    <x v="3"/>
    <n v="88"/>
    <x v="70"/>
    <x v="23"/>
    <s v="(91) 555 94 44"/>
    <s v="C/ Moralzarzal, 86"/>
    <m/>
    <x v="20"/>
    <m/>
    <n v="28034"/>
    <x v="7"/>
    <x v="1"/>
    <s v="Freyre"/>
    <s v="Diego"/>
    <x v="1"/>
  </r>
  <r>
    <n v="10373"/>
    <n v="33"/>
    <n v="57.32"/>
    <n v="12"/>
    <n v="1891.56"/>
    <d v="2005-01-31T00:00:00"/>
    <x v="0"/>
    <n v="1"/>
    <x v="7"/>
    <x v="7"/>
    <x v="2"/>
    <x v="3"/>
    <n v="88"/>
    <x v="70"/>
    <x v="60"/>
    <s v="981-443655"/>
    <s v="Torikatu 38"/>
    <m/>
    <x v="50"/>
    <m/>
    <n v="90110"/>
    <x v="4"/>
    <x v="1"/>
    <s v="Koskitalo"/>
    <s v="Pirkko"/>
    <x v="0"/>
  </r>
  <r>
    <n v="10384"/>
    <n v="43"/>
    <n v="97.87"/>
    <n v="2"/>
    <n v="4208.41"/>
    <d v="2005-02-23T00:00:00"/>
    <x v="0"/>
    <n v="1"/>
    <x v="0"/>
    <x v="0"/>
    <x v="2"/>
    <x v="3"/>
    <n v="88"/>
    <x v="70"/>
    <x v="4"/>
    <n v="6505551386"/>
    <s v="7734 Strong St."/>
    <m/>
    <x v="4"/>
    <s v="CA"/>
    <m/>
    <x v="0"/>
    <x v="0"/>
    <s v="Brown"/>
    <s v="Julie"/>
    <x v="1"/>
  </r>
  <r>
    <n v="10396"/>
    <n v="27"/>
    <n v="83.2"/>
    <n v="7"/>
    <n v="2246.4"/>
    <d v="2005-03-23T00:00:00"/>
    <x v="0"/>
    <n v="1"/>
    <x v="11"/>
    <x v="11"/>
    <x v="2"/>
    <x v="3"/>
    <n v="88"/>
    <x v="70"/>
    <x v="39"/>
    <n v="4155551450"/>
    <s v="5677 Strong St."/>
    <m/>
    <x v="33"/>
    <s v="CA"/>
    <n v="97562"/>
    <x v="0"/>
    <x v="0"/>
    <s v="Nelson"/>
    <s v="Valarie"/>
    <x v="0"/>
  </r>
  <r>
    <n v="10414"/>
    <n v="60"/>
    <n v="100"/>
    <n v="5"/>
    <n v="6107.4"/>
    <d v="2005-05-06T00:00:00"/>
    <x v="4"/>
    <n v="2"/>
    <x v="1"/>
    <x v="1"/>
    <x v="2"/>
    <x v="3"/>
    <n v="88"/>
    <x v="70"/>
    <x v="58"/>
    <n v="6175559555"/>
    <s v="8616 Spinnaker Dr."/>
    <m/>
    <x v="48"/>
    <s v="MA"/>
    <n v="51003"/>
    <x v="0"/>
    <x v="0"/>
    <s v="Yoshido"/>
    <s v="Juri"/>
    <x v="1"/>
  </r>
  <r>
    <n v="10110"/>
    <n v="27"/>
    <n v="73.62"/>
    <n v="12"/>
    <n v="1987.74"/>
    <d v="2003-03-18T00:00:00"/>
    <x v="0"/>
    <n v="1"/>
    <x v="11"/>
    <x v="11"/>
    <x v="0"/>
    <x v="1"/>
    <n v="85"/>
    <x v="71"/>
    <x v="77"/>
    <s v="(171) 555-1555"/>
    <s v="Fauntleroy Circus"/>
    <m/>
    <x v="61"/>
    <m/>
    <s v="EC2 5NT"/>
    <x v="6"/>
    <x v="1"/>
    <s v="Ashworth"/>
    <s v="Victoria"/>
    <x v="0"/>
  </r>
  <r>
    <n v="10124"/>
    <n v="49"/>
    <n v="83.04"/>
    <n v="11"/>
    <n v="4068.96"/>
    <d v="2003-05-21T00:00:00"/>
    <x v="0"/>
    <n v="2"/>
    <x v="1"/>
    <x v="1"/>
    <x v="0"/>
    <x v="1"/>
    <n v="85"/>
    <x v="71"/>
    <x v="84"/>
    <n v="7025551838"/>
    <s v="8489 Strong St."/>
    <m/>
    <x v="67"/>
    <s v="NV"/>
    <n v="83030"/>
    <x v="0"/>
    <x v="0"/>
    <s v="King"/>
    <s v="Sue"/>
    <x v="1"/>
  </r>
  <r>
    <n v="10148"/>
    <n v="31"/>
    <n v="73.62"/>
    <n v="5"/>
    <n v="2282.2199999999998"/>
    <d v="2003-09-11T00:00:00"/>
    <x v="0"/>
    <n v="3"/>
    <x v="10"/>
    <x v="10"/>
    <x v="0"/>
    <x v="1"/>
    <n v="85"/>
    <x v="71"/>
    <x v="42"/>
    <s v="02 9936 8555"/>
    <s v="201 Miller Street"/>
    <s v="Level 15"/>
    <x v="36"/>
    <s v="NSW"/>
    <n v="2060"/>
    <x v="3"/>
    <x v="2"/>
    <s v="O'Hara"/>
    <s v="Anna"/>
    <x v="0"/>
  </r>
  <r>
    <n v="10161"/>
    <n v="20"/>
    <n v="77.05"/>
    <n v="4"/>
    <n v="1541"/>
    <d v="2003-10-17T00:00:00"/>
    <x v="0"/>
    <n v="4"/>
    <x v="4"/>
    <x v="4"/>
    <x v="0"/>
    <x v="1"/>
    <n v="85"/>
    <x v="71"/>
    <x v="78"/>
    <s v="86 21 3555"/>
    <s v="Smagsloget 45"/>
    <m/>
    <x v="62"/>
    <m/>
    <n v="8200"/>
    <x v="13"/>
    <x v="1"/>
    <s v="Ibsen"/>
    <s v="Palle"/>
    <x v="0"/>
  </r>
  <r>
    <n v="10172"/>
    <n v="24"/>
    <n v="81.33"/>
    <n v="2"/>
    <n v="1951.92"/>
    <d v="2003-11-05T00:00:00"/>
    <x v="0"/>
    <n v="4"/>
    <x v="5"/>
    <x v="5"/>
    <x v="0"/>
    <x v="1"/>
    <n v="85"/>
    <x v="71"/>
    <x v="13"/>
    <n v="2035552570"/>
    <s v="25593 South Bay Ln."/>
    <m/>
    <x v="10"/>
    <s v="CT"/>
    <n v="97562"/>
    <x v="0"/>
    <x v="0"/>
    <s v="King"/>
    <s v="Julie"/>
    <x v="0"/>
  </r>
  <r>
    <n v="10182"/>
    <n v="33"/>
    <n v="94.17"/>
    <n v="15"/>
    <n v="3107.61"/>
    <d v="2003-11-12T00:00:00"/>
    <x v="0"/>
    <n v="4"/>
    <x v="5"/>
    <x v="5"/>
    <x v="0"/>
    <x v="1"/>
    <n v="85"/>
    <x v="71"/>
    <x v="39"/>
    <n v="4155551450"/>
    <s v="5677 Strong St."/>
    <m/>
    <x v="33"/>
    <s v="CA"/>
    <n v="97562"/>
    <x v="0"/>
    <x v="0"/>
    <s v="Nelson"/>
    <s v="Valarie"/>
    <x v="1"/>
  </r>
  <r>
    <n v="10192"/>
    <n v="32"/>
    <n v="72.77"/>
    <n v="3"/>
    <n v="2328.64"/>
    <d v="2003-11-20T00:00:00"/>
    <x v="0"/>
    <n v="4"/>
    <x v="5"/>
    <x v="5"/>
    <x v="0"/>
    <x v="1"/>
    <n v="85"/>
    <x v="71"/>
    <x v="40"/>
    <n v="6035558647"/>
    <s v="2304 Long Airport Avenue"/>
    <m/>
    <x v="34"/>
    <s v="NH"/>
    <n v="62005"/>
    <x v="0"/>
    <x v="0"/>
    <s v="Young"/>
    <s v="Valarie"/>
    <x v="0"/>
  </r>
  <r>
    <n v="10204"/>
    <n v="40"/>
    <n v="79.62"/>
    <n v="9"/>
    <n v="3184.8"/>
    <d v="2003-12-02T00:00:00"/>
    <x v="0"/>
    <n v="4"/>
    <x v="6"/>
    <x v="6"/>
    <x v="0"/>
    <x v="1"/>
    <n v="85"/>
    <x v="71"/>
    <x v="74"/>
    <n v="2125557413"/>
    <s v="4092 Furth Circle"/>
    <s v="Suite 400"/>
    <x v="0"/>
    <s v="NY"/>
    <n v="10022"/>
    <x v="0"/>
    <x v="0"/>
    <s v="Young"/>
    <s v="Jeff"/>
    <x v="1"/>
  </r>
  <r>
    <n v="10212"/>
    <n v="27"/>
    <n v="79.62"/>
    <n v="2"/>
    <n v="2149.7399999999998"/>
    <d v="2004-01-16T00:00:00"/>
    <x v="0"/>
    <n v="1"/>
    <x v="7"/>
    <x v="7"/>
    <x v="1"/>
    <x v="1"/>
    <n v="85"/>
    <x v="71"/>
    <x v="23"/>
    <s v="(91) 555 94 44"/>
    <s v="C/ Moralzarzal, 86"/>
    <m/>
    <x v="20"/>
    <m/>
    <n v="28034"/>
    <x v="7"/>
    <x v="1"/>
    <s v="Freyre"/>
    <s v="Diego"/>
    <x v="0"/>
  </r>
  <r>
    <n v="10227"/>
    <n v="40"/>
    <n v="79.62"/>
    <n v="15"/>
    <n v="3184.8"/>
    <d v="2004-03-02T00:00:00"/>
    <x v="0"/>
    <n v="1"/>
    <x v="11"/>
    <x v="11"/>
    <x v="1"/>
    <x v="1"/>
    <n v="85"/>
    <x v="71"/>
    <x v="30"/>
    <s v="78.32.5555"/>
    <s v="2, rue du Commerce"/>
    <m/>
    <x v="25"/>
    <m/>
    <n v="69004"/>
    <x v="1"/>
    <x v="1"/>
    <s v="Saveley"/>
    <s v="Mary"/>
    <x v="1"/>
  </r>
  <r>
    <n v="10241"/>
    <n v="26"/>
    <n v="81.33"/>
    <n v="7"/>
    <n v="2114.58"/>
    <d v="2004-04-13T00:00:00"/>
    <x v="0"/>
    <n v="2"/>
    <x v="8"/>
    <x v="8"/>
    <x v="1"/>
    <x v="1"/>
    <n v="85"/>
    <x v="71"/>
    <x v="83"/>
    <s v="88.60.1555"/>
    <s v="24, place Kluber"/>
    <m/>
    <x v="66"/>
    <m/>
    <n v="67000"/>
    <x v="1"/>
    <x v="1"/>
    <s v="Citeaux"/>
    <s v="Frederique"/>
    <x v="0"/>
  </r>
  <r>
    <n v="10267"/>
    <n v="44"/>
    <n v="96.74"/>
    <n v="4"/>
    <n v="4256.5600000000004"/>
    <d v="2004-07-07T00:00:00"/>
    <x v="0"/>
    <n v="3"/>
    <x v="2"/>
    <x v="2"/>
    <x v="1"/>
    <x v="1"/>
    <n v="85"/>
    <x v="71"/>
    <x v="74"/>
    <n v="2125557413"/>
    <s v="4092 Furth Circle"/>
    <s v="Suite 400"/>
    <x v="0"/>
    <s v="NY"/>
    <n v="10022"/>
    <x v="0"/>
    <x v="0"/>
    <s v="Young"/>
    <s v="Jeff"/>
    <x v="1"/>
  </r>
  <r>
    <n v="10279"/>
    <n v="33"/>
    <n v="71.06"/>
    <n v="4"/>
    <n v="2344.98"/>
    <d v="2004-08-09T00:00:00"/>
    <x v="0"/>
    <n v="3"/>
    <x v="3"/>
    <x v="3"/>
    <x v="1"/>
    <x v="1"/>
    <n v="85"/>
    <x v="71"/>
    <x v="23"/>
    <s v="(91) 555 94 44"/>
    <s v="C/ Moralzarzal, 86"/>
    <m/>
    <x v="20"/>
    <m/>
    <n v="28034"/>
    <x v="7"/>
    <x v="1"/>
    <s v="Freyre"/>
    <s v="Diego"/>
    <x v="0"/>
  </r>
  <r>
    <n v="10288"/>
    <n v="34"/>
    <n v="68.489999999999995"/>
    <n v="10"/>
    <n v="2328.66"/>
    <d v="2004-09-01T00:00:00"/>
    <x v="0"/>
    <n v="3"/>
    <x v="10"/>
    <x v="10"/>
    <x v="1"/>
    <x v="1"/>
    <n v="85"/>
    <x v="71"/>
    <x v="65"/>
    <s v="+65 224 1555"/>
    <s v="Village Close - 106 Linden Road Sandown"/>
    <s v="2nd Floor"/>
    <x v="22"/>
    <m/>
    <n v="69045"/>
    <x v="9"/>
    <x v="2"/>
    <s v="Victorino"/>
    <s v="Wendy"/>
    <x v="0"/>
  </r>
  <r>
    <n v="10302"/>
    <n v="48"/>
    <n v="74.48"/>
    <n v="6"/>
    <n v="3575.04"/>
    <d v="2003-10-06T00:00:00"/>
    <x v="0"/>
    <n v="4"/>
    <x v="4"/>
    <x v="4"/>
    <x v="0"/>
    <x v="1"/>
    <n v="85"/>
    <x v="71"/>
    <x v="22"/>
    <s v="(171) 555-2282"/>
    <s v="Berkeley Gardens 12  Brewery"/>
    <m/>
    <x v="19"/>
    <m/>
    <s v="WX1 6LT"/>
    <x v="6"/>
    <x v="1"/>
    <s v="Devon"/>
    <s v="Elizabeth"/>
    <x v="1"/>
  </r>
  <r>
    <n v="10311"/>
    <n v="25"/>
    <n v="83.04"/>
    <n v="5"/>
    <n v="2076"/>
    <d v="2004-10-16T00:00:00"/>
    <x v="0"/>
    <n v="4"/>
    <x v="4"/>
    <x v="4"/>
    <x v="1"/>
    <x v="1"/>
    <n v="85"/>
    <x v="71"/>
    <x v="23"/>
    <s v="(91) 555 94 44"/>
    <s v="C/ Moralzarzal, 86"/>
    <m/>
    <x v="20"/>
    <m/>
    <n v="28034"/>
    <x v="7"/>
    <x v="1"/>
    <s v="Freyre"/>
    <s v="Diego"/>
    <x v="0"/>
  </r>
  <r>
    <n v="10321"/>
    <n v="39"/>
    <n v="84.75"/>
    <n v="2"/>
    <n v="3305.25"/>
    <d v="2004-11-04T00:00:00"/>
    <x v="0"/>
    <n v="4"/>
    <x v="5"/>
    <x v="5"/>
    <x v="1"/>
    <x v="1"/>
    <n v="85"/>
    <x v="71"/>
    <x v="21"/>
    <n v="5085552555"/>
    <s v="1785 First Street"/>
    <m/>
    <x v="18"/>
    <s v="MA"/>
    <n v="50553"/>
    <x v="0"/>
    <x v="0"/>
    <s v="Benitez"/>
    <s v="Violeta"/>
    <x v="1"/>
  </r>
  <r>
    <n v="10332"/>
    <n v="45"/>
    <n v="34.19"/>
    <n v="12"/>
    <n v="1538.55"/>
    <d v="2004-11-17T00:00:00"/>
    <x v="0"/>
    <n v="4"/>
    <x v="5"/>
    <x v="5"/>
    <x v="1"/>
    <x v="1"/>
    <n v="85"/>
    <x v="71"/>
    <x v="77"/>
    <s v="(171) 555-1555"/>
    <s v="Fauntleroy Circus"/>
    <m/>
    <x v="61"/>
    <m/>
    <s v="EC2 5NT"/>
    <x v="6"/>
    <x v="1"/>
    <s v="Ashworth"/>
    <s v="Victoria"/>
    <x v="0"/>
  </r>
  <r>
    <n v="10346"/>
    <n v="24"/>
    <n v="100"/>
    <n v="2"/>
    <n v="3325.92"/>
    <d v="2004-11-29T00:00:00"/>
    <x v="0"/>
    <n v="4"/>
    <x v="5"/>
    <x v="5"/>
    <x v="1"/>
    <x v="1"/>
    <n v="85"/>
    <x v="71"/>
    <x v="84"/>
    <n v="7025551838"/>
    <s v="8489 Strong St."/>
    <m/>
    <x v="67"/>
    <s v="NV"/>
    <n v="83030"/>
    <x v="0"/>
    <x v="0"/>
    <s v="King"/>
    <s v="Sue"/>
    <x v="1"/>
  </r>
  <r>
    <n v="10368"/>
    <n v="46"/>
    <n v="79.62"/>
    <n v="1"/>
    <n v="3662.52"/>
    <d v="2005-01-19T00:00:00"/>
    <x v="0"/>
    <n v="1"/>
    <x v="7"/>
    <x v="7"/>
    <x v="2"/>
    <x v="1"/>
    <n v="85"/>
    <x v="71"/>
    <x v="39"/>
    <n v="4155551450"/>
    <s v="5677 Strong St."/>
    <m/>
    <x v="33"/>
    <s v="CA"/>
    <n v="97562"/>
    <x v="0"/>
    <x v="0"/>
    <s v="Nelson"/>
    <s v="Valarie"/>
    <x v="1"/>
  </r>
  <r>
    <n v="10380"/>
    <n v="44"/>
    <n v="79.06"/>
    <n v="9"/>
    <n v="3478.64"/>
    <d v="2005-02-16T00:00:00"/>
    <x v="0"/>
    <n v="1"/>
    <x v="0"/>
    <x v="0"/>
    <x v="2"/>
    <x v="1"/>
    <n v="85"/>
    <x v="71"/>
    <x v="23"/>
    <s v="(91) 555 94 44"/>
    <s v="C/ Moralzarzal, 86"/>
    <m/>
    <x v="20"/>
    <m/>
    <n v="28034"/>
    <x v="7"/>
    <x v="1"/>
    <s v="Freyre"/>
    <s v="Diego"/>
    <x v="1"/>
  </r>
  <r>
    <n v="10407"/>
    <n v="13"/>
    <n v="81.33"/>
    <n v="7"/>
    <n v="1057.29"/>
    <d v="2005-04-22T00:00:00"/>
    <x v="4"/>
    <n v="2"/>
    <x v="8"/>
    <x v="8"/>
    <x v="2"/>
    <x v="1"/>
    <n v="85"/>
    <x v="71"/>
    <x v="61"/>
    <n v="4085553659"/>
    <s v="3086 Ingle Ln."/>
    <m/>
    <x v="51"/>
    <s v="CA"/>
    <n v="94217"/>
    <x v="0"/>
    <x v="0"/>
    <s v="Frick"/>
    <s v="Sue"/>
    <x v="0"/>
  </r>
  <r>
    <n v="10420"/>
    <n v="35"/>
    <n v="96.74"/>
    <n v="10"/>
    <n v="3385.9"/>
    <d v="2005-05-29T00:00:00"/>
    <x v="2"/>
    <n v="2"/>
    <x v="1"/>
    <x v="1"/>
    <x v="2"/>
    <x v="1"/>
    <n v="85"/>
    <x v="71"/>
    <x v="20"/>
    <s v="+61 2 9495 8555"/>
    <s v="Monitor Money Building, 815 Pacific Hwy"/>
    <s v="Level 6"/>
    <x v="17"/>
    <s v="NSW"/>
    <n v="2067"/>
    <x v="3"/>
    <x v="2"/>
    <s v="Huxley"/>
    <s v="Adrian"/>
    <x v="1"/>
  </r>
  <r>
    <n v="10108"/>
    <n v="30"/>
    <n v="63.07"/>
    <n v="5"/>
    <n v="1892.1"/>
    <d v="2003-03-03T00:00:00"/>
    <x v="0"/>
    <n v="1"/>
    <x v="11"/>
    <x v="11"/>
    <x v="0"/>
    <x v="1"/>
    <n v="61"/>
    <x v="72"/>
    <x v="66"/>
    <s v="+63 2 555 3587"/>
    <s v="15 McCallum Street - NatWest Center #13-03"/>
    <m/>
    <x v="53"/>
    <m/>
    <s v="1227 MM"/>
    <x v="15"/>
    <x v="3"/>
    <s v="Cruz"/>
    <s v="Arnold"/>
    <x v="0"/>
  </r>
  <r>
    <n v="10122"/>
    <n v="34"/>
    <n v="50.21"/>
    <n v="9"/>
    <n v="1707.14"/>
    <d v="2003-05-08T00:00:00"/>
    <x v="0"/>
    <n v="2"/>
    <x v="1"/>
    <x v="1"/>
    <x v="0"/>
    <x v="1"/>
    <n v="61"/>
    <x v="72"/>
    <x v="67"/>
    <s v="91.24.4555"/>
    <s v="12, rue des Bouchers"/>
    <m/>
    <x v="54"/>
    <m/>
    <n v="13008"/>
    <x v="1"/>
    <x v="1"/>
    <s v="Lebihan"/>
    <s v="Laurence"/>
    <x v="0"/>
  </r>
  <r>
    <n v="10135"/>
    <n v="27"/>
    <n v="66.13"/>
    <n v="6"/>
    <n v="1785.51"/>
    <d v="2003-07-02T00:00:00"/>
    <x v="0"/>
    <n v="3"/>
    <x v="2"/>
    <x v="2"/>
    <x v="0"/>
    <x v="1"/>
    <n v="61"/>
    <x v="72"/>
    <x v="39"/>
    <n v="4155551450"/>
    <s v="5677 Strong St."/>
    <m/>
    <x v="33"/>
    <s v="CA"/>
    <n v="97562"/>
    <x v="0"/>
    <x v="0"/>
    <s v="Nelson"/>
    <s v="Valarie"/>
    <x v="0"/>
  </r>
  <r>
    <n v="10147"/>
    <n v="30"/>
    <n v="68.58"/>
    <n v="6"/>
    <n v="2057.4"/>
    <d v="2003-09-05T00:00:00"/>
    <x v="0"/>
    <n v="3"/>
    <x v="10"/>
    <x v="10"/>
    <x v="0"/>
    <x v="1"/>
    <n v="61"/>
    <x v="72"/>
    <x v="41"/>
    <n v="6175558555"/>
    <s v="7825 Douglas Av."/>
    <m/>
    <x v="35"/>
    <s v="MA"/>
    <n v="58339"/>
    <x v="0"/>
    <x v="0"/>
    <s v="Nelson"/>
    <s v="Allen"/>
    <x v="0"/>
  </r>
  <r>
    <n v="10159"/>
    <n v="50"/>
    <n v="69.8"/>
    <n v="1"/>
    <n v="3490"/>
    <d v="2003-10-10T00:00:00"/>
    <x v="0"/>
    <n v="4"/>
    <x v="4"/>
    <x v="4"/>
    <x v="0"/>
    <x v="1"/>
    <n v="61"/>
    <x v="72"/>
    <x v="4"/>
    <n v="6505551386"/>
    <s v="7734 Strong St."/>
    <m/>
    <x v="4"/>
    <s v="CA"/>
    <m/>
    <x v="0"/>
    <x v="0"/>
    <s v="Brown"/>
    <s v="Julie"/>
    <x v="1"/>
  </r>
  <r>
    <n v="10169"/>
    <n v="34"/>
    <n v="50.21"/>
    <n v="1"/>
    <n v="1707.14"/>
    <d v="2003-11-04T00:00:00"/>
    <x v="0"/>
    <n v="4"/>
    <x v="5"/>
    <x v="5"/>
    <x v="0"/>
    <x v="1"/>
    <n v="61"/>
    <x v="72"/>
    <x v="42"/>
    <s v="02 9936 8555"/>
    <s v="201 Miller Street"/>
    <s v="Level 15"/>
    <x v="36"/>
    <s v="NSW"/>
    <n v="2060"/>
    <x v="3"/>
    <x v="2"/>
    <s v="O'Hara"/>
    <s v="Anna"/>
    <x v="0"/>
  </r>
  <r>
    <n v="10181"/>
    <n v="23"/>
    <n v="65.52"/>
    <n v="13"/>
    <n v="1506.96"/>
    <d v="2003-11-12T00:00:00"/>
    <x v="0"/>
    <n v="4"/>
    <x v="5"/>
    <x v="5"/>
    <x v="0"/>
    <x v="1"/>
    <n v="61"/>
    <x v="72"/>
    <x v="7"/>
    <s v="+47 2267 3215"/>
    <s v="Drammen 121, PR 744 Sentrum"/>
    <m/>
    <x v="7"/>
    <m/>
    <s v="N 5804"/>
    <x v="2"/>
    <x v="1"/>
    <s v="Oeztan"/>
    <s v="Veysel"/>
    <x v="0"/>
  </r>
  <r>
    <n v="10191"/>
    <n v="48"/>
    <n v="60.01"/>
    <n v="2"/>
    <n v="2880.48"/>
    <d v="2003-11-20T00:00:00"/>
    <x v="0"/>
    <n v="4"/>
    <x v="5"/>
    <x v="5"/>
    <x v="0"/>
    <x v="1"/>
    <n v="61"/>
    <x v="72"/>
    <x v="68"/>
    <s v="0221-5554327"/>
    <s v="Mehrheimerstr. 369"/>
    <m/>
    <x v="55"/>
    <m/>
    <n v="50739"/>
    <x v="16"/>
    <x v="1"/>
    <s v="Pfalzheim"/>
    <s v="Henriette"/>
    <x v="0"/>
  </r>
  <r>
    <n v="10203"/>
    <n v="34"/>
    <n v="64.900000000000006"/>
    <n v="7"/>
    <n v="2206.6"/>
    <d v="2003-12-02T00:00:00"/>
    <x v="0"/>
    <n v="4"/>
    <x v="6"/>
    <x v="6"/>
    <x v="0"/>
    <x v="1"/>
    <n v="61"/>
    <x v="72"/>
    <x v="23"/>
    <s v="(91) 555 94 44"/>
    <s v="C/ Moralzarzal, 86"/>
    <m/>
    <x v="20"/>
    <m/>
    <n v="28034"/>
    <x v="7"/>
    <x v="1"/>
    <s v="Freyre"/>
    <s v="Diego"/>
    <x v="0"/>
  </r>
  <r>
    <n v="10211"/>
    <n v="48"/>
    <n v="48.98"/>
    <n v="1"/>
    <n v="2351.04"/>
    <d v="2004-01-15T00:00:00"/>
    <x v="0"/>
    <n v="1"/>
    <x v="7"/>
    <x v="7"/>
    <x v="1"/>
    <x v="1"/>
    <n v="61"/>
    <x v="72"/>
    <x v="9"/>
    <s v="(1) 47.55.6555"/>
    <s v="25, rue Lauriston"/>
    <m/>
    <x v="2"/>
    <m/>
    <n v="75016"/>
    <x v="1"/>
    <x v="1"/>
    <s v="Perrier"/>
    <s v="Dominique"/>
    <x v="0"/>
  </r>
  <r>
    <n v="10225"/>
    <n v="24"/>
    <n v="50.21"/>
    <n v="8"/>
    <n v="1205.04"/>
    <d v="2004-02-22T00:00:00"/>
    <x v="0"/>
    <n v="1"/>
    <x v="0"/>
    <x v="0"/>
    <x v="1"/>
    <x v="1"/>
    <n v="61"/>
    <x v="72"/>
    <x v="69"/>
    <s v="0897-034555"/>
    <s v="Grenzacherweg 237"/>
    <m/>
    <x v="56"/>
    <m/>
    <n v="1203"/>
    <x v="17"/>
    <x v="1"/>
    <s v="Holz"/>
    <s v="Michael"/>
    <x v="0"/>
  </r>
  <r>
    <n v="10238"/>
    <n v="47"/>
    <n v="62.45"/>
    <n v="2"/>
    <n v="2935.15"/>
    <d v="2004-04-09T00:00:00"/>
    <x v="0"/>
    <n v="2"/>
    <x v="8"/>
    <x v="8"/>
    <x v="1"/>
    <x v="1"/>
    <n v="61"/>
    <x v="72"/>
    <x v="48"/>
    <s v="31 12 3555"/>
    <s v="Vinb'ltet 34"/>
    <m/>
    <x v="40"/>
    <m/>
    <n v="1734"/>
    <x v="13"/>
    <x v="1"/>
    <s v="Petersen"/>
    <s v="Jytte"/>
    <x v="0"/>
  </r>
  <r>
    <n v="10253"/>
    <n v="24"/>
    <n v="52.66"/>
    <n v="12"/>
    <n v="1263.8399999999999"/>
    <d v="2004-06-01T00:00:00"/>
    <x v="3"/>
    <n v="2"/>
    <x v="9"/>
    <x v="9"/>
    <x v="1"/>
    <x v="1"/>
    <n v="61"/>
    <x v="72"/>
    <x v="22"/>
    <s v="(171) 555-2282"/>
    <s v="Berkeley Gardens 12  Brewery"/>
    <m/>
    <x v="19"/>
    <m/>
    <s v="WX1 6LT"/>
    <x v="6"/>
    <x v="1"/>
    <s v="Devon"/>
    <s v="Elizabeth"/>
    <x v="0"/>
  </r>
  <r>
    <n v="10266"/>
    <n v="47"/>
    <n v="62.45"/>
    <n v="13"/>
    <n v="2935.15"/>
    <d v="2004-07-06T00:00:00"/>
    <x v="0"/>
    <n v="3"/>
    <x v="2"/>
    <x v="2"/>
    <x v="1"/>
    <x v="1"/>
    <n v="61"/>
    <x v="72"/>
    <x v="70"/>
    <s v="0522-556555"/>
    <s v="Strada Provinciale 124"/>
    <m/>
    <x v="57"/>
    <m/>
    <n v="42100"/>
    <x v="12"/>
    <x v="1"/>
    <s v="Moroni"/>
    <s v="Maurizio"/>
    <x v="0"/>
  </r>
  <r>
    <n v="10276"/>
    <n v="20"/>
    <n v="61.23"/>
    <n v="2"/>
    <n v="1224.5999999999999"/>
    <d v="2004-08-02T00:00:00"/>
    <x v="0"/>
    <n v="3"/>
    <x v="3"/>
    <x v="3"/>
    <x v="1"/>
    <x v="1"/>
    <n v="61"/>
    <x v="72"/>
    <x v="71"/>
    <n v="6175557555"/>
    <s v="7635 Spinnaker Dr."/>
    <m/>
    <x v="35"/>
    <s v="MA"/>
    <n v="58339"/>
    <x v="0"/>
    <x v="0"/>
    <s v="Barajas"/>
    <s v="Miguel"/>
    <x v="0"/>
  </r>
  <r>
    <n v="10287"/>
    <n v="20"/>
    <n v="67.97"/>
    <n v="11"/>
    <n v="1359.4"/>
    <d v="2004-08-30T00:00:00"/>
    <x v="0"/>
    <n v="3"/>
    <x v="3"/>
    <x v="3"/>
    <x v="1"/>
    <x v="1"/>
    <n v="61"/>
    <x v="72"/>
    <x v="69"/>
    <s v="0897-034555"/>
    <s v="Grenzacherweg 237"/>
    <m/>
    <x v="56"/>
    <m/>
    <n v="1203"/>
    <x v="17"/>
    <x v="1"/>
    <s v="Holz"/>
    <s v="Michael"/>
    <x v="0"/>
  </r>
  <r>
    <n v="10300"/>
    <n v="31"/>
    <n v="58.78"/>
    <n v="4"/>
    <n v="1822.18"/>
    <d v="2003-10-04T00:00:00"/>
    <x v="0"/>
    <n v="4"/>
    <x v="4"/>
    <x v="4"/>
    <x v="0"/>
    <x v="1"/>
    <n v="61"/>
    <x v="72"/>
    <x v="72"/>
    <s v="+49 69 66 90 2555"/>
    <s v="Lyonerstr. 34"/>
    <m/>
    <x v="58"/>
    <m/>
    <n v="60528"/>
    <x v="16"/>
    <x v="1"/>
    <s v="Keitel"/>
    <s v="Roland"/>
    <x v="0"/>
  </r>
  <r>
    <n v="10310"/>
    <n v="38"/>
    <n v="56.94"/>
    <n v="9"/>
    <n v="2163.7199999999998"/>
    <d v="2004-10-16T00:00:00"/>
    <x v="0"/>
    <n v="4"/>
    <x v="4"/>
    <x v="4"/>
    <x v="1"/>
    <x v="1"/>
    <n v="61"/>
    <x v="72"/>
    <x v="68"/>
    <s v="0221-5554327"/>
    <s v="Mehrheimerstr. 369"/>
    <m/>
    <x v="55"/>
    <m/>
    <n v="50739"/>
    <x v="16"/>
    <x v="1"/>
    <s v="Pfalzheim"/>
    <s v="Henriette"/>
    <x v="0"/>
  </r>
  <r>
    <n v="10320"/>
    <n v="26"/>
    <n v="61.23"/>
    <n v="2"/>
    <n v="1591.98"/>
    <d v="2004-11-03T00:00:00"/>
    <x v="0"/>
    <n v="4"/>
    <x v="5"/>
    <x v="5"/>
    <x v="1"/>
    <x v="1"/>
    <n v="61"/>
    <x v="72"/>
    <x v="24"/>
    <s v="0921-12 3555"/>
    <s v="Berguvsv„gen  8"/>
    <m/>
    <x v="21"/>
    <m/>
    <s v="S-958 22"/>
    <x v="8"/>
    <x v="1"/>
    <s v="Berglund"/>
    <s v="Christina"/>
    <x v="0"/>
  </r>
  <r>
    <n v="10331"/>
    <n v="25"/>
    <n v="100"/>
    <n v="9"/>
    <n v="3078.5"/>
    <d v="2004-11-17T00:00:00"/>
    <x v="0"/>
    <n v="4"/>
    <x v="5"/>
    <x v="5"/>
    <x v="1"/>
    <x v="1"/>
    <n v="61"/>
    <x v="72"/>
    <x v="45"/>
    <n v="2155559857"/>
    <s v="11328 Douglas Av."/>
    <m/>
    <x v="24"/>
    <s v="PA"/>
    <n v="71270"/>
    <x v="0"/>
    <x v="0"/>
    <s v="Hernandez"/>
    <s v="Rosa"/>
    <x v="1"/>
  </r>
  <r>
    <n v="10342"/>
    <n v="48"/>
    <n v="62.45"/>
    <n v="10"/>
    <n v="2997.6"/>
    <d v="2004-11-24T00:00:00"/>
    <x v="0"/>
    <n v="4"/>
    <x v="5"/>
    <x v="5"/>
    <x v="1"/>
    <x v="1"/>
    <n v="61"/>
    <x v="72"/>
    <x v="10"/>
    <s v="03 9520 4555"/>
    <s v="636 St Kilda Road"/>
    <s v="Level 3"/>
    <x v="8"/>
    <s v="Victoria"/>
    <n v="3004"/>
    <x v="3"/>
    <x v="2"/>
    <s v="Ferguson"/>
    <s v="Peter"/>
    <x v="0"/>
  </r>
  <r>
    <n v="10355"/>
    <n v="44"/>
    <n v="62.45"/>
    <n v="6"/>
    <n v="2747.8"/>
    <d v="2004-12-07T00:00:00"/>
    <x v="0"/>
    <n v="4"/>
    <x v="6"/>
    <x v="6"/>
    <x v="1"/>
    <x v="1"/>
    <n v="61"/>
    <x v="72"/>
    <x v="23"/>
    <s v="(91) 555 94 44"/>
    <s v="C/ Moralzarzal, 86"/>
    <m/>
    <x v="20"/>
    <m/>
    <n v="28034"/>
    <x v="7"/>
    <x v="1"/>
    <s v="Freyre"/>
    <s v="Diego"/>
    <x v="0"/>
  </r>
  <r>
    <n v="10363"/>
    <n v="21"/>
    <n v="100"/>
    <n v="15"/>
    <n v="2447.7600000000002"/>
    <d v="2005-01-06T00:00:00"/>
    <x v="0"/>
    <n v="1"/>
    <x v="7"/>
    <x v="7"/>
    <x v="2"/>
    <x v="1"/>
    <n v="61"/>
    <x v="72"/>
    <x v="73"/>
    <s v="+358 9 8045 555"/>
    <s v="Software Engineering Center, SEC Oy"/>
    <m/>
    <x v="59"/>
    <m/>
    <s v="FIN-02271"/>
    <x v="4"/>
    <x v="1"/>
    <s v="Suominen"/>
    <s v="Kalle"/>
    <x v="0"/>
  </r>
  <r>
    <n v="10378"/>
    <n v="46"/>
    <n v="41.54"/>
    <n v="6"/>
    <n v="1910.84"/>
    <d v="2005-02-10T00:00:00"/>
    <x v="0"/>
    <n v="1"/>
    <x v="0"/>
    <x v="0"/>
    <x v="2"/>
    <x v="1"/>
    <n v="61"/>
    <x v="72"/>
    <x v="23"/>
    <s v="(91) 555 94 44"/>
    <s v="C/ Moralzarzal, 86"/>
    <m/>
    <x v="20"/>
    <m/>
    <n v="28034"/>
    <x v="7"/>
    <x v="1"/>
    <s v="Freyre"/>
    <s v="Diego"/>
    <x v="0"/>
  </r>
  <r>
    <n v="10390"/>
    <n v="46"/>
    <n v="52.84"/>
    <n v="6"/>
    <n v="2430.64"/>
    <d v="2005-03-04T00:00:00"/>
    <x v="0"/>
    <n v="1"/>
    <x v="11"/>
    <x v="11"/>
    <x v="2"/>
    <x v="1"/>
    <n v="61"/>
    <x v="72"/>
    <x v="39"/>
    <n v="4155551450"/>
    <s v="5677 Strong St."/>
    <m/>
    <x v="33"/>
    <s v="CA"/>
    <n v="97562"/>
    <x v="0"/>
    <x v="0"/>
    <s v="Nelson"/>
    <s v="Valarie"/>
    <x v="0"/>
  </r>
  <r>
    <n v="10419"/>
    <n v="55"/>
    <n v="52.66"/>
    <n v="12"/>
    <n v="2896.3"/>
    <d v="2005-05-17T00:00:00"/>
    <x v="0"/>
    <n v="2"/>
    <x v="1"/>
    <x v="1"/>
    <x v="2"/>
    <x v="1"/>
    <n v="61"/>
    <x v="72"/>
    <x v="19"/>
    <s v="6562-9555"/>
    <s v="Geislweg 14"/>
    <m/>
    <x v="16"/>
    <m/>
    <n v="5020"/>
    <x v="5"/>
    <x v="1"/>
    <s v="Pipps"/>
    <s v="Georg"/>
    <x v="0"/>
  </r>
  <r>
    <n v="10106"/>
    <n v="31"/>
    <n v="52.6"/>
    <n v="14"/>
    <n v="1630.6"/>
    <d v="2003-02-17T00:00:00"/>
    <x v="0"/>
    <n v="1"/>
    <x v="0"/>
    <x v="0"/>
    <x v="0"/>
    <x v="3"/>
    <n v="65"/>
    <x v="73"/>
    <x v="86"/>
    <s v="035-640555"/>
    <s v="Via Ludovico il Moro 22"/>
    <m/>
    <x v="69"/>
    <m/>
    <n v="24100"/>
    <x v="12"/>
    <x v="1"/>
    <s v="Rovelli"/>
    <s v="Giovanni"/>
    <x v="0"/>
  </r>
  <r>
    <n v="10119"/>
    <n v="20"/>
    <n v="72.98"/>
    <n v="5"/>
    <n v="1459.6"/>
    <d v="2003-04-28T00:00:00"/>
    <x v="0"/>
    <n v="2"/>
    <x v="8"/>
    <x v="8"/>
    <x v="0"/>
    <x v="3"/>
    <n v="65"/>
    <x v="73"/>
    <x v="19"/>
    <s v="6562-9555"/>
    <s v="Geislweg 14"/>
    <m/>
    <x v="16"/>
    <m/>
    <n v="5020"/>
    <x v="5"/>
    <x v="1"/>
    <s v="Pipps"/>
    <s v="Georg"/>
    <x v="0"/>
  </r>
  <r>
    <n v="10131"/>
    <n v="29"/>
    <n v="59.18"/>
    <n v="6"/>
    <n v="1716.22"/>
    <d v="2003-06-16T00:00:00"/>
    <x v="0"/>
    <n v="2"/>
    <x v="9"/>
    <x v="9"/>
    <x v="0"/>
    <x v="3"/>
    <n v="65"/>
    <x v="73"/>
    <x v="88"/>
    <n v="2035554407"/>
    <s v="2440 Pompton St."/>
    <m/>
    <x v="63"/>
    <s v="CT"/>
    <n v="97561"/>
    <x v="0"/>
    <x v="0"/>
    <s v="Lewis"/>
    <s v="Dan"/>
    <x v="0"/>
  </r>
  <r>
    <n v="10143"/>
    <n v="33"/>
    <n v="77.59"/>
    <n v="9"/>
    <n v="2560.4699999999998"/>
    <d v="2003-08-10T00:00:00"/>
    <x v="0"/>
    <n v="3"/>
    <x v="3"/>
    <x v="3"/>
    <x v="0"/>
    <x v="3"/>
    <n v="65"/>
    <x v="73"/>
    <x v="50"/>
    <n v="5085559555"/>
    <s v="4575 Hillside Dr."/>
    <m/>
    <x v="18"/>
    <s v="MA"/>
    <n v="50553"/>
    <x v="0"/>
    <x v="0"/>
    <s v="Tam"/>
    <s v="Wing C"/>
    <x v="0"/>
  </r>
  <r>
    <n v="10155"/>
    <n v="34"/>
    <n v="55.89"/>
    <n v="7"/>
    <n v="1900.26"/>
    <d v="2003-10-06T00:00:00"/>
    <x v="0"/>
    <n v="4"/>
    <x v="4"/>
    <x v="4"/>
    <x v="0"/>
    <x v="3"/>
    <n v="65"/>
    <x v="73"/>
    <x v="16"/>
    <s v="90-224 8555"/>
    <s v="Keskuskatu 45"/>
    <m/>
    <x v="13"/>
    <m/>
    <n v="21240"/>
    <x v="4"/>
    <x v="1"/>
    <s v="Karttunen"/>
    <s v="Matti"/>
    <x v="0"/>
  </r>
  <r>
    <n v="10167"/>
    <n v="32"/>
    <n v="63.12"/>
    <n v="3"/>
    <n v="2019.84"/>
    <d v="2003-10-23T00:00:00"/>
    <x v="3"/>
    <n v="4"/>
    <x v="4"/>
    <x v="4"/>
    <x v="0"/>
    <x v="3"/>
    <n v="65"/>
    <x v="73"/>
    <x v="37"/>
    <s v="0695-34 6555"/>
    <s v="?kergatan 24"/>
    <m/>
    <x v="31"/>
    <m/>
    <s v="S-844 67"/>
    <x v="8"/>
    <x v="1"/>
    <s v="Larsson"/>
    <s v="Maria"/>
    <x v="0"/>
  </r>
  <r>
    <n v="10178"/>
    <n v="27"/>
    <n v="73.64"/>
    <n v="6"/>
    <n v="1988.28"/>
    <d v="2003-11-08T00:00:00"/>
    <x v="0"/>
    <n v="4"/>
    <x v="5"/>
    <x v="5"/>
    <x v="0"/>
    <x v="3"/>
    <n v="65"/>
    <x v="73"/>
    <x v="51"/>
    <s v="61.77.6555"/>
    <s v="1 rue Alsace-Lorraine"/>
    <m/>
    <x v="42"/>
    <m/>
    <n v="31000"/>
    <x v="1"/>
    <x v="1"/>
    <s v="Roulet"/>
    <s v="Annette"/>
    <x v="0"/>
  </r>
  <r>
    <n v="10186"/>
    <n v="21"/>
    <n v="69.040000000000006"/>
    <n v="3"/>
    <n v="1449.84"/>
    <d v="2003-11-14T00:00:00"/>
    <x v="0"/>
    <n v="4"/>
    <x v="5"/>
    <x v="5"/>
    <x v="0"/>
    <x v="3"/>
    <n v="65"/>
    <x v="73"/>
    <x v="52"/>
    <s v="(171) 555-7555"/>
    <s v="120 Hanover Sq."/>
    <m/>
    <x v="41"/>
    <m/>
    <s v="WA1 1DP"/>
    <x v="6"/>
    <x v="1"/>
    <s v="Hardy"/>
    <s v="Thomas"/>
    <x v="0"/>
  </r>
  <r>
    <n v="10198"/>
    <n v="27"/>
    <n v="71.67"/>
    <n v="6"/>
    <n v="1935.09"/>
    <d v="2003-11-27T00:00:00"/>
    <x v="0"/>
    <n v="4"/>
    <x v="5"/>
    <x v="5"/>
    <x v="0"/>
    <x v="3"/>
    <n v="65"/>
    <x v="73"/>
    <x v="66"/>
    <s v="+63 2 555 3587"/>
    <s v="15 McCallum Street - NatWest Center #13-03"/>
    <m/>
    <x v="53"/>
    <m/>
    <s v="1227 MM"/>
    <x v="15"/>
    <x v="3"/>
    <s v="Cruz"/>
    <s v="Arnold"/>
    <x v="0"/>
  </r>
  <r>
    <n v="10209"/>
    <n v="36"/>
    <n v="77.59"/>
    <n v="2"/>
    <n v="2793.24"/>
    <d v="2004-01-09T00:00:00"/>
    <x v="0"/>
    <n v="1"/>
    <x v="7"/>
    <x v="7"/>
    <x v="1"/>
    <x v="3"/>
    <n v="65"/>
    <x v="73"/>
    <x v="54"/>
    <n v="2155554369"/>
    <s v="6047 Douglas Av."/>
    <m/>
    <x v="44"/>
    <s v="CA"/>
    <m/>
    <x v="0"/>
    <x v="0"/>
    <s v="Chandler"/>
    <s v="Michael"/>
    <x v="0"/>
  </r>
  <r>
    <n v="10222"/>
    <n v="43"/>
    <n v="70.349999999999994"/>
    <n v="6"/>
    <n v="3025.05"/>
    <d v="2004-02-19T00:00:00"/>
    <x v="0"/>
    <n v="1"/>
    <x v="0"/>
    <x v="0"/>
    <x v="1"/>
    <x v="3"/>
    <n v="65"/>
    <x v="73"/>
    <x v="55"/>
    <n v="7605558146"/>
    <s v="361 Furth Circle"/>
    <m/>
    <x v="45"/>
    <s v="CA"/>
    <n v="91217"/>
    <x v="0"/>
    <x v="0"/>
    <s v="Thompson"/>
    <s v="Valarie"/>
    <x v="1"/>
  </r>
  <r>
    <n v="10249"/>
    <n v="25"/>
    <n v="69.7"/>
    <n v="2"/>
    <n v="1742.5"/>
    <d v="2004-05-08T00:00:00"/>
    <x v="0"/>
    <n v="2"/>
    <x v="1"/>
    <x v="1"/>
    <x v="1"/>
    <x v="3"/>
    <n v="65"/>
    <x v="73"/>
    <x v="33"/>
    <n v="6175555555"/>
    <s v="4658 Baden Av."/>
    <m/>
    <x v="12"/>
    <s v="MA"/>
    <n v="51247"/>
    <x v="0"/>
    <x v="0"/>
    <s v="Tseng"/>
    <s v="Kyung"/>
    <x v="0"/>
  </r>
  <r>
    <n v="10262"/>
    <n v="46"/>
    <n v="70.349999999999994"/>
    <n v="11"/>
    <n v="3236.1"/>
    <d v="2004-06-24T00:00:00"/>
    <x v="3"/>
    <n v="2"/>
    <x v="9"/>
    <x v="9"/>
    <x v="1"/>
    <x v="3"/>
    <n v="65"/>
    <x v="73"/>
    <x v="23"/>
    <s v="(91) 555 94 44"/>
    <s v="C/ Moralzarzal, 86"/>
    <m/>
    <x v="20"/>
    <m/>
    <n v="28034"/>
    <x v="7"/>
    <x v="1"/>
    <s v="Freyre"/>
    <s v="Diego"/>
    <x v="1"/>
  </r>
  <r>
    <n v="10274"/>
    <n v="24"/>
    <n v="72.33"/>
    <n v="3"/>
    <n v="1735.92"/>
    <d v="2004-07-21T00:00:00"/>
    <x v="0"/>
    <n v="3"/>
    <x v="2"/>
    <x v="2"/>
    <x v="1"/>
    <x v="3"/>
    <n v="65"/>
    <x v="73"/>
    <x v="41"/>
    <n v="6175558555"/>
    <s v="7825 Douglas Av."/>
    <m/>
    <x v="35"/>
    <s v="MA"/>
    <n v="58339"/>
    <x v="0"/>
    <x v="0"/>
    <s v="Nelson"/>
    <s v="Allen"/>
    <x v="0"/>
  </r>
  <r>
    <n v="10284"/>
    <n v="39"/>
    <n v="71.67"/>
    <n v="13"/>
    <n v="2795.13"/>
    <d v="2004-08-21T00:00:00"/>
    <x v="0"/>
    <n v="3"/>
    <x v="3"/>
    <x v="3"/>
    <x v="1"/>
    <x v="3"/>
    <n v="65"/>
    <x v="73"/>
    <x v="85"/>
    <s v="+47 2212 1555"/>
    <s v="Drammensveien 126 A, PB 744 Sentrum"/>
    <m/>
    <x v="68"/>
    <m/>
    <s v="N 0106"/>
    <x v="2"/>
    <x v="1"/>
    <s v="Klaeboe"/>
    <s v="Jan"/>
    <x v="0"/>
  </r>
  <r>
    <n v="10296"/>
    <n v="31"/>
    <n v="53.92"/>
    <n v="9"/>
    <n v="1671.52"/>
    <d v="2004-09-15T00:00:00"/>
    <x v="0"/>
    <n v="3"/>
    <x v="10"/>
    <x v="10"/>
    <x v="1"/>
    <x v="3"/>
    <n v="65"/>
    <x v="73"/>
    <x v="89"/>
    <s v="+49 89 61 08 9555"/>
    <s v="Hansastr. 15"/>
    <m/>
    <x v="71"/>
    <m/>
    <n v="80686"/>
    <x v="16"/>
    <x v="1"/>
    <s v="Donnermeyer"/>
    <s v="Michael"/>
    <x v="0"/>
  </r>
  <r>
    <n v="10307"/>
    <n v="22"/>
    <n v="71.67"/>
    <n v="3"/>
    <n v="1576.74"/>
    <d v="2004-10-14T00:00:00"/>
    <x v="0"/>
    <n v="4"/>
    <x v="4"/>
    <x v="4"/>
    <x v="1"/>
    <x v="3"/>
    <n v="65"/>
    <x v="73"/>
    <x v="29"/>
    <n v="2155554695"/>
    <s v="782 First Street"/>
    <m/>
    <x v="24"/>
    <s v="PA"/>
    <n v="71270"/>
    <x v="0"/>
    <x v="0"/>
    <s v="Cervantes"/>
    <s v="Francisca"/>
    <x v="0"/>
  </r>
  <r>
    <n v="10316"/>
    <n v="47"/>
    <n v="76.930000000000007"/>
    <n v="11"/>
    <n v="3615.71"/>
    <d v="2004-11-01T00:00:00"/>
    <x v="0"/>
    <n v="4"/>
    <x v="5"/>
    <x v="5"/>
    <x v="1"/>
    <x v="3"/>
    <n v="65"/>
    <x v="73"/>
    <x v="59"/>
    <s v="(198) 555-8888"/>
    <s v="Garden House Crowther Way"/>
    <m/>
    <x v="49"/>
    <s v="Isle of Wight"/>
    <s v="PO31 7PJ"/>
    <x v="6"/>
    <x v="1"/>
    <s v="Bennett"/>
    <s v="Helen"/>
    <x v="1"/>
  </r>
  <r>
    <n v="10328"/>
    <n v="20"/>
    <n v="72.98"/>
    <n v="2"/>
    <n v="1459.6"/>
    <d v="2004-11-12T00:00:00"/>
    <x v="0"/>
    <n v="4"/>
    <x v="5"/>
    <x v="5"/>
    <x v="1"/>
    <x v="3"/>
    <n v="65"/>
    <x v="73"/>
    <x v="86"/>
    <s v="035-640555"/>
    <s v="Via Ludovico il Moro 22"/>
    <m/>
    <x v="69"/>
    <m/>
    <n v="24100"/>
    <x v="12"/>
    <x v="1"/>
    <s v="Rovelli"/>
    <s v="Giovanni"/>
    <x v="0"/>
  </r>
  <r>
    <n v="10339"/>
    <n v="29"/>
    <n v="99.69"/>
    <n v="14"/>
    <n v="2891.01"/>
    <d v="2004-11-23T00:00:00"/>
    <x v="0"/>
    <n v="4"/>
    <x v="5"/>
    <x v="5"/>
    <x v="1"/>
    <x v="3"/>
    <n v="65"/>
    <x v="73"/>
    <x v="35"/>
    <s v="+81 3 3584 0555"/>
    <s v="2-2-8 Roppongi"/>
    <m/>
    <x v="29"/>
    <s v="Tokyo"/>
    <s v="106-0032"/>
    <x v="11"/>
    <x v="3"/>
    <s v="Shimamura"/>
    <s v="Akiko"/>
    <x v="0"/>
  </r>
  <r>
    <n v="10351"/>
    <n v="38"/>
    <n v="68.38"/>
    <n v="4"/>
    <n v="2598.44"/>
    <d v="2004-12-03T00:00:00"/>
    <x v="0"/>
    <n v="4"/>
    <x v="6"/>
    <x v="6"/>
    <x v="1"/>
    <x v="3"/>
    <n v="65"/>
    <x v="73"/>
    <x v="49"/>
    <s v="(171) 555-0297"/>
    <s v="35 King George"/>
    <m/>
    <x v="41"/>
    <m/>
    <s v="WX3 6FW"/>
    <x v="6"/>
    <x v="1"/>
    <s v="Brown"/>
    <s v="Ann"/>
    <x v="0"/>
  </r>
  <r>
    <n v="10361"/>
    <n v="34"/>
    <n v="100"/>
    <n v="6"/>
    <n v="3871.92"/>
    <d v="2004-12-17T00:00:00"/>
    <x v="0"/>
    <n v="4"/>
    <x v="6"/>
    <x v="6"/>
    <x v="1"/>
    <x v="3"/>
    <n v="65"/>
    <x v="73"/>
    <x v="20"/>
    <s v="+61 2 9495 8555"/>
    <s v="Monitor Money Building, 815 Pacific Hwy"/>
    <s v="Level 6"/>
    <x v="17"/>
    <s v="NSW"/>
    <n v="2067"/>
    <x v="3"/>
    <x v="2"/>
    <s v="Huxley"/>
    <s v="Adrian"/>
    <x v="1"/>
  </r>
  <r>
    <n v="10373"/>
    <n v="46"/>
    <n v="66"/>
    <n v="11"/>
    <n v="3036"/>
    <d v="2005-01-31T00:00:00"/>
    <x v="0"/>
    <n v="1"/>
    <x v="7"/>
    <x v="7"/>
    <x v="2"/>
    <x v="3"/>
    <n v="65"/>
    <x v="73"/>
    <x v="60"/>
    <s v="981-443655"/>
    <s v="Torikatu 38"/>
    <m/>
    <x v="50"/>
    <m/>
    <n v="90110"/>
    <x v="4"/>
    <x v="1"/>
    <s v="Koskitalo"/>
    <s v="Pirkko"/>
    <x v="1"/>
  </r>
  <r>
    <n v="10386"/>
    <n v="35"/>
    <n v="63.76"/>
    <n v="9"/>
    <n v="2231.6"/>
    <d v="2005-03-01T00:00:00"/>
    <x v="5"/>
    <n v="1"/>
    <x v="11"/>
    <x v="11"/>
    <x v="2"/>
    <x v="3"/>
    <n v="65"/>
    <x v="73"/>
    <x v="23"/>
    <s v="(91) 555 94 44"/>
    <s v="C/ Moralzarzal, 86"/>
    <m/>
    <x v="20"/>
    <m/>
    <n v="28034"/>
    <x v="7"/>
    <x v="1"/>
    <s v="Freyre"/>
    <s v="Diego"/>
    <x v="0"/>
  </r>
  <r>
    <n v="10398"/>
    <n v="34"/>
    <n v="71.67"/>
    <n v="13"/>
    <n v="2436.7800000000002"/>
    <d v="2005-03-30T00:00:00"/>
    <x v="0"/>
    <n v="1"/>
    <x v="11"/>
    <x v="11"/>
    <x v="2"/>
    <x v="3"/>
    <n v="65"/>
    <x v="73"/>
    <x v="1"/>
    <s v="26.47.1555"/>
    <s v="59 rue de l'Abbaye"/>
    <m/>
    <x v="1"/>
    <m/>
    <n v="51100"/>
    <x v="1"/>
    <x v="1"/>
    <s v="Henriot"/>
    <s v="Paul"/>
    <x v="0"/>
  </r>
  <r>
    <n v="10400"/>
    <n v="38"/>
    <n v="57.2"/>
    <n v="3"/>
    <n v="2173.6"/>
    <d v="2005-04-01T00:00:00"/>
    <x v="0"/>
    <n v="2"/>
    <x v="8"/>
    <x v="8"/>
    <x v="2"/>
    <x v="3"/>
    <n v="65"/>
    <x v="73"/>
    <x v="61"/>
    <n v="4085553659"/>
    <s v="3086 Ingle Ln."/>
    <m/>
    <x v="51"/>
    <s v="CA"/>
    <n v="94217"/>
    <x v="0"/>
    <x v="0"/>
    <s v="Frick"/>
    <s v="Sue"/>
    <x v="0"/>
  </r>
  <r>
    <n v="10415"/>
    <n v="18"/>
    <n v="69.7"/>
    <n v="2"/>
    <n v="1254.5999999999999"/>
    <d v="2005-05-09T00:00:00"/>
    <x v="1"/>
    <n v="2"/>
    <x v="1"/>
    <x v="1"/>
    <x v="2"/>
    <x v="3"/>
    <n v="65"/>
    <x v="73"/>
    <x v="87"/>
    <s v="61-9-3844-6555"/>
    <s v="7 Allen Street"/>
    <m/>
    <x v="70"/>
    <s v="Victoria"/>
    <n v="3150"/>
    <x v="3"/>
    <x v="2"/>
    <s v="Connery"/>
    <s v="Sean"/>
    <x v="0"/>
  </r>
  <r>
    <n v="10110"/>
    <n v="37"/>
    <n v="100"/>
    <n v="14"/>
    <n v="3724.42"/>
    <d v="2003-03-18T00:00:00"/>
    <x v="0"/>
    <n v="1"/>
    <x v="11"/>
    <x v="11"/>
    <x v="0"/>
    <x v="1"/>
    <n v="107"/>
    <x v="74"/>
    <x v="77"/>
    <s v="(171) 555-1555"/>
    <s v="Fauntleroy Circus"/>
    <m/>
    <x v="61"/>
    <m/>
    <s v="EC2 5NT"/>
    <x v="6"/>
    <x v="1"/>
    <s v="Ashworth"/>
    <s v="Victoria"/>
    <x v="1"/>
  </r>
  <r>
    <n v="10124"/>
    <n v="43"/>
    <n v="100"/>
    <n v="13"/>
    <n v="5203"/>
    <d v="2003-05-21T00:00:00"/>
    <x v="0"/>
    <n v="2"/>
    <x v="1"/>
    <x v="1"/>
    <x v="0"/>
    <x v="1"/>
    <n v="107"/>
    <x v="74"/>
    <x v="84"/>
    <n v="7025551838"/>
    <s v="8489 Strong St."/>
    <m/>
    <x v="67"/>
    <s v="NV"/>
    <n v="83030"/>
    <x v="0"/>
    <x v="0"/>
    <s v="King"/>
    <s v="Sue"/>
    <x v="1"/>
  </r>
  <r>
    <n v="10148"/>
    <n v="27"/>
    <n v="100"/>
    <n v="7"/>
    <n v="3469.5"/>
    <d v="2003-09-11T00:00:00"/>
    <x v="0"/>
    <n v="3"/>
    <x v="10"/>
    <x v="10"/>
    <x v="0"/>
    <x v="1"/>
    <n v="107"/>
    <x v="74"/>
    <x v="42"/>
    <s v="02 9936 8555"/>
    <s v="201 Miller Street"/>
    <s v="Level 15"/>
    <x v="36"/>
    <s v="NSW"/>
    <n v="2060"/>
    <x v="3"/>
    <x v="2"/>
    <s v="O'Hara"/>
    <s v="Anna"/>
    <x v="1"/>
  </r>
  <r>
    <n v="10161"/>
    <n v="30"/>
    <n v="100"/>
    <n v="6"/>
    <n v="3148.2"/>
    <d v="2003-10-17T00:00:00"/>
    <x v="0"/>
    <n v="4"/>
    <x v="4"/>
    <x v="4"/>
    <x v="0"/>
    <x v="1"/>
    <n v="107"/>
    <x v="74"/>
    <x v="78"/>
    <s v="86 21 3555"/>
    <s v="Smagsloget 45"/>
    <m/>
    <x v="62"/>
    <m/>
    <n v="8200"/>
    <x v="13"/>
    <x v="1"/>
    <s v="Ibsen"/>
    <s v="Palle"/>
    <x v="1"/>
  </r>
  <r>
    <n v="10172"/>
    <n v="22"/>
    <n v="98.51"/>
    <n v="4"/>
    <n v="2167.2199999999998"/>
    <d v="2003-11-05T00:00:00"/>
    <x v="0"/>
    <n v="4"/>
    <x v="5"/>
    <x v="5"/>
    <x v="0"/>
    <x v="1"/>
    <n v="107"/>
    <x v="74"/>
    <x v="13"/>
    <n v="2035552570"/>
    <s v="25593 South Bay Ln."/>
    <m/>
    <x v="10"/>
    <s v="CT"/>
    <n v="97562"/>
    <x v="0"/>
    <x v="0"/>
    <s v="King"/>
    <s v="Julie"/>
    <x v="0"/>
  </r>
  <r>
    <n v="10182"/>
    <n v="49"/>
    <n v="100"/>
    <n v="17"/>
    <n v="6244.07"/>
    <d v="2003-11-12T00:00:00"/>
    <x v="0"/>
    <n v="4"/>
    <x v="5"/>
    <x v="5"/>
    <x v="0"/>
    <x v="1"/>
    <n v="107"/>
    <x v="74"/>
    <x v="39"/>
    <n v="4155551450"/>
    <s v="5677 Strong St."/>
    <m/>
    <x v="33"/>
    <s v="CA"/>
    <n v="97562"/>
    <x v="0"/>
    <x v="0"/>
    <s v="Nelson"/>
    <s v="Valarie"/>
    <x v="1"/>
  </r>
  <r>
    <n v="10192"/>
    <n v="46"/>
    <n v="100"/>
    <n v="5"/>
    <n v="5566"/>
    <d v="2003-11-20T00:00:00"/>
    <x v="0"/>
    <n v="4"/>
    <x v="5"/>
    <x v="5"/>
    <x v="0"/>
    <x v="1"/>
    <n v="107"/>
    <x v="74"/>
    <x v="40"/>
    <n v="6035558647"/>
    <s v="2304 Long Airport Avenue"/>
    <m/>
    <x v="34"/>
    <s v="NH"/>
    <n v="62005"/>
    <x v="0"/>
    <x v="0"/>
    <s v="Young"/>
    <s v="Valarie"/>
    <x v="1"/>
  </r>
  <r>
    <n v="10204"/>
    <n v="48"/>
    <n v="91.02"/>
    <n v="11"/>
    <n v="4368.96"/>
    <d v="2003-12-02T00:00:00"/>
    <x v="0"/>
    <n v="4"/>
    <x v="6"/>
    <x v="6"/>
    <x v="0"/>
    <x v="1"/>
    <n v="107"/>
    <x v="74"/>
    <x v="74"/>
    <n v="2125557413"/>
    <s v="4092 Furth Circle"/>
    <s v="Suite 400"/>
    <x v="0"/>
    <s v="NY"/>
    <n v="10022"/>
    <x v="0"/>
    <x v="0"/>
    <s v="Young"/>
    <s v="Jeff"/>
    <x v="1"/>
  </r>
  <r>
    <n v="10212"/>
    <n v="46"/>
    <n v="87.81"/>
    <n v="4"/>
    <n v="4039.26"/>
    <d v="2004-01-16T00:00:00"/>
    <x v="0"/>
    <n v="1"/>
    <x v="7"/>
    <x v="7"/>
    <x v="1"/>
    <x v="1"/>
    <n v="107"/>
    <x v="74"/>
    <x v="23"/>
    <s v="(91) 555 94 44"/>
    <s v="C/ Moralzarzal, 86"/>
    <m/>
    <x v="20"/>
    <m/>
    <n v="28034"/>
    <x v="7"/>
    <x v="1"/>
    <s v="Freyre"/>
    <s v="Diego"/>
    <x v="1"/>
  </r>
  <r>
    <n v="10226"/>
    <n v="48"/>
    <n v="92.09"/>
    <n v="2"/>
    <n v="4420.32"/>
    <d v="2004-02-26T00:00:00"/>
    <x v="0"/>
    <n v="1"/>
    <x v="0"/>
    <x v="0"/>
    <x v="1"/>
    <x v="1"/>
    <n v="107"/>
    <x v="74"/>
    <x v="55"/>
    <n v="7605558146"/>
    <s v="361 Furth Circle"/>
    <m/>
    <x v="45"/>
    <s v="CA"/>
    <n v="91217"/>
    <x v="0"/>
    <x v="0"/>
    <s v="Thompson"/>
    <s v="Valarie"/>
    <x v="1"/>
  </r>
  <r>
    <n v="10241"/>
    <n v="27"/>
    <n v="86.73"/>
    <n v="9"/>
    <n v="2341.71"/>
    <d v="2004-04-13T00:00:00"/>
    <x v="0"/>
    <n v="2"/>
    <x v="8"/>
    <x v="8"/>
    <x v="1"/>
    <x v="1"/>
    <n v="107"/>
    <x v="74"/>
    <x v="83"/>
    <s v="88.60.1555"/>
    <s v="24, place Kluber"/>
    <m/>
    <x v="66"/>
    <m/>
    <n v="67000"/>
    <x v="1"/>
    <x v="1"/>
    <s v="Citeaux"/>
    <s v="Frederique"/>
    <x v="0"/>
  </r>
  <r>
    <n v="10267"/>
    <n v="43"/>
    <n v="100"/>
    <n v="6"/>
    <n v="5110.9799999999996"/>
    <d v="2004-07-07T00:00:00"/>
    <x v="0"/>
    <n v="3"/>
    <x v="2"/>
    <x v="2"/>
    <x v="1"/>
    <x v="1"/>
    <n v="107"/>
    <x v="74"/>
    <x v="74"/>
    <n v="2125557413"/>
    <s v="4092 Furth Circle"/>
    <s v="Suite 400"/>
    <x v="0"/>
    <s v="NY"/>
    <n v="10022"/>
    <x v="0"/>
    <x v="0"/>
    <s v="Young"/>
    <s v="Jeff"/>
    <x v="1"/>
  </r>
  <r>
    <n v="10279"/>
    <n v="48"/>
    <n v="100"/>
    <n v="6"/>
    <n v="6168"/>
    <d v="2004-08-09T00:00:00"/>
    <x v="0"/>
    <n v="3"/>
    <x v="3"/>
    <x v="3"/>
    <x v="1"/>
    <x v="1"/>
    <n v="107"/>
    <x v="74"/>
    <x v="23"/>
    <s v="(91) 555 94 44"/>
    <s v="C/ Moralzarzal, 86"/>
    <m/>
    <x v="20"/>
    <m/>
    <n v="28034"/>
    <x v="7"/>
    <x v="1"/>
    <s v="Freyre"/>
    <s v="Diego"/>
    <x v="1"/>
  </r>
  <r>
    <n v="10288"/>
    <n v="41"/>
    <n v="100"/>
    <n v="12"/>
    <n v="4873.26"/>
    <d v="2004-09-01T00:00:00"/>
    <x v="0"/>
    <n v="3"/>
    <x v="10"/>
    <x v="10"/>
    <x v="1"/>
    <x v="1"/>
    <n v="107"/>
    <x v="74"/>
    <x v="65"/>
    <s v="+65 224 1555"/>
    <s v="Village Close - 106 Linden Road Sandown"/>
    <s v="2nd Floor"/>
    <x v="22"/>
    <m/>
    <n v="69045"/>
    <x v="9"/>
    <x v="2"/>
    <s v="Victorino"/>
    <s v="Wendy"/>
    <x v="1"/>
  </r>
  <r>
    <n v="10301"/>
    <n v="22"/>
    <n v="96.37"/>
    <n v="2"/>
    <n v="2120.14"/>
    <d v="2003-10-05T00:00:00"/>
    <x v="0"/>
    <n v="4"/>
    <x v="4"/>
    <x v="4"/>
    <x v="0"/>
    <x v="1"/>
    <n v="107"/>
    <x v="74"/>
    <x v="85"/>
    <s v="+47 2212 1555"/>
    <s v="Drammensveien 126 A, PB 744 Sentrum"/>
    <m/>
    <x v="68"/>
    <m/>
    <s v="N 0106"/>
    <x v="2"/>
    <x v="1"/>
    <s v="Klaeboe"/>
    <s v="Jan"/>
    <x v="0"/>
  </r>
  <r>
    <n v="10311"/>
    <n v="46"/>
    <n v="92.09"/>
    <n v="7"/>
    <n v="4236.1400000000003"/>
    <d v="2004-10-16T00:00:00"/>
    <x v="0"/>
    <n v="4"/>
    <x v="4"/>
    <x v="4"/>
    <x v="1"/>
    <x v="1"/>
    <n v="107"/>
    <x v="74"/>
    <x v="23"/>
    <s v="(91) 555 94 44"/>
    <s v="C/ Moralzarzal, 86"/>
    <m/>
    <x v="20"/>
    <m/>
    <n v="28034"/>
    <x v="7"/>
    <x v="1"/>
    <s v="Freyre"/>
    <s v="Diego"/>
    <x v="1"/>
  </r>
  <r>
    <n v="10321"/>
    <n v="21"/>
    <n v="89.95"/>
    <n v="4"/>
    <n v="1888.95"/>
    <d v="2004-11-04T00:00:00"/>
    <x v="0"/>
    <n v="4"/>
    <x v="5"/>
    <x v="5"/>
    <x v="1"/>
    <x v="1"/>
    <n v="107"/>
    <x v="74"/>
    <x v="21"/>
    <n v="5085552555"/>
    <s v="1785 First Street"/>
    <m/>
    <x v="18"/>
    <s v="MA"/>
    <n v="50553"/>
    <x v="0"/>
    <x v="0"/>
    <s v="Benitez"/>
    <s v="Violeta"/>
    <x v="0"/>
  </r>
  <r>
    <n v="10332"/>
    <n v="31"/>
    <n v="37.18"/>
    <n v="13"/>
    <n v="1152.58"/>
    <d v="2004-11-17T00:00:00"/>
    <x v="0"/>
    <n v="4"/>
    <x v="5"/>
    <x v="5"/>
    <x v="1"/>
    <x v="1"/>
    <n v="107"/>
    <x v="74"/>
    <x v="77"/>
    <s v="(171) 555-1555"/>
    <s v="Fauntleroy Circus"/>
    <m/>
    <x v="61"/>
    <m/>
    <s v="EC2 5NT"/>
    <x v="6"/>
    <x v="1"/>
    <s v="Ashworth"/>
    <s v="Victoria"/>
    <x v="0"/>
  </r>
  <r>
    <n v="10346"/>
    <n v="26"/>
    <n v="95.88"/>
    <n v="6"/>
    <n v="2492.88"/>
    <d v="2004-11-29T00:00:00"/>
    <x v="0"/>
    <n v="4"/>
    <x v="5"/>
    <x v="5"/>
    <x v="1"/>
    <x v="1"/>
    <n v="107"/>
    <x v="74"/>
    <x v="84"/>
    <n v="7025551838"/>
    <s v="8489 Strong St."/>
    <m/>
    <x v="67"/>
    <s v="NV"/>
    <n v="83030"/>
    <x v="0"/>
    <x v="0"/>
    <s v="King"/>
    <s v="Sue"/>
    <x v="0"/>
  </r>
  <r>
    <n v="10368"/>
    <n v="20"/>
    <n v="99.58"/>
    <n v="4"/>
    <n v="1991.6"/>
    <d v="2005-01-19T00:00:00"/>
    <x v="0"/>
    <n v="1"/>
    <x v="7"/>
    <x v="7"/>
    <x v="2"/>
    <x v="1"/>
    <n v="107"/>
    <x v="74"/>
    <x v="39"/>
    <n v="4155551450"/>
    <s v="5677 Strong St."/>
    <m/>
    <x v="33"/>
    <s v="CA"/>
    <n v="97562"/>
    <x v="0"/>
    <x v="0"/>
    <s v="Nelson"/>
    <s v="Valarie"/>
    <x v="0"/>
  </r>
  <r>
    <n v="10380"/>
    <n v="34"/>
    <n v="100"/>
    <n v="11"/>
    <n v="3953.18"/>
    <d v="2005-02-16T00:00:00"/>
    <x v="0"/>
    <n v="1"/>
    <x v="0"/>
    <x v="0"/>
    <x v="2"/>
    <x v="1"/>
    <n v="107"/>
    <x v="74"/>
    <x v="23"/>
    <s v="(91) 555 94 44"/>
    <s v="C/ Moralzarzal, 86"/>
    <m/>
    <x v="20"/>
    <m/>
    <n v="28034"/>
    <x v="7"/>
    <x v="1"/>
    <s v="Freyre"/>
    <s v="Diego"/>
    <x v="1"/>
  </r>
  <r>
    <n v="10407"/>
    <n v="43"/>
    <n v="86.73"/>
    <n v="9"/>
    <n v="3729.39"/>
    <d v="2005-04-22T00:00:00"/>
    <x v="4"/>
    <n v="2"/>
    <x v="8"/>
    <x v="8"/>
    <x v="2"/>
    <x v="1"/>
    <n v="107"/>
    <x v="74"/>
    <x v="61"/>
    <n v="4085553659"/>
    <s v="3086 Ingle Ln."/>
    <m/>
    <x v="51"/>
    <s v="CA"/>
    <n v="94217"/>
    <x v="0"/>
    <x v="0"/>
    <s v="Frick"/>
    <s v="Sue"/>
    <x v="1"/>
  </r>
  <r>
    <n v="10420"/>
    <n v="26"/>
    <n v="100"/>
    <n v="12"/>
    <n v="2617.16"/>
    <d v="2005-05-29T00:00:00"/>
    <x v="2"/>
    <n v="2"/>
    <x v="1"/>
    <x v="1"/>
    <x v="2"/>
    <x v="1"/>
    <n v="107"/>
    <x v="74"/>
    <x v="20"/>
    <s v="+61 2 9495 8555"/>
    <s v="Monitor Money Building, 815 Pacific Hwy"/>
    <s v="Level 6"/>
    <x v="17"/>
    <s v="NSW"/>
    <n v="2067"/>
    <x v="3"/>
    <x v="2"/>
    <s v="Huxley"/>
    <s v="Adrian"/>
    <x v="0"/>
  </r>
  <r>
    <n v="10105"/>
    <n v="50"/>
    <n v="79.67"/>
    <n v="1"/>
    <n v="3983.5"/>
    <d v="2003-02-11T00:00:00"/>
    <x v="0"/>
    <n v="1"/>
    <x v="0"/>
    <x v="0"/>
    <x v="0"/>
    <x v="3"/>
    <n v="83"/>
    <x v="75"/>
    <x v="48"/>
    <s v="31 12 3555"/>
    <s v="Vinb'ltet 34"/>
    <m/>
    <x v="40"/>
    <m/>
    <n v="1734"/>
    <x v="13"/>
    <x v="1"/>
    <s v="Petersen"/>
    <s v="Jytte"/>
    <x v="1"/>
  </r>
  <r>
    <n v="10119"/>
    <n v="35"/>
    <n v="90.57"/>
    <n v="10"/>
    <n v="3169.95"/>
    <d v="2003-04-28T00:00:00"/>
    <x v="0"/>
    <n v="2"/>
    <x v="8"/>
    <x v="8"/>
    <x v="0"/>
    <x v="3"/>
    <n v="83"/>
    <x v="75"/>
    <x v="19"/>
    <s v="6562-9555"/>
    <s v="Geislweg 14"/>
    <m/>
    <x v="16"/>
    <m/>
    <n v="5020"/>
    <x v="5"/>
    <x v="1"/>
    <s v="Pipps"/>
    <s v="Georg"/>
    <x v="1"/>
  </r>
  <r>
    <n v="10129"/>
    <n v="50"/>
    <n v="77.989999999999995"/>
    <n v="1"/>
    <n v="3899.5"/>
    <d v="2003-06-12T00:00:00"/>
    <x v="0"/>
    <n v="2"/>
    <x v="9"/>
    <x v="9"/>
    <x v="0"/>
    <x v="3"/>
    <n v="83"/>
    <x v="75"/>
    <x v="49"/>
    <s v="(171) 555-0297"/>
    <s v="35 King George"/>
    <m/>
    <x v="41"/>
    <m/>
    <s v="WX3 6FW"/>
    <x v="6"/>
    <x v="1"/>
    <s v="Brown"/>
    <s v="Ann"/>
    <x v="1"/>
  </r>
  <r>
    <n v="10143"/>
    <n v="23"/>
    <n v="80.510000000000005"/>
    <n v="14"/>
    <n v="1851.73"/>
    <d v="2003-08-10T00:00:00"/>
    <x v="0"/>
    <n v="3"/>
    <x v="3"/>
    <x v="3"/>
    <x v="0"/>
    <x v="3"/>
    <n v="83"/>
    <x v="75"/>
    <x v="50"/>
    <n v="5085559555"/>
    <s v="4575 Hillside Dr."/>
    <m/>
    <x v="18"/>
    <s v="MA"/>
    <n v="50553"/>
    <x v="0"/>
    <x v="0"/>
    <s v="Tam"/>
    <s v="Wing C"/>
    <x v="0"/>
  </r>
  <r>
    <n v="10155"/>
    <n v="37"/>
    <n v="67.930000000000007"/>
    <n v="12"/>
    <n v="2513.41"/>
    <d v="2003-10-06T00:00:00"/>
    <x v="0"/>
    <n v="4"/>
    <x v="4"/>
    <x v="4"/>
    <x v="0"/>
    <x v="3"/>
    <n v="83"/>
    <x v="75"/>
    <x v="16"/>
    <s v="90-224 8555"/>
    <s v="Keskuskatu 45"/>
    <m/>
    <x v="13"/>
    <m/>
    <n v="21240"/>
    <x v="4"/>
    <x v="1"/>
    <s v="Karttunen"/>
    <s v="Matti"/>
    <x v="0"/>
  </r>
  <r>
    <n v="10167"/>
    <n v="29"/>
    <n v="83.86"/>
    <n v="8"/>
    <n v="2431.94"/>
    <d v="2003-10-23T00:00:00"/>
    <x v="3"/>
    <n v="4"/>
    <x v="4"/>
    <x v="4"/>
    <x v="0"/>
    <x v="3"/>
    <n v="83"/>
    <x v="75"/>
    <x v="37"/>
    <s v="0695-34 6555"/>
    <s v="?kergatan 24"/>
    <m/>
    <x v="31"/>
    <m/>
    <s v="S-844 67"/>
    <x v="8"/>
    <x v="1"/>
    <s v="Larsson"/>
    <s v="Maria"/>
    <x v="0"/>
  </r>
  <r>
    <n v="10178"/>
    <n v="21"/>
    <n v="72.12"/>
    <n v="11"/>
    <n v="1514.52"/>
    <d v="2003-11-08T00:00:00"/>
    <x v="0"/>
    <n v="4"/>
    <x v="5"/>
    <x v="5"/>
    <x v="0"/>
    <x v="3"/>
    <n v="83"/>
    <x v="75"/>
    <x v="51"/>
    <s v="61.77.6555"/>
    <s v="1 rue Alsace-Lorraine"/>
    <m/>
    <x v="42"/>
    <m/>
    <n v="31000"/>
    <x v="1"/>
    <x v="1"/>
    <s v="Roulet"/>
    <s v="Annette"/>
    <x v="0"/>
  </r>
  <r>
    <n v="10186"/>
    <n v="36"/>
    <n v="85.54"/>
    <n v="8"/>
    <n v="3079.44"/>
    <d v="2003-11-14T00:00:00"/>
    <x v="0"/>
    <n v="4"/>
    <x v="5"/>
    <x v="5"/>
    <x v="0"/>
    <x v="3"/>
    <n v="83"/>
    <x v="75"/>
    <x v="52"/>
    <s v="(171) 555-7555"/>
    <s v="120 Hanover Sq."/>
    <m/>
    <x v="41"/>
    <m/>
    <s v="WA1 1DP"/>
    <x v="6"/>
    <x v="1"/>
    <s v="Hardy"/>
    <s v="Thomas"/>
    <x v="1"/>
  </r>
  <r>
    <n v="10197"/>
    <n v="22"/>
    <n v="86.38"/>
    <n v="5"/>
    <n v="1900.36"/>
    <d v="2003-11-26T00:00:00"/>
    <x v="0"/>
    <n v="4"/>
    <x v="5"/>
    <x v="5"/>
    <x v="0"/>
    <x v="3"/>
    <n v="83"/>
    <x v="75"/>
    <x v="53"/>
    <s v="(93) 203 4555"/>
    <s v="Rambla de Catalu¤a, 23"/>
    <m/>
    <x v="43"/>
    <m/>
    <n v="8022"/>
    <x v="7"/>
    <x v="1"/>
    <s v="Saavedra"/>
    <s v="Eduardo"/>
    <x v="0"/>
  </r>
  <r>
    <n v="10209"/>
    <n v="22"/>
    <n v="89.73"/>
    <n v="7"/>
    <n v="1974.06"/>
    <d v="2004-01-09T00:00:00"/>
    <x v="0"/>
    <n v="1"/>
    <x v="7"/>
    <x v="7"/>
    <x v="1"/>
    <x v="3"/>
    <n v="83"/>
    <x v="75"/>
    <x v="54"/>
    <n v="2155554369"/>
    <s v="6047 Douglas Av."/>
    <m/>
    <x v="44"/>
    <s v="CA"/>
    <m/>
    <x v="0"/>
    <x v="0"/>
    <s v="Chandler"/>
    <s v="Michael"/>
    <x v="0"/>
  </r>
  <r>
    <n v="10222"/>
    <n v="46"/>
    <n v="80.510000000000005"/>
    <n v="11"/>
    <n v="3703.46"/>
    <d v="2004-02-19T00:00:00"/>
    <x v="0"/>
    <n v="1"/>
    <x v="0"/>
    <x v="0"/>
    <x v="1"/>
    <x v="3"/>
    <n v="83"/>
    <x v="75"/>
    <x v="55"/>
    <n v="7605558146"/>
    <s v="361 Furth Circle"/>
    <m/>
    <x v="45"/>
    <s v="CA"/>
    <n v="91217"/>
    <x v="0"/>
    <x v="0"/>
    <s v="Thompson"/>
    <s v="Valarie"/>
    <x v="1"/>
  </r>
  <r>
    <n v="10248"/>
    <n v="23"/>
    <n v="76.31"/>
    <n v="2"/>
    <n v="1755.13"/>
    <d v="2004-05-07T00:00:00"/>
    <x v="3"/>
    <n v="2"/>
    <x v="1"/>
    <x v="1"/>
    <x v="1"/>
    <x v="3"/>
    <n v="83"/>
    <x v="75"/>
    <x v="0"/>
    <n v="2125557818"/>
    <s v="897 Long Airport Avenue"/>
    <m/>
    <x v="0"/>
    <s v="NY"/>
    <n v="10022"/>
    <x v="0"/>
    <x v="0"/>
    <s v="Yu"/>
    <s v="Kwai"/>
    <x v="0"/>
  </r>
  <r>
    <n v="10262"/>
    <n v="49"/>
    <n v="87.21"/>
    <n v="16"/>
    <n v="4273.29"/>
    <d v="2004-06-24T00:00:00"/>
    <x v="3"/>
    <n v="2"/>
    <x v="9"/>
    <x v="9"/>
    <x v="1"/>
    <x v="3"/>
    <n v="83"/>
    <x v="75"/>
    <x v="23"/>
    <s v="(91) 555 94 44"/>
    <s v="C/ Moralzarzal, 86"/>
    <m/>
    <x v="20"/>
    <m/>
    <n v="28034"/>
    <x v="7"/>
    <x v="1"/>
    <s v="Freyre"/>
    <s v="Diego"/>
    <x v="1"/>
  </r>
  <r>
    <n v="10273"/>
    <n v="48"/>
    <n v="83.02"/>
    <n v="3"/>
    <n v="3984.96"/>
    <d v="2004-07-21T00:00:00"/>
    <x v="0"/>
    <n v="3"/>
    <x v="2"/>
    <x v="2"/>
    <x v="1"/>
    <x v="3"/>
    <n v="83"/>
    <x v="75"/>
    <x v="56"/>
    <s v="(02) 5554 67"/>
    <s v="Rue Joseph-Bens 532"/>
    <m/>
    <x v="46"/>
    <m/>
    <s v="B-1180"/>
    <x v="14"/>
    <x v="1"/>
    <s v="Dewey"/>
    <s v="Catherine"/>
    <x v="1"/>
  </r>
  <r>
    <n v="10283"/>
    <n v="33"/>
    <n v="72.959999999999994"/>
    <n v="5"/>
    <n v="2407.6799999999998"/>
    <d v="2004-08-20T00:00:00"/>
    <x v="0"/>
    <n v="3"/>
    <x v="3"/>
    <x v="3"/>
    <x v="1"/>
    <x v="3"/>
    <n v="83"/>
    <x v="75"/>
    <x v="57"/>
    <s v="(604) 555-4555"/>
    <s v="23 Tsawassen Blvd."/>
    <m/>
    <x v="47"/>
    <s v="BC"/>
    <s v="T2F 8M4"/>
    <x v="10"/>
    <x v="0"/>
    <s v="Lincoln"/>
    <s v="Elizabeth"/>
    <x v="0"/>
  </r>
  <r>
    <n v="10296"/>
    <n v="22"/>
    <n v="77.150000000000006"/>
    <n v="14"/>
    <n v="1697.3"/>
    <d v="2004-09-15T00:00:00"/>
    <x v="0"/>
    <n v="3"/>
    <x v="10"/>
    <x v="10"/>
    <x v="1"/>
    <x v="3"/>
    <n v="83"/>
    <x v="75"/>
    <x v="89"/>
    <s v="+49 89 61 08 9555"/>
    <s v="Hansastr. 15"/>
    <m/>
    <x v="71"/>
    <m/>
    <n v="80686"/>
    <x v="16"/>
    <x v="1"/>
    <s v="Donnermeyer"/>
    <s v="Michael"/>
    <x v="0"/>
  </r>
  <r>
    <n v="10307"/>
    <n v="22"/>
    <n v="91.41"/>
    <n v="8"/>
    <n v="2011.02"/>
    <d v="2004-10-14T00:00:00"/>
    <x v="0"/>
    <n v="4"/>
    <x v="4"/>
    <x v="4"/>
    <x v="1"/>
    <x v="3"/>
    <n v="83"/>
    <x v="75"/>
    <x v="29"/>
    <n v="2155554695"/>
    <s v="782 First Street"/>
    <m/>
    <x v="24"/>
    <s v="PA"/>
    <n v="71270"/>
    <x v="0"/>
    <x v="0"/>
    <s v="Cervantes"/>
    <s v="Francisca"/>
    <x v="0"/>
  </r>
  <r>
    <n v="10316"/>
    <n v="25"/>
    <n v="92.25"/>
    <n v="16"/>
    <n v="2306.25"/>
    <d v="2004-11-01T00:00:00"/>
    <x v="0"/>
    <n v="4"/>
    <x v="5"/>
    <x v="5"/>
    <x v="1"/>
    <x v="3"/>
    <n v="83"/>
    <x v="75"/>
    <x v="59"/>
    <s v="(198) 555-8888"/>
    <s v="Garden House Crowther Way"/>
    <m/>
    <x v="49"/>
    <s v="Isle of Wight"/>
    <s v="PO31 7PJ"/>
    <x v="6"/>
    <x v="1"/>
    <s v="Bennett"/>
    <s v="Helen"/>
    <x v="0"/>
  </r>
  <r>
    <n v="10326"/>
    <n v="20"/>
    <n v="92.25"/>
    <n v="2"/>
    <n v="1845"/>
    <d v="2004-11-09T00:00:00"/>
    <x v="0"/>
    <n v="4"/>
    <x v="5"/>
    <x v="5"/>
    <x v="1"/>
    <x v="3"/>
    <n v="83"/>
    <x v="75"/>
    <x v="24"/>
    <s v="0921-12 3555"/>
    <s v="Berguvsv„gen  8"/>
    <m/>
    <x v="21"/>
    <m/>
    <s v="S-958 22"/>
    <x v="8"/>
    <x v="1"/>
    <s v="Berglund"/>
    <s v="Christina"/>
    <x v="0"/>
  </r>
  <r>
    <n v="10339"/>
    <n v="42"/>
    <n v="59.36"/>
    <n v="16"/>
    <n v="2493.12"/>
    <d v="2004-11-23T00:00:00"/>
    <x v="0"/>
    <n v="4"/>
    <x v="5"/>
    <x v="5"/>
    <x v="1"/>
    <x v="3"/>
    <n v="83"/>
    <x v="75"/>
    <x v="35"/>
    <s v="+81 3 3584 0555"/>
    <s v="2-2-8 Roppongi"/>
    <m/>
    <x v="29"/>
    <s v="Tokyo"/>
    <s v="106-0032"/>
    <x v="11"/>
    <x v="3"/>
    <s v="Shimamura"/>
    <s v="Akiko"/>
    <x v="0"/>
  </r>
  <r>
    <n v="10350"/>
    <n v="25"/>
    <n v="60.34"/>
    <n v="10"/>
    <n v="1508.5"/>
    <d v="2004-12-02T00:00:00"/>
    <x v="0"/>
    <n v="4"/>
    <x v="6"/>
    <x v="6"/>
    <x v="1"/>
    <x v="3"/>
    <n v="83"/>
    <x v="75"/>
    <x v="23"/>
    <s v="(91) 555 94 44"/>
    <s v="C/ Moralzarzal, 86"/>
    <m/>
    <x v="20"/>
    <m/>
    <n v="28034"/>
    <x v="7"/>
    <x v="1"/>
    <s v="Freyre"/>
    <s v="Diego"/>
    <x v="0"/>
  </r>
  <r>
    <n v="10373"/>
    <n v="23"/>
    <n v="100"/>
    <n v="10"/>
    <n v="2394.3000000000002"/>
    <d v="2005-01-31T00:00:00"/>
    <x v="0"/>
    <n v="1"/>
    <x v="7"/>
    <x v="7"/>
    <x v="2"/>
    <x v="3"/>
    <n v="83"/>
    <x v="75"/>
    <x v="60"/>
    <s v="981-443655"/>
    <s v="Torikatu 38"/>
    <m/>
    <x v="50"/>
    <m/>
    <n v="90110"/>
    <x v="4"/>
    <x v="1"/>
    <s v="Koskitalo"/>
    <s v="Pirkko"/>
    <x v="0"/>
  </r>
  <r>
    <n v="10385"/>
    <n v="37"/>
    <n v="85.54"/>
    <n v="2"/>
    <n v="3164.98"/>
    <d v="2005-02-28T00:00:00"/>
    <x v="0"/>
    <n v="1"/>
    <x v="0"/>
    <x v="0"/>
    <x v="2"/>
    <x v="3"/>
    <n v="83"/>
    <x v="75"/>
    <x v="39"/>
    <n v="4155551450"/>
    <s v="5677 Strong St."/>
    <m/>
    <x v="33"/>
    <s v="CA"/>
    <n v="97562"/>
    <x v="0"/>
    <x v="0"/>
    <s v="Nelson"/>
    <s v="Valarie"/>
    <x v="1"/>
  </r>
  <r>
    <n v="10396"/>
    <n v="37"/>
    <n v="90.57"/>
    <n v="8"/>
    <n v="3351.09"/>
    <d v="2005-03-23T00:00:00"/>
    <x v="0"/>
    <n v="1"/>
    <x v="11"/>
    <x v="11"/>
    <x v="2"/>
    <x v="3"/>
    <n v="83"/>
    <x v="75"/>
    <x v="39"/>
    <n v="4155551450"/>
    <s v="5677 Strong St."/>
    <m/>
    <x v="33"/>
    <s v="CA"/>
    <n v="97562"/>
    <x v="0"/>
    <x v="0"/>
    <s v="Nelson"/>
    <s v="Valarie"/>
    <x v="1"/>
  </r>
  <r>
    <n v="10400"/>
    <n v="42"/>
    <n v="72.959999999999994"/>
    <n v="8"/>
    <n v="3064.32"/>
    <d v="2005-04-01T00:00:00"/>
    <x v="0"/>
    <n v="2"/>
    <x v="8"/>
    <x v="8"/>
    <x v="2"/>
    <x v="3"/>
    <n v="83"/>
    <x v="75"/>
    <x v="61"/>
    <n v="4085553659"/>
    <s v="3086 Ingle Ln."/>
    <m/>
    <x v="51"/>
    <s v="CA"/>
    <n v="94217"/>
    <x v="0"/>
    <x v="0"/>
    <s v="Frick"/>
    <s v="Sue"/>
    <x v="1"/>
  </r>
  <r>
    <n v="10414"/>
    <n v="51"/>
    <n v="76.31"/>
    <n v="2"/>
    <n v="3891.81"/>
    <d v="2005-05-06T00:00:00"/>
    <x v="4"/>
    <n v="2"/>
    <x v="1"/>
    <x v="1"/>
    <x v="2"/>
    <x v="3"/>
    <n v="83"/>
    <x v="75"/>
    <x v="58"/>
    <n v="6175559555"/>
    <s v="8616 Spinnaker Dr."/>
    <m/>
    <x v="48"/>
    <s v="MA"/>
    <n v="51003"/>
    <x v="0"/>
    <x v="0"/>
    <s v="Yoshido"/>
    <s v="Juri"/>
    <x v="1"/>
  </r>
  <r>
    <n v="10108"/>
    <n v="40"/>
    <n v="100"/>
    <n v="1"/>
    <n v="5448.8"/>
    <d v="2003-03-03T00:00:00"/>
    <x v="0"/>
    <n v="1"/>
    <x v="11"/>
    <x v="11"/>
    <x v="0"/>
    <x v="1"/>
    <n v="140"/>
    <x v="76"/>
    <x v="66"/>
    <s v="+63 2 555 3587"/>
    <s v="15 McCallum Street - NatWest Center #13-03"/>
    <m/>
    <x v="53"/>
    <m/>
    <s v="1227 MM"/>
    <x v="15"/>
    <x v="3"/>
    <s v="Cruz"/>
    <s v="Arnold"/>
    <x v="1"/>
  </r>
  <r>
    <n v="10122"/>
    <n v="43"/>
    <n v="100"/>
    <n v="5"/>
    <n v="5494.97"/>
    <d v="2003-05-08T00:00:00"/>
    <x v="0"/>
    <n v="2"/>
    <x v="1"/>
    <x v="1"/>
    <x v="0"/>
    <x v="1"/>
    <n v="140"/>
    <x v="76"/>
    <x v="67"/>
    <s v="91.24.4555"/>
    <s v="12, rue des Bouchers"/>
    <m/>
    <x v="54"/>
    <m/>
    <n v="13008"/>
    <x v="1"/>
    <x v="1"/>
    <s v="Lebihan"/>
    <s v="Laurence"/>
    <x v="1"/>
  </r>
  <r>
    <n v="10135"/>
    <n v="47"/>
    <n v="100"/>
    <n v="2"/>
    <n v="6336.07"/>
    <d v="2003-07-02T00:00:00"/>
    <x v="0"/>
    <n v="3"/>
    <x v="2"/>
    <x v="2"/>
    <x v="0"/>
    <x v="1"/>
    <n v="140"/>
    <x v="76"/>
    <x v="39"/>
    <n v="4155551450"/>
    <s v="5677 Strong St."/>
    <m/>
    <x v="33"/>
    <s v="CA"/>
    <n v="97562"/>
    <x v="0"/>
    <x v="0"/>
    <s v="Nelson"/>
    <s v="Valarie"/>
    <x v="1"/>
  </r>
  <r>
    <n v="10147"/>
    <n v="23"/>
    <n v="100"/>
    <n v="2"/>
    <n v="2906.97"/>
    <d v="2003-09-05T00:00:00"/>
    <x v="0"/>
    <n v="3"/>
    <x v="10"/>
    <x v="10"/>
    <x v="0"/>
    <x v="1"/>
    <n v="140"/>
    <x v="76"/>
    <x v="41"/>
    <n v="6175558555"/>
    <s v="7825 Douglas Av."/>
    <m/>
    <x v="35"/>
    <s v="MA"/>
    <n v="58339"/>
    <x v="0"/>
    <x v="0"/>
    <s v="Nelson"/>
    <s v="Allen"/>
    <x v="0"/>
  </r>
  <r>
    <n v="10160"/>
    <n v="35"/>
    <n v="100"/>
    <n v="3"/>
    <n v="4767.7"/>
    <d v="2003-10-11T00:00:00"/>
    <x v="0"/>
    <n v="4"/>
    <x v="4"/>
    <x v="4"/>
    <x v="0"/>
    <x v="1"/>
    <n v="140"/>
    <x v="76"/>
    <x v="54"/>
    <n v="2155554369"/>
    <s v="6047 Douglas Av."/>
    <m/>
    <x v="44"/>
    <s v="CA"/>
    <m/>
    <x v="0"/>
    <x v="0"/>
    <s v="Chandler"/>
    <s v="Michael"/>
    <x v="1"/>
  </r>
  <r>
    <n v="10170"/>
    <n v="34"/>
    <n v="100"/>
    <n v="1"/>
    <n v="3819.56"/>
    <d v="2003-11-04T00:00:00"/>
    <x v="0"/>
    <n v="4"/>
    <x v="5"/>
    <x v="5"/>
    <x v="0"/>
    <x v="1"/>
    <n v="140"/>
    <x v="76"/>
    <x v="63"/>
    <s v="7675-3555"/>
    <s v="Kirchgasse 6"/>
    <m/>
    <x v="52"/>
    <m/>
    <n v="8010"/>
    <x v="5"/>
    <x v="1"/>
    <s v="Mendel"/>
    <s v="Roland"/>
    <x v="1"/>
  </r>
  <r>
    <n v="10181"/>
    <n v="25"/>
    <n v="100"/>
    <n v="9"/>
    <n v="3861.75"/>
    <d v="2003-11-12T00:00:00"/>
    <x v="0"/>
    <n v="4"/>
    <x v="5"/>
    <x v="5"/>
    <x v="0"/>
    <x v="1"/>
    <n v="140"/>
    <x v="76"/>
    <x v="7"/>
    <s v="+47 2267 3215"/>
    <s v="Drammen 121, PR 744 Sentrum"/>
    <m/>
    <x v="7"/>
    <m/>
    <s v="N 5804"/>
    <x v="2"/>
    <x v="1"/>
    <s v="Oeztan"/>
    <s v="Veysel"/>
    <x v="1"/>
  </r>
  <r>
    <n v="10192"/>
    <n v="45"/>
    <n v="100"/>
    <n v="14"/>
    <n v="6319.35"/>
    <d v="2003-11-20T00:00:00"/>
    <x v="0"/>
    <n v="4"/>
    <x v="5"/>
    <x v="5"/>
    <x v="0"/>
    <x v="1"/>
    <n v="140"/>
    <x v="76"/>
    <x v="40"/>
    <n v="6035558647"/>
    <s v="2304 Long Airport Avenue"/>
    <m/>
    <x v="34"/>
    <s v="NH"/>
    <n v="62005"/>
    <x v="0"/>
    <x v="0"/>
    <s v="Young"/>
    <s v="Valarie"/>
    <x v="1"/>
  </r>
  <r>
    <n v="10203"/>
    <n v="47"/>
    <n v="100"/>
    <n v="3"/>
    <n v="6996.42"/>
    <d v="2003-12-02T00:00:00"/>
    <x v="0"/>
    <n v="4"/>
    <x v="6"/>
    <x v="6"/>
    <x v="0"/>
    <x v="1"/>
    <n v="140"/>
    <x v="76"/>
    <x v="23"/>
    <s v="(91) 555 94 44"/>
    <s v="C/ Moralzarzal, 86"/>
    <m/>
    <x v="20"/>
    <m/>
    <n v="28034"/>
    <x v="7"/>
    <x v="1"/>
    <s v="Freyre"/>
    <s v="Diego"/>
    <x v="1"/>
  </r>
  <r>
    <n v="10212"/>
    <n v="49"/>
    <n v="100"/>
    <n v="13"/>
    <n v="6949.67"/>
    <d v="2004-01-16T00:00:00"/>
    <x v="0"/>
    <n v="1"/>
    <x v="7"/>
    <x v="7"/>
    <x v="1"/>
    <x v="1"/>
    <n v="140"/>
    <x v="76"/>
    <x v="23"/>
    <s v="(91) 555 94 44"/>
    <s v="C/ Moralzarzal, 86"/>
    <m/>
    <x v="20"/>
    <m/>
    <n v="28034"/>
    <x v="7"/>
    <x v="1"/>
    <s v="Freyre"/>
    <s v="Diego"/>
    <x v="1"/>
  </r>
  <r>
    <n v="10225"/>
    <n v="40"/>
    <n v="100"/>
    <n v="4"/>
    <n v="4550"/>
    <d v="2004-02-22T00:00:00"/>
    <x v="0"/>
    <n v="1"/>
    <x v="0"/>
    <x v="0"/>
    <x v="1"/>
    <x v="1"/>
    <n v="140"/>
    <x v="76"/>
    <x v="69"/>
    <s v="0897-034555"/>
    <s v="Grenzacherweg 237"/>
    <m/>
    <x v="56"/>
    <m/>
    <n v="1203"/>
    <x v="17"/>
    <x v="1"/>
    <s v="Holz"/>
    <s v="Michael"/>
    <x v="1"/>
  </r>
  <r>
    <n v="10239"/>
    <n v="29"/>
    <n v="100"/>
    <n v="3"/>
    <n v="4479.63"/>
    <d v="2004-04-12T00:00:00"/>
    <x v="0"/>
    <n v="2"/>
    <x v="8"/>
    <x v="8"/>
    <x v="1"/>
    <x v="1"/>
    <n v="140"/>
    <x v="76"/>
    <x v="60"/>
    <s v="981-443655"/>
    <s v="Torikatu 38"/>
    <m/>
    <x v="50"/>
    <m/>
    <n v="90110"/>
    <x v="4"/>
    <x v="1"/>
    <s v="Koskitalo"/>
    <s v="Pirkko"/>
    <x v="1"/>
  </r>
  <r>
    <n v="10253"/>
    <n v="39"/>
    <n v="100"/>
    <n v="8"/>
    <n v="5148"/>
    <d v="2004-06-01T00:00:00"/>
    <x v="3"/>
    <n v="2"/>
    <x v="9"/>
    <x v="9"/>
    <x v="1"/>
    <x v="1"/>
    <n v="140"/>
    <x v="76"/>
    <x v="22"/>
    <s v="(171) 555-2282"/>
    <s v="Berkeley Gardens 12  Brewery"/>
    <m/>
    <x v="19"/>
    <m/>
    <s v="WX1 6LT"/>
    <x v="6"/>
    <x v="1"/>
    <s v="Devon"/>
    <s v="Elizabeth"/>
    <x v="1"/>
  </r>
  <r>
    <n v="10266"/>
    <n v="24"/>
    <n v="100"/>
    <n v="9"/>
    <n v="2932.08"/>
    <d v="2004-07-06T00:00:00"/>
    <x v="0"/>
    <n v="3"/>
    <x v="2"/>
    <x v="2"/>
    <x v="1"/>
    <x v="1"/>
    <n v="140"/>
    <x v="76"/>
    <x v="70"/>
    <s v="0522-556555"/>
    <s v="Strada Provinciale 124"/>
    <m/>
    <x v="57"/>
    <m/>
    <n v="42100"/>
    <x v="12"/>
    <x v="1"/>
    <s v="Moroni"/>
    <s v="Maurizio"/>
    <x v="0"/>
  </r>
  <r>
    <n v="10278"/>
    <n v="25"/>
    <n v="100"/>
    <n v="9"/>
    <n v="3159.75"/>
    <d v="2004-08-06T00:00:00"/>
    <x v="0"/>
    <n v="3"/>
    <x v="3"/>
    <x v="3"/>
    <x v="1"/>
    <x v="1"/>
    <n v="140"/>
    <x v="76"/>
    <x v="84"/>
    <n v="7025551838"/>
    <s v="8489 Strong St."/>
    <m/>
    <x v="67"/>
    <s v="NV"/>
    <n v="83030"/>
    <x v="0"/>
    <x v="0"/>
    <s v="King"/>
    <s v="Sue"/>
    <x v="1"/>
  </r>
  <r>
    <n v="10287"/>
    <n v="36"/>
    <n v="100"/>
    <n v="7"/>
    <n v="4297.32"/>
    <d v="2004-08-30T00:00:00"/>
    <x v="0"/>
    <n v="3"/>
    <x v="3"/>
    <x v="3"/>
    <x v="1"/>
    <x v="1"/>
    <n v="140"/>
    <x v="76"/>
    <x v="69"/>
    <s v="0897-034555"/>
    <s v="Grenzacherweg 237"/>
    <m/>
    <x v="56"/>
    <m/>
    <n v="1203"/>
    <x v="17"/>
    <x v="1"/>
    <s v="Holz"/>
    <s v="Michael"/>
    <x v="1"/>
  </r>
  <r>
    <n v="10301"/>
    <n v="50"/>
    <n v="100"/>
    <n v="11"/>
    <n v="7723.5"/>
    <d v="2003-10-05T00:00:00"/>
    <x v="0"/>
    <n v="4"/>
    <x v="4"/>
    <x v="4"/>
    <x v="0"/>
    <x v="1"/>
    <n v="140"/>
    <x v="76"/>
    <x v="85"/>
    <s v="+47 2212 1555"/>
    <s v="Drammensveien 126 A, PB 744 Sentrum"/>
    <m/>
    <x v="68"/>
    <m/>
    <s v="N 0106"/>
    <x v="2"/>
    <x v="1"/>
    <s v="Klaeboe"/>
    <s v="Jan"/>
    <x v="2"/>
  </r>
  <r>
    <n v="10310"/>
    <n v="45"/>
    <n v="100"/>
    <n v="5"/>
    <n v="5497.65"/>
    <d v="2004-10-16T00:00:00"/>
    <x v="0"/>
    <n v="4"/>
    <x v="4"/>
    <x v="4"/>
    <x v="1"/>
    <x v="1"/>
    <n v="140"/>
    <x v="76"/>
    <x v="68"/>
    <s v="0221-5554327"/>
    <s v="Mehrheimerstr. 369"/>
    <m/>
    <x v="55"/>
    <m/>
    <n v="50739"/>
    <x v="16"/>
    <x v="1"/>
    <s v="Pfalzheim"/>
    <s v="Henriette"/>
    <x v="1"/>
  </r>
  <r>
    <n v="10321"/>
    <n v="26"/>
    <n v="100"/>
    <n v="13"/>
    <n v="4052.88"/>
    <d v="2004-11-04T00:00:00"/>
    <x v="0"/>
    <n v="4"/>
    <x v="5"/>
    <x v="5"/>
    <x v="1"/>
    <x v="1"/>
    <n v="140"/>
    <x v="76"/>
    <x v="21"/>
    <n v="5085552555"/>
    <s v="1785 First Street"/>
    <m/>
    <x v="18"/>
    <s v="MA"/>
    <n v="50553"/>
    <x v="0"/>
    <x v="0"/>
    <s v="Benitez"/>
    <s v="Violeta"/>
    <x v="1"/>
  </r>
  <r>
    <n v="10331"/>
    <n v="21"/>
    <n v="100"/>
    <n v="1"/>
    <n v="3135.93"/>
    <d v="2004-11-17T00:00:00"/>
    <x v="0"/>
    <n v="4"/>
    <x v="5"/>
    <x v="5"/>
    <x v="1"/>
    <x v="1"/>
    <n v="140"/>
    <x v="76"/>
    <x v="45"/>
    <n v="2155559857"/>
    <s v="11328 Douglas Av."/>
    <m/>
    <x v="24"/>
    <s v="PA"/>
    <n v="71270"/>
    <x v="0"/>
    <x v="0"/>
    <s v="Hernandez"/>
    <s v="Rosa"/>
    <x v="1"/>
  </r>
  <r>
    <n v="10342"/>
    <n v="42"/>
    <n v="100"/>
    <n v="6"/>
    <n v="5013.54"/>
    <d v="2004-11-24T00:00:00"/>
    <x v="0"/>
    <n v="4"/>
    <x v="5"/>
    <x v="5"/>
    <x v="1"/>
    <x v="1"/>
    <n v="140"/>
    <x v="76"/>
    <x v="10"/>
    <s v="03 9520 4555"/>
    <s v="636 St Kilda Road"/>
    <s v="Level 3"/>
    <x v="8"/>
    <s v="Victoria"/>
    <n v="3004"/>
    <x v="3"/>
    <x v="2"/>
    <s v="Ferguson"/>
    <s v="Peter"/>
    <x v="1"/>
  </r>
  <r>
    <n v="10355"/>
    <n v="32"/>
    <n v="100"/>
    <n v="8"/>
    <n v="5302.72"/>
    <d v="2004-12-07T00:00:00"/>
    <x v="0"/>
    <n v="4"/>
    <x v="6"/>
    <x v="6"/>
    <x v="1"/>
    <x v="1"/>
    <n v="140"/>
    <x v="76"/>
    <x v="23"/>
    <s v="(91) 555 94 44"/>
    <s v="C/ Moralzarzal, 86"/>
    <m/>
    <x v="20"/>
    <m/>
    <n v="28034"/>
    <x v="7"/>
    <x v="1"/>
    <s v="Freyre"/>
    <s v="Diego"/>
    <x v="1"/>
  </r>
  <r>
    <n v="10363"/>
    <n v="31"/>
    <n v="94.58"/>
    <n v="1"/>
    <n v="2931.98"/>
    <d v="2005-01-06T00:00:00"/>
    <x v="0"/>
    <n v="1"/>
    <x v="7"/>
    <x v="7"/>
    <x v="2"/>
    <x v="1"/>
    <n v="140"/>
    <x v="76"/>
    <x v="73"/>
    <s v="+358 9 8045 555"/>
    <s v="Software Engineering Center, SEC Oy"/>
    <m/>
    <x v="59"/>
    <m/>
    <s v="FIN-02271"/>
    <x v="4"/>
    <x v="1"/>
    <s v="Suominen"/>
    <s v="Kalle"/>
    <x v="0"/>
  </r>
  <r>
    <n v="10378"/>
    <n v="33"/>
    <n v="53.27"/>
    <n v="3"/>
    <n v="1757.91"/>
    <d v="2005-02-10T00:00:00"/>
    <x v="0"/>
    <n v="1"/>
    <x v="0"/>
    <x v="0"/>
    <x v="2"/>
    <x v="1"/>
    <n v="140"/>
    <x v="76"/>
    <x v="23"/>
    <s v="(91) 555 94 44"/>
    <s v="C/ Moralzarzal, 86"/>
    <m/>
    <x v="20"/>
    <m/>
    <n v="28034"/>
    <x v="7"/>
    <x v="1"/>
    <s v="Freyre"/>
    <s v="Diego"/>
    <x v="0"/>
  </r>
  <r>
    <n v="10390"/>
    <n v="45"/>
    <n v="100"/>
    <n v="8"/>
    <n v="6763.05"/>
    <d v="2005-03-04T00:00:00"/>
    <x v="0"/>
    <n v="1"/>
    <x v="11"/>
    <x v="11"/>
    <x v="2"/>
    <x v="1"/>
    <n v="140"/>
    <x v="76"/>
    <x v="39"/>
    <n v="4155551450"/>
    <s v="5677 Strong St."/>
    <m/>
    <x v="33"/>
    <s v="CA"/>
    <n v="97562"/>
    <x v="0"/>
    <x v="0"/>
    <s v="Nelson"/>
    <s v="Valarie"/>
    <x v="1"/>
  </r>
  <r>
    <n v="10405"/>
    <n v="76"/>
    <n v="100"/>
    <n v="3"/>
    <n v="11739.7"/>
    <d v="2005-04-14T00:00:00"/>
    <x v="0"/>
    <n v="2"/>
    <x v="8"/>
    <x v="8"/>
    <x v="2"/>
    <x v="1"/>
    <n v="140"/>
    <x v="76"/>
    <x v="83"/>
    <s v="88.60.1555"/>
    <s v="24, place Kluber"/>
    <m/>
    <x v="66"/>
    <m/>
    <n v="67000"/>
    <x v="1"/>
    <x v="1"/>
    <s v="Citeaux"/>
    <s v="Frederique"/>
    <x v="2"/>
  </r>
  <r>
    <n v="10419"/>
    <n v="70"/>
    <n v="100"/>
    <n v="8"/>
    <n v="9240"/>
    <d v="2005-05-17T00:00:00"/>
    <x v="0"/>
    <n v="2"/>
    <x v="1"/>
    <x v="1"/>
    <x v="2"/>
    <x v="1"/>
    <n v="140"/>
    <x v="76"/>
    <x v="19"/>
    <s v="6562-9555"/>
    <s v="Geislweg 14"/>
    <m/>
    <x v="16"/>
    <m/>
    <n v="5020"/>
    <x v="5"/>
    <x v="1"/>
    <s v="Pipps"/>
    <s v="Georg"/>
    <x v="2"/>
  </r>
  <r>
    <n v="10106"/>
    <n v="50"/>
    <n v="64.83"/>
    <n v="11"/>
    <n v="3241.5"/>
    <d v="2003-02-17T00:00:00"/>
    <x v="0"/>
    <n v="1"/>
    <x v="0"/>
    <x v="0"/>
    <x v="0"/>
    <x v="4"/>
    <n v="68"/>
    <x v="77"/>
    <x v="86"/>
    <s v="035-640555"/>
    <s v="Via Ludovico il Moro 22"/>
    <m/>
    <x v="69"/>
    <m/>
    <n v="24100"/>
    <x v="12"/>
    <x v="1"/>
    <s v="Rovelli"/>
    <s v="Giovanni"/>
    <x v="1"/>
  </r>
  <r>
    <n v="10119"/>
    <n v="28"/>
    <n v="70.290000000000006"/>
    <n v="2"/>
    <n v="1968.12"/>
    <d v="2003-04-28T00:00:00"/>
    <x v="0"/>
    <n v="2"/>
    <x v="8"/>
    <x v="8"/>
    <x v="0"/>
    <x v="4"/>
    <n v="68"/>
    <x v="77"/>
    <x v="19"/>
    <s v="6562-9555"/>
    <s v="Geislweg 14"/>
    <m/>
    <x v="16"/>
    <m/>
    <n v="5020"/>
    <x v="5"/>
    <x v="1"/>
    <s v="Pipps"/>
    <s v="Georg"/>
    <x v="0"/>
  </r>
  <r>
    <n v="10131"/>
    <n v="50"/>
    <n v="81.89"/>
    <n v="3"/>
    <n v="4094.5"/>
    <d v="2003-06-16T00:00:00"/>
    <x v="0"/>
    <n v="2"/>
    <x v="9"/>
    <x v="9"/>
    <x v="0"/>
    <x v="4"/>
    <n v="68"/>
    <x v="77"/>
    <x v="88"/>
    <n v="2035554407"/>
    <s v="2440 Pompton St."/>
    <m/>
    <x v="63"/>
    <s v="CT"/>
    <n v="97561"/>
    <x v="0"/>
    <x v="0"/>
    <s v="Lewis"/>
    <s v="Dan"/>
    <x v="1"/>
  </r>
  <r>
    <n v="10143"/>
    <n v="28"/>
    <n v="66.19"/>
    <n v="6"/>
    <n v="1853.32"/>
    <d v="2003-08-10T00:00:00"/>
    <x v="0"/>
    <n v="3"/>
    <x v="3"/>
    <x v="3"/>
    <x v="0"/>
    <x v="4"/>
    <n v="68"/>
    <x v="77"/>
    <x v="50"/>
    <n v="5085559555"/>
    <s v="4575 Hillside Dr."/>
    <m/>
    <x v="18"/>
    <s v="MA"/>
    <n v="50553"/>
    <x v="0"/>
    <x v="0"/>
    <s v="Tam"/>
    <s v="Wing C"/>
    <x v="0"/>
  </r>
  <r>
    <n v="10155"/>
    <n v="44"/>
    <n v="77.11"/>
    <n v="4"/>
    <n v="3392.84"/>
    <d v="2003-10-06T00:00:00"/>
    <x v="0"/>
    <n v="4"/>
    <x v="4"/>
    <x v="4"/>
    <x v="0"/>
    <x v="4"/>
    <n v="68"/>
    <x v="77"/>
    <x v="16"/>
    <s v="90-224 8555"/>
    <s v="Keskuskatu 45"/>
    <m/>
    <x v="13"/>
    <m/>
    <n v="21240"/>
    <x v="4"/>
    <x v="1"/>
    <s v="Karttunen"/>
    <s v="Matti"/>
    <x v="1"/>
  </r>
  <r>
    <n v="10168"/>
    <n v="27"/>
    <n v="73.02"/>
    <n v="18"/>
    <n v="1971.54"/>
    <d v="2003-10-28T00:00:00"/>
    <x v="0"/>
    <n v="4"/>
    <x v="4"/>
    <x v="4"/>
    <x v="0"/>
    <x v="4"/>
    <n v="68"/>
    <x v="77"/>
    <x v="5"/>
    <n v="6505556809"/>
    <s v="9408 Furth Circle"/>
    <m/>
    <x v="5"/>
    <s v="CA"/>
    <n v="94217"/>
    <x v="0"/>
    <x v="0"/>
    <s v="Hirano"/>
    <s v="Juri"/>
    <x v="0"/>
  </r>
  <r>
    <n v="10178"/>
    <n v="30"/>
    <n v="72.33"/>
    <n v="3"/>
    <n v="2169.9"/>
    <d v="2003-11-08T00:00:00"/>
    <x v="0"/>
    <n v="4"/>
    <x v="5"/>
    <x v="5"/>
    <x v="0"/>
    <x v="4"/>
    <n v="68"/>
    <x v="77"/>
    <x v="51"/>
    <s v="61.77.6555"/>
    <s v="1 rue Alsace-Lorraine"/>
    <m/>
    <x v="42"/>
    <m/>
    <n v="31000"/>
    <x v="1"/>
    <x v="1"/>
    <s v="Roulet"/>
    <s v="Annette"/>
    <x v="0"/>
  </r>
  <r>
    <n v="10198"/>
    <n v="43"/>
    <n v="66.19"/>
    <n v="3"/>
    <n v="2846.17"/>
    <d v="2003-11-27T00:00:00"/>
    <x v="0"/>
    <n v="4"/>
    <x v="5"/>
    <x v="5"/>
    <x v="0"/>
    <x v="4"/>
    <n v="68"/>
    <x v="77"/>
    <x v="66"/>
    <s v="+63 2 555 3587"/>
    <s v="15 McCallum Street - NatWest Center #13-03"/>
    <m/>
    <x v="53"/>
    <m/>
    <s v="1227 MM"/>
    <x v="15"/>
    <x v="3"/>
    <s v="Cruz"/>
    <s v="Arnold"/>
    <x v="0"/>
  </r>
  <r>
    <n v="10210"/>
    <n v="29"/>
    <n v="69.599999999999994"/>
    <n v="16"/>
    <n v="2018.4"/>
    <d v="2004-01-12T00:00:00"/>
    <x v="0"/>
    <n v="1"/>
    <x v="7"/>
    <x v="7"/>
    <x v="1"/>
    <x v="4"/>
    <n v="68"/>
    <x v="77"/>
    <x v="44"/>
    <s v="+81 06 6342 5555"/>
    <s v="Dojima Avanza 4F, 1-6-20 Dojima, Kita-ku"/>
    <m/>
    <x v="38"/>
    <s v="Osaka"/>
    <s v="530-0003"/>
    <x v="11"/>
    <x v="3"/>
    <s v="Kentary"/>
    <s v="Mory"/>
    <x v="0"/>
  </r>
  <r>
    <n v="10222"/>
    <n v="48"/>
    <n v="56.64"/>
    <n v="3"/>
    <n v="2718.72"/>
    <d v="2004-02-19T00:00:00"/>
    <x v="0"/>
    <n v="1"/>
    <x v="0"/>
    <x v="0"/>
    <x v="1"/>
    <x v="4"/>
    <n v="68"/>
    <x v="77"/>
    <x v="55"/>
    <n v="7605558146"/>
    <s v="361 Furth Circle"/>
    <m/>
    <x v="45"/>
    <s v="CA"/>
    <n v="91217"/>
    <x v="0"/>
    <x v="0"/>
    <s v="Thompson"/>
    <s v="Valarie"/>
    <x v="0"/>
  </r>
  <r>
    <n v="10235"/>
    <n v="33"/>
    <n v="60.05"/>
    <n v="12"/>
    <n v="1981.65"/>
    <d v="2004-04-02T00:00:00"/>
    <x v="0"/>
    <n v="2"/>
    <x v="8"/>
    <x v="8"/>
    <x v="1"/>
    <x v="4"/>
    <n v="68"/>
    <x v="77"/>
    <x v="57"/>
    <s v="(604) 555-4555"/>
    <s v="23 Tsawassen Blvd."/>
    <m/>
    <x v="47"/>
    <s v="BC"/>
    <s v="T2F 8M4"/>
    <x v="10"/>
    <x v="0"/>
    <s v="Lincoln"/>
    <s v="Elizabeth"/>
    <x v="0"/>
  </r>
  <r>
    <n v="10250"/>
    <n v="40"/>
    <n v="75.06"/>
    <n v="13"/>
    <n v="3002.4"/>
    <d v="2004-05-11T00:00:00"/>
    <x v="0"/>
    <n v="2"/>
    <x v="1"/>
    <x v="1"/>
    <x v="1"/>
    <x v="4"/>
    <n v="68"/>
    <x v="77"/>
    <x v="61"/>
    <n v="4085553659"/>
    <s v="3086 Ingle Ln."/>
    <m/>
    <x v="51"/>
    <s v="CA"/>
    <n v="94217"/>
    <x v="0"/>
    <x v="0"/>
    <s v="Frick"/>
    <s v="Sue"/>
    <x v="1"/>
  </r>
  <r>
    <n v="10262"/>
    <n v="48"/>
    <n v="61.42"/>
    <n v="8"/>
    <n v="2948.16"/>
    <d v="2004-06-24T00:00:00"/>
    <x v="3"/>
    <n v="2"/>
    <x v="9"/>
    <x v="9"/>
    <x v="1"/>
    <x v="4"/>
    <n v="68"/>
    <x v="77"/>
    <x v="23"/>
    <s v="(91) 555 94 44"/>
    <s v="C/ Moralzarzal, 86"/>
    <m/>
    <x v="20"/>
    <m/>
    <n v="28034"/>
    <x v="7"/>
    <x v="1"/>
    <s v="Freyre"/>
    <s v="Diego"/>
    <x v="0"/>
  </r>
  <r>
    <n v="10275"/>
    <n v="41"/>
    <n v="81.89"/>
    <n v="18"/>
    <n v="3357.49"/>
    <d v="2004-07-23T00:00:00"/>
    <x v="0"/>
    <n v="3"/>
    <x v="2"/>
    <x v="2"/>
    <x v="1"/>
    <x v="4"/>
    <n v="68"/>
    <x v="77"/>
    <x v="14"/>
    <s v="40.67.8555"/>
    <s v="67, rue des Cinquante Otages"/>
    <m/>
    <x v="11"/>
    <m/>
    <n v="44000"/>
    <x v="1"/>
    <x v="1"/>
    <s v="Labrune"/>
    <s v="Janine"/>
    <x v="1"/>
  </r>
  <r>
    <n v="10284"/>
    <n v="21"/>
    <n v="55.96"/>
    <n v="10"/>
    <n v="1175.1600000000001"/>
    <d v="2004-08-21T00:00:00"/>
    <x v="0"/>
    <n v="3"/>
    <x v="3"/>
    <x v="3"/>
    <x v="1"/>
    <x v="4"/>
    <n v="68"/>
    <x v="77"/>
    <x v="85"/>
    <s v="+47 2212 1555"/>
    <s v="Drammensveien 126 A, PB 744 Sentrum"/>
    <m/>
    <x v="68"/>
    <m/>
    <s v="N 0106"/>
    <x v="2"/>
    <x v="1"/>
    <s v="Klaeboe"/>
    <s v="Jan"/>
    <x v="0"/>
  </r>
  <r>
    <n v="10296"/>
    <n v="32"/>
    <n v="71.650000000000006"/>
    <n v="6"/>
    <n v="2292.8000000000002"/>
    <d v="2004-09-15T00:00:00"/>
    <x v="0"/>
    <n v="3"/>
    <x v="10"/>
    <x v="10"/>
    <x v="1"/>
    <x v="4"/>
    <n v="68"/>
    <x v="77"/>
    <x v="89"/>
    <s v="+49 89 61 08 9555"/>
    <s v="Hansastr. 15"/>
    <m/>
    <x v="71"/>
    <m/>
    <n v="80686"/>
    <x v="16"/>
    <x v="1"/>
    <s v="Donnermeyer"/>
    <s v="Michael"/>
    <x v="0"/>
  </r>
  <r>
    <n v="10308"/>
    <n v="43"/>
    <n v="76.430000000000007"/>
    <n v="16"/>
    <n v="3286.49"/>
    <d v="2004-10-15T00:00:00"/>
    <x v="0"/>
    <n v="4"/>
    <x v="4"/>
    <x v="4"/>
    <x v="1"/>
    <x v="4"/>
    <n v="68"/>
    <x v="77"/>
    <x v="47"/>
    <n v="9145554562"/>
    <s v="3758 North Pendale Street"/>
    <m/>
    <x v="39"/>
    <s v="NY"/>
    <n v="24067"/>
    <x v="0"/>
    <x v="0"/>
    <s v="Frick"/>
    <s v="Steve"/>
    <x v="1"/>
  </r>
  <r>
    <n v="10316"/>
    <n v="30"/>
    <n v="77.790000000000006"/>
    <n v="8"/>
    <n v="2333.6999999999998"/>
    <d v="2004-11-01T00:00:00"/>
    <x v="0"/>
    <n v="4"/>
    <x v="5"/>
    <x v="5"/>
    <x v="1"/>
    <x v="4"/>
    <n v="68"/>
    <x v="77"/>
    <x v="59"/>
    <s v="(198) 555-8888"/>
    <s v="Garden House Crowther Way"/>
    <m/>
    <x v="49"/>
    <s v="Isle of Wight"/>
    <s v="PO31 7PJ"/>
    <x v="6"/>
    <x v="1"/>
    <s v="Bennett"/>
    <s v="Helen"/>
    <x v="0"/>
  </r>
  <r>
    <n v="10328"/>
    <n v="35"/>
    <n v="76.430000000000007"/>
    <n v="3"/>
    <n v="2675.05"/>
    <d v="2004-11-12T00:00:00"/>
    <x v="0"/>
    <n v="4"/>
    <x v="5"/>
    <x v="5"/>
    <x v="1"/>
    <x v="4"/>
    <n v="68"/>
    <x v="77"/>
    <x v="86"/>
    <s v="035-640555"/>
    <s v="Via Ludovico il Moro 22"/>
    <m/>
    <x v="69"/>
    <m/>
    <n v="24100"/>
    <x v="12"/>
    <x v="1"/>
    <s v="Rovelli"/>
    <s v="Giovanni"/>
    <x v="0"/>
  </r>
  <r>
    <n v="10339"/>
    <n v="45"/>
    <n v="96.92"/>
    <n v="11"/>
    <n v="4361.3999999999996"/>
    <d v="2004-11-23T00:00:00"/>
    <x v="0"/>
    <n v="4"/>
    <x v="5"/>
    <x v="5"/>
    <x v="1"/>
    <x v="4"/>
    <n v="68"/>
    <x v="77"/>
    <x v="35"/>
    <s v="+81 3 3584 0555"/>
    <s v="2-2-8 Roppongi"/>
    <m/>
    <x v="29"/>
    <s v="Tokyo"/>
    <s v="106-0032"/>
    <x v="11"/>
    <x v="3"/>
    <s v="Shimamura"/>
    <s v="Akiko"/>
    <x v="1"/>
  </r>
  <r>
    <n v="10351"/>
    <n v="34"/>
    <n v="59.37"/>
    <n v="3"/>
    <n v="2018.58"/>
    <d v="2004-12-03T00:00:00"/>
    <x v="0"/>
    <n v="4"/>
    <x v="6"/>
    <x v="6"/>
    <x v="1"/>
    <x v="4"/>
    <n v="68"/>
    <x v="77"/>
    <x v="49"/>
    <s v="(171) 555-0297"/>
    <s v="35 King George"/>
    <m/>
    <x v="41"/>
    <m/>
    <s v="WX3 6FW"/>
    <x v="6"/>
    <x v="1"/>
    <s v="Brown"/>
    <s v="Ann"/>
    <x v="0"/>
  </r>
  <r>
    <n v="10361"/>
    <n v="26"/>
    <n v="100"/>
    <n v="7"/>
    <n v="3710.98"/>
    <d v="2004-12-17T00:00:00"/>
    <x v="0"/>
    <n v="4"/>
    <x v="6"/>
    <x v="6"/>
    <x v="1"/>
    <x v="4"/>
    <n v="68"/>
    <x v="77"/>
    <x v="20"/>
    <s v="+61 2 9495 8555"/>
    <s v="Monitor Money Building, 815 Pacific Hwy"/>
    <s v="Level 6"/>
    <x v="17"/>
    <s v="NSW"/>
    <n v="2067"/>
    <x v="3"/>
    <x v="2"/>
    <s v="Huxley"/>
    <s v="Adrian"/>
    <x v="1"/>
  </r>
  <r>
    <n v="10373"/>
    <n v="39"/>
    <n v="73"/>
    <n v="13"/>
    <n v="2847"/>
    <d v="2005-01-31T00:00:00"/>
    <x v="0"/>
    <n v="1"/>
    <x v="7"/>
    <x v="7"/>
    <x v="2"/>
    <x v="4"/>
    <n v="68"/>
    <x v="77"/>
    <x v="60"/>
    <s v="981-443655"/>
    <s v="Torikatu 38"/>
    <m/>
    <x v="50"/>
    <m/>
    <n v="90110"/>
    <x v="4"/>
    <x v="1"/>
    <s v="Koskitalo"/>
    <s v="Pirkko"/>
    <x v="0"/>
  </r>
  <r>
    <n v="10386"/>
    <n v="41"/>
    <n v="73.319999999999993"/>
    <n v="12"/>
    <n v="3006.12"/>
    <d v="2005-03-01T00:00:00"/>
    <x v="5"/>
    <n v="1"/>
    <x v="11"/>
    <x v="11"/>
    <x v="2"/>
    <x v="4"/>
    <n v="68"/>
    <x v="77"/>
    <x v="23"/>
    <s v="(91) 555 94 44"/>
    <s v="C/ Moralzarzal, 86"/>
    <m/>
    <x v="20"/>
    <m/>
    <n v="28034"/>
    <x v="7"/>
    <x v="1"/>
    <s v="Freyre"/>
    <s v="Diego"/>
    <x v="1"/>
  </r>
  <r>
    <n v="10398"/>
    <n v="41"/>
    <n v="68.239999999999995"/>
    <n v="2"/>
    <n v="2797.84"/>
    <d v="2005-03-30T00:00:00"/>
    <x v="0"/>
    <n v="1"/>
    <x v="11"/>
    <x v="11"/>
    <x v="2"/>
    <x v="4"/>
    <n v="68"/>
    <x v="77"/>
    <x v="1"/>
    <s v="26.47.1555"/>
    <s v="59 rue de l'Abbaye"/>
    <m/>
    <x v="1"/>
    <m/>
    <n v="51100"/>
    <x v="1"/>
    <x v="1"/>
    <s v="Henriot"/>
    <s v="Paul"/>
    <x v="0"/>
  </r>
  <r>
    <n v="10401"/>
    <n v="64"/>
    <n v="60.05"/>
    <n v="12"/>
    <n v="3843.2"/>
    <d v="2005-04-03T00:00:00"/>
    <x v="4"/>
    <n v="2"/>
    <x v="8"/>
    <x v="8"/>
    <x v="2"/>
    <x v="4"/>
    <n v="68"/>
    <x v="77"/>
    <x v="12"/>
    <n v="2015559350"/>
    <s v="7476 Moss Rd."/>
    <m/>
    <x v="9"/>
    <s v="NJ"/>
    <n v="94019"/>
    <x v="0"/>
    <x v="0"/>
    <s v="Brown"/>
    <s v="William"/>
    <x v="1"/>
  </r>
  <r>
    <n v="10416"/>
    <n v="18"/>
    <n v="75.06"/>
    <n v="13"/>
    <n v="1351.08"/>
    <d v="2005-05-10T00:00:00"/>
    <x v="0"/>
    <n v="2"/>
    <x v="1"/>
    <x v="1"/>
    <x v="2"/>
    <x v="4"/>
    <n v="68"/>
    <x v="77"/>
    <x v="70"/>
    <s v="0522-556555"/>
    <s v="Strada Provinciale 124"/>
    <m/>
    <x v="57"/>
    <m/>
    <n v="42100"/>
    <x v="12"/>
    <x v="1"/>
    <s v="Moroni"/>
    <s v="Maurizio"/>
    <x v="0"/>
  </r>
  <r>
    <n v="10100"/>
    <n v="49"/>
    <n v="34.47"/>
    <n v="1"/>
    <n v="1689.03"/>
    <d v="2003-01-06T00:00:00"/>
    <x v="0"/>
    <n v="1"/>
    <x v="7"/>
    <x v="7"/>
    <x v="0"/>
    <x v="3"/>
    <n v="41"/>
    <x v="78"/>
    <x v="40"/>
    <n v="6035558647"/>
    <s v="2304 Long Airport Avenue"/>
    <m/>
    <x v="34"/>
    <s v="NH"/>
    <n v="62005"/>
    <x v="0"/>
    <x v="0"/>
    <s v="Young"/>
    <s v="Valarie"/>
    <x v="0"/>
  </r>
  <r>
    <n v="10110"/>
    <n v="48"/>
    <n v="34.47"/>
    <n v="5"/>
    <n v="1654.56"/>
    <d v="2003-03-18T00:00:00"/>
    <x v="0"/>
    <n v="1"/>
    <x v="11"/>
    <x v="11"/>
    <x v="0"/>
    <x v="3"/>
    <n v="41"/>
    <x v="78"/>
    <x v="77"/>
    <s v="(171) 555-1555"/>
    <s v="Fauntleroy Circus"/>
    <m/>
    <x v="61"/>
    <m/>
    <s v="EC2 5NT"/>
    <x v="6"/>
    <x v="1"/>
    <s v="Ashworth"/>
    <s v="Victoria"/>
    <x v="0"/>
  </r>
  <r>
    <n v="10124"/>
    <n v="46"/>
    <n v="33.229999999999997"/>
    <n v="4"/>
    <n v="1528.58"/>
    <d v="2003-05-21T00:00:00"/>
    <x v="0"/>
    <n v="2"/>
    <x v="1"/>
    <x v="1"/>
    <x v="0"/>
    <x v="3"/>
    <n v="41"/>
    <x v="78"/>
    <x v="84"/>
    <n v="7025551838"/>
    <s v="8489 Strong St."/>
    <m/>
    <x v="67"/>
    <s v="NV"/>
    <n v="83030"/>
    <x v="0"/>
    <x v="0"/>
    <s v="King"/>
    <s v="Sue"/>
    <x v="0"/>
  </r>
  <r>
    <n v="10149"/>
    <n v="26"/>
    <n v="38.979999999999997"/>
    <n v="9"/>
    <n v="1013.48"/>
    <d v="2003-09-12T00:00:00"/>
    <x v="0"/>
    <n v="3"/>
    <x v="10"/>
    <x v="10"/>
    <x v="0"/>
    <x v="3"/>
    <n v="41"/>
    <x v="78"/>
    <x v="82"/>
    <n v="4155554312"/>
    <s v="2793 Furth Circle"/>
    <m/>
    <x v="65"/>
    <s v="CA"/>
    <n v="94217"/>
    <x v="0"/>
    <x v="0"/>
    <s v="Taylor"/>
    <s v="Sue"/>
    <x v="0"/>
  </r>
  <r>
    <n v="10162"/>
    <n v="37"/>
    <n v="38.979999999999997"/>
    <n v="7"/>
    <n v="1442.26"/>
    <d v="2003-10-18T00:00:00"/>
    <x v="0"/>
    <n v="4"/>
    <x v="4"/>
    <x v="4"/>
    <x v="0"/>
    <x v="3"/>
    <n v="41"/>
    <x v="78"/>
    <x v="4"/>
    <n v="6505551386"/>
    <s v="7734 Strong St."/>
    <m/>
    <x v="4"/>
    <s v="CA"/>
    <m/>
    <x v="0"/>
    <x v="0"/>
    <s v="Brown"/>
    <s v="Julie"/>
    <x v="0"/>
  </r>
  <r>
    <n v="10173"/>
    <n v="35"/>
    <n v="33.229999999999997"/>
    <n v="11"/>
    <n v="1163.05"/>
    <d v="2003-11-05T00:00:00"/>
    <x v="0"/>
    <n v="4"/>
    <x v="5"/>
    <x v="5"/>
    <x v="0"/>
    <x v="3"/>
    <n v="41"/>
    <x v="78"/>
    <x v="86"/>
    <s v="035-640555"/>
    <s v="Via Ludovico il Moro 22"/>
    <m/>
    <x v="69"/>
    <m/>
    <n v="24100"/>
    <x v="12"/>
    <x v="1"/>
    <s v="Rovelli"/>
    <s v="Giovanni"/>
    <x v="0"/>
  </r>
  <r>
    <n v="10182"/>
    <n v="23"/>
    <n v="42.26"/>
    <n v="8"/>
    <n v="971.98"/>
    <d v="2003-11-12T00:00:00"/>
    <x v="0"/>
    <n v="4"/>
    <x v="5"/>
    <x v="5"/>
    <x v="0"/>
    <x v="3"/>
    <n v="41"/>
    <x v="78"/>
    <x v="39"/>
    <n v="4155551450"/>
    <s v="5677 Strong St."/>
    <m/>
    <x v="33"/>
    <s v="CA"/>
    <n v="97562"/>
    <x v="0"/>
    <x v="0"/>
    <s v="Nelson"/>
    <s v="Valarie"/>
    <x v="0"/>
  </r>
  <r>
    <n v="10193"/>
    <n v="22"/>
    <n v="41.03"/>
    <n v="12"/>
    <n v="902.66"/>
    <d v="2003-11-21T00:00:00"/>
    <x v="0"/>
    <n v="4"/>
    <x v="5"/>
    <x v="5"/>
    <x v="0"/>
    <x v="3"/>
    <n v="41"/>
    <x v="78"/>
    <x v="87"/>
    <s v="61-9-3844-6555"/>
    <s v="7 Allen Street"/>
    <m/>
    <x v="70"/>
    <s v="Victoria"/>
    <n v="3150"/>
    <x v="3"/>
    <x v="2"/>
    <s v="Connery"/>
    <s v="Sean"/>
    <x v="0"/>
  </r>
  <r>
    <n v="10204"/>
    <n v="39"/>
    <n v="33.229999999999997"/>
    <n v="2"/>
    <n v="1295.97"/>
    <d v="2003-12-02T00:00:00"/>
    <x v="0"/>
    <n v="4"/>
    <x v="6"/>
    <x v="6"/>
    <x v="0"/>
    <x v="3"/>
    <n v="41"/>
    <x v="78"/>
    <x v="74"/>
    <n v="2125557413"/>
    <s v="4092 Furth Circle"/>
    <s v="Suite 400"/>
    <x v="0"/>
    <s v="NY"/>
    <n v="10022"/>
    <x v="0"/>
    <x v="0"/>
    <s v="Young"/>
    <s v="Jeff"/>
    <x v="0"/>
  </r>
  <r>
    <n v="10214"/>
    <n v="44"/>
    <n v="34.880000000000003"/>
    <n v="5"/>
    <n v="1534.72"/>
    <d v="2004-01-26T00:00:00"/>
    <x v="0"/>
    <n v="1"/>
    <x v="7"/>
    <x v="7"/>
    <x v="1"/>
    <x v="3"/>
    <n v="41"/>
    <x v="78"/>
    <x v="25"/>
    <s v="(91) 555 22 82"/>
    <s v="C/ Araquil, 67"/>
    <m/>
    <x v="20"/>
    <m/>
    <n v="28023"/>
    <x v="7"/>
    <x v="1"/>
    <s v="Sommer"/>
    <s v="Mart¡n"/>
    <x v="0"/>
  </r>
  <r>
    <n v="10227"/>
    <n v="27"/>
    <n v="43.9"/>
    <n v="8"/>
    <n v="1185.3"/>
    <d v="2004-03-02T00:00:00"/>
    <x v="0"/>
    <n v="1"/>
    <x v="11"/>
    <x v="11"/>
    <x v="1"/>
    <x v="3"/>
    <n v="41"/>
    <x v="78"/>
    <x v="30"/>
    <s v="78.32.5555"/>
    <s v="2, rue du Commerce"/>
    <m/>
    <x v="25"/>
    <m/>
    <n v="69004"/>
    <x v="1"/>
    <x v="1"/>
    <s v="Saveley"/>
    <s v="Mary"/>
    <x v="0"/>
  </r>
  <r>
    <n v="10242"/>
    <n v="46"/>
    <n v="36.93"/>
    <n v="1"/>
    <n v="1698.78"/>
    <d v="2004-04-20T00:00:00"/>
    <x v="0"/>
    <n v="2"/>
    <x v="8"/>
    <x v="8"/>
    <x v="1"/>
    <x v="3"/>
    <n v="41"/>
    <x v="78"/>
    <x v="79"/>
    <n v="2125551957"/>
    <s v="5290 North Pendale Street"/>
    <s v="Suite 200"/>
    <x v="0"/>
    <s v="NY"/>
    <n v="10022"/>
    <x v="0"/>
    <x v="0"/>
    <s v="Kuo"/>
    <s v="Kee"/>
    <x v="0"/>
  </r>
  <r>
    <n v="10280"/>
    <n v="33"/>
    <n v="41.85"/>
    <n v="14"/>
    <n v="1381.05"/>
    <d v="2004-08-17T00:00:00"/>
    <x v="0"/>
    <n v="3"/>
    <x v="3"/>
    <x v="3"/>
    <x v="1"/>
    <x v="3"/>
    <n v="41"/>
    <x v="78"/>
    <x v="36"/>
    <s v="011-4988555"/>
    <s v="Via Monte Bianco 34"/>
    <m/>
    <x v="30"/>
    <m/>
    <n v="10100"/>
    <x v="12"/>
    <x v="1"/>
    <s v="Accorti"/>
    <s v="Paolo"/>
    <x v="0"/>
  </r>
  <r>
    <n v="10288"/>
    <n v="33"/>
    <n v="40.619999999999997"/>
    <n v="3"/>
    <n v="1340.46"/>
    <d v="2004-09-01T00:00:00"/>
    <x v="0"/>
    <n v="3"/>
    <x v="10"/>
    <x v="10"/>
    <x v="1"/>
    <x v="3"/>
    <n v="41"/>
    <x v="78"/>
    <x v="65"/>
    <s v="+65 224 1555"/>
    <s v="Village Close - 106 Linden Road Sandown"/>
    <s v="2nd Floor"/>
    <x v="22"/>
    <m/>
    <n v="69045"/>
    <x v="9"/>
    <x v="2"/>
    <s v="Victorino"/>
    <s v="Wendy"/>
    <x v="0"/>
  </r>
  <r>
    <n v="10303"/>
    <n v="24"/>
    <n v="40.21"/>
    <n v="1"/>
    <n v="965.04"/>
    <d v="2004-10-06T00:00:00"/>
    <x v="0"/>
    <n v="4"/>
    <x v="4"/>
    <x v="4"/>
    <x v="1"/>
    <x v="3"/>
    <n v="41"/>
    <x v="78"/>
    <x v="81"/>
    <s v="(95) 555 82 82"/>
    <s v="C/ Romero, 33"/>
    <m/>
    <x v="64"/>
    <m/>
    <n v="41101"/>
    <x v="7"/>
    <x v="1"/>
    <s v="Roel"/>
    <s v="Jose Pedro"/>
    <x v="0"/>
  </r>
  <r>
    <n v="10312"/>
    <n v="31"/>
    <n v="35.29"/>
    <n v="15"/>
    <n v="1093.99"/>
    <d v="2004-10-21T00:00:00"/>
    <x v="0"/>
    <n v="4"/>
    <x v="4"/>
    <x v="4"/>
    <x v="1"/>
    <x v="3"/>
    <n v="41"/>
    <x v="78"/>
    <x v="39"/>
    <n v="4155551450"/>
    <s v="5677 Strong St."/>
    <m/>
    <x v="33"/>
    <s v="CA"/>
    <n v="97562"/>
    <x v="0"/>
    <x v="0"/>
    <s v="Nelson"/>
    <s v="Valarie"/>
    <x v="0"/>
  </r>
  <r>
    <n v="10332"/>
    <n v="41"/>
    <n v="77.239999999999995"/>
    <n v="14"/>
    <n v="3166.84"/>
    <d v="2004-11-17T00:00:00"/>
    <x v="0"/>
    <n v="4"/>
    <x v="5"/>
    <x v="5"/>
    <x v="1"/>
    <x v="3"/>
    <n v="41"/>
    <x v="78"/>
    <x v="77"/>
    <s v="(171) 555-1555"/>
    <s v="Fauntleroy Circus"/>
    <m/>
    <x v="61"/>
    <m/>
    <s v="EC2 5NT"/>
    <x v="6"/>
    <x v="1"/>
    <s v="Ashworth"/>
    <s v="Victoria"/>
    <x v="1"/>
  </r>
  <r>
    <n v="10346"/>
    <n v="22"/>
    <n v="97.44"/>
    <n v="4"/>
    <n v="2143.6799999999998"/>
    <d v="2004-11-29T00:00:00"/>
    <x v="0"/>
    <n v="4"/>
    <x v="5"/>
    <x v="5"/>
    <x v="1"/>
    <x v="3"/>
    <n v="41"/>
    <x v="78"/>
    <x v="84"/>
    <n v="7025551838"/>
    <s v="8489 Strong St."/>
    <m/>
    <x v="67"/>
    <s v="NV"/>
    <n v="83030"/>
    <x v="0"/>
    <x v="0"/>
    <s v="King"/>
    <s v="Sue"/>
    <x v="0"/>
  </r>
  <r>
    <n v="10368"/>
    <n v="46"/>
    <n v="37.340000000000003"/>
    <n v="3"/>
    <n v="1717.64"/>
    <d v="2005-01-19T00:00:00"/>
    <x v="0"/>
    <n v="1"/>
    <x v="7"/>
    <x v="7"/>
    <x v="2"/>
    <x v="3"/>
    <n v="41"/>
    <x v="78"/>
    <x v="39"/>
    <n v="4155551450"/>
    <s v="5677 Strong St."/>
    <m/>
    <x v="33"/>
    <s v="CA"/>
    <n v="97562"/>
    <x v="0"/>
    <x v="0"/>
    <s v="Nelson"/>
    <s v="Valarie"/>
    <x v="0"/>
  </r>
  <r>
    <n v="10380"/>
    <n v="43"/>
    <n v="95.03"/>
    <n v="12"/>
    <n v="4086.29"/>
    <d v="2005-02-16T00:00:00"/>
    <x v="0"/>
    <n v="1"/>
    <x v="0"/>
    <x v="0"/>
    <x v="2"/>
    <x v="3"/>
    <n v="41"/>
    <x v="78"/>
    <x v="23"/>
    <s v="(91) 555 94 44"/>
    <s v="C/ Moralzarzal, 86"/>
    <m/>
    <x v="20"/>
    <m/>
    <n v="28034"/>
    <x v="7"/>
    <x v="1"/>
    <s v="Freyre"/>
    <s v="Diego"/>
    <x v="1"/>
  </r>
  <r>
    <n v="10408"/>
    <n v="15"/>
    <n v="36.93"/>
    <n v="1"/>
    <n v="553.95000000000005"/>
    <d v="2005-04-22T00:00:00"/>
    <x v="0"/>
    <n v="2"/>
    <x v="8"/>
    <x v="8"/>
    <x v="2"/>
    <x v="3"/>
    <n v="41"/>
    <x v="78"/>
    <x v="35"/>
    <s v="+81 3 3584 0555"/>
    <s v="2-2-8 Roppongi"/>
    <m/>
    <x v="29"/>
    <s v="Tokyo"/>
    <s v="106-0032"/>
    <x v="11"/>
    <x v="3"/>
    <s v="Shimamura"/>
    <s v="Akiko"/>
    <x v="0"/>
  </r>
  <r>
    <n v="10420"/>
    <n v="15"/>
    <n v="43.49"/>
    <n v="3"/>
    <n v="652.35"/>
    <d v="2005-05-29T00:00:00"/>
    <x v="2"/>
    <n v="2"/>
    <x v="1"/>
    <x v="1"/>
    <x v="2"/>
    <x v="3"/>
    <n v="41"/>
    <x v="78"/>
    <x v="20"/>
    <s v="+61 2 9495 8555"/>
    <s v="Monitor Money Building, 815 Pacific Hwy"/>
    <s v="Level 6"/>
    <x v="17"/>
    <s v="NSW"/>
    <n v="2067"/>
    <x v="3"/>
    <x v="2"/>
    <s v="Huxley"/>
    <s v="Adrian"/>
    <x v="0"/>
  </r>
  <r>
    <n v="10104"/>
    <n v="26"/>
    <n v="100"/>
    <n v="5"/>
    <n v="2921.62"/>
    <d v="2003-01-31T00:00:00"/>
    <x v="0"/>
    <n v="1"/>
    <x v="7"/>
    <x v="7"/>
    <x v="0"/>
    <x v="1"/>
    <n v="118"/>
    <x v="79"/>
    <x v="23"/>
    <s v="(91) 555 94 44"/>
    <s v="C/ Moralzarzal, 86"/>
    <m/>
    <x v="20"/>
    <m/>
    <n v="28034"/>
    <x v="7"/>
    <x v="1"/>
    <s v="Freyre"/>
    <s v="Diego"/>
    <x v="0"/>
  </r>
  <r>
    <n v="10115"/>
    <n v="44"/>
    <n v="100"/>
    <n v="1"/>
    <n v="5568.64"/>
    <d v="2003-04-04T00:00:00"/>
    <x v="0"/>
    <n v="2"/>
    <x v="8"/>
    <x v="8"/>
    <x v="0"/>
    <x v="1"/>
    <n v="118"/>
    <x v="79"/>
    <x v="27"/>
    <n v="2125558493"/>
    <s v="5905 Pompton St."/>
    <s v="Suite 750"/>
    <x v="0"/>
    <s v="NY"/>
    <n v="10022"/>
    <x v="0"/>
    <x v="0"/>
    <s v="Hernandez"/>
    <s v="Maria"/>
    <x v="1"/>
  </r>
  <r>
    <n v="10127"/>
    <n v="20"/>
    <n v="96.99"/>
    <n v="7"/>
    <n v="1939.8"/>
    <d v="2003-06-03T00:00:00"/>
    <x v="0"/>
    <n v="2"/>
    <x v="9"/>
    <x v="9"/>
    <x v="0"/>
    <x v="1"/>
    <n v="118"/>
    <x v="79"/>
    <x v="74"/>
    <n v="2125557413"/>
    <s v="4092 Furth Circle"/>
    <s v="Suite 400"/>
    <x v="0"/>
    <s v="NY"/>
    <n v="10022"/>
    <x v="0"/>
    <x v="0"/>
    <s v="Young"/>
    <s v="Jeff"/>
    <x v="0"/>
  </r>
  <r>
    <n v="10141"/>
    <n v="40"/>
    <n v="94.62"/>
    <n v="1"/>
    <n v="3784.8"/>
    <d v="2003-08-01T00:00:00"/>
    <x v="0"/>
    <n v="3"/>
    <x v="3"/>
    <x v="3"/>
    <x v="0"/>
    <x v="1"/>
    <n v="118"/>
    <x v="79"/>
    <x v="73"/>
    <s v="+358 9 8045 555"/>
    <s v="Software Engineering Center, SEC Oy"/>
    <m/>
    <x v="59"/>
    <m/>
    <s v="FIN-02271"/>
    <x v="4"/>
    <x v="1"/>
    <s v="Suominen"/>
    <s v="Kalle"/>
    <x v="1"/>
  </r>
  <r>
    <n v="10152"/>
    <n v="23"/>
    <n v="100"/>
    <n v="3"/>
    <n v="2802.09"/>
    <d v="2003-09-25T00:00:00"/>
    <x v="0"/>
    <n v="3"/>
    <x v="10"/>
    <x v="10"/>
    <x v="0"/>
    <x v="1"/>
    <n v="118"/>
    <x v="79"/>
    <x v="28"/>
    <s v="61-7-3844-6555"/>
    <s v="31 Duncan St. West End"/>
    <m/>
    <x v="23"/>
    <s v="Queensland"/>
    <n v="4101"/>
    <x v="3"/>
    <x v="2"/>
    <s v="Calaghan"/>
    <s v="Tony"/>
    <x v="0"/>
  </r>
  <r>
    <n v="10165"/>
    <n v="24"/>
    <n v="99.36"/>
    <n v="8"/>
    <n v="2384.64"/>
    <d v="2003-10-22T00:00:00"/>
    <x v="0"/>
    <n v="4"/>
    <x v="4"/>
    <x v="4"/>
    <x v="0"/>
    <x v="1"/>
    <n v="118"/>
    <x v="79"/>
    <x v="26"/>
    <s v="+65 221 7555"/>
    <s v="Bronz Sok., Bronz Apt. 3/6 Tesvikiye"/>
    <m/>
    <x v="22"/>
    <m/>
    <n v="79903"/>
    <x v="9"/>
    <x v="3"/>
    <s v="Natividad"/>
    <s v="Eric"/>
    <x v="0"/>
  </r>
  <r>
    <n v="10176"/>
    <n v="29"/>
    <n v="100"/>
    <n v="7"/>
    <n v="2915.66"/>
    <d v="2003-11-06T00:00:00"/>
    <x v="0"/>
    <n v="4"/>
    <x v="5"/>
    <x v="5"/>
    <x v="0"/>
    <x v="1"/>
    <n v="118"/>
    <x v="79"/>
    <x v="70"/>
    <s v="0522-556555"/>
    <s v="Strada Provinciale 124"/>
    <m/>
    <x v="57"/>
    <m/>
    <n v="42100"/>
    <x v="12"/>
    <x v="1"/>
    <s v="Moroni"/>
    <s v="Maurizio"/>
    <x v="0"/>
  </r>
  <r>
    <n v="10184"/>
    <n v="49"/>
    <n v="100"/>
    <n v="2"/>
    <n v="5795.72"/>
    <d v="2003-11-14T00:00:00"/>
    <x v="0"/>
    <n v="4"/>
    <x v="5"/>
    <x v="5"/>
    <x v="0"/>
    <x v="1"/>
    <n v="118"/>
    <x v="79"/>
    <x v="81"/>
    <s v="(95) 555 82 82"/>
    <s v="C/ Romero, 33"/>
    <m/>
    <x v="64"/>
    <m/>
    <n v="41101"/>
    <x v="7"/>
    <x v="1"/>
    <s v="Roel"/>
    <s v="Jose Pedro"/>
    <x v="1"/>
  </r>
  <r>
    <n v="10195"/>
    <n v="34"/>
    <n v="100"/>
    <n v="2"/>
    <n v="3699.88"/>
    <d v="2003-11-25T00:00:00"/>
    <x v="0"/>
    <n v="4"/>
    <x v="5"/>
    <x v="5"/>
    <x v="0"/>
    <x v="1"/>
    <n v="118"/>
    <x v="79"/>
    <x v="47"/>
    <n v="9145554562"/>
    <s v="3758 North Pendale Street"/>
    <m/>
    <x v="39"/>
    <s v="NY"/>
    <n v="24067"/>
    <x v="0"/>
    <x v="0"/>
    <s v="Frick"/>
    <s v="Steve"/>
    <x v="1"/>
  </r>
  <r>
    <n v="10207"/>
    <n v="28"/>
    <n v="100"/>
    <n v="3"/>
    <n v="2980.6"/>
    <d v="2003-12-09T00:00:00"/>
    <x v="0"/>
    <n v="4"/>
    <x v="6"/>
    <x v="6"/>
    <x v="0"/>
    <x v="1"/>
    <n v="118"/>
    <x v="79"/>
    <x v="64"/>
    <n v="6175552555"/>
    <s v="6251 Ingle Ln."/>
    <m/>
    <x v="48"/>
    <s v="MA"/>
    <n v="51003"/>
    <x v="0"/>
    <x v="0"/>
    <s v="Franco"/>
    <s v="Valarie"/>
    <x v="0"/>
  </r>
  <r>
    <n v="10220"/>
    <n v="37"/>
    <n v="100"/>
    <n v="7"/>
    <n v="5032.74"/>
    <d v="2004-02-12T00:00:00"/>
    <x v="0"/>
    <n v="1"/>
    <x v="0"/>
    <x v="0"/>
    <x v="1"/>
    <x v="1"/>
    <n v="118"/>
    <x v="79"/>
    <x v="75"/>
    <s v="+353 1862 1555"/>
    <s v="25 Maiden Lane"/>
    <s v="Floor No. 4"/>
    <x v="60"/>
    <m/>
    <n v="2"/>
    <x v="18"/>
    <x v="1"/>
    <s v="Cassidy"/>
    <s v="Dean"/>
    <x v="1"/>
  </r>
  <r>
    <n v="10230"/>
    <n v="45"/>
    <n v="100"/>
    <n v="5"/>
    <n v="4737.1499999999996"/>
    <d v="2004-03-15T00:00:00"/>
    <x v="0"/>
    <n v="1"/>
    <x v="11"/>
    <x v="11"/>
    <x v="1"/>
    <x v="1"/>
    <n v="118"/>
    <x v="79"/>
    <x v="72"/>
    <s v="+49 69 66 90 2555"/>
    <s v="Lyonerstr. 34"/>
    <m/>
    <x v="58"/>
    <m/>
    <n v="60528"/>
    <x v="16"/>
    <x v="1"/>
    <s v="Keitel"/>
    <s v="Roland"/>
    <x v="1"/>
  </r>
  <r>
    <n v="10246"/>
    <n v="46"/>
    <n v="100"/>
    <n v="1"/>
    <n v="6311.2"/>
    <d v="2004-05-05T00:00:00"/>
    <x v="0"/>
    <n v="2"/>
    <x v="1"/>
    <x v="1"/>
    <x v="1"/>
    <x v="1"/>
    <n v="118"/>
    <x v="79"/>
    <x v="23"/>
    <s v="(91) 555 94 44"/>
    <s v="C/ Moralzarzal, 86"/>
    <m/>
    <x v="20"/>
    <m/>
    <n v="28034"/>
    <x v="7"/>
    <x v="1"/>
    <s v="Freyre"/>
    <s v="Diego"/>
    <x v="1"/>
  </r>
  <r>
    <n v="10271"/>
    <n v="22"/>
    <n v="100"/>
    <n v="1"/>
    <n v="3070.54"/>
    <d v="2004-07-20T00:00:00"/>
    <x v="0"/>
    <n v="3"/>
    <x v="2"/>
    <x v="2"/>
    <x v="1"/>
    <x v="1"/>
    <n v="118"/>
    <x v="79"/>
    <x v="39"/>
    <n v="4155551450"/>
    <s v="5677 Strong St."/>
    <m/>
    <x v="33"/>
    <s v="CA"/>
    <n v="97562"/>
    <x v="0"/>
    <x v="0"/>
    <s v="Nelson"/>
    <s v="Valarie"/>
    <x v="1"/>
  </r>
  <r>
    <n v="10282"/>
    <n v="39"/>
    <n v="100"/>
    <n v="10"/>
    <n v="4797.3900000000003"/>
    <d v="2004-08-20T00:00:00"/>
    <x v="0"/>
    <n v="3"/>
    <x v="3"/>
    <x v="3"/>
    <x v="1"/>
    <x v="1"/>
    <n v="118"/>
    <x v="79"/>
    <x v="39"/>
    <n v="4155551450"/>
    <s v="5677 Strong St."/>
    <m/>
    <x v="33"/>
    <s v="CA"/>
    <n v="97562"/>
    <x v="0"/>
    <x v="0"/>
    <s v="Nelson"/>
    <s v="Valarie"/>
    <x v="1"/>
  </r>
  <r>
    <n v="10292"/>
    <n v="27"/>
    <n v="100"/>
    <n v="4"/>
    <n v="3832.38"/>
    <d v="2004-09-08T00:00:00"/>
    <x v="0"/>
    <n v="3"/>
    <x v="10"/>
    <x v="10"/>
    <x v="1"/>
    <x v="1"/>
    <n v="118"/>
    <x v="79"/>
    <x v="0"/>
    <n v="2125557818"/>
    <s v="897 Long Airport Avenue"/>
    <m/>
    <x v="0"/>
    <s v="NY"/>
    <n v="10022"/>
    <x v="0"/>
    <x v="0"/>
    <s v="Yu"/>
    <s v="Kwai"/>
    <x v="1"/>
  </r>
  <r>
    <n v="10305"/>
    <n v="36"/>
    <n v="100"/>
    <n v="1"/>
    <n v="4641.4799999999996"/>
    <d v="2004-10-13T00:00:00"/>
    <x v="0"/>
    <n v="4"/>
    <x v="4"/>
    <x v="4"/>
    <x v="1"/>
    <x v="1"/>
    <n v="118"/>
    <x v="79"/>
    <x v="15"/>
    <n v="6175558555"/>
    <s v="39323 Spinnaker Dr."/>
    <m/>
    <x v="12"/>
    <s v="MA"/>
    <n v="51247"/>
    <x v="0"/>
    <x v="0"/>
    <s v="Hernandez"/>
    <s v="Marta"/>
    <x v="1"/>
  </r>
  <r>
    <n v="10314"/>
    <n v="38"/>
    <n v="100"/>
    <n v="10"/>
    <n v="4000.26"/>
    <d v="2004-10-22T00:00:00"/>
    <x v="0"/>
    <n v="4"/>
    <x v="4"/>
    <x v="4"/>
    <x v="1"/>
    <x v="1"/>
    <n v="118"/>
    <x v="79"/>
    <x v="78"/>
    <s v="86 21 3555"/>
    <s v="Smagsloget 45"/>
    <m/>
    <x v="62"/>
    <m/>
    <n v="8200"/>
    <x v="13"/>
    <x v="1"/>
    <s v="Ibsen"/>
    <s v="Palle"/>
    <x v="1"/>
  </r>
  <r>
    <n v="10325"/>
    <n v="44"/>
    <n v="100"/>
    <n v="5"/>
    <n v="5325.76"/>
    <d v="2004-11-05T00:00:00"/>
    <x v="0"/>
    <n v="4"/>
    <x v="5"/>
    <x v="5"/>
    <x v="1"/>
    <x v="1"/>
    <n v="118"/>
    <x v="79"/>
    <x v="17"/>
    <s v="07-98 9555"/>
    <s v="Erling Skakkes gate 78"/>
    <m/>
    <x v="14"/>
    <m/>
    <n v="4110"/>
    <x v="2"/>
    <x v="1"/>
    <s v="Bergulfsen"/>
    <s v="Jonas"/>
    <x v="1"/>
  </r>
  <r>
    <n v="10336"/>
    <n v="31"/>
    <n v="100"/>
    <n v="5"/>
    <n v="4618.6899999999996"/>
    <d v="2004-11-20T00:00:00"/>
    <x v="0"/>
    <n v="4"/>
    <x v="5"/>
    <x v="5"/>
    <x v="1"/>
    <x v="1"/>
    <n v="118"/>
    <x v="79"/>
    <x v="62"/>
    <s v="(1) 42.34.2555"/>
    <s v="265, boulevard Charonne"/>
    <m/>
    <x v="2"/>
    <m/>
    <n v="75012"/>
    <x v="1"/>
    <x v="1"/>
    <s v="Bertrand"/>
    <s v="Marie"/>
    <x v="1"/>
  </r>
  <r>
    <n v="10349"/>
    <n v="23"/>
    <n v="100"/>
    <n v="2"/>
    <n v="3182.97"/>
    <d v="2004-12-01T00:00:00"/>
    <x v="0"/>
    <n v="4"/>
    <x v="6"/>
    <x v="6"/>
    <x v="1"/>
    <x v="1"/>
    <n v="118"/>
    <x v="79"/>
    <x v="74"/>
    <n v="2125557413"/>
    <s v="4092 Furth Circle"/>
    <s v="Suite 400"/>
    <x v="0"/>
    <s v="NY"/>
    <n v="10022"/>
    <x v="0"/>
    <x v="0"/>
    <s v="Young"/>
    <s v="Jeff"/>
    <x v="1"/>
  </r>
  <r>
    <n v="10359"/>
    <n v="22"/>
    <n v="100"/>
    <n v="7"/>
    <n v="2603.04"/>
    <d v="2004-12-15T00:00:00"/>
    <x v="0"/>
    <n v="4"/>
    <x v="6"/>
    <x v="6"/>
    <x v="1"/>
    <x v="1"/>
    <n v="118"/>
    <x v="79"/>
    <x v="1"/>
    <s v="26.47.1555"/>
    <s v="59 rue de l'Abbaye"/>
    <m/>
    <x v="1"/>
    <m/>
    <n v="51100"/>
    <x v="1"/>
    <x v="1"/>
    <s v="Henriot"/>
    <s v="Paul"/>
    <x v="0"/>
  </r>
  <r>
    <n v="10371"/>
    <n v="28"/>
    <n v="50.32"/>
    <n v="9"/>
    <n v="1408.96"/>
    <d v="2005-01-23T00:00:00"/>
    <x v="0"/>
    <n v="1"/>
    <x v="7"/>
    <x v="7"/>
    <x v="2"/>
    <x v="1"/>
    <n v="118"/>
    <x v="79"/>
    <x v="39"/>
    <n v="4155551450"/>
    <s v="5677 Strong St."/>
    <m/>
    <x v="33"/>
    <s v="CA"/>
    <n v="97562"/>
    <x v="0"/>
    <x v="0"/>
    <s v="Nelson"/>
    <s v="Valarie"/>
    <x v="0"/>
  </r>
  <r>
    <n v="10383"/>
    <n v="21"/>
    <n v="93.91"/>
    <n v="4"/>
    <n v="1972.11"/>
    <d v="2005-02-22T00:00:00"/>
    <x v="0"/>
    <n v="1"/>
    <x v="0"/>
    <x v="0"/>
    <x v="2"/>
    <x v="1"/>
    <n v="118"/>
    <x v="79"/>
    <x v="23"/>
    <s v="(91) 555 94 44"/>
    <s v="C/ Moralzarzal, 86"/>
    <m/>
    <x v="20"/>
    <m/>
    <n v="28034"/>
    <x v="7"/>
    <x v="1"/>
    <s v="Freyre"/>
    <s v="Diego"/>
    <x v="0"/>
  </r>
  <r>
    <n v="10394"/>
    <n v="37"/>
    <n v="100"/>
    <n v="7"/>
    <n v="5207.75"/>
    <d v="2005-03-15T00:00:00"/>
    <x v="0"/>
    <n v="1"/>
    <x v="11"/>
    <x v="11"/>
    <x v="2"/>
    <x v="1"/>
    <n v="118"/>
    <x v="79"/>
    <x v="23"/>
    <s v="(91) 555 94 44"/>
    <s v="C/ Moralzarzal, 86"/>
    <m/>
    <x v="20"/>
    <m/>
    <n v="28034"/>
    <x v="7"/>
    <x v="1"/>
    <s v="Freyre"/>
    <s v="Diego"/>
    <x v="1"/>
  </r>
  <r>
    <n v="10412"/>
    <n v="31"/>
    <n v="100"/>
    <n v="1"/>
    <n v="4253.2"/>
    <d v="2005-05-03T00:00:00"/>
    <x v="0"/>
    <n v="2"/>
    <x v="1"/>
    <x v="1"/>
    <x v="2"/>
    <x v="1"/>
    <n v="118"/>
    <x v="79"/>
    <x v="23"/>
    <s v="(91) 555 94 44"/>
    <s v="C/ Moralzarzal, 86"/>
    <m/>
    <x v="20"/>
    <m/>
    <n v="28034"/>
    <x v="7"/>
    <x v="1"/>
    <s v="Freyre"/>
    <s v="Diego"/>
    <x v="1"/>
  </r>
  <r>
    <n v="10103"/>
    <n v="25"/>
    <n v="100"/>
    <n v="15"/>
    <n v="2873"/>
    <d v="2003-01-29T00:00:00"/>
    <x v="0"/>
    <n v="1"/>
    <x v="7"/>
    <x v="7"/>
    <x v="0"/>
    <x v="3"/>
    <n v="97"/>
    <x v="80"/>
    <x v="17"/>
    <s v="07-98 9555"/>
    <s v="Erling Skakkes gate 78"/>
    <m/>
    <x v="14"/>
    <m/>
    <n v="4110"/>
    <x v="2"/>
    <x v="1"/>
    <s v="Bergulfsen"/>
    <s v="Jonas"/>
    <x v="0"/>
  </r>
  <r>
    <n v="10111"/>
    <n v="26"/>
    <n v="86.68"/>
    <n v="3"/>
    <n v="2253.6799999999998"/>
    <d v="2003-03-25T00:00:00"/>
    <x v="0"/>
    <n v="1"/>
    <x v="11"/>
    <x v="11"/>
    <x v="0"/>
    <x v="3"/>
    <n v="97"/>
    <x v="80"/>
    <x v="8"/>
    <n v="6505555787"/>
    <s v="5557 North Pendale Street"/>
    <m/>
    <x v="4"/>
    <s v="CA"/>
    <m/>
    <x v="0"/>
    <x v="0"/>
    <s v="Murphy"/>
    <s v="Julie"/>
    <x v="0"/>
  </r>
  <r>
    <n v="10126"/>
    <n v="34"/>
    <n v="100"/>
    <n v="15"/>
    <n v="3576.12"/>
    <d v="2003-05-28T00:00:00"/>
    <x v="0"/>
    <n v="2"/>
    <x v="1"/>
    <x v="1"/>
    <x v="0"/>
    <x v="3"/>
    <n v="97"/>
    <x v="80"/>
    <x v="25"/>
    <s v="(91) 555 22 82"/>
    <s v="C/ Araquil, 67"/>
    <m/>
    <x v="20"/>
    <m/>
    <n v="28023"/>
    <x v="7"/>
    <x v="1"/>
    <s v="Sommer"/>
    <s v="Mart¡n"/>
    <x v="1"/>
  </r>
  <r>
    <n v="10139"/>
    <n v="29"/>
    <n v="100"/>
    <n v="4"/>
    <n v="3276.13"/>
    <d v="2003-07-16T00:00:00"/>
    <x v="0"/>
    <n v="3"/>
    <x v="2"/>
    <x v="2"/>
    <x v="0"/>
    <x v="3"/>
    <n v="97"/>
    <x v="80"/>
    <x v="20"/>
    <s v="+61 2 9495 8555"/>
    <s v="Monitor Money Building, 815 Pacific Hwy"/>
    <s v="Level 6"/>
    <x v="17"/>
    <s v="NSW"/>
    <n v="2067"/>
    <x v="3"/>
    <x v="2"/>
    <s v="Huxley"/>
    <s v="Adrian"/>
    <x v="1"/>
  </r>
  <r>
    <n v="10149"/>
    <n v="20"/>
    <n v="90.57"/>
    <n v="1"/>
    <n v="1811.4"/>
    <d v="2003-09-12T00:00:00"/>
    <x v="0"/>
    <n v="3"/>
    <x v="10"/>
    <x v="10"/>
    <x v="0"/>
    <x v="3"/>
    <n v="97"/>
    <x v="80"/>
    <x v="82"/>
    <n v="4155554312"/>
    <s v="2793 Furth Circle"/>
    <m/>
    <x v="65"/>
    <s v="CA"/>
    <n v="94217"/>
    <x v="0"/>
    <x v="0"/>
    <s v="Taylor"/>
    <s v="Sue"/>
    <x v="0"/>
  </r>
  <r>
    <n v="10163"/>
    <n v="42"/>
    <n v="91.55"/>
    <n v="5"/>
    <n v="3845.1"/>
    <d v="2003-10-20T00:00:00"/>
    <x v="0"/>
    <n v="4"/>
    <x v="4"/>
    <x v="4"/>
    <x v="0"/>
    <x v="3"/>
    <n v="97"/>
    <x v="80"/>
    <x v="27"/>
    <n v="2125558493"/>
    <s v="5905 Pompton St."/>
    <s v="Suite 750"/>
    <x v="0"/>
    <s v="NY"/>
    <n v="10022"/>
    <x v="0"/>
    <x v="0"/>
    <s v="Hernandez"/>
    <s v="Maria"/>
    <x v="1"/>
  </r>
  <r>
    <n v="10173"/>
    <n v="22"/>
    <n v="100"/>
    <n v="3"/>
    <n v="2571.14"/>
    <d v="2003-11-05T00:00:00"/>
    <x v="0"/>
    <n v="4"/>
    <x v="5"/>
    <x v="5"/>
    <x v="0"/>
    <x v="3"/>
    <n v="97"/>
    <x v="80"/>
    <x v="86"/>
    <s v="035-640555"/>
    <s v="Via Ludovico il Moro 22"/>
    <m/>
    <x v="69"/>
    <m/>
    <n v="24100"/>
    <x v="12"/>
    <x v="1"/>
    <s v="Rovelli"/>
    <s v="Giovanni"/>
    <x v="0"/>
  </r>
  <r>
    <n v="10183"/>
    <n v="47"/>
    <n v="100"/>
    <n v="12"/>
    <n v="5035.1099999999997"/>
    <d v="2003-11-13T00:00:00"/>
    <x v="0"/>
    <n v="4"/>
    <x v="5"/>
    <x v="5"/>
    <x v="0"/>
    <x v="3"/>
    <n v="97"/>
    <x v="80"/>
    <x v="29"/>
    <n v="2155554695"/>
    <s v="782 First Street"/>
    <m/>
    <x v="24"/>
    <s v="PA"/>
    <n v="71270"/>
    <x v="0"/>
    <x v="0"/>
    <s v="Cervantes"/>
    <s v="Francisca"/>
    <x v="1"/>
  </r>
  <r>
    <n v="10193"/>
    <n v="20"/>
    <n v="100"/>
    <n v="4"/>
    <n v="2279"/>
    <d v="2003-11-21T00:00:00"/>
    <x v="0"/>
    <n v="4"/>
    <x v="5"/>
    <x v="5"/>
    <x v="0"/>
    <x v="3"/>
    <n v="97"/>
    <x v="80"/>
    <x v="87"/>
    <s v="61-9-3844-6555"/>
    <s v="7 Allen Street"/>
    <m/>
    <x v="70"/>
    <s v="Victoria"/>
    <n v="3150"/>
    <x v="3"/>
    <x v="2"/>
    <s v="Connery"/>
    <s v="Sean"/>
    <x v="0"/>
  </r>
  <r>
    <n v="10206"/>
    <n v="33"/>
    <n v="97.39"/>
    <n v="10"/>
    <n v="3213.87"/>
    <d v="2003-12-05T00:00:00"/>
    <x v="0"/>
    <n v="4"/>
    <x v="6"/>
    <x v="6"/>
    <x v="0"/>
    <x v="3"/>
    <n v="97"/>
    <x v="80"/>
    <x v="31"/>
    <s v="(604) 555-3392"/>
    <s v="1900 Oak St."/>
    <m/>
    <x v="26"/>
    <s v="BC"/>
    <s v="V3F 2K1"/>
    <x v="10"/>
    <x v="0"/>
    <s v="Tannamuri"/>
    <s v="Yoshi"/>
    <x v="1"/>
  </r>
  <r>
    <n v="10215"/>
    <n v="39"/>
    <n v="90.57"/>
    <n v="7"/>
    <n v="3532.23"/>
    <d v="2004-01-29T00:00:00"/>
    <x v="0"/>
    <n v="1"/>
    <x v="7"/>
    <x v="7"/>
    <x v="1"/>
    <x v="3"/>
    <n v="97"/>
    <x v="80"/>
    <x v="32"/>
    <n v="3105553722"/>
    <s v="3675 Furth Circle"/>
    <m/>
    <x v="27"/>
    <s v="CA"/>
    <n v="94019"/>
    <x v="0"/>
    <x v="0"/>
    <s v="Thompson"/>
    <s v="Steve"/>
    <x v="1"/>
  </r>
  <r>
    <n v="10228"/>
    <n v="33"/>
    <n v="100"/>
    <n v="6"/>
    <n v="3406.59"/>
    <d v="2004-03-10T00:00:00"/>
    <x v="0"/>
    <n v="1"/>
    <x v="11"/>
    <x v="11"/>
    <x v="1"/>
    <x v="3"/>
    <n v="97"/>
    <x v="80"/>
    <x v="33"/>
    <n v="6175555555"/>
    <s v="4658 Baden Av."/>
    <m/>
    <x v="12"/>
    <s v="MA"/>
    <n v="51247"/>
    <x v="0"/>
    <x v="0"/>
    <s v="Tseng"/>
    <s v="Kyung"/>
    <x v="1"/>
  </r>
  <r>
    <n v="10244"/>
    <n v="40"/>
    <n v="86.68"/>
    <n v="4"/>
    <n v="3467.2"/>
    <d v="2004-04-29T00:00:00"/>
    <x v="0"/>
    <n v="2"/>
    <x v="8"/>
    <x v="8"/>
    <x v="1"/>
    <x v="3"/>
    <n v="97"/>
    <x v="80"/>
    <x v="23"/>
    <s v="(91) 555 94 44"/>
    <s v="C/ Moralzarzal, 86"/>
    <m/>
    <x v="20"/>
    <m/>
    <n v="28034"/>
    <x v="7"/>
    <x v="1"/>
    <s v="Freyre"/>
    <s v="Diego"/>
    <x v="1"/>
  </r>
  <r>
    <n v="10257"/>
    <n v="46"/>
    <n v="78.89"/>
    <n v="4"/>
    <n v="3628.94"/>
    <d v="2004-06-14T00:00:00"/>
    <x v="0"/>
    <n v="2"/>
    <x v="9"/>
    <x v="9"/>
    <x v="1"/>
    <x v="3"/>
    <n v="97"/>
    <x v="80"/>
    <x v="61"/>
    <n v="4085553659"/>
    <s v="3086 Ingle Ln."/>
    <m/>
    <x v="51"/>
    <s v="CA"/>
    <n v="94217"/>
    <x v="0"/>
    <x v="0"/>
    <s v="Frick"/>
    <s v="Sue"/>
    <x v="1"/>
  </r>
  <r>
    <n v="10269"/>
    <n v="48"/>
    <n v="97.39"/>
    <n v="2"/>
    <n v="4674.72"/>
    <d v="2004-07-16T00:00:00"/>
    <x v="0"/>
    <n v="3"/>
    <x v="2"/>
    <x v="2"/>
    <x v="1"/>
    <x v="3"/>
    <n v="97"/>
    <x v="80"/>
    <x v="19"/>
    <s v="6562-9555"/>
    <s v="Geislweg 14"/>
    <m/>
    <x v="16"/>
    <m/>
    <n v="5020"/>
    <x v="5"/>
    <x v="1"/>
    <s v="Pipps"/>
    <s v="Georg"/>
    <x v="1"/>
  </r>
  <r>
    <n v="10280"/>
    <n v="21"/>
    <n v="78.89"/>
    <n v="6"/>
    <n v="1656.69"/>
    <d v="2004-08-17T00:00:00"/>
    <x v="0"/>
    <n v="3"/>
    <x v="3"/>
    <x v="3"/>
    <x v="1"/>
    <x v="3"/>
    <n v="97"/>
    <x v="80"/>
    <x v="36"/>
    <s v="011-4988555"/>
    <s v="Via Monte Bianco 34"/>
    <m/>
    <x v="30"/>
    <m/>
    <n v="10100"/>
    <x v="12"/>
    <x v="1"/>
    <s v="Accorti"/>
    <s v="Paolo"/>
    <x v="0"/>
  </r>
  <r>
    <n v="10290"/>
    <n v="45"/>
    <n v="100"/>
    <n v="1"/>
    <n v="5171.3999999999996"/>
    <d v="2004-09-07T00:00:00"/>
    <x v="0"/>
    <n v="3"/>
    <x v="10"/>
    <x v="10"/>
    <x v="1"/>
    <x v="3"/>
    <n v="97"/>
    <x v="80"/>
    <x v="91"/>
    <n v="6175558428"/>
    <s v="16780 Pompton St."/>
    <m/>
    <x v="35"/>
    <s v="MA"/>
    <n v="58339"/>
    <x v="0"/>
    <x v="0"/>
    <s v="Taylor"/>
    <s v="Leslie"/>
    <x v="1"/>
  </r>
  <r>
    <n v="10304"/>
    <n v="33"/>
    <n v="100"/>
    <n v="10"/>
    <n v="3342.57"/>
    <d v="2004-10-11T00:00:00"/>
    <x v="0"/>
    <n v="4"/>
    <x v="4"/>
    <x v="4"/>
    <x v="1"/>
    <x v="3"/>
    <n v="97"/>
    <x v="80"/>
    <x v="38"/>
    <s v="30.59.8555"/>
    <s v="67, avenue de l'Europe"/>
    <m/>
    <x v="32"/>
    <m/>
    <n v="78000"/>
    <x v="1"/>
    <x v="1"/>
    <s v="Tonini"/>
    <s v="Daniel"/>
    <x v="1"/>
  </r>
  <r>
    <n v="10312"/>
    <n v="44"/>
    <n v="100"/>
    <n v="7"/>
    <n v="4884.88"/>
    <d v="2004-10-21T00:00:00"/>
    <x v="0"/>
    <n v="4"/>
    <x v="4"/>
    <x v="4"/>
    <x v="1"/>
    <x v="3"/>
    <n v="97"/>
    <x v="80"/>
    <x v="39"/>
    <n v="4155551450"/>
    <s v="5677 Strong St."/>
    <m/>
    <x v="33"/>
    <s v="CA"/>
    <n v="97562"/>
    <x v="0"/>
    <x v="0"/>
    <s v="Nelson"/>
    <s v="Valarie"/>
    <x v="1"/>
  </r>
  <r>
    <n v="10324"/>
    <n v="33"/>
    <n v="100"/>
    <n v="3"/>
    <n v="6267.69"/>
    <d v="2004-11-05T00:00:00"/>
    <x v="0"/>
    <n v="4"/>
    <x v="5"/>
    <x v="5"/>
    <x v="1"/>
    <x v="3"/>
    <n v="97"/>
    <x v="80"/>
    <x v="11"/>
    <n v="2125551500"/>
    <s v="2678 Kingston Rd."/>
    <s v="Suite 101"/>
    <x v="0"/>
    <s v="NY"/>
    <n v="10022"/>
    <x v="0"/>
    <x v="0"/>
    <s v="Frick"/>
    <s v="Michael"/>
    <x v="1"/>
  </r>
  <r>
    <n v="10333"/>
    <n v="39"/>
    <n v="100"/>
    <n v="1"/>
    <n v="4424.16"/>
    <d v="2004-11-18T00:00:00"/>
    <x v="0"/>
    <n v="4"/>
    <x v="5"/>
    <x v="5"/>
    <x v="1"/>
    <x v="3"/>
    <n v="97"/>
    <x v="80"/>
    <x v="8"/>
    <n v="6505555787"/>
    <s v="5557 North Pendale Street"/>
    <m/>
    <x v="4"/>
    <s v="CA"/>
    <m/>
    <x v="0"/>
    <x v="0"/>
    <s v="Murphy"/>
    <s v="Julie"/>
    <x v="1"/>
  </r>
  <r>
    <n v="10348"/>
    <n v="39"/>
    <n v="50.31"/>
    <n v="2"/>
    <n v="1962.09"/>
    <d v="2004-11-01T00:00:00"/>
    <x v="0"/>
    <n v="4"/>
    <x v="5"/>
    <x v="5"/>
    <x v="1"/>
    <x v="3"/>
    <n v="97"/>
    <x v="80"/>
    <x v="25"/>
    <s v="(91) 555 22 82"/>
    <s v="C/ Araquil, 67"/>
    <m/>
    <x v="20"/>
    <m/>
    <n v="28023"/>
    <x v="7"/>
    <x v="1"/>
    <s v="Sommer"/>
    <s v="Mart¡n"/>
    <x v="0"/>
  </r>
  <r>
    <n v="10358"/>
    <n v="41"/>
    <n v="100"/>
    <n v="6"/>
    <n v="6847"/>
    <d v="2004-12-10T00:00:00"/>
    <x v="0"/>
    <n v="4"/>
    <x v="6"/>
    <x v="6"/>
    <x v="1"/>
    <x v="3"/>
    <n v="97"/>
    <x v="80"/>
    <x v="23"/>
    <s v="(91) 555 94 44"/>
    <s v="C/ Moralzarzal, 86"/>
    <m/>
    <x v="20"/>
    <m/>
    <n v="28034"/>
    <x v="7"/>
    <x v="1"/>
    <s v="Freyre"/>
    <s v="Diego"/>
    <x v="1"/>
  </r>
  <r>
    <n v="10369"/>
    <n v="40"/>
    <n v="86.92"/>
    <n v="3"/>
    <n v="3476.8"/>
    <d v="2005-01-20T00:00:00"/>
    <x v="0"/>
    <n v="1"/>
    <x v="7"/>
    <x v="7"/>
    <x v="2"/>
    <x v="3"/>
    <n v="97"/>
    <x v="80"/>
    <x v="41"/>
    <n v="6175558555"/>
    <s v="7825 Douglas Av."/>
    <m/>
    <x v="35"/>
    <s v="MA"/>
    <n v="58339"/>
    <x v="0"/>
    <x v="0"/>
    <s v="Nelson"/>
    <s v="Allen"/>
    <x v="1"/>
  </r>
  <r>
    <n v="10382"/>
    <n v="33"/>
    <n v="100"/>
    <n v="4"/>
    <n v="4592.6099999999997"/>
    <d v="2005-02-17T00:00:00"/>
    <x v="0"/>
    <n v="1"/>
    <x v="0"/>
    <x v="0"/>
    <x v="2"/>
    <x v="3"/>
    <n v="97"/>
    <x v="80"/>
    <x v="39"/>
    <n v="4155551450"/>
    <s v="5677 Strong St."/>
    <m/>
    <x v="33"/>
    <s v="CA"/>
    <n v="97562"/>
    <x v="0"/>
    <x v="0"/>
    <s v="Nelson"/>
    <s v="Valarie"/>
    <x v="1"/>
  </r>
  <r>
    <n v="10423"/>
    <n v="28"/>
    <n v="78.89"/>
    <n v="4"/>
    <n v="2208.92"/>
    <d v="2005-05-30T00:00:00"/>
    <x v="2"/>
    <n v="2"/>
    <x v="1"/>
    <x v="1"/>
    <x v="2"/>
    <x v="3"/>
    <n v="97"/>
    <x v="80"/>
    <x v="56"/>
    <s v="(02) 5554 67"/>
    <s v="Rue Joseph-Bens 532"/>
    <m/>
    <x v="46"/>
    <m/>
    <s v="B-1180"/>
    <x v="14"/>
    <x v="1"/>
    <s v="Dewey"/>
    <s v="Catherine"/>
    <x v="0"/>
  </r>
  <r>
    <n v="10106"/>
    <n v="26"/>
    <n v="63.76"/>
    <n v="3"/>
    <n v="1657.76"/>
    <d v="2003-02-17T00:00:00"/>
    <x v="0"/>
    <n v="1"/>
    <x v="0"/>
    <x v="0"/>
    <x v="0"/>
    <x v="4"/>
    <n v="72"/>
    <x v="81"/>
    <x v="86"/>
    <s v="035-640555"/>
    <s v="Via Ludovico il Moro 22"/>
    <m/>
    <x v="69"/>
    <m/>
    <n v="24100"/>
    <x v="12"/>
    <x v="1"/>
    <s v="Rovelli"/>
    <s v="Giovanni"/>
    <x v="0"/>
  </r>
  <r>
    <n v="10120"/>
    <n v="29"/>
    <n v="85.49"/>
    <n v="9"/>
    <n v="2479.21"/>
    <d v="2003-04-29T00:00:00"/>
    <x v="0"/>
    <n v="2"/>
    <x v="8"/>
    <x v="8"/>
    <x v="0"/>
    <x v="4"/>
    <n v="72"/>
    <x v="81"/>
    <x v="10"/>
    <s v="03 9520 4555"/>
    <s v="636 St Kilda Road"/>
    <s v="Level 3"/>
    <x v="8"/>
    <s v="Victoria"/>
    <n v="3004"/>
    <x v="3"/>
    <x v="2"/>
    <s v="Ferguson"/>
    <s v="Peter"/>
    <x v="0"/>
  </r>
  <r>
    <n v="10133"/>
    <n v="46"/>
    <n v="77.52"/>
    <n v="4"/>
    <n v="3565.92"/>
    <d v="2003-06-27T00:00:00"/>
    <x v="0"/>
    <n v="2"/>
    <x v="9"/>
    <x v="9"/>
    <x v="0"/>
    <x v="4"/>
    <n v="72"/>
    <x v="81"/>
    <x v="23"/>
    <s v="(91) 555 94 44"/>
    <s v="C/ Moralzarzal, 86"/>
    <m/>
    <x v="20"/>
    <m/>
    <n v="28034"/>
    <x v="7"/>
    <x v="1"/>
    <s v="Freyre"/>
    <s v="Diego"/>
    <x v="1"/>
  </r>
  <r>
    <n v="10145"/>
    <n v="33"/>
    <n v="84.77"/>
    <n v="15"/>
    <n v="2797.41"/>
    <d v="2003-08-25T00:00:00"/>
    <x v="0"/>
    <n v="3"/>
    <x v="3"/>
    <x v="3"/>
    <x v="0"/>
    <x v="4"/>
    <n v="72"/>
    <x v="81"/>
    <x v="3"/>
    <n v="6265557265"/>
    <s v="78934 Hillside Dr."/>
    <m/>
    <x v="3"/>
    <s v="CA"/>
    <n v="90003"/>
    <x v="0"/>
    <x v="0"/>
    <s v="Young"/>
    <s v="Julie"/>
    <x v="0"/>
  </r>
  <r>
    <n v="10168"/>
    <n v="48"/>
    <n v="78.25"/>
    <n v="10"/>
    <n v="3756"/>
    <d v="2003-10-28T00:00:00"/>
    <x v="0"/>
    <n v="4"/>
    <x v="4"/>
    <x v="4"/>
    <x v="0"/>
    <x v="4"/>
    <n v="72"/>
    <x v="81"/>
    <x v="5"/>
    <n v="6505556809"/>
    <s v="9408 Furth Circle"/>
    <m/>
    <x v="5"/>
    <s v="CA"/>
    <n v="94217"/>
    <x v="0"/>
    <x v="0"/>
    <s v="Hirano"/>
    <s v="Juri"/>
    <x v="1"/>
  </r>
  <r>
    <n v="10210"/>
    <n v="40"/>
    <n v="71"/>
    <n v="8"/>
    <n v="2840"/>
    <d v="2004-01-12T00:00:00"/>
    <x v="0"/>
    <n v="1"/>
    <x v="7"/>
    <x v="7"/>
    <x v="1"/>
    <x v="4"/>
    <n v="72"/>
    <x v="81"/>
    <x v="44"/>
    <s v="+81 06 6342 5555"/>
    <s v="Dojima Avanza 4F, 1-6-20 Dojima, Kita-ku"/>
    <m/>
    <x v="38"/>
    <s v="Osaka"/>
    <s v="530-0003"/>
    <x v="11"/>
    <x v="3"/>
    <s v="Kentary"/>
    <s v="Mory"/>
    <x v="0"/>
  </r>
  <r>
    <n v="10223"/>
    <n v="23"/>
    <n v="74.62"/>
    <n v="10"/>
    <n v="1716.26"/>
    <d v="2004-02-20T00:00:00"/>
    <x v="0"/>
    <n v="1"/>
    <x v="0"/>
    <x v="0"/>
    <x v="1"/>
    <x v="4"/>
    <n v="72"/>
    <x v="81"/>
    <x v="10"/>
    <s v="03 9520 4555"/>
    <s v="636 St Kilda Road"/>
    <s v="Level 3"/>
    <x v="8"/>
    <s v="Victoria"/>
    <n v="3004"/>
    <x v="3"/>
    <x v="2"/>
    <s v="Ferguson"/>
    <s v="Peter"/>
    <x v="0"/>
  </r>
  <r>
    <n v="10235"/>
    <n v="40"/>
    <n v="81.14"/>
    <n v="4"/>
    <n v="3245.6"/>
    <d v="2004-04-02T00:00:00"/>
    <x v="0"/>
    <n v="2"/>
    <x v="8"/>
    <x v="8"/>
    <x v="1"/>
    <x v="4"/>
    <n v="72"/>
    <x v="81"/>
    <x v="57"/>
    <s v="(604) 555-4555"/>
    <s v="23 Tsawassen Blvd."/>
    <m/>
    <x v="47"/>
    <s v="BC"/>
    <s v="T2F 8M4"/>
    <x v="10"/>
    <x v="0"/>
    <s v="Lincoln"/>
    <s v="Elizabeth"/>
    <x v="1"/>
  </r>
  <r>
    <n v="10250"/>
    <n v="37"/>
    <n v="74.62"/>
    <n v="5"/>
    <n v="2760.94"/>
    <d v="2004-05-11T00:00:00"/>
    <x v="0"/>
    <n v="2"/>
    <x v="1"/>
    <x v="1"/>
    <x v="1"/>
    <x v="4"/>
    <n v="72"/>
    <x v="81"/>
    <x v="61"/>
    <n v="4085553659"/>
    <s v="3086 Ingle Ln."/>
    <m/>
    <x v="51"/>
    <s v="CA"/>
    <n v="94217"/>
    <x v="0"/>
    <x v="0"/>
    <s v="Frick"/>
    <s v="Sue"/>
    <x v="0"/>
  </r>
  <r>
    <n v="10263"/>
    <n v="24"/>
    <n v="75.349999999999994"/>
    <n v="11"/>
    <n v="1808.4"/>
    <d v="2004-06-28T00:00:00"/>
    <x v="0"/>
    <n v="2"/>
    <x v="9"/>
    <x v="9"/>
    <x v="1"/>
    <x v="4"/>
    <n v="72"/>
    <x v="81"/>
    <x v="13"/>
    <n v="2035552570"/>
    <s v="25593 South Bay Ln."/>
    <m/>
    <x v="10"/>
    <s v="CT"/>
    <n v="97562"/>
    <x v="0"/>
    <x v="0"/>
    <s v="King"/>
    <s v="Julie"/>
    <x v="0"/>
  </r>
  <r>
    <n v="10275"/>
    <n v="27"/>
    <n v="62.31"/>
    <n v="10"/>
    <n v="1682.37"/>
    <d v="2004-07-23T00:00:00"/>
    <x v="0"/>
    <n v="3"/>
    <x v="2"/>
    <x v="2"/>
    <x v="1"/>
    <x v="4"/>
    <n v="72"/>
    <x v="81"/>
    <x v="14"/>
    <s v="40.67.8555"/>
    <s v="67, rue des Cinquante Otages"/>
    <m/>
    <x v="11"/>
    <m/>
    <n v="44000"/>
    <x v="1"/>
    <x v="1"/>
    <s v="Labrune"/>
    <s v="Janine"/>
    <x v="0"/>
  </r>
  <r>
    <n v="10284"/>
    <n v="21"/>
    <n v="71"/>
    <n v="2"/>
    <n v="1491"/>
    <d v="2004-08-21T00:00:00"/>
    <x v="0"/>
    <n v="3"/>
    <x v="3"/>
    <x v="3"/>
    <x v="1"/>
    <x v="4"/>
    <n v="72"/>
    <x v="81"/>
    <x v="85"/>
    <s v="+47 2212 1555"/>
    <s v="Drammensveien 126 A, PB 744 Sentrum"/>
    <m/>
    <x v="68"/>
    <m/>
    <s v="N 0106"/>
    <x v="2"/>
    <x v="1"/>
    <s v="Klaeboe"/>
    <s v="Jan"/>
    <x v="0"/>
  </r>
  <r>
    <n v="10297"/>
    <n v="23"/>
    <n v="72.45"/>
    <n v="5"/>
    <n v="1666.35"/>
    <d v="2004-09-16T00:00:00"/>
    <x v="0"/>
    <n v="3"/>
    <x v="10"/>
    <x v="10"/>
    <x v="1"/>
    <x v="4"/>
    <n v="72"/>
    <x v="81"/>
    <x v="75"/>
    <s v="+353 1862 1555"/>
    <s v="25 Maiden Lane"/>
    <s v="Floor No. 4"/>
    <x v="60"/>
    <m/>
    <n v="2"/>
    <x v="18"/>
    <x v="1"/>
    <s v="Cassidy"/>
    <s v="Dean"/>
    <x v="0"/>
  </r>
  <r>
    <n v="10308"/>
    <n v="44"/>
    <n v="83.32"/>
    <n v="8"/>
    <n v="3666.08"/>
    <d v="2004-10-15T00:00:00"/>
    <x v="0"/>
    <n v="4"/>
    <x v="4"/>
    <x v="4"/>
    <x v="1"/>
    <x v="4"/>
    <n v="72"/>
    <x v="81"/>
    <x v="47"/>
    <n v="9145554562"/>
    <s v="3758 North Pendale Street"/>
    <m/>
    <x v="39"/>
    <s v="NY"/>
    <n v="24067"/>
    <x v="0"/>
    <x v="0"/>
    <s v="Frick"/>
    <s v="Steve"/>
    <x v="1"/>
  </r>
  <r>
    <n v="10317"/>
    <n v="35"/>
    <n v="83.32"/>
    <n v="1"/>
    <n v="2916.2"/>
    <d v="2004-11-02T00:00:00"/>
    <x v="0"/>
    <n v="4"/>
    <x v="5"/>
    <x v="5"/>
    <x v="1"/>
    <x v="4"/>
    <n v="72"/>
    <x v="81"/>
    <x v="5"/>
    <n v="6505556809"/>
    <s v="9408 Furth Circle"/>
    <m/>
    <x v="5"/>
    <s v="CA"/>
    <n v="94217"/>
    <x v="0"/>
    <x v="0"/>
    <s v="Hirano"/>
    <s v="Juri"/>
    <x v="0"/>
  </r>
  <r>
    <n v="10328"/>
    <n v="43"/>
    <n v="60.86"/>
    <n v="4"/>
    <n v="2616.98"/>
    <d v="2004-11-12T00:00:00"/>
    <x v="0"/>
    <n v="4"/>
    <x v="5"/>
    <x v="5"/>
    <x v="1"/>
    <x v="4"/>
    <n v="72"/>
    <x v="81"/>
    <x v="86"/>
    <s v="035-640555"/>
    <s v="Via Ludovico il Moro 22"/>
    <m/>
    <x v="69"/>
    <m/>
    <n v="24100"/>
    <x v="12"/>
    <x v="1"/>
    <s v="Rovelli"/>
    <s v="Giovanni"/>
    <x v="0"/>
  </r>
  <r>
    <n v="10340"/>
    <n v="40"/>
    <n v="84.77"/>
    <n v="1"/>
    <n v="3390.8"/>
    <d v="2004-11-24T00:00:00"/>
    <x v="0"/>
    <n v="4"/>
    <x v="5"/>
    <x v="5"/>
    <x v="1"/>
    <x v="4"/>
    <n v="72"/>
    <x v="81"/>
    <x v="53"/>
    <s v="(93) 203 4555"/>
    <s v="Rambla de Catalu¤a, 23"/>
    <m/>
    <x v="43"/>
    <m/>
    <n v="8022"/>
    <x v="7"/>
    <x v="1"/>
    <s v="Saavedra"/>
    <s v="Eduardo"/>
    <x v="1"/>
  </r>
  <r>
    <n v="10353"/>
    <n v="35"/>
    <n v="89.9"/>
    <n v="3"/>
    <n v="3146.5"/>
    <d v="2004-12-04T00:00:00"/>
    <x v="0"/>
    <n v="4"/>
    <x v="6"/>
    <x v="6"/>
    <x v="1"/>
    <x v="4"/>
    <n v="72"/>
    <x v="81"/>
    <x v="88"/>
    <n v="2035554407"/>
    <s v="2440 Pompton St."/>
    <m/>
    <x v="63"/>
    <s v="CT"/>
    <n v="97561"/>
    <x v="0"/>
    <x v="0"/>
    <s v="Lewis"/>
    <s v="Dan"/>
    <x v="1"/>
  </r>
  <r>
    <n v="10361"/>
    <n v="25"/>
    <n v="62.46"/>
    <n v="1"/>
    <n v="1561.5"/>
    <d v="2004-12-17T00:00:00"/>
    <x v="0"/>
    <n v="4"/>
    <x v="6"/>
    <x v="6"/>
    <x v="1"/>
    <x v="4"/>
    <n v="72"/>
    <x v="81"/>
    <x v="20"/>
    <s v="+61 2 9495 8555"/>
    <s v="Monitor Money Building, 815 Pacific Hwy"/>
    <s v="Level 6"/>
    <x v="17"/>
    <s v="NSW"/>
    <n v="2067"/>
    <x v="3"/>
    <x v="2"/>
    <s v="Huxley"/>
    <s v="Adrian"/>
    <x v="0"/>
  </r>
  <r>
    <n v="10375"/>
    <n v="43"/>
    <n v="100"/>
    <n v="2"/>
    <n v="10039.6"/>
    <d v="2005-02-03T00:00:00"/>
    <x v="0"/>
    <n v="1"/>
    <x v="0"/>
    <x v="0"/>
    <x v="2"/>
    <x v="4"/>
    <n v="72"/>
    <x v="81"/>
    <x v="14"/>
    <s v="40.67.8555"/>
    <s v="67, rue des Cinquante Otages"/>
    <m/>
    <x v="11"/>
    <m/>
    <n v="44000"/>
    <x v="1"/>
    <x v="1"/>
    <s v="Labrune"/>
    <s v="Janine"/>
    <x v="2"/>
  </r>
  <r>
    <n v="10386"/>
    <n v="50"/>
    <n v="63.34"/>
    <n v="8"/>
    <n v="3167"/>
    <d v="2005-03-01T00:00:00"/>
    <x v="5"/>
    <n v="1"/>
    <x v="11"/>
    <x v="11"/>
    <x v="2"/>
    <x v="4"/>
    <n v="72"/>
    <x v="81"/>
    <x v="23"/>
    <s v="(91) 555 94 44"/>
    <s v="C/ Moralzarzal, 86"/>
    <m/>
    <x v="20"/>
    <m/>
    <n v="28034"/>
    <x v="7"/>
    <x v="1"/>
    <s v="Freyre"/>
    <s v="Diego"/>
    <x v="1"/>
  </r>
  <r>
    <n v="10398"/>
    <n v="45"/>
    <n v="78.25"/>
    <n v="14"/>
    <n v="3521.25"/>
    <d v="2005-03-30T00:00:00"/>
    <x v="0"/>
    <n v="1"/>
    <x v="11"/>
    <x v="11"/>
    <x v="2"/>
    <x v="4"/>
    <n v="72"/>
    <x v="81"/>
    <x v="1"/>
    <s v="26.47.1555"/>
    <s v="59 rue de l'Abbaye"/>
    <m/>
    <x v="1"/>
    <m/>
    <n v="51100"/>
    <x v="1"/>
    <x v="1"/>
    <s v="Henriot"/>
    <s v="Paul"/>
    <x v="1"/>
  </r>
  <r>
    <n v="10401"/>
    <n v="52"/>
    <n v="81.14"/>
    <n v="4"/>
    <n v="4219.28"/>
    <d v="2005-04-03T00:00:00"/>
    <x v="4"/>
    <n v="2"/>
    <x v="8"/>
    <x v="8"/>
    <x v="2"/>
    <x v="4"/>
    <n v="72"/>
    <x v="81"/>
    <x v="12"/>
    <n v="2015559350"/>
    <s v="7476 Moss Rd."/>
    <m/>
    <x v="9"/>
    <s v="NJ"/>
    <n v="94019"/>
    <x v="0"/>
    <x v="0"/>
    <s v="Brown"/>
    <s v="William"/>
    <x v="1"/>
  </r>
  <r>
    <n v="10416"/>
    <n v="48"/>
    <n v="74.62"/>
    <n v="5"/>
    <n v="3581.76"/>
    <d v="2005-05-10T00:00:00"/>
    <x v="0"/>
    <n v="2"/>
    <x v="1"/>
    <x v="1"/>
    <x v="2"/>
    <x v="4"/>
    <n v="72"/>
    <x v="81"/>
    <x v="70"/>
    <s v="0522-556555"/>
    <s v="Strada Provinciale 124"/>
    <m/>
    <x v="57"/>
    <m/>
    <n v="42100"/>
    <x v="12"/>
    <x v="1"/>
    <s v="Moroni"/>
    <s v="Maurizio"/>
    <x v="1"/>
  </r>
  <r>
    <n v="10108"/>
    <n v="31"/>
    <n v="68.709999999999994"/>
    <n v="10"/>
    <n v="2130.0100000000002"/>
    <d v="2003-03-03T00:00:00"/>
    <x v="0"/>
    <n v="1"/>
    <x v="11"/>
    <x v="11"/>
    <x v="0"/>
    <x v="1"/>
    <n v="80"/>
    <x v="82"/>
    <x v="66"/>
    <s v="+63 2 555 3587"/>
    <s v="15 McCallum Street - NatWest Center #13-03"/>
    <m/>
    <x v="53"/>
    <m/>
    <s v="1227 MM"/>
    <x v="15"/>
    <x v="3"/>
    <s v="Cruz"/>
    <s v="Arnold"/>
    <x v="0"/>
  </r>
  <r>
    <n v="10122"/>
    <n v="29"/>
    <n v="71.14"/>
    <n v="14"/>
    <n v="2063.06"/>
    <d v="2003-05-08T00:00:00"/>
    <x v="0"/>
    <n v="2"/>
    <x v="1"/>
    <x v="1"/>
    <x v="0"/>
    <x v="1"/>
    <n v="80"/>
    <x v="82"/>
    <x v="67"/>
    <s v="91.24.4555"/>
    <s v="12, rue des Bouchers"/>
    <m/>
    <x v="54"/>
    <m/>
    <n v="13008"/>
    <x v="1"/>
    <x v="1"/>
    <s v="Lebihan"/>
    <s v="Laurence"/>
    <x v="0"/>
  </r>
  <r>
    <n v="10135"/>
    <n v="23"/>
    <n v="87.31"/>
    <n v="11"/>
    <n v="2008.13"/>
    <d v="2003-07-02T00:00:00"/>
    <x v="0"/>
    <n v="3"/>
    <x v="2"/>
    <x v="2"/>
    <x v="0"/>
    <x v="1"/>
    <n v="80"/>
    <x v="82"/>
    <x v="39"/>
    <n v="4155551450"/>
    <s v="5677 Strong St."/>
    <m/>
    <x v="33"/>
    <s v="CA"/>
    <n v="97562"/>
    <x v="0"/>
    <x v="0"/>
    <s v="Nelson"/>
    <s v="Valarie"/>
    <x v="0"/>
  </r>
  <r>
    <n v="10147"/>
    <n v="31"/>
    <n v="64.67"/>
    <n v="11"/>
    <n v="2004.77"/>
    <d v="2003-09-05T00:00:00"/>
    <x v="0"/>
    <n v="3"/>
    <x v="10"/>
    <x v="10"/>
    <x v="0"/>
    <x v="1"/>
    <n v="80"/>
    <x v="82"/>
    <x v="41"/>
    <n v="6175558555"/>
    <s v="7825 Douglas Av."/>
    <m/>
    <x v="35"/>
    <s v="MA"/>
    <n v="58339"/>
    <x v="0"/>
    <x v="0"/>
    <s v="Nelson"/>
    <s v="Allen"/>
    <x v="0"/>
  </r>
  <r>
    <n v="10159"/>
    <n v="23"/>
    <n v="67.099999999999994"/>
    <n v="6"/>
    <n v="1543.3"/>
    <d v="2003-10-10T00:00:00"/>
    <x v="0"/>
    <n v="4"/>
    <x v="4"/>
    <x v="4"/>
    <x v="0"/>
    <x v="1"/>
    <n v="80"/>
    <x v="82"/>
    <x v="4"/>
    <n v="6505551386"/>
    <s v="7734 Strong St."/>
    <m/>
    <x v="4"/>
    <s v="CA"/>
    <m/>
    <x v="0"/>
    <x v="0"/>
    <s v="Brown"/>
    <s v="Julie"/>
    <x v="0"/>
  </r>
  <r>
    <n v="10169"/>
    <n v="24"/>
    <n v="94.58"/>
    <n v="6"/>
    <n v="2269.92"/>
    <d v="2003-11-04T00:00:00"/>
    <x v="0"/>
    <n v="4"/>
    <x v="5"/>
    <x v="5"/>
    <x v="0"/>
    <x v="1"/>
    <n v="80"/>
    <x v="82"/>
    <x v="42"/>
    <s v="02 9936 8555"/>
    <s v="201 Miller Street"/>
    <s v="Level 15"/>
    <x v="36"/>
    <s v="NSW"/>
    <n v="2060"/>
    <x v="3"/>
    <x v="2"/>
    <s v="O'Hara"/>
    <s v="Anna"/>
    <x v="0"/>
  </r>
  <r>
    <n v="10180"/>
    <n v="28"/>
    <n v="71.14"/>
    <n v="1"/>
    <n v="1991.92"/>
    <d v="2003-11-11T00:00:00"/>
    <x v="0"/>
    <n v="4"/>
    <x v="5"/>
    <x v="5"/>
    <x v="0"/>
    <x v="1"/>
    <n v="80"/>
    <x v="82"/>
    <x v="6"/>
    <s v="20.16.1555"/>
    <s v="184, chausse de Tournai"/>
    <m/>
    <x v="6"/>
    <m/>
    <n v="59000"/>
    <x v="1"/>
    <x v="1"/>
    <s v="Rance"/>
    <s v="Martine"/>
    <x v="0"/>
  </r>
  <r>
    <n v="10191"/>
    <n v="44"/>
    <n v="66.290000000000006"/>
    <n v="7"/>
    <n v="2916.76"/>
    <d v="2003-11-20T00:00:00"/>
    <x v="0"/>
    <n v="4"/>
    <x v="5"/>
    <x v="5"/>
    <x v="0"/>
    <x v="1"/>
    <n v="80"/>
    <x v="82"/>
    <x v="68"/>
    <s v="0221-5554327"/>
    <s v="Mehrheimerstr. 369"/>
    <m/>
    <x v="55"/>
    <m/>
    <n v="50739"/>
    <x v="16"/>
    <x v="1"/>
    <s v="Pfalzheim"/>
    <s v="Henriette"/>
    <x v="0"/>
  </r>
  <r>
    <n v="10211"/>
    <n v="22"/>
    <n v="92.16"/>
    <n v="6"/>
    <n v="2027.52"/>
    <d v="2004-01-15T00:00:00"/>
    <x v="0"/>
    <n v="1"/>
    <x v="7"/>
    <x v="7"/>
    <x v="1"/>
    <x v="1"/>
    <n v="80"/>
    <x v="82"/>
    <x v="9"/>
    <s v="(1) 47.55.6555"/>
    <s v="25, rue Lauriston"/>
    <m/>
    <x v="2"/>
    <m/>
    <n v="75016"/>
    <x v="1"/>
    <x v="1"/>
    <s v="Perrier"/>
    <s v="Dominique"/>
    <x v="0"/>
  </r>
  <r>
    <n v="10225"/>
    <n v="46"/>
    <n v="70.33"/>
    <n v="13"/>
    <n v="3235.18"/>
    <d v="2004-02-22T00:00:00"/>
    <x v="0"/>
    <n v="1"/>
    <x v="0"/>
    <x v="0"/>
    <x v="1"/>
    <x v="1"/>
    <n v="80"/>
    <x v="82"/>
    <x v="69"/>
    <s v="0897-034555"/>
    <s v="Grenzacherweg 237"/>
    <m/>
    <x v="56"/>
    <m/>
    <n v="1203"/>
    <x v="17"/>
    <x v="1"/>
    <s v="Holz"/>
    <s v="Michael"/>
    <x v="1"/>
  </r>
  <r>
    <n v="10238"/>
    <n v="22"/>
    <n v="93.77"/>
    <n v="7"/>
    <n v="2062.94"/>
    <d v="2004-04-09T00:00:00"/>
    <x v="0"/>
    <n v="2"/>
    <x v="8"/>
    <x v="8"/>
    <x v="1"/>
    <x v="1"/>
    <n v="80"/>
    <x v="82"/>
    <x v="48"/>
    <s v="31 12 3555"/>
    <s v="Vinb'ltet 34"/>
    <m/>
    <x v="40"/>
    <m/>
    <n v="1734"/>
    <x v="13"/>
    <x v="1"/>
    <s v="Petersen"/>
    <s v="Jytte"/>
    <x v="0"/>
  </r>
  <r>
    <n v="10252"/>
    <n v="38"/>
    <n v="87.31"/>
    <n v="3"/>
    <n v="3317.78"/>
    <d v="2004-05-26T00:00:00"/>
    <x v="0"/>
    <n v="2"/>
    <x v="1"/>
    <x v="1"/>
    <x v="1"/>
    <x v="1"/>
    <n v="80"/>
    <x v="82"/>
    <x v="9"/>
    <s v="(1) 47.55.6555"/>
    <s v="25, rue Lauriston"/>
    <m/>
    <x v="2"/>
    <m/>
    <n v="75016"/>
    <x v="1"/>
    <x v="1"/>
    <s v="Perrier"/>
    <s v="Dominique"/>
    <x v="1"/>
  </r>
  <r>
    <n v="10264"/>
    <n v="47"/>
    <n v="83.27"/>
    <n v="1"/>
    <n v="3913.69"/>
    <d v="2004-06-30T00:00:00"/>
    <x v="0"/>
    <n v="2"/>
    <x v="9"/>
    <x v="9"/>
    <x v="1"/>
    <x v="1"/>
    <n v="80"/>
    <x v="82"/>
    <x v="58"/>
    <n v="6175559555"/>
    <s v="8616 Spinnaker Dr."/>
    <m/>
    <x v="48"/>
    <s v="MA"/>
    <n v="51003"/>
    <x v="0"/>
    <x v="0"/>
    <s v="Yoshido"/>
    <s v="Juri"/>
    <x v="1"/>
  </r>
  <r>
    <n v="10276"/>
    <n v="48"/>
    <n v="75.180000000000007"/>
    <n v="7"/>
    <n v="3608.64"/>
    <d v="2004-08-02T00:00:00"/>
    <x v="0"/>
    <n v="3"/>
    <x v="3"/>
    <x v="3"/>
    <x v="1"/>
    <x v="1"/>
    <n v="80"/>
    <x v="82"/>
    <x v="71"/>
    <n v="6175557555"/>
    <s v="7635 Spinnaker Dr."/>
    <m/>
    <x v="35"/>
    <s v="MA"/>
    <n v="58339"/>
    <x v="0"/>
    <x v="0"/>
    <s v="Barajas"/>
    <s v="Miguel"/>
    <x v="1"/>
  </r>
  <r>
    <n v="10287"/>
    <n v="40"/>
    <n v="88.12"/>
    <n v="16"/>
    <n v="3524.8"/>
    <d v="2004-08-30T00:00:00"/>
    <x v="0"/>
    <n v="3"/>
    <x v="3"/>
    <x v="3"/>
    <x v="1"/>
    <x v="1"/>
    <n v="80"/>
    <x v="82"/>
    <x v="69"/>
    <s v="0897-034555"/>
    <s v="Grenzacherweg 237"/>
    <m/>
    <x v="56"/>
    <m/>
    <n v="1203"/>
    <x v="17"/>
    <x v="1"/>
    <s v="Holz"/>
    <s v="Michael"/>
    <x v="1"/>
  </r>
  <r>
    <n v="10299"/>
    <n v="32"/>
    <n v="80.84"/>
    <n v="1"/>
    <n v="2586.88"/>
    <d v="2004-09-30T00:00:00"/>
    <x v="0"/>
    <n v="3"/>
    <x v="10"/>
    <x v="10"/>
    <x v="1"/>
    <x v="1"/>
    <n v="80"/>
    <x v="82"/>
    <x v="16"/>
    <s v="90-224 8555"/>
    <s v="Keskuskatu 45"/>
    <m/>
    <x v="13"/>
    <m/>
    <n v="21240"/>
    <x v="4"/>
    <x v="1"/>
    <s v="Karttunen"/>
    <s v="Matti"/>
    <x v="0"/>
  </r>
  <r>
    <n v="10310"/>
    <n v="49"/>
    <n v="97.01"/>
    <n v="14"/>
    <n v="4753.49"/>
    <d v="2004-10-16T00:00:00"/>
    <x v="0"/>
    <n v="4"/>
    <x v="4"/>
    <x v="4"/>
    <x v="1"/>
    <x v="1"/>
    <n v="80"/>
    <x v="82"/>
    <x v="68"/>
    <s v="0221-5554327"/>
    <s v="Mehrheimerstr. 369"/>
    <m/>
    <x v="55"/>
    <m/>
    <n v="50739"/>
    <x v="16"/>
    <x v="1"/>
    <s v="Pfalzheim"/>
    <s v="Henriette"/>
    <x v="1"/>
  </r>
  <r>
    <n v="10319"/>
    <n v="43"/>
    <n v="85.69"/>
    <n v="2"/>
    <n v="3684.67"/>
    <d v="2004-11-03T00:00:00"/>
    <x v="0"/>
    <n v="4"/>
    <x v="5"/>
    <x v="5"/>
    <x v="1"/>
    <x v="1"/>
    <n v="80"/>
    <x v="82"/>
    <x v="79"/>
    <n v="2125551957"/>
    <s v="5290 North Pendale Street"/>
    <s v="Suite 200"/>
    <x v="0"/>
    <s v="NY"/>
    <n v="10022"/>
    <x v="0"/>
    <x v="0"/>
    <s v="Kuo"/>
    <s v="Kee"/>
    <x v="1"/>
  </r>
  <r>
    <n v="10331"/>
    <n v="41"/>
    <n v="100"/>
    <n v="2"/>
    <n v="5715.4"/>
    <d v="2004-11-17T00:00:00"/>
    <x v="0"/>
    <n v="4"/>
    <x v="5"/>
    <x v="5"/>
    <x v="1"/>
    <x v="1"/>
    <n v="80"/>
    <x v="82"/>
    <x v="45"/>
    <n v="2155559857"/>
    <s v="11328 Douglas Av."/>
    <m/>
    <x v="24"/>
    <s v="PA"/>
    <n v="71270"/>
    <x v="0"/>
    <x v="0"/>
    <s v="Hernandez"/>
    <s v="Rosa"/>
    <x v="1"/>
  </r>
  <r>
    <n v="10343"/>
    <n v="30"/>
    <n v="100"/>
    <n v="1"/>
    <n v="3098.7"/>
    <d v="2004-11-24T00:00:00"/>
    <x v="0"/>
    <n v="4"/>
    <x v="5"/>
    <x v="5"/>
    <x v="1"/>
    <x v="1"/>
    <n v="80"/>
    <x v="82"/>
    <x v="1"/>
    <s v="26.47.1555"/>
    <s v="59 rue de l'Abbaye"/>
    <m/>
    <x v="1"/>
    <m/>
    <n v="51100"/>
    <x v="1"/>
    <x v="1"/>
    <s v="Henriot"/>
    <s v="Paul"/>
    <x v="1"/>
  </r>
  <r>
    <n v="10355"/>
    <n v="28"/>
    <n v="95.39"/>
    <n v="9"/>
    <n v="2670.92"/>
    <d v="2004-12-07T00:00:00"/>
    <x v="0"/>
    <n v="4"/>
    <x v="6"/>
    <x v="6"/>
    <x v="1"/>
    <x v="1"/>
    <n v="80"/>
    <x v="82"/>
    <x v="23"/>
    <s v="(91) 555 94 44"/>
    <s v="C/ Moralzarzal, 86"/>
    <m/>
    <x v="20"/>
    <m/>
    <n v="28034"/>
    <x v="7"/>
    <x v="1"/>
    <s v="Freyre"/>
    <s v="Diego"/>
    <x v="0"/>
  </r>
  <r>
    <n v="10363"/>
    <n v="43"/>
    <n v="100"/>
    <n v="9"/>
    <n v="5154.41"/>
    <d v="2005-01-06T00:00:00"/>
    <x v="0"/>
    <n v="1"/>
    <x v="7"/>
    <x v="7"/>
    <x v="2"/>
    <x v="1"/>
    <n v="80"/>
    <x v="82"/>
    <x v="73"/>
    <s v="+358 9 8045 555"/>
    <s v="Software Engineering Center, SEC Oy"/>
    <m/>
    <x v="59"/>
    <m/>
    <s v="FIN-02271"/>
    <x v="4"/>
    <x v="1"/>
    <s v="Suominen"/>
    <s v="Kalle"/>
    <x v="1"/>
  </r>
  <r>
    <n v="10378"/>
    <n v="41"/>
    <n v="100"/>
    <n v="2"/>
    <n v="4894.17"/>
    <d v="2005-02-10T00:00:00"/>
    <x v="0"/>
    <n v="1"/>
    <x v="0"/>
    <x v="0"/>
    <x v="2"/>
    <x v="1"/>
    <n v="80"/>
    <x v="82"/>
    <x v="23"/>
    <s v="(91) 555 94 44"/>
    <s v="C/ Moralzarzal, 86"/>
    <m/>
    <x v="20"/>
    <m/>
    <n v="28034"/>
    <x v="7"/>
    <x v="1"/>
    <s v="Freyre"/>
    <s v="Diego"/>
    <x v="1"/>
  </r>
  <r>
    <n v="10390"/>
    <n v="30"/>
    <n v="82.42"/>
    <n v="10"/>
    <n v="2472.6"/>
    <d v="2005-03-04T00:00:00"/>
    <x v="0"/>
    <n v="1"/>
    <x v="11"/>
    <x v="11"/>
    <x v="2"/>
    <x v="1"/>
    <n v="80"/>
    <x v="82"/>
    <x v="39"/>
    <n v="4155551450"/>
    <s v="5677 Strong St."/>
    <m/>
    <x v="33"/>
    <s v="CA"/>
    <n v="97562"/>
    <x v="0"/>
    <x v="0"/>
    <s v="Nelson"/>
    <s v="Valarie"/>
    <x v="0"/>
  </r>
  <r>
    <n v="10103"/>
    <n v="31"/>
    <n v="100"/>
    <n v="3"/>
    <n v="3224.31"/>
    <d v="2003-01-29T00:00:00"/>
    <x v="0"/>
    <n v="1"/>
    <x v="7"/>
    <x v="7"/>
    <x v="0"/>
    <x v="2"/>
    <n v="96"/>
    <x v="83"/>
    <x v="17"/>
    <s v="07-98 9555"/>
    <s v="Erling Skakkes gate 78"/>
    <m/>
    <x v="14"/>
    <m/>
    <n v="4110"/>
    <x v="2"/>
    <x v="1"/>
    <s v="Bergulfsen"/>
    <s v="Jonas"/>
    <x v="1"/>
  </r>
  <r>
    <n v="10114"/>
    <n v="32"/>
    <n v="100"/>
    <n v="7"/>
    <n v="3667.52"/>
    <d v="2003-04-01T00:00:00"/>
    <x v="0"/>
    <n v="2"/>
    <x v="8"/>
    <x v="8"/>
    <x v="0"/>
    <x v="2"/>
    <n v="96"/>
    <x v="83"/>
    <x v="62"/>
    <s v="(1) 42.34.2555"/>
    <s v="265, boulevard Charonne"/>
    <m/>
    <x v="2"/>
    <m/>
    <n v="75012"/>
    <x v="1"/>
    <x v="1"/>
    <s v="Bertrand"/>
    <s v="Marie"/>
    <x v="1"/>
  </r>
  <r>
    <n v="10126"/>
    <n v="43"/>
    <n v="96.31"/>
    <n v="3"/>
    <n v="4141.33"/>
    <d v="2003-05-28T00:00:00"/>
    <x v="0"/>
    <n v="2"/>
    <x v="1"/>
    <x v="1"/>
    <x v="0"/>
    <x v="2"/>
    <n v="96"/>
    <x v="83"/>
    <x v="25"/>
    <s v="(91) 555 22 82"/>
    <s v="C/ Araquil, 67"/>
    <m/>
    <x v="20"/>
    <m/>
    <n v="28023"/>
    <x v="7"/>
    <x v="1"/>
    <s v="Sommer"/>
    <s v="Mart¡n"/>
    <x v="1"/>
  </r>
  <r>
    <n v="10140"/>
    <n v="26"/>
    <n v="100"/>
    <n v="3"/>
    <n v="2829.58"/>
    <d v="2003-07-24T00:00:00"/>
    <x v="0"/>
    <n v="3"/>
    <x v="2"/>
    <x v="2"/>
    <x v="0"/>
    <x v="2"/>
    <n v="96"/>
    <x v="83"/>
    <x v="5"/>
    <n v="6505556809"/>
    <s v="9408 Furth Circle"/>
    <m/>
    <x v="5"/>
    <s v="CA"/>
    <n v="94217"/>
    <x v="0"/>
    <x v="0"/>
    <s v="Hirano"/>
    <s v="Juri"/>
    <x v="0"/>
  </r>
  <r>
    <n v="10151"/>
    <n v="27"/>
    <n v="100"/>
    <n v="10"/>
    <n v="3068.55"/>
    <d v="2003-09-21T00:00:00"/>
    <x v="0"/>
    <n v="3"/>
    <x v="10"/>
    <x v="10"/>
    <x v="0"/>
    <x v="2"/>
    <n v="96"/>
    <x v="83"/>
    <x v="60"/>
    <s v="981-443655"/>
    <s v="Torikatu 38"/>
    <m/>
    <x v="50"/>
    <m/>
    <n v="90110"/>
    <x v="4"/>
    <x v="1"/>
    <s v="Koskitalo"/>
    <s v="Pirkko"/>
    <x v="1"/>
  </r>
  <r>
    <n v="10164"/>
    <n v="24"/>
    <n v="100"/>
    <n v="1"/>
    <n v="2634.96"/>
    <d v="2003-10-21T00:00:00"/>
    <x v="5"/>
    <n v="4"/>
    <x v="4"/>
    <x v="4"/>
    <x v="0"/>
    <x v="2"/>
    <n v="96"/>
    <x v="83"/>
    <x v="63"/>
    <s v="7675-3555"/>
    <s v="Kirchgasse 6"/>
    <m/>
    <x v="52"/>
    <m/>
    <n v="8010"/>
    <x v="5"/>
    <x v="1"/>
    <s v="Mendel"/>
    <s v="Roland"/>
    <x v="0"/>
  </r>
  <r>
    <n v="10175"/>
    <n v="22"/>
    <n v="100"/>
    <n v="8"/>
    <n v="2436.7199999999998"/>
    <d v="2003-11-06T00:00:00"/>
    <x v="0"/>
    <n v="4"/>
    <x v="5"/>
    <x v="5"/>
    <x v="0"/>
    <x v="2"/>
    <n v="96"/>
    <x v="83"/>
    <x v="49"/>
    <s v="(171) 555-0297"/>
    <s v="35 King George"/>
    <m/>
    <x v="41"/>
    <m/>
    <s v="WX3 6FW"/>
    <x v="6"/>
    <x v="1"/>
    <s v="Brown"/>
    <s v="Ann"/>
    <x v="0"/>
  </r>
  <r>
    <n v="10184"/>
    <n v="46"/>
    <n v="100"/>
    <n v="13"/>
    <n v="4607.3599999999997"/>
    <d v="2003-11-14T00:00:00"/>
    <x v="0"/>
    <n v="4"/>
    <x v="5"/>
    <x v="5"/>
    <x v="0"/>
    <x v="2"/>
    <n v="96"/>
    <x v="83"/>
    <x v="81"/>
    <s v="(95) 555 82 82"/>
    <s v="C/ Romero, 33"/>
    <m/>
    <x v="64"/>
    <m/>
    <n v="41101"/>
    <x v="7"/>
    <x v="1"/>
    <s v="Roel"/>
    <s v="Jose Pedro"/>
    <x v="1"/>
  </r>
  <r>
    <n v="10194"/>
    <n v="37"/>
    <n v="97.27"/>
    <n v="3"/>
    <n v="3598.99"/>
    <d v="2003-11-25T00:00:00"/>
    <x v="0"/>
    <n v="4"/>
    <x v="5"/>
    <x v="5"/>
    <x v="0"/>
    <x v="2"/>
    <n v="96"/>
    <x v="83"/>
    <x v="30"/>
    <s v="78.32.5555"/>
    <s v="2, rue du Commerce"/>
    <m/>
    <x v="25"/>
    <m/>
    <n v="69004"/>
    <x v="1"/>
    <x v="1"/>
    <s v="Saveley"/>
    <s v="Mary"/>
    <x v="1"/>
  </r>
  <r>
    <n v="10207"/>
    <n v="49"/>
    <n v="80.900000000000006"/>
    <n v="14"/>
    <n v="3964.1"/>
    <d v="2003-12-09T00:00:00"/>
    <x v="0"/>
    <n v="4"/>
    <x v="6"/>
    <x v="6"/>
    <x v="0"/>
    <x v="2"/>
    <n v="96"/>
    <x v="83"/>
    <x v="64"/>
    <n v="6175552555"/>
    <s v="6251 Ingle Ln."/>
    <m/>
    <x v="48"/>
    <s v="MA"/>
    <n v="51003"/>
    <x v="0"/>
    <x v="0"/>
    <s v="Franco"/>
    <s v="Valarie"/>
    <x v="1"/>
  </r>
  <r>
    <n v="10217"/>
    <n v="21"/>
    <n v="100"/>
    <n v="3"/>
    <n v="2244.9"/>
    <d v="2004-02-04T00:00:00"/>
    <x v="0"/>
    <n v="1"/>
    <x v="0"/>
    <x v="0"/>
    <x v="1"/>
    <x v="2"/>
    <n v="96"/>
    <x v="83"/>
    <x v="65"/>
    <s v="+65 224 1555"/>
    <s v="Village Close - 106 Linden Road Sandown"/>
    <s v="2nd Floor"/>
    <x v="22"/>
    <m/>
    <n v="69045"/>
    <x v="9"/>
    <x v="2"/>
    <s v="Victorino"/>
    <s v="Wendy"/>
    <x v="0"/>
  </r>
  <r>
    <n v="10229"/>
    <n v="25"/>
    <n v="100"/>
    <n v="8"/>
    <n v="2793"/>
    <d v="2004-03-11T00:00:00"/>
    <x v="0"/>
    <n v="1"/>
    <x v="11"/>
    <x v="11"/>
    <x v="1"/>
    <x v="2"/>
    <n v="96"/>
    <x v="83"/>
    <x v="39"/>
    <n v="4155551450"/>
    <s v="5677 Strong St."/>
    <m/>
    <x v="33"/>
    <s v="CA"/>
    <n v="97562"/>
    <x v="0"/>
    <x v="0"/>
    <s v="Nelson"/>
    <s v="Valarie"/>
    <x v="0"/>
  </r>
  <r>
    <n v="10245"/>
    <n v="37"/>
    <n v="100"/>
    <n v="1"/>
    <n v="4133.6400000000003"/>
    <d v="2004-05-04T00:00:00"/>
    <x v="0"/>
    <n v="2"/>
    <x v="1"/>
    <x v="1"/>
    <x v="1"/>
    <x v="2"/>
    <n v="96"/>
    <x v="83"/>
    <x v="34"/>
    <n v="2035559545"/>
    <s v="567 North Pendale Street"/>
    <m/>
    <x v="28"/>
    <s v="CT"/>
    <n v="97823"/>
    <x v="0"/>
    <x v="0"/>
    <s v="Murphy"/>
    <s v="Leslie"/>
    <x v="1"/>
  </r>
  <r>
    <n v="10259"/>
    <n v="45"/>
    <n v="86.68"/>
    <n v="11"/>
    <n v="3900.6"/>
    <d v="2004-06-15T00:00:00"/>
    <x v="0"/>
    <n v="2"/>
    <x v="9"/>
    <x v="9"/>
    <x v="1"/>
    <x v="2"/>
    <n v="96"/>
    <x v="83"/>
    <x v="65"/>
    <s v="+65 224 1555"/>
    <s v="Village Close - 106 Linden Road Sandown"/>
    <s v="2nd Floor"/>
    <x v="22"/>
    <m/>
    <n v="69045"/>
    <x v="9"/>
    <x v="2"/>
    <s v="Victorino"/>
    <s v="Wendy"/>
    <x v="1"/>
  </r>
  <r>
    <n v="10270"/>
    <n v="32"/>
    <n v="85.72"/>
    <n v="1"/>
    <n v="2743.04"/>
    <d v="2004-07-19T00:00:00"/>
    <x v="0"/>
    <n v="3"/>
    <x v="2"/>
    <x v="2"/>
    <x v="1"/>
    <x v="2"/>
    <n v="96"/>
    <x v="83"/>
    <x v="20"/>
    <s v="+61 2 9495 8555"/>
    <s v="Monitor Money Building, 815 Pacific Hwy"/>
    <s v="Level 6"/>
    <x v="17"/>
    <s v="NSW"/>
    <n v="2067"/>
    <x v="3"/>
    <x v="2"/>
    <s v="Huxley"/>
    <s v="Adrian"/>
    <x v="0"/>
  </r>
  <r>
    <n v="10281"/>
    <n v="29"/>
    <n v="82.83"/>
    <n v="8"/>
    <n v="2402.0700000000002"/>
    <d v="2004-08-19T00:00:00"/>
    <x v="0"/>
    <n v="3"/>
    <x v="3"/>
    <x v="3"/>
    <x v="1"/>
    <x v="2"/>
    <n v="96"/>
    <x v="83"/>
    <x v="18"/>
    <n v="2155551555"/>
    <s v="7586 Pompton St."/>
    <m/>
    <x v="15"/>
    <s v="PA"/>
    <n v="70267"/>
    <x v="0"/>
    <x v="0"/>
    <s v="Yu"/>
    <s v="Kyung"/>
    <x v="0"/>
  </r>
  <r>
    <n v="10291"/>
    <n v="26"/>
    <n v="83.79"/>
    <n v="3"/>
    <n v="2178.54"/>
    <d v="2004-09-08T00:00:00"/>
    <x v="0"/>
    <n v="3"/>
    <x v="10"/>
    <x v="10"/>
    <x v="1"/>
    <x v="2"/>
    <n v="96"/>
    <x v="83"/>
    <x v="37"/>
    <s v="0695-34 6555"/>
    <s v="?kergatan 24"/>
    <m/>
    <x v="31"/>
    <m/>
    <s v="S-844 67"/>
    <x v="8"/>
    <x v="1"/>
    <s v="Larsson"/>
    <s v="Maria"/>
    <x v="0"/>
  </r>
  <r>
    <n v="10305"/>
    <n v="28"/>
    <n v="100"/>
    <n v="12"/>
    <n v="3155.04"/>
    <d v="2004-10-13T00:00:00"/>
    <x v="0"/>
    <n v="4"/>
    <x v="4"/>
    <x v="4"/>
    <x v="1"/>
    <x v="2"/>
    <n v="96"/>
    <x v="83"/>
    <x v="15"/>
    <n v="6175558555"/>
    <s v="39323 Spinnaker Dr."/>
    <m/>
    <x v="12"/>
    <s v="MA"/>
    <n v="51247"/>
    <x v="0"/>
    <x v="0"/>
    <s v="Hernandez"/>
    <s v="Marta"/>
    <x v="1"/>
  </r>
  <r>
    <n v="10313"/>
    <n v="27"/>
    <n v="87.64"/>
    <n v="6"/>
    <n v="2366.2800000000002"/>
    <d v="2004-10-22T00:00:00"/>
    <x v="0"/>
    <n v="4"/>
    <x v="4"/>
    <x v="4"/>
    <x v="1"/>
    <x v="2"/>
    <n v="96"/>
    <x v="83"/>
    <x v="31"/>
    <s v="(604) 555-3392"/>
    <s v="1900 Oak St."/>
    <m/>
    <x v="26"/>
    <s v="BC"/>
    <s v="V3F 2K1"/>
    <x v="10"/>
    <x v="0"/>
    <s v="Tannamuri"/>
    <s v="Yoshi"/>
    <x v="0"/>
  </r>
  <r>
    <n v="10324"/>
    <n v="20"/>
    <n v="98.18"/>
    <n v="11"/>
    <n v="1963.6"/>
    <d v="2004-11-05T00:00:00"/>
    <x v="0"/>
    <n v="4"/>
    <x v="5"/>
    <x v="5"/>
    <x v="1"/>
    <x v="2"/>
    <n v="96"/>
    <x v="83"/>
    <x v="11"/>
    <n v="2125551500"/>
    <s v="2678 Kingston Rd."/>
    <s v="Suite 101"/>
    <x v="0"/>
    <s v="NY"/>
    <n v="10022"/>
    <x v="0"/>
    <x v="0"/>
    <s v="Frick"/>
    <s v="Michael"/>
    <x v="0"/>
  </r>
  <r>
    <n v="10335"/>
    <n v="44"/>
    <n v="100"/>
    <n v="1"/>
    <n v="4746.28"/>
    <d v="2004-11-19T00:00:00"/>
    <x v="0"/>
    <n v="4"/>
    <x v="5"/>
    <x v="5"/>
    <x v="1"/>
    <x v="2"/>
    <n v="96"/>
    <x v="83"/>
    <x v="39"/>
    <n v="4155551450"/>
    <s v="5677 Strong St."/>
    <m/>
    <x v="33"/>
    <s v="CA"/>
    <n v="97562"/>
    <x v="0"/>
    <x v="0"/>
    <s v="Nelson"/>
    <s v="Valarie"/>
    <x v="1"/>
  </r>
  <r>
    <n v="10348"/>
    <n v="42"/>
    <n v="100"/>
    <n v="3"/>
    <n v="6386.94"/>
    <d v="2004-11-01T00:00:00"/>
    <x v="0"/>
    <n v="4"/>
    <x v="5"/>
    <x v="5"/>
    <x v="1"/>
    <x v="2"/>
    <n v="96"/>
    <x v="83"/>
    <x v="25"/>
    <s v="(91) 555 22 82"/>
    <s v="C/ Araquil, 67"/>
    <m/>
    <x v="20"/>
    <m/>
    <n v="28023"/>
    <x v="7"/>
    <x v="1"/>
    <s v="Sommer"/>
    <s v="Mart¡n"/>
    <x v="1"/>
  </r>
  <r>
    <n v="10358"/>
    <n v="41"/>
    <n v="100"/>
    <n v="1"/>
    <n v="4428"/>
    <d v="2004-12-10T00:00:00"/>
    <x v="0"/>
    <n v="4"/>
    <x v="6"/>
    <x v="6"/>
    <x v="1"/>
    <x v="2"/>
    <n v="96"/>
    <x v="83"/>
    <x v="23"/>
    <s v="(91) 555 94 44"/>
    <s v="C/ Moralzarzal, 86"/>
    <m/>
    <x v="20"/>
    <m/>
    <n v="28034"/>
    <x v="7"/>
    <x v="1"/>
    <s v="Freyre"/>
    <s v="Diego"/>
    <x v="1"/>
  </r>
  <r>
    <n v="10371"/>
    <n v="26"/>
    <n v="100"/>
    <n v="1"/>
    <n v="4044.04"/>
    <d v="2005-01-23T00:00:00"/>
    <x v="0"/>
    <n v="1"/>
    <x v="7"/>
    <x v="7"/>
    <x v="2"/>
    <x v="2"/>
    <n v="96"/>
    <x v="83"/>
    <x v="39"/>
    <n v="4155551450"/>
    <s v="5677 Strong St."/>
    <m/>
    <x v="33"/>
    <s v="CA"/>
    <n v="97562"/>
    <x v="0"/>
    <x v="0"/>
    <s v="Nelson"/>
    <s v="Valarie"/>
    <x v="1"/>
  </r>
  <r>
    <n v="10382"/>
    <n v="26"/>
    <n v="100"/>
    <n v="6"/>
    <n v="2708.42"/>
    <d v="2005-02-17T00:00:00"/>
    <x v="0"/>
    <n v="1"/>
    <x v="0"/>
    <x v="0"/>
    <x v="2"/>
    <x v="2"/>
    <n v="96"/>
    <x v="83"/>
    <x v="39"/>
    <n v="4155551450"/>
    <s v="5677 Strong St."/>
    <m/>
    <x v="33"/>
    <s v="CA"/>
    <n v="97562"/>
    <x v="0"/>
    <x v="0"/>
    <s v="Nelson"/>
    <s v="Valarie"/>
    <x v="0"/>
  </r>
  <r>
    <n v="10411"/>
    <n v="26"/>
    <n v="100"/>
    <n v="1"/>
    <n v="2904.72"/>
    <d v="2005-05-01T00:00:00"/>
    <x v="0"/>
    <n v="2"/>
    <x v="1"/>
    <x v="1"/>
    <x v="2"/>
    <x v="2"/>
    <n v="96"/>
    <x v="83"/>
    <x v="43"/>
    <s v="(514) 555-8054"/>
    <s v="43 rue St. Laurent"/>
    <m/>
    <x v="37"/>
    <s v="Quebec"/>
    <s v="H1J 1C3"/>
    <x v="10"/>
    <x v="0"/>
    <s v="Fresnisre"/>
    <s v="Jean"/>
    <x v="0"/>
  </r>
  <r>
    <n v="10425"/>
    <n v="41"/>
    <n v="86.68"/>
    <n v="11"/>
    <n v="3553.88"/>
    <d v="2005-05-31T00:00:00"/>
    <x v="2"/>
    <n v="2"/>
    <x v="1"/>
    <x v="1"/>
    <x v="2"/>
    <x v="2"/>
    <n v="96"/>
    <x v="83"/>
    <x v="14"/>
    <s v="40.67.8555"/>
    <s v="67, rue des Cinquante Otages"/>
    <m/>
    <x v="11"/>
    <m/>
    <n v="44000"/>
    <x v="1"/>
    <x v="1"/>
    <s v="Labrune"/>
    <s v="Janine"/>
    <x v="1"/>
  </r>
  <r>
    <n v="10107"/>
    <n v="20"/>
    <n v="92.9"/>
    <n v="8"/>
    <n v="1858"/>
    <d v="2003-02-24T00:00:00"/>
    <x v="0"/>
    <n v="1"/>
    <x v="0"/>
    <x v="0"/>
    <x v="0"/>
    <x v="0"/>
    <n v="99"/>
    <x v="84"/>
    <x v="0"/>
    <n v="2125557818"/>
    <s v="897 Long Airport Avenue"/>
    <m/>
    <x v="0"/>
    <s v="NY"/>
    <n v="10022"/>
    <x v="0"/>
    <x v="0"/>
    <s v="Yu"/>
    <s v="Kwai"/>
    <x v="0"/>
  </r>
  <r>
    <n v="10120"/>
    <n v="22"/>
    <n v="100"/>
    <n v="6"/>
    <n v="2461.36"/>
    <d v="2003-04-29T00:00:00"/>
    <x v="0"/>
    <n v="2"/>
    <x v="8"/>
    <x v="8"/>
    <x v="0"/>
    <x v="0"/>
    <n v="99"/>
    <x v="84"/>
    <x v="10"/>
    <s v="03 9520 4555"/>
    <s v="636 St Kilda Road"/>
    <s v="Level 3"/>
    <x v="8"/>
    <s v="Victoria"/>
    <n v="3004"/>
    <x v="3"/>
    <x v="2"/>
    <s v="Ferguson"/>
    <s v="Peter"/>
    <x v="0"/>
  </r>
  <r>
    <n v="10133"/>
    <n v="23"/>
    <n v="100"/>
    <n v="1"/>
    <n v="2642.01"/>
    <d v="2003-06-27T00:00:00"/>
    <x v="0"/>
    <n v="2"/>
    <x v="9"/>
    <x v="9"/>
    <x v="0"/>
    <x v="0"/>
    <n v="99"/>
    <x v="84"/>
    <x v="23"/>
    <s v="(91) 555 94 44"/>
    <s v="C/ Moralzarzal, 86"/>
    <m/>
    <x v="20"/>
    <m/>
    <n v="28034"/>
    <x v="7"/>
    <x v="1"/>
    <s v="Freyre"/>
    <s v="Diego"/>
    <x v="0"/>
  </r>
  <r>
    <n v="10145"/>
    <n v="33"/>
    <n v="93.9"/>
    <n v="12"/>
    <n v="3098.7"/>
    <d v="2003-08-25T00:00:00"/>
    <x v="0"/>
    <n v="3"/>
    <x v="3"/>
    <x v="3"/>
    <x v="0"/>
    <x v="0"/>
    <n v="99"/>
    <x v="84"/>
    <x v="3"/>
    <n v="6265557265"/>
    <s v="78934 Hillside Dr."/>
    <m/>
    <x v="3"/>
    <s v="CA"/>
    <n v="90003"/>
    <x v="0"/>
    <x v="0"/>
    <s v="Young"/>
    <s v="Julie"/>
    <x v="1"/>
  </r>
  <r>
    <n v="10168"/>
    <n v="28"/>
    <n v="100"/>
    <n v="7"/>
    <n v="3244.36"/>
    <d v="2003-10-28T00:00:00"/>
    <x v="0"/>
    <n v="4"/>
    <x v="4"/>
    <x v="4"/>
    <x v="0"/>
    <x v="0"/>
    <n v="99"/>
    <x v="84"/>
    <x v="5"/>
    <n v="6505556809"/>
    <s v="9408 Furth Circle"/>
    <m/>
    <x v="5"/>
    <s v="CA"/>
    <n v="94217"/>
    <x v="0"/>
    <x v="0"/>
    <s v="Hirano"/>
    <s v="Juri"/>
    <x v="1"/>
  </r>
  <r>
    <n v="10188"/>
    <n v="44"/>
    <n v="98.89"/>
    <n v="7"/>
    <n v="4351.16"/>
    <d v="2003-11-18T00:00:00"/>
    <x v="0"/>
    <n v="4"/>
    <x v="5"/>
    <x v="5"/>
    <x v="0"/>
    <x v="0"/>
    <n v="99"/>
    <x v="84"/>
    <x v="7"/>
    <s v="+47 2267 3215"/>
    <s v="Drammen 121, PR 744 Sentrum"/>
    <m/>
    <x v="7"/>
    <m/>
    <s v="N 5804"/>
    <x v="2"/>
    <x v="1"/>
    <s v="Oeztan"/>
    <s v="Veysel"/>
    <x v="1"/>
  </r>
  <r>
    <n v="10210"/>
    <n v="46"/>
    <n v="79.91"/>
    <n v="5"/>
    <n v="3675.86"/>
    <d v="2004-01-12T00:00:00"/>
    <x v="0"/>
    <n v="1"/>
    <x v="7"/>
    <x v="7"/>
    <x v="1"/>
    <x v="0"/>
    <n v="99"/>
    <x v="84"/>
    <x v="44"/>
    <s v="+81 06 6342 5555"/>
    <s v="Dojima Avanza 4F, 1-6-20 Dojima, Kita-ku"/>
    <m/>
    <x v="38"/>
    <s v="Osaka"/>
    <s v="530-0003"/>
    <x v="11"/>
    <x v="3"/>
    <s v="Kentary"/>
    <s v="Mory"/>
    <x v="1"/>
  </r>
  <r>
    <n v="10223"/>
    <n v="21"/>
    <n v="100"/>
    <n v="7"/>
    <n v="2475.27"/>
    <d v="2004-02-20T00:00:00"/>
    <x v="0"/>
    <n v="1"/>
    <x v="0"/>
    <x v="0"/>
    <x v="1"/>
    <x v="0"/>
    <n v="99"/>
    <x v="84"/>
    <x v="10"/>
    <s v="03 9520 4555"/>
    <s v="636 St Kilda Road"/>
    <s v="Level 3"/>
    <x v="8"/>
    <s v="Victoria"/>
    <n v="3004"/>
    <x v="3"/>
    <x v="2"/>
    <s v="Ferguson"/>
    <s v="Peter"/>
    <x v="0"/>
  </r>
  <r>
    <n v="10235"/>
    <n v="41"/>
    <n v="100"/>
    <n v="1"/>
    <n v="4177.49"/>
    <d v="2004-04-02T00:00:00"/>
    <x v="0"/>
    <n v="2"/>
    <x v="8"/>
    <x v="8"/>
    <x v="1"/>
    <x v="0"/>
    <n v="99"/>
    <x v="84"/>
    <x v="57"/>
    <s v="(604) 555-4555"/>
    <s v="23 Tsawassen Blvd."/>
    <m/>
    <x v="47"/>
    <s v="BC"/>
    <s v="T2F 8M4"/>
    <x v="10"/>
    <x v="0"/>
    <s v="Lincoln"/>
    <s v="Elizabeth"/>
    <x v="1"/>
  </r>
  <r>
    <n v="10250"/>
    <n v="31"/>
    <n v="100"/>
    <n v="2"/>
    <n v="3282.28"/>
    <d v="2004-05-11T00:00:00"/>
    <x v="0"/>
    <n v="2"/>
    <x v="1"/>
    <x v="1"/>
    <x v="1"/>
    <x v="0"/>
    <n v="99"/>
    <x v="84"/>
    <x v="61"/>
    <n v="4085553659"/>
    <s v="3086 Ingle Ln."/>
    <m/>
    <x v="51"/>
    <s v="CA"/>
    <n v="94217"/>
    <x v="0"/>
    <x v="0"/>
    <s v="Frick"/>
    <s v="Sue"/>
    <x v="1"/>
  </r>
  <r>
    <n v="10263"/>
    <n v="31"/>
    <n v="79.91"/>
    <n v="8"/>
    <n v="2477.21"/>
    <d v="2004-06-28T00:00:00"/>
    <x v="0"/>
    <n v="2"/>
    <x v="9"/>
    <x v="9"/>
    <x v="1"/>
    <x v="0"/>
    <n v="99"/>
    <x v="84"/>
    <x v="13"/>
    <n v="2035552570"/>
    <s v="25593 South Bay Ln."/>
    <m/>
    <x v="10"/>
    <s v="CT"/>
    <n v="97562"/>
    <x v="0"/>
    <x v="0"/>
    <s v="King"/>
    <s v="Julie"/>
    <x v="0"/>
  </r>
  <r>
    <n v="10275"/>
    <n v="23"/>
    <n v="81.91"/>
    <n v="7"/>
    <n v="1883.93"/>
    <d v="2004-07-23T00:00:00"/>
    <x v="0"/>
    <n v="3"/>
    <x v="2"/>
    <x v="2"/>
    <x v="1"/>
    <x v="0"/>
    <n v="99"/>
    <x v="84"/>
    <x v="14"/>
    <s v="40.67.8555"/>
    <s v="67, rue des Cinquante Otages"/>
    <m/>
    <x v="11"/>
    <m/>
    <n v="44000"/>
    <x v="1"/>
    <x v="1"/>
    <s v="Labrune"/>
    <s v="Janine"/>
    <x v="0"/>
  </r>
  <r>
    <n v="10285"/>
    <n v="37"/>
    <n v="98.89"/>
    <n v="12"/>
    <n v="3658.93"/>
    <d v="2004-08-27T00:00:00"/>
    <x v="0"/>
    <n v="3"/>
    <x v="3"/>
    <x v="3"/>
    <x v="1"/>
    <x v="0"/>
    <n v="99"/>
    <x v="84"/>
    <x v="15"/>
    <n v="6175558555"/>
    <s v="39323 Spinnaker Dr."/>
    <m/>
    <x v="12"/>
    <s v="MA"/>
    <n v="51247"/>
    <x v="0"/>
    <x v="0"/>
    <s v="Hernandez"/>
    <s v="Marta"/>
    <x v="1"/>
  </r>
  <r>
    <n v="10297"/>
    <n v="26"/>
    <n v="100"/>
    <n v="2"/>
    <n v="2856.88"/>
    <d v="2004-09-16T00:00:00"/>
    <x v="0"/>
    <n v="3"/>
    <x v="10"/>
    <x v="10"/>
    <x v="1"/>
    <x v="0"/>
    <n v="99"/>
    <x v="84"/>
    <x v="75"/>
    <s v="+353 1862 1555"/>
    <s v="25 Maiden Lane"/>
    <s v="Floor No. 4"/>
    <x v="60"/>
    <m/>
    <n v="2"/>
    <x v="18"/>
    <x v="1"/>
    <s v="Cassidy"/>
    <s v="Dean"/>
    <x v="0"/>
  </r>
  <r>
    <n v="10308"/>
    <n v="24"/>
    <n v="79.91"/>
    <n v="5"/>
    <n v="1917.84"/>
    <d v="2004-10-15T00:00:00"/>
    <x v="0"/>
    <n v="4"/>
    <x v="4"/>
    <x v="4"/>
    <x v="1"/>
    <x v="0"/>
    <n v="99"/>
    <x v="84"/>
    <x v="47"/>
    <n v="9145554562"/>
    <s v="3758 North Pendale Street"/>
    <m/>
    <x v="39"/>
    <s v="NY"/>
    <n v="24067"/>
    <x v="0"/>
    <x v="0"/>
    <s v="Frick"/>
    <s v="Steve"/>
    <x v="0"/>
  </r>
  <r>
    <n v="10318"/>
    <n v="47"/>
    <n v="100"/>
    <n v="7"/>
    <n v="5305.36"/>
    <d v="2004-11-02T00:00:00"/>
    <x v="0"/>
    <n v="4"/>
    <x v="5"/>
    <x v="5"/>
    <x v="1"/>
    <x v="0"/>
    <n v="99"/>
    <x v="84"/>
    <x v="18"/>
    <n v="2155551555"/>
    <s v="7586 Pompton St."/>
    <m/>
    <x v="15"/>
    <s v="PA"/>
    <n v="70267"/>
    <x v="0"/>
    <x v="0"/>
    <s v="Yu"/>
    <s v="Kyung"/>
    <x v="1"/>
  </r>
  <r>
    <n v="10329"/>
    <n v="45"/>
    <n v="63.91"/>
    <n v="11"/>
    <n v="2875.95"/>
    <d v="2004-11-15T00:00:00"/>
    <x v="0"/>
    <n v="4"/>
    <x v="5"/>
    <x v="5"/>
    <x v="1"/>
    <x v="0"/>
    <n v="99"/>
    <x v="84"/>
    <x v="0"/>
    <n v="2125557818"/>
    <s v="897 Long Airport Avenue"/>
    <m/>
    <x v="0"/>
    <s v="NY"/>
    <n v="10022"/>
    <x v="0"/>
    <x v="0"/>
    <s v="Yu"/>
    <s v="Kwai"/>
    <x v="0"/>
  </r>
  <r>
    <n v="10340"/>
    <n v="55"/>
    <n v="100"/>
    <n v="2"/>
    <n v="6482.85"/>
    <d v="2004-11-24T00:00:00"/>
    <x v="0"/>
    <n v="4"/>
    <x v="5"/>
    <x v="5"/>
    <x v="1"/>
    <x v="0"/>
    <n v="99"/>
    <x v="84"/>
    <x v="53"/>
    <s v="(93) 203 4555"/>
    <s v="Rambla de Catalu¤a, 23"/>
    <m/>
    <x v="43"/>
    <m/>
    <n v="8022"/>
    <x v="7"/>
    <x v="1"/>
    <s v="Saavedra"/>
    <s v="Eduardo"/>
    <x v="1"/>
  </r>
  <r>
    <n v="10353"/>
    <n v="46"/>
    <n v="81.17"/>
    <n v="5"/>
    <n v="3733.82"/>
    <d v="2004-12-04T00:00:00"/>
    <x v="0"/>
    <n v="4"/>
    <x v="6"/>
    <x v="6"/>
    <x v="1"/>
    <x v="0"/>
    <n v="99"/>
    <x v="84"/>
    <x v="88"/>
    <n v="2035554407"/>
    <s v="2440 Pompton St."/>
    <m/>
    <x v="63"/>
    <s v="CT"/>
    <n v="97561"/>
    <x v="0"/>
    <x v="0"/>
    <s v="Lewis"/>
    <s v="Dan"/>
    <x v="1"/>
  </r>
  <r>
    <n v="10363"/>
    <n v="50"/>
    <n v="100"/>
    <n v="2"/>
    <n v="6576.5"/>
    <d v="2005-01-06T00:00:00"/>
    <x v="0"/>
    <n v="1"/>
    <x v="7"/>
    <x v="7"/>
    <x v="2"/>
    <x v="0"/>
    <n v="99"/>
    <x v="84"/>
    <x v="73"/>
    <s v="+358 9 8045 555"/>
    <s v="Software Engineering Center, SEC Oy"/>
    <m/>
    <x v="59"/>
    <m/>
    <s v="FIN-02271"/>
    <x v="4"/>
    <x v="1"/>
    <s v="Suominen"/>
    <s v="Kalle"/>
    <x v="1"/>
  </r>
  <r>
    <n v="10375"/>
    <n v="37"/>
    <n v="100"/>
    <n v="3"/>
    <n v="6353.27"/>
    <d v="2005-02-03T00:00:00"/>
    <x v="0"/>
    <n v="1"/>
    <x v="0"/>
    <x v="0"/>
    <x v="2"/>
    <x v="0"/>
    <n v="99"/>
    <x v="84"/>
    <x v="14"/>
    <s v="40.67.8555"/>
    <s v="67, rue des Cinquante Otages"/>
    <m/>
    <x v="11"/>
    <m/>
    <n v="44000"/>
    <x v="1"/>
    <x v="1"/>
    <s v="Labrune"/>
    <s v="Janine"/>
    <x v="1"/>
  </r>
  <r>
    <n v="10387"/>
    <n v="44"/>
    <n v="94.9"/>
    <n v="1"/>
    <n v="4175.6000000000004"/>
    <d v="2005-03-02T00:00:00"/>
    <x v="0"/>
    <n v="1"/>
    <x v="11"/>
    <x v="11"/>
    <x v="2"/>
    <x v="0"/>
    <n v="99"/>
    <x v="84"/>
    <x v="26"/>
    <s v="+65 221 7555"/>
    <s v="Bronz Sok., Bronz Apt. 3/6 Tesvikiye"/>
    <m/>
    <x v="22"/>
    <m/>
    <n v="79903"/>
    <x v="9"/>
    <x v="3"/>
    <s v="Natividad"/>
    <s v="Eric"/>
    <x v="1"/>
  </r>
  <r>
    <n v="10401"/>
    <n v="49"/>
    <n v="100"/>
    <n v="1"/>
    <n v="4992.6099999999997"/>
    <d v="2005-04-03T00:00:00"/>
    <x v="4"/>
    <n v="2"/>
    <x v="8"/>
    <x v="8"/>
    <x v="2"/>
    <x v="0"/>
    <n v="99"/>
    <x v="84"/>
    <x v="12"/>
    <n v="2015559350"/>
    <s v="7476 Moss Rd."/>
    <m/>
    <x v="9"/>
    <s v="NJ"/>
    <n v="94019"/>
    <x v="0"/>
    <x v="0"/>
    <s v="Brown"/>
    <s v="William"/>
    <x v="1"/>
  </r>
  <r>
    <n v="10416"/>
    <n v="45"/>
    <n v="100"/>
    <n v="2"/>
    <n v="4764.6000000000004"/>
    <d v="2005-05-10T00:00:00"/>
    <x v="0"/>
    <n v="2"/>
    <x v="1"/>
    <x v="1"/>
    <x v="2"/>
    <x v="0"/>
    <n v="99"/>
    <x v="84"/>
    <x v="70"/>
    <s v="0522-556555"/>
    <s v="Strada Provinciale 124"/>
    <m/>
    <x v="57"/>
    <m/>
    <n v="42100"/>
    <x v="12"/>
    <x v="1"/>
    <s v="Moroni"/>
    <s v="Maurizio"/>
    <x v="1"/>
  </r>
  <r>
    <n v="10108"/>
    <n v="27"/>
    <n v="43.45"/>
    <n v="13"/>
    <n v="1173.1500000000001"/>
    <d v="2003-03-03T00:00:00"/>
    <x v="0"/>
    <n v="1"/>
    <x v="11"/>
    <x v="11"/>
    <x v="0"/>
    <x v="0"/>
    <n v="40"/>
    <x v="85"/>
    <x v="66"/>
    <s v="+63 2 555 3587"/>
    <s v="15 McCallum Street - NatWest Center #13-03"/>
    <m/>
    <x v="53"/>
    <m/>
    <s v="1227 MM"/>
    <x v="15"/>
    <x v="3"/>
    <s v="Cruz"/>
    <s v="Arnold"/>
    <x v="0"/>
  </r>
  <r>
    <n v="10122"/>
    <n v="31"/>
    <n v="44.66"/>
    <n v="17"/>
    <n v="1384.46"/>
    <d v="2003-05-08T00:00:00"/>
    <x v="0"/>
    <n v="2"/>
    <x v="1"/>
    <x v="1"/>
    <x v="0"/>
    <x v="0"/>
    <n v="40"/>
    <x v="85"/>
    <x v="67"/>
    <s v="91.24.4555"/>
    <s v="12, rue des Bouchers"/>
    <m/>
    <x v="54"/>
    <m/>
    <n v="13008"/>
    <x v="1"/>
    <x v="1"/>
    <s v="Lebihan"/>
    <s v="Laurence"/>
    <x v="0"/>
  </r>
  <r>
    <n v="10135"/>
    <n v="33"/>
    <n v="40.229999999999997"/>
    <n v="14"/>
    <n v="1327.59"/>
    <d v="2003-07-02T00:00:00"/>
    <x v="0"/>
    <n v="3"/>
    <x v="2"/>
    <x v="2"/>
    <x v="0"/>
    <x v="0"/>
    <n v="40"/>
    <x v="85"/>
    <x v="39"/>
    <n v="4155551450"/>
    <s v="5677 Strong St."/>
    <m/>
    <x v="33"/>
    <s v="CA"/>
    <n v="97562"/>
    <x v="0"/>
    <x v="0"/>
    <s v="Nelson"/>
    <s v="Valarie"/>
    <x v="0"/>
  </r>
  <r>
    <n v="10145"/>
    <n v="31"/>
    <n v="35.799999999999997"/>
    <n v="1"/>
    <n v="1109.8"/>
    <d v="2003-08-25T00:00:00"/>
    <x v="0"/>
    <n v="3"/>
    <x v="3"/>
    <x v="3"/>
    <x v="0"/>
    <x v="0"/>
    <n v="40"/>
    <x v="85"/>
    <x v="3"/>
    <n v="6265557265"/>
    <s v="78934 Hillside Dr."/>
    <m/>
    <x v="3"/>
    <s v="CA"/>
    <n v="90003"/>
    <x v="0"/>
    <x v="0"/>
    <s v="Young"/>
    <s v="Julie"/>
    <x v="0"/>
  </r>
  <r>
    <n v="10159"/>
    <n v="35"/>
    <n v="35.4"/>
    <n v="9"/>
    <n v="1239"/>
    <d v="2003-10-10T00:00:00"/>
    <x v="0"/>
    <n v="4"/>
    <x v="4"/>
    <x v="4"/>
    <x v="0"/>
    <x v="0"/>
    <n v="40"/>
    <x v="85"/>
    <x v="4"/>
    <n v="6505551386"/>
    <s v="7734 Strong St."/>
    <m/>
    <x v="4"/>
    <s v="CA"/>
    <m/>
    <x v="0"/>
    <x v="0"/>
    <s v="Brown"/>
    <s v="Julie"/>
    <x v="0"/>
  </r>
  <r>
    <n v="10169"/>
    <n v="26"/>
    <n v="39.83"/>
    <n v="9"/>
    <n v="1035.58"/>
    <d v="2003-11-04T00:00:00"/>
    <x v="0"/>
    <n v="4"/>
    <x v="5"/>
    <x v="5"/>
    <x v="0"/>
    <x v="0"/>
    <n v="40"/>
    <x v="85"/>
    <x v="42"/>
    <s v="02 9936 8555"/>
    <s v="201 Miller Street"/>
    <s v="Level 15"/>
    <x v="36"/>
    <s v="NSW"/>
    <n v="2060"/>
    <x v="3"/>
    <x v="2"/>
    <s v="O'Hara"/>
    <s v="Anna"/>
    <x v="0"/>
  </r>
  <r>
    <n v="10180"/>
    <n v="34"/>
    <n v="45.46"/>
    <n v="4"/>
    <n v="1545.64"/>
    <d v="2003-11-11T00:00:00"/>
    <x v="0"/>
    <n v="4"/>
    <x v="5"/>
    <x v="5"/>
    <x v="0"/>
    <x v="0"/>
    <n v="40"/>
    <x v="85"/>
    <x v="6"/>
    <s v="20.16.1555"/>
    <s v="184, chausse de Tournai"/>
    <m/>
    <x v="6"/>
    <m/>
    <n v="59000"/>
    <x v="1"/>
    <x v="1"/>
    <s v="Rance"/>
    <s v="Martine"/>
    <x v="0"/>
  </r>
  <r>
    <n v="10190"/>
    <n v="46"/>
    <n v="32.99"/>
    <n v="1"/>
    <n v="1517.54"/>
    <d v="2003-11-19T00:00:00"/>
    <x v="0"/>
    <n v="4"/>
    <x v="5"/>
    <x v="5"/>
    <x v="0"/>
    <x v="0"/>
    <n v="40"/>
    <x v="85"/>
    <x v="23"/>
    <s v="(91) 555 94 44"/>
    <s v="C/ Moralzarzal, 86"/>
    <m/>
    <x v="20"/>
    <m/>
    <n v="28034"/>
    <x v="7"/>
    <x v="1"/>
    <s v="Freyre"/>
    <s v="Diego"/>
    <x v="0"/>
  </r>
  <r>
    <n v="10211"/>
    <n v="41"/>
    <n v="42.24"/>
    <n v="9"/>
    <n v="1731.84"/>
    <d v="2004-01-15T00:00:00"/>
    <x v="0"/>
    <n v="1"/>
    <x v="7"/>
    <x v="7"/>
    <x v="1"/>
    <x v="0"/>
    <n v="40"/>
    <x v="85"/>
    <x v="9"/>
    <s v="(1) 47.55.6555"/>
    <s v="25, rue Lauriston"/>
    <m/>
    <x v="2"/>
    <m/>
    <n v="75016"/>
    <x v="1"/>
    <x v="1"/>
    <s v="Perrier"/>
    <s v="Dominique"/>
    <x v="0"/>
  </r>
  <r>
    <n v="10224"/>
    <n v="43"/>
    <n v="39.43"/>
    <n v="2"/>
    <n v="1695.49"/>
    <d v="2004-02-21T00:00:00"/>
    <x v="0"/>
    <n v="1"/>
    <x v="0"/>
    <x v="0"/>
    <x v="1"/>
    <x v="0"/>
    <n v="40"/>
    <x v="85"/>
    <x v="6"/>
    <s v="20.16.1555"/>
    <s v="184, chausse de Tournai"/>
    <m/>
    <x v="6"/>
    <m/>
    <n v="59000"/>
    <x v="1"/>
    <x v="1"/>
    <s v="Rance"/>
    <s v="Martine"/>
    <x v="0"/>
  </r>
  <r>
    <n v="10237"/>
    <n v="26"/>
    <n v="40.229999999999997"/>
    <n v="2"/>
    <n v="1045.98"/>
    <d v="2004-04-05T00:00:00"/>
    <x v="0"/>
    <n v="2"/>
    <x v="8"/>
    <x v="8"/>
    <x v="1"/>
    <x v="0"/>
    <n v="40"/>
    <x v="85"/>
    <x v="11"/>
    <n v="2125551500"/>
    <s v="2678 Kingston Rd."/>
    <s v="Suite 101"/>
    <x v="0"/>
    <s v="NY"/>
    <n v="10022"/>
    <x v="0"/>
    <x v="0"/>
    <s v="Frick"/>
    <s v="Michael"/>
    <x v="0"/>
  </r>
  <r>
    <n v="10252"/>
    <n v="36"/>
    <n v="48.28"/>
    <n v="6"/>
    <n v="1738.08"/>
    <d v="2004-05-26T00:00:00"/>
    <x v="0"/>
    <n v="2"/>
    <x v="1"/>
    <x v="1"/>
    <x v="1"/>
    <x v="0"/>
    <n v="40"/>
    <x v="85"/>
    <x v="9"/>
    <s v="(1) 47.55.6555"/>
    <s v="25, rue Lauriston"/>
    <m/>
    <x v="2"/>
    <m/>
    <n v="75016"/>
    <x v="1"/>
    <x v="1"/>
    <s v="Perrier"/>
    <s v="Dominique"/>
    <x v="0"/>
  </r>
  <r>
    <n v="10264"/>
    <n v="20"/>
    <n v="32.590000000000003"/>
    <n v="4"/>
    <n v="651.79999999999995"/>
    <d v="2004-06-30T00:00:00"/>
    <x v="0"/>
    <n v="2"/>
    <x v="9"/>
    <x v="9"/>
    <x v="1"/>
    <x v="0"/>
    <n v="40"/>
    <x v="85"/>
    <x v="58"/>
    <n v="6175559555"/>
    <s v="8616 Spinnaker Dr."/>
    <m/>
    <x v="48"/>
    <s v="MA"/>
    <n v="51003"/>
    <x v="0"/>
    <x v="0"/>
    <s v="Yoshido"/>
    <s v="Juri"/>
    <x v="0"/>
  </r>
  <r>
    <n v="10276"/>
    <n v="27"/>
    <n v="36.61"/>
    <n v="10"/>
    <n v="988.47"/>
    <d v="2004-08-02T00:00:00"/>
    <x v="0"/>
    <n v="3"/>
    <x v="3"/>
    <x v="3"/>
    <x v="1"/>
    <x v="0"/>
    <n v="40"/>
    <x v="85"/>
    <x v="71"/>
    <n v="6175557555"/>
    <s v="7635 Spinnaker Dr."/>
    <m/>
    <x v="35"/>
    <s v="MA"/>
    <n v="58339"/>
    <x v="0"/>
    <x v="0"/>
    <s v="Barajas"/>
    <s v="Miguel"/>
    <x v="0"/>
  </r>
  <r>
    <n v="10285"/>
    <n v="37"/>
    <n v="41.03"/>
    <n v="1"/>
    <n v="1518.11"/>
    <d v="2004-08-27T00:00:00"/>
    <x v="0"/>
    <n v="3"/>
    <x v="3"/>
    <x v="3"/>
    <x v="1"/>
    <x v="0"/>
    <n v="40"/>
    <x v="85"/>
    <x v="15"/>
    <n v="6175558555"/>
    <s v="39323 Spinnaker Dr."/>
    <m/>
    <x v="12"/>
    <s v="MA"/>
    <n v="51247"/>
    <x v="0"/>
    <x v="0"/>
    <s v="Hernandez"/>
    <s v="Marta"/>
    <x v="0"/>
  </r>
  <r>
    <n v="10299"/>
    <n v="24"/>
    <n v="42.24"/>
    <n v="4"/>
    <n v="1013.76"/>
    <d v="2004-09-30T00:00:00"/>
    <x v="0"/>
    <n v="3"/>
    <x v="10"/>
    <x v="10"/>
    <x v="1"/>
    <x v="0"/>
    <n v="40"/>
    <x v="85"/>
    <x v="16"/>
    <s v="90-224 8555"/>
    <s v="Keskuskatu 45"/>
    <m/>
    <x v="13"/>
    <m/>
    <n v="21240"/>
    <x v="4"/>
    <x v="1"/>
    <s v="Karttunen"/>
    <s v="Matti"/>
    <x v="0"/>
  </r>
  <r>
    <n v="10310"/>
    <n v="36"/>
    <n v="43.05"/>
    <n v="17"/>
    <n v="1549.8"/>
    <d v="2004-10-16T00:00:00"/>
    <x v="0"/>
    <n v="4"/>
    <x v="4"/>
    <x v="4"/>
    <x v="1"/>
    <x v="0"/>
    <n v="40"/>
    <x v="85"/>
    <x v="68"/>
    <s v="0221-5554327"/>
    <s v="Mehrheimerstr. 369"/>
    <m/>
    <x v="55"/>
    <m/>
    <n v="50739"/>
    <x v="16"/>
    <x v="1"/>
    <s v="Pfalzheim"/>
    <s v="Henriette"/>
    <x v="0"/>
  </r>
  <r>
    <n v="10319"/>
    <n v="29"/>
    <n v="38.22"/>
    <n v="5"/>
    <n v="1108.3800000000001"/>
    <d v="2004-11-03T00:00:00"/>
    <x v="0"/>
    <n v="4"/>
    <x v="5"/>
    <x v="5"/>
    <x v="1"/>
    <x v="0"/>
    <n v="40"/>
    <x v="85"/>
    <x v="79"/>
    <n v="2125551957"/>
    <s v="5290 North Pendale Street"/>
    <s v="Suite 200"/>
    <x v="0"/>
    <s v="NY"/>
    <n v="10022"/>
    <x v="0"/>
    <x v="0"/>
    <s v="Kuo"/>
    <s v="Kee"/>
    <x v="0"/>
  </r>
  <r>
    <n v="10331"/>
    <n v="28"/>
    <n v="100"/>
    <n v="3"/>
    <n v="4102.5600000000004"/>
    <d v="2004-11-17T00:00:00"/>
    <x v="0"/>
    <n v="4"/>
    <x v="5"/>
    <x v="5"/>
    <x v="1"/>
    <x v="0"/>
    <n v="40"/>
    <x v="85"/>
    <x v="45"/>
    <n v="2155559857"/>
    <s v="11328 Douglas Av."/>
    <m/>
    <x v="24"/>
    <s v="PA"/>
    <n v="71270"/>
    <x v="0"/>
    <x v="0"/>
    <s v="Hernandez"/>
    <s v="Rosa"/>
    <x v="1"/>
  </r>
  <r>
    <n v="10343"/>
    <n v="29"/>
    <n v="100"/>
    <n v="5"/>
    <n v="3713.16"/>
    <d v="2004-11-24T00:00:00"/>
    <x v="0"/>
    <n v="4"/>
    <x v="5"/>
    <x v="5"/>
    <x v="1"/>
    <x v="0"/>
    <n v="40"/>
    <x v="85"/>
    <x v="1"/>
    <s v="26.47.1555"/>
    <s v="59 rue de l'Abbaye"/>
    <m/>
    <x v="1"/>
    <m/>
    <n v="51100"/>
    <x v="1"/>
    <x v="1"/>
    <s v="Henriot"/>
    <s v="Paul"/>
    <x v="1"/>
  </r>
  <r>
    <n v="10355"/>
    <n v="38"/>
    <n v="39.83"/>
    <n v="10"/>
    <n v="1513.54"/>
    <d v="2004-12-07T00:00:00"/>
    <x v="0"/>
    <n v="4"/>
    <x v="6"/>
    <x v="6"/>
    <x v="1"/>
    <x v="0"/>
    <n v="40"/>
    <x v="85"/>
    <x v="23"/>
    <s v="(91) 555 94 44"/>
    <s v="C/ Moralzarzal, 86"/>
    <m/>
    <x v="20"/>
    <m/>
    <n v="28034"/>
    <x v="7"/>
    <x v="1"/>
    <s v="Freyre"/>
    <s v="Diego"/>
    <x v="0"/>
  </r>
  <r>
    <n v="10364"/>
    <n v="48"/>
    <n v="48.28"/>
    <n v="1"/>
    <n v="2317.44"/>
    <d v="2005-01-06T00:00:00"/>
    <x v="0"/>
    <n v="1"/>
    <x v="7"/>
    <x v="7"/>
    <x v="2"/>
    <x v="0"/>
    <n v="40"/>
    <x v="85"/>
    <x v="67"/>
    <s v="91.24.4555"/>
    <s v="12, rue des Bouchers"/>
    <m/>
    <x v="54"/>
    <m/>
    <n v="13008"/>
    <x v="1"/>
    <x v="1"/>
    <s v="Lebihan"/>
    <s v="Laurence"/>
    <x v="0"/>
  </r>
  <r>
    <n v="10378"/>
    <n v="40"/>
    <n v="82.46"/>
    <n v="1"/>
    <n v="3298.4"/>
    <d v="2005-02-10T00:00:00"/>
    <x v="0"/>
    <n v="1"/>
    <x v="0"/>
    <x v="0"/>
    <x v="2"/>
    <x v="0"/>
    <n v="40"/>
    <x v="85"/>
    <x v="23"/>
    <s v="(91) 555 94 44"/>
    <s v="C/ Moralzarzal, 86"/>
    <m/>
    <x v="20"/>
    <m/>
    <n v="28034"/>
    <x v="7"/>
    <x v="1"/>
    <s v="Freyre"/>
    <s v="Diego"/>
    <x v="1"/>
  </r>
  <r>
    <n v="10390"/>
    <n v="41"/>
    <n v="44.56"/>
    <n v="11"/>
    <n v="1826.96"/>
    <d v="2005-03-04T00:00:00"/>
    <x v="0"/>
    <n v="1"/>
    <x v="11"/>
    <x v="11"/>
    <x v="2"/>
    <x v="0"/>
    <n v="40"/>
    <x v="85"/>
    <x v="39"/>
    <n v="4155551450"/>
    <s v="5677 Strong St."/>
    <m/>
    <x v="33"/>
    <s v="CA"/>
    <n v="97562"/>
    <x v="0"/>
    <x v="0"/>
    <s v="Nelson"/>
    <s v="Valarie"/>
    <x v="0"/>
  </r>
  <r>
    <n v="10403"/>
    <n v="30"/>
    <n v="40.229999999999997"/>
    <n v="2"/>
    <n v="1206.9000000000001"/>
    <d v="2005-04-08T00:00:00"/>
    <x v="0"/>
    <n v="2"/>
    <x v="8"/>
    <x v="8"/>
    <x v="2"/>
    <x v="0"/>
    <n v="40"/>
    <x v="85"/>
    <x v="22"/>
    <s v="(171) 555-2282"/>
    <s v="Berkeley Gardens 12  Brewery"/>
    <m/>
    <x v="19"/>
    <m/>
    <s v="WX1 6LT"/>
    <x v="6"/>
    <x v="1"/>
    <s v="Devon"/>
    <s v="Elizabeth"/>
    <x v="0"/>
  </r>
  <r>
    <n v="10104"/>
    <n v="35"/>
    <n v="47.62"/>
    <n v="11"/>
    <n v="1666.7"/>
    <d v="2003-01-31T00:00:00"/>
    <x v="0"/>
    <n v="1"/>
    <x v="7"/>
    <x v="7"/>
    <x v="0"/>
    <x v="2"/>
    <n v="54"/>
    <x v="86"/>
    <x v="23"/>
    <s v="(91) 555 94 44"/>
    <s v="C/ Moralzarzal, 86"/>
    <m/>
    <x v="20"/>
    <m/>
    <n v="28034"/>
    <x v="7"/>
    <x v="1"/>
    <s v="Freyre"/>
    <s v="Diego"/>
    <x v="0"/>
  </r>
  <r>
    <n v="10114"/>
    <n v="28"/>
    <n v="55.73"/>
    <n v="2"/>
    <n v="1560.44"/>
    <d v="2003-04-01T00:00:00"/>
    <x v="0"/>
    <n v="2"/>
    <x v="8"/>
    <x v="8"/>
    <x v="0"/>
    <x v="2"/>
    <n v="54"/>
    <x v="86"/>
    <x v="62"/>
    <s v="(1) 42.34.2555"/>
    <s v="265, boulevard Charonne"/>
    <m/>
    <x v="2"/>
    <m/>
    <n v="75012"/>
    <x v="1"/>
    <x v="1"/>
    <s v="Bertrand"/>
    <s v="Marie"/>
    <x v="0"/>
  </r>
  <r>
    <n v="10127"/>
    <n v="45"/>
    <n v="51.95"/>
    <n v="13"/>
    <n v="2337.75"/>
    <d v="2003-06-03T00:00:00"/>
    <x v="0"/>
    <n v="2"/>
    <x v="9"/>
    <x v="9"/>
    <x v="0"/>
    <x v="2"/>
    <n v="54"/>
    <x v="86"/>
    <x v="74"/>
    <n v="2125557413"/>
    <s v="4092 Furth Circle"/>
    <s v="Suite 400"/>
    <x v="0"/>
    <s v="NY"/>
    <n v="10022"/>
    <x v="0"/>
    <x v="0"/>
    <s v="Young"/>
    <s v="Jeff"/>
    <x v="0"/>
  </r>
  <r>
    <n v="10141"/>
    <n v="24"/>
    <n v="45.99"/>
    <n v="7"/>
    <n v="1103.76"/>
    <d v="2003-08-01T00:00:00"/>
    <x v="0"/>
    <n v="3"/>
    <x v="3"/>
    <x v="3"/>
    <x v="0"/>
    <x v="2"/>
    <n v="54"/>
    <x v="86"/>
    <x v="73"/>
    <s v="+358 9 8045 555"/>
    <s v="Software Engineering Center, SEC Oy"/>
    <m/>
    <x v="59"/>
    <m/>
    <s v="FIN-02271"/>
    <x v="4"/>
    <x v="1"/>
    <s v="Suominen"/>
    <s v="Kalle"/>
    <x v="0"/>
  </r>
  <r>
    <n v="10151"/>
    <n v="41"/>
    <n v="63.85"/>
    <n v="5"/>
    <n v="2617.85"/>
    <d v="2003-09-21T00:00:00"/>
    <x v="0"/>
    <n v="3"/>
    <x v="10"/>
    <x v="10"/>
    <x v="0"/>
    <x v="2"/>
    <n v="54"/>
    <x v="86"/>
    <x v="60"/>
    <s v="981-443655"/>
    <s v="Torikatu 38"/>
    <m/>
    <x v="50"/>
    <m/>
    <n v="90110"/>
    <x v="4"/>
    <x v="1"/>
    <s v="Koskitalo"/>
    <s v="Pirkko"/>
    <x v="0"/>
  </r>
  <r>
    <n v="10165"/>
    <n v="48"/>
    <n v="45.99"/>
    <n v="14"/>
    <n v="2207.52"/>
    <d v="2003-10-22T00:00:00"/>
    <x v="0"/>
    <n v="4"/>
    <x v="4"/>
    <x v="4"/>
    <x v="0"/>
    <x v="2"/>
    <n v="54"/>
    <x v="86"/>
    <x v="26"/>
    <s v="+65 221 7555"/>
    <s v="Bronz Sok., Bronz Apt. 3/6 Tesvikiye"/>
    <m/>
    <x v="22"/>
    <m/>
    <n v="79903"/>
    <x v="9"/>
    <x v="3"/>
    <s v="Natividad"/>
    <s v="Eric"/>
    <x v="0"/>
  </r>
  <r>
    <n v="10175"/>
    <n v="50"/>
    <n v="63.31"/>
    <n v="3"/>
    <n v="3165.5"/>
    <d v="2003-11-06T00:00:00"/>
    <x v="0"/>
    <n v="4"/>
    <x v="5"/>
    <x v="5"/>
    <x v="0"/>
    <x v="2"/>
    <n v="54"/>
    <x v="86"/>
    <x v="49"/>
    <s v="(171) 555-0297"/>
    <s v="35 King George"/>
    <m/>
    <x v="41"/>
    <m/>
    <s v="WX3 6FW"/>
    <x v="6"/>
    <x v="1"/>
    <s v="Brown"/>
    <s v="Ann"/>
    <x v="1"/>
  </r>
  <r>
    <n v="10184"/>
    <n v="33"/>
    <n v="62.77"/>
    <n v="8"/>
    <n v="2071.41"/>
    <d v="2003-11-14T00:00:00"/>
    <x v="0"/>
    <n v="4"/>
    <x v="5"/>
    <x v="5"/>
    <x v="0"/>
    <x v="2"/>
    <n v="54"/>
    <x v="86"/>
    <x v="81"/>
    <s v="(95) 555 82 82"/>
    <s v="C/ Romero, 33"/>
    <m/>
    <x v="64"/>
    <m/>
    <n v="41101"/>
    <x v="7"/>
    <x v="1"/>
    <s v="Roel"/>
    <s v="Jose Pedro"/>
    <x v="0"/>
  </r>
  <r>
    <n v="10195"/>
    <n v="32"/>
    <n v="43.29"/>
    <n v="8"/>
    <n v="1385.28"/>
    <d v="2003-11-25T00:00:00"/>
    <x v="0"/>
    <n v="4"/>
    <x v="5"/>
    <x v="5"/>
    <x v="0"/>
    <x v="2"/>
    <n v="54"/>
    <x v="86"/>
    <x v="47"/>
    <n v="9145554562"/>
    <s v="3758 North Pendale Street"/>
    <m/>
    <x v="39"/>
    <s v="NY"/>
    <n v="24067"/>
    <x v="0"/>
    <x v="0"/>
    <s v="Frick"/>
    <s v="Steve"/>
    <x v="0"/>
  </r>
  <r>
    <n v="10207"/>
    <n v="27"/>
    <n v="60.06"/>
    <n v="9"/>
    <n v="1621.62"/>
    <d v="2003-12-09T00:00:00"/>
    <x v="0"/>
    <n v="4"/>
    <x v="6"/>
    <x v="6"/>
    <x v="0"/>
    <x v="2"/>
    <n v="54"/>
    <x v="86"/>
    <x v="64"/>
    <n v="6175552555"/>
    <s v="6251 Ingle Ln."/>
    <m/>
    <x v="48"/>
    <s v="MA"/>
    <n v="51003"/>
    <x v="0"/>
    <x v="0"/>
    <s v="Franco"/>
    <s v="Valarie"/>
    <x v="0"/>
  </r>
  <r>
    <n v="10219"/>
    <n v="35"/>
    <n v="55.19"/>
    <n v="4"/>
    <n v="1931.65"/>
    <d v="2004-02-10T00:00:00"/>
    <x v="0"/>
    <n v="1"/>
    <x v="0"/>
    <x v="0"/>
    <x v="1"/>
    <x v="2"/>
    <n v="54"/>
    <x v="86"/>
    <x v="82"/>
    <n v="4155554312"/>
    <s v="2793 Furth Circle"/>
    <m/>
    <x v="65"/>
    <s v="CA"/>
    <n v="94217"/>
    <x v="0"/>
    <x v="0"/>
    <s v="Taylor"/>
    <s v="Sue"/>
    <x v="0"/>
  </r>
  <r>
    <n v="10229"/>
    <n v="23"/>
    <n v="54.11"/>
    <n v="3"/>
    <n v="1244.53"/>
    <d v="2004-03-11T00:00:00"/>
    <x v="0"/>
    <n v="1"/>
    <x v="11"/>
    <x v="11"/>
    <x v="1"/>
    <x v="2"/>
    <n v="54"/>
    <x v="86"/>
    <x v="39"/>
    <n v="4155551450"/>
    <s v="5677 Strong St."/>
    <m/>
    <x v="33"/>
    <s v="CA"/>
    <n v="97562"/>
    <x v="0"/>
    <x v="0"/>
    <s v="Nelson"/>
    <s v="Valarie"/>
    <x v="0"/>
  </r>
  <r>
    <n v="10246"/>
    <n v="35"/>
    <n v="48.7"/>
    <n v="7"/>
    <n v="1704.5"/>
    <d v="2004-05-05T00:00:00"/>
    <x v="0"/>
    <n v="2"/>
    <x v="1"/>
    <x v="1"/>
    <x v="1"/>
    <x v="2"/>
    <n v="54"/>
    <x v="86"/>
    <x v="23"/>
    <s v="(91) 555 94 44"/>
    <s v="C/ Moralzarzal, 86"/>
    <m/>
    <x v="20"/>
    <m/>
    <n v="28034"/>
    <x v="7"/>
    <x v="1"/>
    <s v="Freyre"/>
    <s v="Diego"/>
    <x v="0"/>
  </r>
  <r>
    <n v="10259"/>
    <n v="40"/>
    <n v="43.83"/>
    <n v="6"/>
    <n v="1753.2"/>
    <d v="2004-06-15T00:00:00"/>
    <x v="0"/>
    <n v="2"/>
    <x v="9"/>
    <x v="9"/>
    <x v="1"/>
    <x v="2"/>
    <n v="54"/>
    <x v="86"/>
    <x v="65"/>
    <s v="+65 224 1555"/>
    <s v="Village Close - 106 Linden Road Sandown"/>
    <s v="2nd Floor"/>
    <x v="22"/>
    <m/>
    <n v="69045"/>
    <x v="9"/>
    <x v="2"/>
    <s v="Victorino"/>
    <s v="Wendy"/>
    <x v="0"/>
  </r>
  <r>
    <n v="10271"/>
    <n v="35"/>
    <n v="47.62"/>
    <n v="7"/>
    <n v="1666.7"/>
    <d v="2004-07-20T00:00:00"/>
    <x v="0"/>
    <n v="3"/>
    <x v="2"/>
    <x v="2"/>
    <x v="1"/>
    <x v="2"/>
    <n v="54"/>
    <x v="86"/>
    <x v="39"/>
    <n v="4155551450"/>
    <s v="5677 Strong St."/>
    <m/>
    <x v="33"/>
    <s v="CA"/>
    <n v="97562"/>
    <x v="0"/>
    <x v="0"/>
    <s v="Nelson"/>
    <s v="Valarie"/>
    <x v="0"/>
  </r>
  <r>
    <n v="10281"/>
    <n v="31"/>
    <n v="55.19"/>
    <n v="3"/>
    <n v="1710.89"/>
    <d v="2004-08-19T00:00:00"/>
    <x v="0"/>
    <n v="3"/>
    <x v="3"/>
    <x v="3"/>
    <x v="1"/>
    <x v="2"/>
    <n v="54"/>
    <x v="86"/>
    <x v="18"/>
    <n v="2155551555"/>
    <s v="7586 Pompton St."/>
    <m/>
    <x v="15"/>
    <s v="PA"/>
    <n v="70267"/>
    <x v="0"/>
    <x v="0"/>
    <s v="Yu"/>
    <s v="Kyung"/>
    <x v="0"/>
  </r>
  <r>
    <n v="10292"/>
    <n v="50"/>
    <n v="46.53"/>
    <n v="10"/>
    <n v="2326.5"/>
    <d v="2004-09-08T00:00:00"/>
    <x v="0"/>
    <n v="3"/>
    <x v="10"/>
    <x v="10"/>
    <x v="1"/>
    <x v="2"/>
    <n v="54"/>
    <x v="86"/>
    <x v="0"/>
    <n v="2125557818"/>
    <s v="897 Long Airport Avenue"/>
    <m/>
    <x v="0"/>
    <s v="NY"/>
    <n v="10022"/>
    <x v="0"/>
    <x v="0"/>
    <s v="Yu"/>
    <s v="Kwai"/>
    <x v="0"/>
  </r>
  <r>
    <n v="10305"/>
    <n v="40"/>
    <n v="57.9"/>
    <n v="7"/>
    <n v="2316"/>
    <d v="2004-10-13T00:00:00"/>
    <x v="0"/>
    <n v="4"/>
    <x v="4"/>
    <x v="4"/>
    <x v="1"/>
    <x v="2"/>
    <n v="54"/>
    <x v="86"/>
    <x v="15"/>
    <n v="6175558555"/>
    <s v="39323 Spinnaker Dr."/>
    <m/>
    <x v="12"/>
    <s v="MA"/>
    <n v="51247"/>
    <x v="0"/>
    <x v="0"/>
    <s v="Hernandez"/>
    <s v="Marta"/>
    <x v="0"/>
  </r>
  <r>
    <n v="10313"/>
    <n v="38"/>
    <n v="45.45"/>
    <n v="1"/>
    <n v="1727.1"/>
    <d v="2004-10-22T00:00:00"/>
    <x v="0"/>
    <n v="4"/>
    <x v="4"/>
    <x v="4"/>
    <x v="1"/>
    <x v="2"/>
    <n v="54"/>
    <x v="86"/>
    <x v="31"/>
    <s v="(604) 555-3392"/>
    <s v="1900 Oak St."/>
    <m/>
    <x v="26"/>
    <s v="BC"/>
    <s v="V3F 2K1"/>
    <x v="10"/>
    <x v="0"/>
    <s v="Tannamuri"/>
    <s v="Yoshi"/>
    <x v="0"/>
  </r>
  <r>
    <n v="10325"/>
    <n v="38"/>
    <n v="100"/>
    <n v="3"/>
    <n v="8844.1200000000008"/>
    <d v="2004-11-05T00:00:00"/>
    <x v="0"/>
    <n v="4"/>
    <x v="5"/>
    <x v="5"/>
    <x v="1"/>
    <x v="2"/>
    <n v="54"/>
    <x v="86"/>
    <x v="17"/>
    <s v="07-98 9555"/>
    <s v="Erling Skakkes gate 78"/>
    <m/>
    <x v="14"/>
    <m/>
    <n v="4110"/>
    <x v="2"/>
    <x v="1"/>
    <s v="Bergulfsen"/>
    <s v="Jonas"/>
    <x v="2"/>
  </r>
  <r>
    <n v="10335"/>
    <n v="40"/>
    <n v="60.6"/>
    <n v="3"/>
    <n v="2424"/>
    <d v="2004-11-19T00:00:00"/>
    <x v="0"/>
    <n v="4"/>
    <x v="5"/>
    <x v="5"/>
    <x v="1"/>
    <x v="2"/>
    <n v="54"/>
    <x v="86"/>
    <x v="39"/>
    <n v="4155551450"/>
    <s v="5677 Strong St."/>
    <m/>
    <x v="33"/>
    <s v="CA"/>
    <n v="97562"/>
    <x v="0"/>
    <x v="0"/>
    <s v="Nelson"/>
    <s v="Valarie"/>
    <x v="0"/>
  </r>
  <r>
    <n v="10349"/>
    <n v="33"/>
    <n v="46.53"/>
    <n v="1"/>
    <n v="1535.49"/>
    <d v="2004-12-01T00:00:00"/>
    <x v="0"/>
    <n v="4"/>
    <x v="6"/>
    <x v="6"/>
    <x v="1"/>
    <x v="2"/>
    <n v="54"/>
    <x v="86"/>
    <x v="74"/>
    <n v="2125557413"/>
    <s v="4092 Furth Circle"/>
    <s v="Suite 400"/>
    <x v="0"/>
    <s v="NY"/>
    <n v="10022"/>
    <x v="0"/>
    <x v="0"/>
    <s v="Young"/>
    <s v="Jeff"/>
    <x v="0"/>
  </r>
  <r>
    <n v="10359"/>
    <n v="36"/>
    <n v="100"/>
    <n v="3"/>
    <n v="6358.68"/>
    <d v="2004-12-15T00:00:00"/>
    <x v="0"/>
    <n v="4"/>
    <x v="6"/>
    <x v="6"/>
    <x v="1"/>
    <x v="2"/>
    <n v="54"/>
    <x v="86"/>
    <x v="1"/>
    <s v="26.47.1555"/>
    <s v="59 rue de l'Abbaye"/>
    <m/>
    <x v="1"/>
    <m/>
    <n v="51100"/>
    <x v="1"/>
    <x v="1"/>
    <s v="Henriot"/>
    <s v="Paul"/>
    <x v="1"/>
  </r>
  <r>
    <n v="10371"/>
    <n v="20"/>
    <n v="66.47"/>
    <n v="2"/>
    <n v="1329.4"/>
    <d v="2005-01-23T00:00:00"/>
    <x v="0"/>
    <n v="1"/>
    <x v="7"/>
    <x v="7"/>
    <x v="2"/>
    <x v="2"/>
    <n v="54"/>
    <x v="86"/>
    <x v="39"/>
    <n v="4155551450"/>
    <s v="5677 Strong St."/>
    <m/>
    <x v="33"/>
    <s v="CA"/>
    <n v="97562"/>
    <x v="0"/>
    <x v="0"/>
    <s v="Nelson"/>
    <s v="Valarie"/>
    <x v="0"/>
  </r>
  <r>
    <n v="10383"/>
    <n v="32"/>
    <n v="53.18"/>
    <n v="5"/>
    <n v="1701.76"/>
    <d v="2005-02-22T00:00:00"/>
    <x v="0"/>
    <n v="1"/>
    <x v="0"/>
    <x v="0"/>
    <x v="2"/>
    <x v="2"/>
    <n v="54"/>
    <x v="86"/>
    <x v="23"/>
    <s v="(91) 555 94 44"/>
    <s v="C/ Moralzarzal, 86"/>
    <m/>
    <x v="20"/>
    <m/>
    <n v="28034"/>
    <x v="7"/>
    <x v="1"/>
    <s v="Freyre"/>
    <s v="Diego"/>
    <x v="0"/>
  </r>
  <r>
    <n v="10394"/>
    <n v="36"/>
    <n v="62.77"/>
    <n v="3"/>
    <n v="2259.7199999999998"/>
    <d v="2005-03-15T00:00:00"/>
    <x v="0"/>
    <n v="1"/>
    <x v="11"/>
    <x v="11"/>
    <x v="2"/>
    <x v="2"/>
    <n v="54"/>
    <x v="86"/>
    <x v="23"/>
    <s v="(91) 555 94 44"/>
    <s v="C/ Moralzarzal, 86"/>
    <m/>
    <x v="20"/>
    <m/>
    <n v="28034"/>
    <x v="7"/>
    <x v="1"/>
    <s v="Freyre"/>
    <s v="Diego"/>
    <x v="0"/>
  </r>
  <r>
    <n v="10412"/>
    <n v="19"/>
    <n v="48.7"/>
    <n v="7"/>
    <n v="925.3"/>
    <d v="2005-05-03T00:00:00"/>
    <x v="0"/>
    <n v="2"/>
    <x v="1"/>
    <x v="1"/>
    <x v="2"/>
    <x v="2"/>
    <n v="54"/>
    <x v="86"/>
    <x v="23"/>
    <s v="(91) 555 94 44"/>
    <s v="C/ Moralzarzal, 86"/>
    <m/>
    <x v="20"/>
    <m/>
    <n v="28034"/>
    <x v="7"/>
    <x v="1"/>
    <s v="Freyre"/>
    <s v="Diego"/>
    <x v="0"/>
  </r>
  <r>
    <n v="10425"/>
    <n v="11"/>
    <n v="43.83"/>
    <n v="6"/>
    <n v="482.13"/>
    <d v="2005-05-31T00:00:00"/>
    <x v="2"/>
    <n v="2"/>
    <x v="1"/>
    <x v="1"/>
    <x v="2"/>
    <x v="2"/>
    <n v="54"/>
    <x v="86"/>
    <x v="14"/>
    <s v="40.67.8555"/>
    <s v="67, rue des Cinquante Otages"/>
    <m/>
    <x v="11"/>
    <m/>
    <n v="44000"/>
    <x v="1"/>
    <x v="1"/>
    <s v="Labrune"/>
    <s v="Janine"/>
    <x v="0"/>
  </r>
  <r>
    <n v="10104"/>
    <n v="49"/>
    <n v="65.87"/>
    <n v="4"/>
    <n v="3227.63"/>
    <d v="2003-01-31T00:00:00"/>
    <x v="0"/>
    <n v="1"/>
    <x v="7"/>
    <x v="7"/>
    <x v="0"/>
    <x v="6"/>
    <n v="62"/>
    <x v="87"/>
    <x v="23"/>
    <s v="(91) 555 94 44"/>
    <s v="C/ Moralzarzal, 86"/>
    <m/>
    <x v="20"/>
    <m/>
    <n v="28034"/>
    <x v="7"/>
    <x v="1"/>
    <s v="Freyre"/>
    <s v="Diego"/>
    <x v="1"/>
  </r>
  <r>
    <n v="10116"/>
    <n v="27"/>
    <n v="63.38"/>
    <n v="1"/>
    <n v="1711.26"/>
    <d v="2003-04-11T00:00:00"/>
    <x v="0"/>
    <n v="2"/>
    <x v="8"/>
    <x v="8"/>
    <x v="0"/>
    <x v="6"/>
    <n v="62"/>
    <x v="87"/>
    <x v="90"/>
    <s v="(071) 23 67 2555"/>
    <s v="Boulevard Tirou, 255"/>
    <m/>
    <x v="72"/>
    <m/>
    <s v="B-6000"/>
    <x v="14"/>
    <x v="1"/>
    <s v="Cartrain"/>
    <s v="Pascale"/>
    <x v="0"/>
  </r>
  <r>
    <n v="10127"/>
    <n v="29"/>
    <n v="70.84"/>
    <n v="6"/>
    <n v="2054.36"/>
    <d v="2003-06-03T00:00:00"/>
    <x v="0"/>
    <n v="2"/>
    <x v="9"/>
    <x v="9"/>
    <x v="0"/>
    <x v="6"/>
    <n v="62"/>
    <x v="87"/>
    <x v="74"/>
    <n v="2125557413"/>
    <s v="4092 Furth Circle"/>
    <s v="Suite 400"/>
    <x v="0"/>
    <s v="NY"/>
    <n v="10022"/>
    <x v="0"/>
    <x v="0"/>
    <s v="Young"/>
    <s v="Jeff"/>
    <x v="0"/>
  </r>
  <r>
    <n v="10142"/>
    <n v="42"/>
    <n v="74.569999999999993"/>
    <n v="16"/>
    <n v="3131.94"/>
    <d v="2003-08-08T00:00:00"/>
    <x v="0"/>
    <n v="3"/>
    <x v="3"/>
    <x v="3"/>
    <x v="0"/>
    <x v="6"/>
    <n v="62"/>
    <x v="87"/>
    <x v="39"/>
    <n v="4155551450"/>
    <s v="5677 Strong St."/>
    <m/>
    <x v="33"/>
    <s v="CA"/>
    <n v="97562"/>
    <x v="0"/>
    <x v="0"/>
    <s v="Nelson"/>
    <s v="Valarie"/>
    <x v="1"/>
  </r>
  <r>
    <n v="10152"/>
    <n v="33"/>
    <n v="50.95"/>
    <n v="2"/>
    <n v="1681.35"/>
    <d v="2003-09-25T00:00:00"/>
    <x v="0"/>
    <n v="3"/>
    <x v="10"/>
    <x v="10"/>
    <x v="0"/>
    <x v="6"/>
    <n v="62"/>
    <x v="87"/>
    <x v="28"/>
    <s v="61-7-3844-6555"/>
    <s v="31 Duncan St. West End"/>
    <m/>
    <x v="23"/>
    <s v="Queensland"/>
    <n v="4101"/>
    <x v="3"/>
    <x v="2"/>
    <s v="Calaghan"/>
    <s v="Tony"/>
    <x v="0"/>
  </r>
  <r>
    <n v="10165"/>
    <n v="44"/>
    <n v="53.44"/>
    <n v="7"/>
    <n v="2351.36"/>
    <d v="2003-10-22T00:00:00"/>
    <x v="0"/>
    <n v="4"/>
    <x v="4"/>
    <x v="4"/>
    <x v="0"/>
    <x v="6"/>
    <n v="62"/>
    <x v="87"/>
    <x v="26"/>
    <s v="+65 221 7555"/>
    <s v="Bronz Sok., Bronz Apt. 3/6 Tesvikiye"/>
    <m/>
    <x v="22"/>
    <m/>
    <n v="79903"/>
    <x v="9"/>
    <x v="3"/>
    <s v="Natividad"/>
    <s v="Eric"/>
    <x v="0"/>
  </r>
  <r>
    <n v="10176"/>
    <n v="22"/>
    <n v="64"/>
    <n v="6"/>
    <n v="1408"/>
    <d v="2003-11-06T00:00:00"/>
    <x v="0"/>
    <n v="4"/>
    <x v="5"/>
    <x v="5"/>
    <x v="0"/>
    <x v="6"/>
    <n v="62"/>
    <x v="87"/>
    <x v="70"/>
    <s v="0522-556555"/>
    <s v="Strada Provinciale 124"/>
    <m/>
    <x v="57"/>
    <m/>
    <n v="42100"/>
    <x v="12"/>
    <x v="1"/>
    <s v="Moroni"/>
    <s v="Maurizio"/>
    <x v="0"/>
  </r>
  <r>
    <n v="10184"/>
    <n v="48"/>
    <n v="50.95"/>
    <n v="1"/>
    <n v="2445.6"/>
    <d v="2003-11-14T00:00:00"/>
    <x v="0"/>
    <n v="4"/>
    <x v="5"/>
    <x v="5"/>
    <x v="0"/>
    <x v="6"/>
    <n v="62"/>
    <x v="87"/>
    <x v="81"/>
    <s v="(95) 555 82 82"/>
    <s v="C/ Romero, 33"/>
    <m/>
    <x v="64"/>
    <m/>
    <n v="41101"/>
    <x v="7"/>
    <x v="1"/>
    <s v="Roel"/>
    <s v="Jose Pedro"/>
    <x v="0"/>
  </r>
  <r>
    <n v="10195"/>
    <n v="33"/>
    <n v="54.68"/>
    <n v="1"/>
    <n v="1804.44"/>
    <d v="2003-11-25T00:00:00"/>
    <x v="0"/>
    <n v="4"/>
    <x v="5"/>
    <x v="5"/>
    <x v="0"/>
    <x v="6"/>
    <n v="62"/>
    <x v="87"/>
    <x v="47"/>
    <n v="9145554562"/>
    <s v="3758 North Pendale Street"/>
    <m/>
    <x v="39"/>
    <s v="NY"/>
    <n v="24067"/>
    <x v="0"/>
    <x v="0"/>
    <s v="Frick"/>
    <s v="Steve"/>
    <x v="0"/>
  </r>
  <r>
    <n v="10207"/>
    <n v="45"/>
    <n v="56.55"/>
    <n v="2"/>
    <n v="2544.75"/>
    <d v="2003-12-09T00:00:00"/>
    <x v="0"/>
    <n v="4"/>
    <x v="6"/>
    <x v="6"/>
    <x v="0"/>
    <x v="6"/>
    <n v="62"/>
    <x v="87"/>
    <x v="64"/>
    <n v="6175552555"/>
    <s v="6251 Ingle Ln."/>
    <m/>
    <x v="48"/>
    <s v="MA"/>
    <n v="51003"/>
    <x v="0"/>
    <x v="0"/>
    <s v="Franco"/>
    <s v="Valarie"/>
    <x v="0"/>
  </r>
  <r>
    <n v="10220"/>
    <n v="20"/>
    <n v="52.82"/>
    <n v="6"/>
    <n v="1056.4000000000001"/>
    <d v="2004-02-12T00:00:00"/>
    <x v="0"/>
    <n v="1"/>
    <x v="0"/>
    <x v="0"/>
    <x v="1"/>
    <x v="6"/>
    <n v="62"/>
    <x v="87"/>
    <x v="75"/>
    <s v="+353 1862 1555"/>
    <s v="25 Maiden Lane"/>
    <s v="Floor No. 4"/>
    <x v="60"/>
    <m/>
    <n v="2"/>
    <x v="18"/>
    <x v="1"/>
    <s v="Cassidy"/>
    <s v="Dean"/>
    <x v="0"/>
  </r>
  <r>
    <n v="10230"/>
    <n v="46"/>
    <n v="60.9"/>
    <n v="4"/>
    <n v="2801.4"/>
    <d v="2004-03-15T00:00:00"/>
    <x v="0"/>
    <n v="1"/>
    <x v="11"/>
    <x v="11"/>
    <x v="1"/>
    <x v="6"/>
    <n v="62"/>
    <x v="87"/>
    <x v="72"/>
    <s v="+49 69 66 90 2555"/>
    <s v="Lyonerstr. 34"/>
    <m/>
    <x v="58"/>
    <m/>
    <n v="60528"/>
    <x v="16"/>
    <x v="1"/>
    <s v="Keitel"/>
    <s v="Roland"/>
    <x v="0"/>
  </r>
  <r>
    <n v="10247"/>
    <n v="40"/>
    <n v="49.71"/>
    <n v="6"/>
    <n v="1988.4"/>
    <d v="2004-05-05T00:00:00"/>
    <x v="0"/>
    <n v="2"/>
    <x v="1"/>
    <x v="1"/>
    <x v="1"/>
    <x v="6"/>
    <n v="62"/>
    <x v="87"/>
    <x v="73"/>
    <s v="+358 9 8045 555"/>
    <s v="Software Engineering Center, SEC Oy"/>
    <m/>
    <x v="59"/>
    <m/>
    <s v="FIN-02271"/>
    <x v="4"/>
    <x v="1"/>
    <s v="Suominen"/>
    <s v="Kalle"/>
    <x v="0"/>
  </r>
  <r>
    <n v="10272"/>
    <n v="45"/>
    <n v="64.63"/>
    <n v="6"/>
    <n v="2908.35"/>
    <d v="2004-07-20T00:00:00"/>
    <x v="0"/>
    <n v="3"/>
    <x v="2"/>
    <x v="2"/>
    <x v="1"/>
    <x v="6"/>
    <n v="62"/>
    <x v="87"/>
    <x v="18"/>
    <n v="2155551555"/>
    <s v="7586 Pompton St."/>
    <m/>
    <x v="15"/>
    <s v="PA"/>
    <n v="70267"/>
    <x v="0"/>
    <x v="0"/>
    <s v="Yu"/>
    <s v="Kyung"/>
    <x v="0"/>
  </r>
  <r>
    <n v="10282"/>
    <n v="36"/>
    <n v="59.65"/>
    <n v="9"/>
    <n v="2147.4"/>
    <d v="2004-08-20T00:00:00"/>
    <x v="0"/>
    <n v="3"/>
    <x v="3"/>
    <x v="3"/>
    <x v="1"/>
    <x v="6"/>
    <n v="62"/>
    <x v="87"/>
    <x v="39"/>
    <n v="4155551450"/>
    <s v="5677 Strong St."/>
    <m/>
    <x v="33"/>
    <s v="CA"/>
    <n v="97562"/>
    <x v="0"/>
    <x v="0"/>
    <s v="Nelson"/>
    <s v="Valarie"/>
    <x v="0"/>
  </r>
  <r>
    <n v="10292"/>
    <n v="31"/>
    <n v="67.73"/>
    <n v="3"/>
    <n v="2099.63"/>
    <d v="2004-09-08T00:00:00"/>
    <x v="0"/>
    <n v="3"/>
    <x v="10"/>
    <x v="10"/>
    <x v="1"/>
    <x v="6"/>
    <n v="62"/>
    <x v="87"/>
    <x v="0"/>
    <n v="2125557818"/>
    <s v="897 Long Airport Avenue"/>
    <m/>
    <x v="0"/>
    <s v="NY"/>
    <n v="10022"/>
    <x v="0"/>
    <x v="0"/>
    <s v="Yu"/>
    <s v="Kwai"/>
    <x v="0"/>
  </r>
  <r>
    <n v="10306"/>
    <n v="46"/>
    <n v="50.33"/>
    <n v="17"/>
    <n v="2315.1799999999998"/>
    <d v="2004-10-14T00:00:00"/>
    <x v="0"/>
    <n v="4"/>
    <x v="4"/>
    <x v="4"/>
    <x v="1"/>
    <x v="6"/>
    <n v="62"/>
    <x v="87"/>
    <x v="77"/>
    <s v="(171) 555-1555"/>
    <s v="Fauntleroy Circus"/>
    <m/>
    <x v="61"/>
    <m/>
    <s v="EC2 5NT"/>
    <x v="6"/>
    <x v="1"/>
    <s v="Ashworth"/>
    <s v="Victoria"/>
    <x v="0"/>
  </r>
  <r>
    <n v="10314"/>
    <n v="35"/>
    <n v="66.489999999999995"/>
    <n v="9"/>
    <n v="2327.15"/>
    <d v="2004-10-22T00:00:00"/>
    <x v="0"/>
    <n v="4"/>
    <x v="4"/>
    <x v="4"/>
    <x v="1"/>
    <x v="6"/>
    <n v="62"/>
    <x v="87"/>
    <x v="78"/>
    <s v="86 21 3555"/>
    <s v="Smagsloget 45"/>
    <m/>
    <x v="62"/>
    <m/>
    <n v="8200"/>
    <x v="13"/>
    <x v="1"/>
    <s v="Ibsen"/>
    <s v="Palle"/>
    <x v="0"/>
  </r>
  <r>
    <n v="10325"/>
    <n v="28"/>
    <n v="100"/>
    <n v="2"/>
    <n v="5377.4"/>
    <d v="2004-11-05T00:00:00"/>
    <x v="0"/>
    <n v="4"/>
    <x v="5"/>
    <x v="5"/>
    <x v="1"/>
    <x v="6"/>
    <n v="62"/>
    <x v="87"/>
    <x v="17"/>
    <s v="07-98 9555"/>
    <s v="Erling Skakkes gate 78"/>
    <m/>
    <x v="14"/>
    <m/>
    <n v="4110"/>
    <x v="2"/>
    <x v="1"/>
    <s v="Bergulfsen"/>
    <s v="Jonas"/>
    <x v="1"/>
  </r>
  <r>
    <n v="10336"/>
    <n v="31"/>
    <n v="84.71"/>
    <n v="9"/>
    <n v="2626.01"/>
    <d v="2004-11-20T00:00:00"/>
    <x v="0"/>
    <n v="4"/>
    <x v="5"/>
    <x v="5"/>
    <x v="1"/>
    <x v="6"/>
    <n v="62"/>
    <x v="87"/>
    <x v="62"/>
    <s v="(1) 42.34.2555"/>
    <s v="265, boulevard Charonne"/>
    <m/>
    <x v="2"/>
    <m/>
    <n v="75012"/>
    <x v="1"/>
    <x v="1"/>
    <s v="Bertrand"/>
    <s v="Marie"/>
    <x v="0"/>
  </r>
  <r>
    <n v="10350"/>
    <n v="27"/>
    <n v="100"/>
    <n v="14"/>
    <n v="4406.3999999999996"/>
    <d v="2004-12-02T00:00:00"/>
    <x v="0"/>
    <n v="4"/>
    <x v="6"/>
    <x v="6"/>
    <x v="1"/>
    <x v="6"/>
    <n v="62"/>
    <x v="87"/>
    <x v="23"/>
    <s v="(91) 555 94 44"/>
    <s v="C/ Moralzarzal, 86"/>
    <m/>
    <x v="20"/>
    <m/>
    <n v="28034"/>
    <x v="7"/>
    <x v="1"/>
    <s v="Freyre"/>
    <s v="Diego"/>
    <x v="1"/>
  </r>
  <r>
    <n v="10359"/>
    <n v="22"/>
    <n v="100"/>
    <n v="1"/>
    <n v="4301.22"/>
    <d v="2004-12-15T00:00:00"/>
    <x v="0"/>
    <n v="4"/>
    <x v="6"/>
    <x v="6"/>
    <x v="1"/>
    <x v="6"/>
    <n v="62"/>
    <x v="87"/>
    <x v="1"/>
    <s v="26.47.1555"/>
    <s v="59 rue de l'Abbaye"/>
    <m/>
    <x v="1"/>
    <m/>
    <n v="51100"/>
    <x v="1"/>
    <x v="1"/>
    <s v="Henriot"/>
    <s v="Paul"/>
    <x v="1"/>
  </r>
  <r>
    <n v="10371"/>
    <n v="30"/>
    <n v="99.55"/>
    <n v="11"/>
    <n v="2986.5"/>
    <d v="2005-01-23T00:00:00"/>
    <x v="0"/>
    <n v="1"/>
    <x v="7"/>
    <x v="7"/>
    <x v="2"/>
    <x v="6"/>
    <n v="62"/>
    <x v="87"/>
    <x v="39"/>
    <n v="4155551450"/>
    <s v="5677 Strong St."/>
    <m/>
    <x v="33"/>
    <s v="CA"/>
    <n v="97562"/>
    <x v="0"/>
    <x v="0"/>
    <s v="Nelson"/>
    <s v="Valarie"/>
    <x v="0"/>
  </r>
  <r>
    <n v="10383"/>
    <n v="44"/>
    <n v="36.07"/>
    <n v="8"/>
    <n v="1587.08"/>
    <d v="2005-02-22T00:00:00"/>
    <x v="0"/>
    <n v="1"/>
    <x v="0"/>
    <x v="0"/>
    <x v="2"/>
    <x v="6"/>
    <n v="62"/>
    <x v="87"/>
    <x v="23"/>
    <s v="(91) 555 94 44"/>
    <s v="C/ Moralzarzal, 86"/>
    <m/>
    <x v="20"/>
    <m/>
    <n v="28034"/>
    <x v="7"/>
    <x v="1"/>
    <s v="Freyre"/>
    <s v="Diego"/>
    <x v="0"/>
  </r>
  <r>
    <n v="10394"/>
    <n v="30"/>
    <n v="60.28"/>
    <n v="4"/>
    <n v="1808.4"/>
    <d v="2005-03-15T00:00:00"/>
    <x v="0"/>
    <n v="1"/>
    <x v="11"/>
    <x v="11"/>
    <x v="2"/>
    <x v="6"/>
    <n v="62"/>
    <x v="87"/>
    <x v="23"/>
    <s v="(91) 555 94 44"/>
    <s v="C/ Moralzarzal, 86"/>
    <m/>
    <x v="20"/>
    <m/>
    <n v="28034"/>
    <x v="7"/>
    <x v="1"/>
    <s v="Freyre"/>
    <s v="Diego"/>
    <x v="0"/>
  </r>
  <r>
    <n v="10413"/>
    <n v="24"/>
    <n v="49.71"/>
    <n v="6"/>
    <n v="1193.04"/>
    <d v="2005-05-05T00:00:00"/>
    <x v="0"/>
    <n v="2"/>
    <x v="1"/>
    <x v="1"/>
    <x v="2"/>
    <x v="6"/>
    <n v="62"/>
    <x v="87"/>
    <x v="13"/>
    <n v="2035552570"/>
    <s v="25593 South Bay Ln."/>
    <m/>
    <x v="10"/>
    <s v="CT"/>
    <n v="97562"/>
    <x v="0"/>
    <x v="0"/>
    <s v="King"/>
    <s v="Julie"/>
    <x v="0"/>
  </r>
  <r>
    <n v="10103"/>
    <n v="45"/>
    <n v="75.63"/>
    <n v="7"/>
    <n v="3403.35"/>
    <d v="2003-01-29T00:00:00"/>
    <x v="0"/>
    <n v="1"/>
    <x v="7"/>
    <x v="7"/>
    <x v="0"/>
    <x v="2"/>
    <n v="64"/>
    <x v="88"/>
    <x v="17"/>
    <s v="07-98 9555"/>
    <s v="Erling Skakkes gate 78"/>
    <m/>
    <x v="14"/>
    <m/>
    <n v="4110"/>
    <x v="2"/>
    <x v="1"/>
    <s v="Bergulfsen"/>
    <s v="Jonas"/>
    <x v="1"/>
  </r>
  <r>
    <n v="10113"/>
    <n v="23"/>
    <n v="68.52"/>
    <n v="1"/>
    <n v="1575.96"/>
    <d v="2003-03-26T00:00:00"/>
    <x v="0"/>
    <n v="1"/>
    <x v="11"/>
    <x v="11"/>
    <x v="0"/>
    <x v="2"/>
    <n v="64"/>
    <x v="88"/>
    <x v="39"/>
    <n v="4155551450"/>
    <s v="5677 Strong St."/>
    <m/>
    <x v="33"/>
    <s v="CA"/>
    <n v="97562"/>
    <x v="0"/>
    <x v="0"/>
    <s v="Nelson"/>
    <s v="Valarie"/>
    <x v="0"/>
  </r>
  <r>
    <n v="10126"/>
    <n v="26"/>
    <n v="62.7"/>
    <n v="7"/>
    <n v="1630.2"/>
    <d v="2003-05-28T00:00:00"/>
    <x v="0"/>
    <n v="2"/>
    <x v="1"/>
    <x v="1"/>
    <x v="0"/>
    <x v="2"/>
    <n v="64"/>
    <x v="88"/>
    <x v="25"/>
    <s v="(91) 555 22 82"/>
    <s v="C/ Araquil, 67"/>
    <m/>
    <x v="20"/>
    <m/>
    <n v="28023"/>
    <x v="7"/>
    <x v="1"/>
    <s v="Sommer"/>
    <s v="Mart¡n"/>
    <x v="0"/>
  </r>
  <r>
    <n v="10140"/>
    <n v="28"/>
    <n v="60.76"/>
    <n v="7"/>
    <n v="1701.28"/>
    <d v="2003-07-24T00:00:00"/>
    <x v="0"/>
    <n v="3"/>
    <x v="2"/>
    <x v="2"/>
    <x v="0"/>
    <x v="2"/>
    <n v="64"/>
    <x v="88"/>
    <x v="5"/>
    <n v="6505556809"/>
    <s v="9408 Furth Circle"/>
    <m/>
    <x v="5"/>
    <s v="CA"/>
    <n v="94217"/>
    <x v="0"/>
    <x v="0"/>
    <s v="Hirano"/>
    <s v="Juri"/>
    <x v="0"/>
  </r>
  <r>
    <n v="10150"/>
    <n v="49"/>
    <n v="58.18"/>
    <n v="4"/>
    <n v="2850.82"/>
    <d v="2003-09-19T00:00:00"/>
    <x v="0"/>
    <n v="3"/>
    <x v="10"/>
    <x v="10"/>
    <x v="0"/>
    <x v="2"/>
    <n v="64"/>
    <x v="88"/>
    <x v="26"/>
    <s v="+65 221 7555"/>
    <s v="Bronz Sok., Bronz Apt. 3/6 Tesvikiye"/>
    <m/>
    <x v="22"/>
    <m/>
    <n v="79903"/>
    <x v="9"/>
    <x v="3"/>
    <s v="Natividad"/>
    <s v="Eric"/>
    <x v="0"/>
  </r>
  <r>
    <n v="10164"/>
    <n v="49"/>
    <n v="54.94"/>
    <n v="5"/>
    <n v="2692.06"/>
    <d v="2003-10-21T00:00:00"/>
    <x v="5"/>
    <n v="4"/>
    <x v="4"/>
    <x v="4"/>
    <x v="0"/>
    <x v="2"/>
    <n v="64"/>
    <x v="88"/>
    <x v="63"/>
    <s v="7675-3555"/>
    <s v="Kirchgasse 6"/>
    <m/>
    <x v="52"/>
    <m/>
    <n v="8010"/>
    <x v="5"/>
    <x v="1"/>
    <s v="Mendel"/>
    <s v="Roland"/>
    <x v="0"/>
  </r>
  <r>
    <n v="10175"/>
    <n v="29"/>
    <n v="74.98"/>
    <n v="12"/>
    <n v="2174.42"/>
    <d v="2003-11-06T00:00:00"/>
    <x v="0"/>
    <n v="4"/>
    <x v="5"/>
    <x v="5"/>
    <x v="0"/>
    <x v="2"/>
    <n v="64"/>
    <x v="88"/>
    <x v="49"/>
    <s v="(171) 555-0297"/>
    <s v="35 King George"/>
    <m/>
    <x v="41"/>
    <m/>
    <s v="WX3 6FW"/>
    <x v="6"/>
    <x v="1"/>
    <s v="Brown"/>
    <s v="Ann"/>
    <x v="0"/>
  </r>
  <r>
    <n v="10183"/>
    <n v="49"/>
    <n v="64.64"/>
    <n v="4"/>
    <n v="3167.36"/>
    <d v="2003-11-13T00:00:00"/>
    <x v="0"/>
    <n v="4"/>
    <x v="5"/>
    <x v="5"/>
    <x v="0"/>
    <x v="2"/>
    <n v="64"/>
    <x v="88"/>
    <x v="29"/>
    <n v="2155554695"/>
    <s v="782 First Street"/>
    <m/>
    <x v="24"/>
    <s v="PA"/>
    <n v="71270"/>
    <x v="0"/>
    <x v="0"/>
    <s v="Cervantes"/>
    <s v="Francisca"/>
    <x v="1"/>
  </r>
  <r>
    <n v="10194"/>
    <n v="39"/>
    <n v="54.94"/>
    <n v="7"/>
    <n v="2142.66"/>
    <d v="2003-11-25T00:00:00"/>
    <x v="0"/>
    <n v="4"/>
    <x v="5"/>
    <x v="5"/>
    <x v="0"/>
    <x v="2"/>
    <n v="64"/>
    <x v="88"/>
    <x v="30"/>
    <s v="78.32.5555"/>
    <s v="2, rue du Commerce"/>
    <m/>
    <x v="25"/>
    <m/>
    <n v="69004"/>
    <x v="1"/>
    <x v="1"/>
    <s v="Saveley"/>
    <s v="Mary"/>
    <x v="0"/>
  </r>
  <r>
    <n v="10206"/>
    <n v="36"/>
    <n v="58.82"/>
    <n v="2"/>
    <n v="2117.52"/>
    <d v="2003-12-05T00:00:00"/>
    <x v="0"/>
    <n v="4"/>
    <x v="6"/>
    <x v="6"/>
    <x v="0"/>
    <x v="2"/>
    <n v="64"/>
    <x v="88"/>
    <x v="31"/>
    <s v="(604) 555-3392"/>
    <s v="1900 Oak St."/>
    <m/>
    <x v="26"/>
    <s v="BC"/>
    <s v="V3F 2K1"/>
    <x v="10"/>
    <x v="0"/>
    <s v="Tannamuri"/>
    <s v="Yoshi"/>
    <x v="0"/>
  </r>
  <r>
    <n v="10217"/>
    <n v="39"/>
    <n v="62.05"/>
    <n v="7"/>
    <n v="2419.9499999999998"/>
    <d v="2004-02-04T00:00:00"/>
    <x v="0"/>
    <n v="1"/>
    <x v="0"/>
    <x v="0"/>
    <x v="1"/>
    <x v="2"/>
    <n v="64"/>
    <x v="88"/>
    <x v="65"/>
    <s v="+65 224 1555"/>
    <s v="Village Close - 106 Linden Road Sandown"/>
    <s v="2nd Floor"/>
    <x v="22"/>
    <m/>
    <n v="69045"/>
    <x v="9"/>
    <x v="2"/>
    <s v="Victorino"/>
    <s v="Wendy"/>
    <x v="0"/>
  </r>
  <r>
    <n v="10229"/>
    <n v="30"/>
    <n v="73.040000000000006"/>
    <n v="12"/>
    <n v="2191.1999999999998"/>
    <d v="2004-03-11T00:00:00"/>
    <x v="0"/>
    <n v="1"/>
    <x v="11"/>
    <x v="11"/>
    <x v="1"/>
    <x v="2"/>
    <n v="64"/>
    <x v="88"/>
    <x v="39"/>
    <n v="4155551450"/>
    <s v="5677 Strong St."/>
    <m/>
    <x v="33"/>
    <s v="CA"/>
    <n v="97562"/>
    <x v="0"/>
    <x v="0"/>
    <s v="Nelson"/>
    <s v="Valarie"/>
    <x v="0"/>
  </r>
  <r>
    <n v="10245"/>
    <n v="44"/>
    <n v="69.16"/>
    <n v="5"/>
    <n v="3043.04"/>
    <d v="2004-05-04T00:00:00"/>
    <x v="0"/>
    <n v="2"/>
    <x v="1"/>
    <x v="1"/>
    <x v="1"/>
    <x v="2"/>
    <n v="64"/>
    <x v="88"/>
    <x v="34"/>
    <n v="2035559545"/>
    <s v="567 North Pendale Street"/>
    <m/>
    <x v="28"/>
    <s v="CT"/>
    <n v="97823"/>
    <x v="0"/>
    <x v="0"/>
    <s v="Murphy"/>
    <s v="Leslie"/>
    <x v="1"/>
  </r>
  <r>
    <n v="10258"/>
    <n v="20"/>
    <n v="61.41"/>
    <n v="2"/>
    <n v="1228.2"/>
    <d v="2004-06-15T00:00:00"/>
    <x v="0"/>
    <n v="2"/>
    <x v="9"/>
    <x v="9"/>
    <x v="1"/>
    <x v="2"/>
    <n v="64"/>
    <x v="88"/>
    <x v="35"/>
    <s v="+81 3 3584 0555"/>
    <s v="2-2-8 Roppongi"/>
    <m/>
    <x v="29"/>
    <s v="Tokyo"/>
    <s v="106-0032"/>
    <x v="11"/>
    <x v="3"/>
    <s v="Shimamura"/>
    <s v="Akiko"/>
    <x v="0"/>
  </r>
  <r>
    <n v="10270"/>
    <n v="21"/>
    <n v="63.35"/>
    <n v="5"/>
    <n v="1330.35"/>
    <d v="2004-07-19T00:00:00"/>
    <x v="0"/>
    <n v="3"/>
    <x v="2"/>
    <x v="2"/>
    <x v="1"/>
    <x v="2"/>
    <n v="64"/>
    <x v="88"/>
    <x v="20"/>
    <s v="+61 2 9495 8555"/>
    <s v="Monitor Money Building, 815 Pacific Hwy"/>
    <s v="Level 6"/>
    <x v="17"/>
    <s v="NSW"/>
    <n v="2067"/>
    <x v="3"/>
    <x v="2"/>
    <s v="Huxley"/>
    <s v="Adrian"/>
    <x v="0"/>
  </r>
  <r>
    <n v="10281"/>
    <n v="36"/>
    <n v="77.569999999999993"/>
    <n v="12"/>
    <n v="2792.52"/>
    <d v="2004-08-19T00:00:00"/>
    <x v="0"/>
    <n v="3"/>
    <x v="3"/>
    <x v="3"/>
    <x v="1"/>
    <x v="2"/>
    <n v="64"/>
    <x v="88"/>
    <x v="18"/>
    <n v="2155551555"/>
    <s v="7586 Pompton St."/>
    <m/>
    <x v="15"/>
    <s v="PA"/>
    <n v="70267"/>
    <x v="0"/>
    <x v="0"/>
    <s v="Yu"/>
    <s v="Kyung"/>
    <x v="0"/>
  </r>
  <r>
    <n v="10291"/>
    <n v="32"/>
    <n v="71.75"/>
    <n v="7"/>
    <n v="2296"/>
    <d v="2004-09-08T00:00:00"/>
    <x v="0"/>
    <n v="3"/>
    <x v="10"/>
    <x v="10"/>
    <x v="1"/>
    <x v="2"/>
    <n v="64"/>
    <x v="88"/>
    <x v="37"/>
    <s v="0695-34 6555"/>
    <s v="?kergatan 24"/>
    <m/>
    <x v="31"/>
    <m/>
    <s v="S-844 67"/>
    <x v="8"/>
    <x v="1"/>
    <s v="Larsson"/>
    <s v="Maria"/>
    <x v="0"/>
  </r>
  <r>
    <n v="10304"/>
    <n v="36"/>
    <n v="73.040000000000006"/>
    <n v="2"/>
    <n v="2629.44"/>
    <d v="2004-10-11T00:00:00"/>
    <x v="0"/>
    <n v="4"/>
    <x v="4"/>
    <x v="4"/>
    <x v="1"/>
    <x v="2"/>
    <n v="64"/>
    <x v="88"/>
    <x v="38"/>
    <s v="30.59.8555"/>
    <s v="67, avenue de l'Europe"/>
    <m/>
    <x v="32"/>
    <m/>
    <n v="78000"/>
    <x v="1"/>
    <x v="1"/>
    <s v="Tonini"/>
    <s v="Daniel"/>
    <x v="0"/>
  </r>
  <r>
    <n v="10313"/>
    <n v="34"/>
    <n v="56.24"/>
    <n v="10"/>
    <n v="1912.16"/>
    <d v="2004-10-22T00:00:00"/>
    <x v="0"/>
    <n v="4"/>
    <x v="4"/>
    <x v="4"/>
    <x v="1"/>
    <x v="2"/>
    <n v="64"/>
    <x v="88"/>
    <x v="31"/>
    <s v="(604) 555-3392"/>
    <s v="1900 Oak St."/>
    <m/>
    <x v="26"/>
    <s v="BC"/>
    <s v="V3F 2K1"/>
    <x v="10"/>
    <x v="0"/>
    <s v="Tannamuri"/>
    <s v="Yoshi"/>
    <x v="0"/>
  </r>
  <r>
    <n v="10324"/>
    <n v="48"/>
    <n v="100"/>
    <n v="4"/>
    <n v="8209.44"/>
    <d v="2004-11-05T00:00:00"/>
    <x v="0"/>
    <n v="4"/>
    <x v="5"/>
    <x v="5"/>
    <x v="1"/>
    <x v="2"/>
    <n v="64"/>
    <x v="88"/>
    <x v="11"/>
    <n v="2125551500"/>
    <s v="2678 Kingston Rd."/>
    <s v="Suite 101"/>
    <x v="0"/>
    <s v="NY"/>
    <n v="10022"/>
    <x v="0"/>
    <x v="0"/>
    <s v="Frick"/>
    <s v="Michael"/>
    <x v="2"/>
  </r>
  <r>
    <n v="10333"/>
    <n v="33"/>
    <n v="73.69"/>
    <n v="4"/>
    <n v="2431.77"/>
    <d v="2004-11-18T00:00:00"/>
    <x v="0"/>
    <n v="4"/>
    <x v="5"/>
    <x v="5"/>
    <x v="1"/>
    <x v="2"/>
    <n v="64"/>
    <x v="88"/>
    <x v="8"/>
    <n v="6505555787"/>
    <s v="5557 North Pendale Street"/>
    <m/>
    <x v="4"/>
    <s v="CA"/>
    <m/>
    <x v="0"/>
    <x v="0"/>
    <s v="Murphy"/>
    <s v="Julie"/>
    <x v="0"/>
  </r>
  <r>
    <n v="10348"/>
    <n v="31"/>
    <n v="100"/>
    <n v="5"/>
    <n v="3139.99"/>
    <d v="2004-11-01T00:00:00"/>
    <x v="0"/>
    <n v="4"/>
    <x v="5"/>
    <x v="5"/>
    <x v="1"/>
    <x v="2"/>
    <n v="64"/>
    <x v="88"/>
    <x v="25"/>
    <s v="(91) 555 22 82"/>
    <s v="C/ Araquil, 67"/>
    <m/>
    <x v="20"/>
    <m/>
    <n v="28023"/>
    <x v="7"/>
    <x v="1"/>
    <s v="Sommer"/>
    <s v="Mart¡n"/>
    <x v="1"/>
  </r>
  <r>
    <n v="10358"/>
    <n v="36"/>
    <n v="100"/>
    <n v="2"/>
    <n v="5669.64"/>
    <d v="2004-12-10T00:00:00"/>
    <x v="0"/>
    <n v="4"/>
    <x v="6"/>
    <x v="6"/>
    <x v="1"/>
    <x v="2"/>
    <n v="64"/>
    <x v="88"/>
    <x v="23"/>
    <s v="(91) 555 94 44"/>
    <s v="C/ Moralzarzal, 86"/>
    <m/>
    <x v="20"/>
    <m/>
    <n v="28034"/>
    <x v="7"/>
    <x v="1"/>
    <s v="Freyre"/>
    <s v="Diego"/>
    <x v="1"/>
  </r>
  <r>
    <n v="10370"/>
    <n v="25"/>
    <n v="100"/>
    <n v="3"/>
    <n v="3160.25"/>
    <d v="2005-01-20T00:00:00"/>
    <x v="0"/>
    <n v="1"/>
    <x v="7"/>
    <x v="7"/>
    <x v="2"/>
    <x v="2"/>
    <n v="64"/>
    <x v="88"/>
    <x v="42"/>
    <s v="02 9936 8555"/>
    <s v="201 Miller Street"/>
    <s v="Level 15"/>
    <x v="36"/>
    <s v="NSW"/>
    <n v="2060"/>
    <x v="3"/>
    <x v="2"/>
    <s v="O'Hara"/>
    <s v="Anna"/>
    <x v="1"/>
  </r>
  <r>
    <n v="10382"/>
    <n v="48"/>
    <n v="100"/>
    <n v="8"/>
    <n v="6799.68"/>
    <d v="2005-02-17T00:00:00"/>
    <x v="0"/>
    <n v="1"/>
    <x v="0"/>
    <x v="0"/>
    <x v="2"/>
    <x v="2"/>
    <n v="64"/>
    <x v="88"/>
    <x v="39"/>
    <n v="4155551450"/>
    <s v="5677 Strong St."/>
    <m/>
    <x v="33"/>
    <s v="CA"/>
    <n v="97562"/>
    <x v="0"/>
    <x v="0"/>
    <s v="Nelson"/>
    <s v="Valarie"/>
    <x v="1"/>
  </r>
  <r>
    <n v="10411"/>
    <n v="27"/>
    <n v="69.16"/>
    <n v="5"/>
    <n v="1867.32"/>
    <d v="2005-05-01T00:00:00"/>
    <x v="0"/>
    <n v="2"/>
    <x v="1"/>
    <x v="1"/>
    <x v="2"/>
    <x v="2"/>
    <n v="64"/>
    <x v="88"/>
    <x v="43"/>
    <s v="(514) 555-8054"/>
    <s v="43 rue St. Laurent"/>
    <m/>
    <x v="37"/>
    <s v="Quebec"/>
    <s v="H1J 1C3"/>
    <x v="10"/>
    <x v="0"/>
    <s v="Fresnisre"/>
    <s v="Jean"/>
    <x v="0"/>
  </r>
  <r>
    <n v="10424"/>
    <n v="44"/>
    <n v="61.41"/>
    <n v="2"/>
    <n v="2702.04"/>
    <d v="2005-05-31T00:00:00"/>
    <x v="2"/>
    <n v="2"/>
    <x v="1"/>
    <x v="1"/>
    <x v="2"/>
    <x v="2"/>
    <n v="64"/>
    <x v="88"/>
    <x v="23"/>
    <s v="(91) 555 94 44"/>
    <s v="C/ Moralzarzal, 86"/>
    <m/>
    <x v="20"/>
    <m/>
    <n v="28034"/>
    <x v="7"/>
    <x v="1"/>
    <s v="Freyre"/>
    <s v="Diego"/>
    <x v="0"/>
  </r>
  <r>
    <n v="10106"/>
    <n v="33"/>
    <n v="72.92"/>
    <n v="5"/>
    <n v="2406.36"/>
    <d v="2003-02-17T00:00:00"/>
    <x v="0"/>
    <n v="1"/>
    <x v="0"/>
    <x v="0"/>
    <x v="0"/>
    <x v="3"/>
    <n v="68"/>
    <x v="89"/>
    <x v="86"/>
    <s v="035-640555"/>
    <s v="Via Ludovico il Moro 22"/>
    <m/>
    <x v="69"/>
    <m/>
    <n v="24100"/>
    <x v="12"/>
    <x v="1"/>
    <s v="Rovelli"/>
    <s v="Giovanni"/>
    <x v="0"/>
  </r>
  <r>
    <n v="10120"/>
    <n v="29"/>
    <n v="72.23"/>
    <n v="11"/>
    <n v="2094.67"/>
    <d v="2003-04-29T00:00:00"/>
    <x v="0"/>
    <n v="2"/>
    <x v="8"/>
    <x v="8"/>
    <x v="0"/>
    <x v="3"/>
    <n v="68"/>
    <x v="89"/>
    <x v="10"/>
    <s v="03 9520 4555"/>
    <s v="636 St Kilda Road"/>
    <s v="Level 3"/>
    <x v="8"/>
    <s v="Victoria"/>
    <n v="3004"/>
    <x v="3"/>
    <x v="2"/>
    <s v="Ferguson"/>
    <s v="Peter"/>
    <x v="0"/>
  </r>
  <r>
    <n v="10133"/>
    <n v="49"/>
    <n v="57.1"/>
    <n v="6"/>
    <n v="2797.9"/>
    <d v="2003-06-27T00:00:00"/>
    <x v="0"/>
    <n v="2"/>
    <x v="9"/>
    <x v="9"/>
    <x v="0"/>
    <x v="3"/>
    <n v="68"/>
    <x v="89"/>
    <x v="23"/>
    <s v="(91) 555 94 44"/>
    <s v="C/ Moralzarzal, 86"/>
    <m/>
    <x v="20"/>
    <m/>
    <n v="28034"/>
    <x v="7"/>
    <x v="1"/>
    <s v="Freyre"/>
    <s v="Diego"/>
    <x v="0"/>
  </r>
  <r>
    <n v="10144"/>
    <n v="20"/>
    <n v="81.86"/>
    <n v="1"/>
    <n v="1637.2"/>
    <d v="2003-08-13T00:00:00"/>
    <x v="0"/>
    <n v="3"/>
    <x v="3"/>
    <x v="3"/>
    <x v="0"/>
    <x v="3"/>
    <n v="68"/>
    <x v="89"/>
    <x v="90"/>
    <s v="(071) 23 67 2555"/>
    <s v="Boulevard Tirou, 255"/>
    <m/>
    <x v="72"/>
    <m/>
    <s v="B-6000"/>
    <x v="14"/>
    <x v="1"/>
    <s v="Cartrain"/>
    <s v="Pascale"/>
    <x v="0"/>
  </r>
  <r>
    <n v="10168"/>
    <n v="31"/>
    <n v="73.61"/>
    <n v="12"/>
    <n v="2281.91"/>
    <d v="2003-10-28T00:00:00"/>
    <x v="0"/>
    <n v="4"/>
    <x v="4"/>
    <x v="4"/>
    <x v="0"/>
    <x v="3"/>
    <n v="68"/>
    <x v="89"/>
    <x v="5"/>
    <n v="6505556809"/>
    <s v="9408 Furth Circle"/>
    <m/>
    <x v="5"/>
    <s v="CA"/>
    <n v="94217"/>
    <x v="0"/>
    <x v="0"/>
    <s v="Hirano"/>
    <s v="Juri"/>
    <x v="0"/>
  </r>
  <r>
    <n v="10210"/>
    <n v="39"/>
    <n v="59.16"/>
    <n v="10"/>
    <n v="2307.2399999999998"/>
    <d v="2004-01-12T00:00:00"/>
    <x v="0"/>
    <n v="1"/>
    <x v="7"/>
    <x v="7"/>
    <x v="1"/>
    <x v="3"/>
    <n v="68"/>
    <x v="89"/>
    <x v="44"/>
    <s v="+81 06 6342 5555"/>
    <s v="Dojima Avanza 4F, 1-6-20 Dojima, Kita-ku"/>
    <m/>
    <x v="38"/>
    <s v="Osaka"/>
    <s v="530-0003"/>
    <x v="11"/>
    <x v="3"/>
    <s v="Kentary"/>
    <s v="Mory"/>
    <x v="0"/>
  </r>
  <r>
    <n v="10223"/>
    <n v="20"/>
    <n v="66.040000000000006"/>
    <n v="12"/>
    <n v="1320.8"/>
    <d v="2004-02-20T00:00:00"/>
    <x v="0"/>
    <n v="1"/>
    <x v="0"/>
    <x v="0"/>
    <x v="1"/>
    <x v="3"/>
    <n v="68"/>
    <x v="89"/>
    <x v="10"/>
    <s v="03 9520 4555"/>
    <s v="636 St Kilda Road"/>
    <s v="Level 3"/>
    <x v="8"/>
    <s v="Victoria"/>
    <n v="3004"/>
    <x v="3"/>
    <x v="2"/>
    <s v="Ferguson"/>
    <s v="Peter"/>
    <x v="0"/>
  </r>
  <r>
    <n v="10235"/>
    <n v="34"/>
    <n v="77.73"/>
    <n v="6"/>
    <n v="2642.82"/>
    <d v="2004-04-02T00:00:00"/>
    <x v="0"/>
    <n v="2"/>
    <x v="8"/>
    <x v="8"/>
    <x v="1"/>
    <x v="3"/>
    <n v="68"/>
    <x v="89"/>
    <x v="57"/>
    <s v="(604) 555-4555"/>
    <s v="23 Tsawassen Blvd."/>
    <m/>
    <x v="47"/>
    <s v="BC"/>
    <s v="T2F 8M4"/>
    <x v="10"/>
    <x v="0"/>
    <s v="Lincoln"/>
    <s v="Elizabeth"/>
    <x v="0"/>
  </r>
  <r>
    <n v="10250"/>
    <n v="50"/>
    <n v="61.22"/>
    <n v="7"/>
    <n v="3061"/>
    <d v="2004-05-11T00:00:00"/>
    <x v="0"/>
    <n v="2"/>
    <x v="1"/>
    <x v="1"/>
    <x v="1"/>
    <x v="3"/>
    <n v="68"/>
    <x v="89"/>
    <x v="61"/>
    <n v="4085553659"/>
    <s v="3086 Ingle Ln."/>
    <m/>
    <x v="51"/>
    <s v="CA"/>
    <n v="94217"/>
    <x v="0"/>
    <x v="0"/>
    <s v="Frick"/>
    <s v="Sue"/>
    <x v="1"/>
  </r>
  <r>
    <n v="10262"/>
    <n v="40"/>
    <n v="79.11"/>
    <n v="2"/>
    <n v="3164.4"/>
    <d v="2004-06-24T00:00:00"/>
    <x v="3"/>
    <n v="2"/>
    <x v="9"/>
    <x v="9"/>
    <x v="1"/>
    <x v="3"/>
    <n v="68"/>
    <x v="89"/>
    <x v="23"/>
    <s v="(91) 555 94 44"/>
    <s v="C/ Moralzarzal, 86"/>
    <m/>
    <x v="20"/>
    <m/>
    <n v="28034"/>
    <x v="7"/>
    <x v="1"/>
    <s v="Freyre"/>
    <s v="Diego"/>
    <x v="1"/>
  </r>
  <r>
    <n v="10275"/>
    <n v="28"/>
    <n v="63.97"/>
    <n v="12"/>
    <n v="1791.16"/>
    <d v="2004-07-23T00:00:00"/>
    <x v="0"/>
    <n v="3"/>
    <x v="2"/>
    <x v="2"/>
    <x v="1"/>
    <x v="3"/>
    <n v="68"/>
    <x v="89"/>
    <x v="14"/>
    <s v="40.67.8555"/>
    <s v="67, rue des Cinquante Otages"/>
    <m/>
    <x v="11"/>
    <m/>
    <n v="44000"/>
    <x v="1"/>
    <x v="1"/>
    <s v="Labrune"/>
    <s v="Janine"/>
    <x v="0"/>
  </r>
  <r>
    <n v="10284"/>
    <n v="50"/>
    <n v="81.86"/>
    <n v="4"/>
    <n v="4093"/>
    <d v="2004-08-21T00:00:00"/>
    <x v="0"/>
    <n v="3"/>
    <x v="3"/>
    <x v="3"/>
    <x v="1"/>
    <x v="3"/>
    <n v="68"/>
    <x v="89"/>
    <x v="85"/>
    <s v="+47 2212 1555"/>
    <s v="Drammensveien 126 A, PB 744 Sentrum"/>
    <m/>
    <x v="68"/>
    <m/>
    <s v="N 0106"/>
    <x v="2"/>
    <x v="1"/>
    <s v="Klaeboe"/>
    <s v="Jan"/>
    <x v="1"/>
  </r>
  <r>
    <n v="10297"/>
    <n v="28"/>
    <n v="79.8"/>
    <n v="7"/>
    <n v="2234.4"/>
    <d v="2004-09-16T00:00:00"/>
    <x v="0"/>
    <n v="3"/>
    <x v="10"/>
    <x v="10"/>
    <x v="1"/>
    <x v="3"/>
    <n v="68"/>
    <x v="89"/>
    <x v="75"/>
    <s v="+353 1862 1555"/>
    <s v="25 Maiden Lane"/>
    <s v="Floor No. 4"/>
    <x v="60"/>
    <m/>
    <n v="2"/>
    <x v="18"/>
    <x v="1"/>
    <s v="Cassidy"/>
    <s v="Dean"/>
    <x v="0"/>
  </r>
  <r>
    <n v="10308"/>
    <n v="46"/>
    <n v="66.040000000000006"/>
    <n v="10"/>
    <n v="3037.84"/>
    <d v="2004-10-15T00:00:00"/>
    <x v="0"/>
    <n v="4"/>
    <x v="4"/>
    <x v="4"/>
    <x v="1"/>
    <x v="3"/>
    <n v="68"/>
    <x v="89"/>
    <x v="47"/>
    <n v="9145554562"/>
    <s v="3758 North Pendale Street"/>
    <m/>
    <x v="39"/>
    <s v="NY"/>
    <n v="24067"/>
    <x v="0"/>
    <x v="0"/>
    <s v="Frick"/>
    <s v="Steve"/>
    <x v="1"/>
  </r>
  <r>
    <n v="10316"/>
    <n v="24"/>
    <n v="59.16"/>
    <n v="2"/>
    <n v="1419.84"/>
    <d v="2004-11-01T00:00:00"/>
    <x v="0"/>
    <n v="4"/>
    <x v="5"/>
    <x v="5"/>
    <x v="1"/>
    <x v="3"/>
    <n v="68"/>
    <x v="89"/>
    <x v="59"/>
    <s v="(198) 555-8888"/>
    <s v="Garden House Crowther Way"/>
    <m/>
    <x v="49"/>
    <s v="Isle of Wight"/>
    <s v="PO31 7PJ"/>
    <x v="6"/>
    <x v="1"/>
    <s v="Bennett"/>
    <s v="Helen"/>
    <x v="0"/>
  </r>
  <r>
    <n v="10328"/>
    <n v="24"/>
    <n v="81.17"/>
    <n v="5"/>
    <n v="1948.08"/>
    <d v="2004-11-12T00:00:00"/>
    <x v="0"/>
    <n v="4"/>
    <x v="5"/>
    <x v="5"/>
    <x v="1"/>
    <x v="3"/>
    <n v="68"/>
    <x v="89"/>
    <x v="86"/>
    <s v="035-640555"/>
    <s v="Via Ludovico il Moro 22"/>
    <m/>
    <x v="69"/>
    <m/>
    <n v="24100"/>
    <x v="12"/>
    <x v="1"/>
    <s v="Rovelli"/>
    <s v="Giovanni"/>
    <x v="0"/>
  </r>
  <r>
    <n v="10340"/>
    <n v="39"/>
    <n v="59.16"/>
    <n v="3"/>
    <n v="2307.2399999999998"/>
    <d v="2004-11-24T00:00:00"/>
    <x v="0"/>
    <n v="4"/>
    <x v="5"/>
    <x v="5"/>
    <x v="1"/>
    <x v="3"/>
    <n v="68"/>
    <x v="89"/>
    <x v="53"/>
    <s v="(93) 203 4555"/>
    <s v="Rambla de Catalu¤a, 23"/>
    <m/>
    <x v="43"/>
    <m/>
    <n v="8022"/>
    <x v="7"/>
    <x v="1"/>
    <s v="Saavedra"/>
    <s v="Eduardo"/>
    <x v="0"/>
  </r>
  <r>
    <n v="10353"/>
    <n v="40"/>
    <n v="44.51"/>
    <n v="7"/>
    <n v="1780.4"/>
    <d v="2004-12-04T00:00:00"/>
    <x v="0"/>
    <n v="4"/>
    <x v="6"/>
    <x v="6"/>
    <x v="1"/>
    <x v="3"/>
    <n v="68"/>
    <x v="89"/>
    <x v="88"/>
    <n v="2035554407"/>
    <s v="2440 Pompton St."/>
    <m/>
    <x v="63"/>
    <s v="CT"/>
    <n v="97561"/>
    <x v="0"/>
    <x v="0"/>
    <s v="Lewis"/>
    <s v="Dan"/>
    <x v="0"/>
  </r>
  <r>
    <n v="10361"/>
    <n v="49"/>
    <n v="72.33"/>
    <n v="2"/>
    <n v="3544.17"/>
    <d v="2004-12-17T00:00:00"/>
    <x v="0"/>
    <n v="4"/>
    <x v="6"/>
    <x v="6"/>
    <x v="1"/>
    <x v="3"/>
    <n v="68"/>
    <x v="89"/>
    <x v="20"/>
    <s v="+61 2 9495 8555"/>
    <s v="Monitor Money Building, 815 Pacific Hwy"/>
    <s v="Level 6"/>
    <x v="17"/>
    <s v="NSW"/>
    <n v="2067"/>
    <x v="3"/>
    <x v="2"/>
    <s v="Huxley"/>
    <s v="Adrian"/>
    <x v="1"/>
  </r>
  <r>
    <n v="10375"/>
    <n v="44"/>
    <n v="82.26"/>
    <n v="4"/>
    <n v="3619.44"/>
    <d v="2005-02-03T00:00:00"/>
    <x v="0"/>
    <n v="1"/>
    <x v="0"/>
    <x v="0"/>
    <x v="2"/>
    <x v="3"/>
    <n v="68"/>
    <x v="89"/>
    <x v="14"/>
    <s v="40.67.8555"/>
    <s v="67, rue des Cinquante Otages"/>
    <m/>
    <x v="11"/>
    <m/>
    <n v="44000"/>
    <x v="1"/>
    <x v="1"/>
    <s v="Labrune"/>
    <s v="Janine"/>
    <x v="1"/>
  </r>
  <r>
    <n v="10388"/>
    <n v="35"/>
    <n v="100"/>
    <n v="8"/>
    <n v="3918.95"/>
    <d v="2005-03-03T00:00:00"/>
    <x v="0"/>
    <n v="1"/>
    <x v="11"/>
    <x v="11"/>
    <x v="2"/>
    <x v="3"/>
    <n v="68"/>
    <x v="89"/>
    <x v="21"/>
    <n v="5085552555"/>
    <s v="1785 First Street"/>
    <m/>
    <x v="18"/>
    <s v="MA"/>
    <n v="50553"/>
    <x v="0"/>
    <x v="0"/>
    <s v="Benitez"/>
    <s v="Violeta"/>
    <x v="1"/>
  </r>
  <r>
    <n v="10398"/>
    <n v="22"/>
    <n v="67.41"/>
    <n v="4"/>
    <n v="1483.02"/>
    <d v="2005-03-30T00:00:00"/>
    <x v="0"/>
    <n v="1"/>
    <x v="11"/>
    <x v="11"/>
    <x v="2"/>
    <x v="3"/>
    <n v="68"/>
    <x v="89"/>
    <x v="1"/>
    <s v="26.47.1555"/>
    <s v="59 rue de l'Abbaye"/>
    <m/>
    <x v="1"/>
    <m/>
    <n v="51100"/>
    <x v="1"/>
    <x v="1"/>
    <s v="Henriot"/>
    <s v="Paul"/>
    <x v="0"/>
  </r>
  <r>
    <n v="10401"/>
    <n v="62"/>
    <n v="77.73"/>
    <n v="6"/>
    <n v="4819.26"/>
    <d v="2005-04-03T00:00:00"/>
    <x v="4"/>
    <n v="2"/>
    <x v="8"/>
    <x v="8"/>
    <x v="2"/>
    <x v="3"/>
    <n v="68"/>
    <x v="89"/>
    <x v="12"/>
    <n v="2015559350"/>
    <s v="7476 Moss Rd."/>
    <m/>
    <x v="9"/>
    <s v="NJ"/>
    <n v="94019"/>
    <x v="0"/>
    <x v="0"/>
    <s v="Brown"/>
    <s v="William"/>
    <x v="1"/>
  </r>
  <r>
    <n v="10416"/>
    <n v="26"/>
    <n v="61.22"/>
    <n v="7"/>
    <n v="1591.72"/>
    <d v="2005-05-10T00:00:00"/>
    <x v="0"/>
    <n v="2"/>
    <x v="1"/>
    <x v="1"/>
    <x v="2"/>
    <x v="3"/>
    <n v="68"/>
    <x v="89"/>
    <x v="70"/>
    <s v="0522-556555"/>
    <s v="Strada Provinciale 124"/>
    <m/>
    <x v="57"/>
    <m/>
    <n v="42100"/>
    <x v="12"/>
    <x v="1"/>
    <s v="Moroni"/>
    <s v="Maurizio"/>
    <x v="0"/>
  </r>
  <r>
    <n v="10108"/>
    <n v="31"/>
    <n v="100"/>
    <n v="16"/>
    <n v="3669.78"/>
    <d v="2003-03-03T00:00:00"/>
    <x v="0"/>
    <n v="1"/>
    <x v="11"/>
    <x v="11"/>
    <x v="0"/>
    <x v="0"/>
    <n v="102"/>
    <x v="90"/>
    <x v="66"/>
    <s v="+63 2 555 3587"/>
    <s v="15 McCallum Street - NatWest Center #13-03"/>
    <m/>
    <x v="53"/>
    <m/>
    <s v="1227 MM"/>
    <x v="15"/>
    <x v="3"/>
    <s v="Cruz"/>
    <s v="Arnold"/>
    <x v="1"/>
  </r>
  <r>
    <n v="10121"/>
    <n v="25"/>
    <n v="86.74"/>
    <n v="3"/>
    <n v="2168.5"/>
    <d v="2003-05-07T00:00:00"/>
    <x v="0"/>
    <n v="2"/>
    <x v="1"/>
    <x v="1"/>
    <x v="0"/>
    <x v="0"/>
    <n v="102"/>
    <x v="90"/>
    <x v="1"/>
    <s v="26.47.1555"/>
    <s v="59 rue de l'Abbaye"/>
    <m/>
    <x v="1"/>
    <m/>
    <n v="51100"/>
    <x v="1"/>
    <x v="1"/>
    <s v="Henriot"/>
    <s v="Paul"/>
    <x v="0"/>
  </r>
  <r>
    <n v="10135"/>
    <n v="30"/>
    <n v="89.8"/>
    <n v="17"/>
    <n v="2694"/>
    <d v="2003-07-02T00:00:00"/>
    <x v="0"/>
    <n v="3"/>
    <x v="2"/>
    <x v="2"/>
    <x v="0"/>
    <x v="0"/>
    <n v="102"/>
    <x v="90"/>
    <x v="39"/>
    <n v="4155551450"/>
    <s v="5677 Strong St."/>
    <m/>
    <x v="33"/>
    <s v="CA"/>
    <n v="97562"/>
    <x v="0"/>
    <x v="0"/>
    <s v="Nelson"/>
    <s v="Valarie"/>
    <x v="0"/>
  </r>
  <r>
    <n v="10145"/>
    <n v="27"/>
    <n v="100"/>
    <n v="4"/>
    <n v="3251.34"/>
    <d v="2003-08-25T00:00:00"/>
    <x v="0"/>
    <n v="3"/>
    <x v="3"/>
    <x v="3"/>
    <x v="0"/>
    <x v="0"/>
    <n v="102"/>
    <x v="90"/>
    <x v="3"/>
    <n v="6265557265"/>
    <s v="78934 Hillside Dr."/>
    <m/>
    <x v="3"/>
    <s v="CA"/>
    <n v="90003"/>
    <x v="0"/>
    <x v="0"/>
    <s v="Young"/>
    <s v="Julie"/>
    <x v="1"/>
  </r>
  <r>
    <n v="10159"/>
    <n v="23"/>
    <n v="100"/>
    <n v="12"/>
    <n v="2347.15"/>
    <d v="2003-10-10T00:00:00"/>
    <x v="0"/>
    <n v="4"/>
    <x v="4"/>
    <x v="4"/>
    <x v="0"/>
    <x v="0"/>
    <n v="102"/>
    <x v="90"/>
    <x v="4"/>
    <n v="6505551386"/>
    <s v="7734 Strong St."/>
    <m/>
    <x v="4"/>
    <s v="CA"/>
    <m/>
    <x v="0"/>
    <x v="0"/>
    <s v="Brown"/>
    <s v="Julie"/>
    <x v="0"/>
  </r>
  <r>
    <n v="10169"/>
    <n v="34"/>
    <n v="100"/>
    <n v="12"/>
    <n v="3920.88"/>
    <d v="2003-11-04T00:00:00"/>
    <x v="0"/>
    <n v="4"/>
    <x v="5"/>
    <x v="5"/>
    <x v="0"/>
    <x v="0"/>
    <n v="102"/>
    <x v="90"/>
    <x v="42"/>
    <s v="02 9936 8555"/>
    <s v="201 Miller Street"/>
    <s v="Level 15"/>
    <x v="36"/>
    <s v="NSW"/>
    <n v="2060"/>
    <x v="3"/>
    <x v="2"/>
    <s v="O'Hara"/>
    <s v="Anna"/>
    <x v="1"/>
  </r>
  <r>
    <n v="10180"/>
    <n v="22"/>
    <n v="100"/>
    <n v="7"/>
    <n v="2514.6"/>
    <d v="2003-11-11T00:00:00"/>
    <x v="0"/>
    <n v="4"/>
    <x v="5"/>
    <x v="5"/>
    <x v="0"/>
    <x v="0"/>
    <n v="102"/>
    <x v="90"/>
    <x v="6"/>
    <s v="20.16.1555"/>
    <s v="184, chausse de Tournai"/>
    <m/>
    <x v="6"/>
    <m/>
    <n v="59000"/>
    <x v="1"/>
    <x v="1"/>
    <s v="Rance"/>
    <s v="Martine"/>
    <x v="0"/>
  </r>
  <r>
    <n v="10190"/>
    <n v="42"/>
    <n v="85.72"/>
    <n v="4"/>
    <n v="3600.24"/>
    <d v="2003-11-19T00:00:00"/>
    <x v="0"/>
    <n v="4"/>
    <x v="5"/>
    <x v="5"/>
    <x v="0"/>
    <x v="0"/>
    <n v="102"/>
    <x v="90"/>
    <x v="23"/>
    <s v="(91) 555 94 44"/>
    <s v="C/ Moralzarzal, 86"/>
    <m/>
    <x v="20"/>
    <m/>
    <n v="28034"/>
    <x v="7"/>
    <x v="1"/>
    <s v="Freyre"/>
    <s v="Diego"/>
    <x v="1"/>
  </r>
  <r>
    <n v="10211"/>
    <n v="37"/>
    <n v="100"/>
    <n v="12"/>
    <n v="4040.03"/>
    <d v="2004-01-15T00:00:00"/>
    <x v="0"/>
    <n v="1"/>
    <x v="7"/>
    <x v="7"/>
    <x v="1"/>
    <x v="0"/>
    <n v="102"/>
    <x v="90"/>
    <x v="9"/>
    <s v="(1) 47.55.6555"/>
    <s v="25, rue Lauriston"/>
    <m/>
    <x v="2"/>
    <m/>
    <n v="75016"/>
    <x v="1"/>
    <x v="1"/>
    <s v="Perrier"/>
    <s v="Dominique"/>
    <x v="1"/>
  </r>
  <r>
    <n v="10224"/>
    <n v="30"/>
    <n v="100"/>
    <n v="5"/>
    <n v="3336.9"/>
    <d v="2004-02-21T00:00:00"/>
    <x v="0"/>
    <n v="1"/>
    <x v="0"/>
    <x v="0"/>
    <x v="1"/>
    <x v="0"/>
    <n v="102"/>
    <x v="90"/>
    <x v="6"/>
    <s v="20.16.1555"/>
    <s v="184, chausse de Tournai"/>
    <m/>
    <x v="6"/>
    <m/>
    <n v="59000"/>
    <x v="1"/>
    <x v="1"/>
    <s v="Rance"/>
    <s v="Martine"/>
    <x v="1"/>
  </r>
  <r>
    <n v="10237"/>
    <n v="27"/>
    <n v="100"/>
    <n v="5"/>
    <n v="3113.64"/>
    <d v="2004-04-05T00:00:00"/>
    <x v="0"/>
    <n v="2"/>
    <x v="8"/>
    <x v="8"/>
    <x v="1"/>
    <x v="0"/>
    <n v="102"/>
    <x v="90"/>
    <x v="11"/>
    <n v="2125551500"/>
    <s v="2678 Kingston Rd."/>
    <s v="Suite 101"/>
    <x v="0"/>
    <s v="NY"/>
    <n v="10022"/>
    <x v="0"/>
    <x v="0"/>
    <s v="Frick"/>
    <s v="Michael"/>
    <x v="1"/>
  </r>
  <r>
    <n v="10252"/>
    <n v="25"/>
    <n v="100"/>
    <n v="9"/>
    <n v="2832"/>
    <d v="2004-05-26T00:00:00"/>
    <x v="0"/>
    <n v="2"/>
    <x v="1"/>
    <x v="1"/>
    <x v="1"/>
    <x v="0"/>
    <n v="102"/>
    <x v="90"/>
    <x v="9"/>
    <s v="(1) 47.55.6555"/>
    <s v="25, rue Lauriston"/>
    <m/>
    <x v="2"/>
    <m/>
    <n v="75016"/>
    <x v="1"/>
    <x v="1"/>
    <s v="Perrier"/>
    <s v="Dominique"/>
    <x v="0"/>
  </r>
  <r>
    <n v="10264"/>
    <n v="34"/>
    <n v="97.97"/>
    <n v="7"/>
    <n v="3330.98"/>
    <d v="2004-06-30T00:00:00"/>
    <x v="0"/>
    <n v="2"/>
    <x v="9"/>
    <x v="9"/>
    <x v="1"/>
    <x v="0"/>
    <n v="102"/>
    <x v="90"/>
    <x v="58"/>
    <n v="6175559555"/>
    <s v="8616 Spinnaker Dr."/>
    <m/>
    <x v="48"/>
    <s v="MA"/>
    <n v="51003"/>
    <x v="0"/>
    <x v="0"/>
    <s v="Yoshido"/>
    <s v="Juri"/>
    <x v="1"/>
  </r>
  <r>
    <n v="10276"/>
    <n v="38"/>
    <n v="100"/>
    <n v="13"/>
    <n v="4304.6400000000003"/>
    <d v="2004-08-02T00:00:00"/>
    <x v="0"/>
    <n v="3"/>
    <x v="3"/>
    <x v="3"/>
    <x v="1"/>
    <x v="0"/>
    <n v="102"/>
    <x v="90"/>
    <x v="71"/>
    <n v="6175557555"/>
    <s v="7635 Spinnaker Dr."/>
    <m/>
    <x v="35"/>
    <s v="MA"/>
    <n v="58339"/>
    <x v="0"/>
    <x v="0"/>
    <s v="Barajas"/>
    <s v="Miguel"/>
    <x v="1"/>
  </r>
  <r>
    <n v="10285"/>
    <n v="26"/>
    <n v="100"/>
    <n v="4"/>
    <n v="2600.2600000000002"/>
    <d v="2004-08-27T00:00:00"/>
    <x v="0"/>
    <n v="3"/>
    <x v="3"/>
    <x v="3"/>
    <x v="1"/>
    <x v="0"/>
    <n v="102"/>
    <x v="90"/>
    <x v="15"/>
    <n v="6175558555"/>
    <s v="39323 Spinnaker Dr."/>
    <m/>
    <x v="12"/>
    <s v="MA"/>
    <n v="51247"/>
    <x v="0"/>
    <x v="0"/>
    <s v="Hernandez"/>
    <s v="Marta"/>
    <x v="0"/>
  </r>
  <r>
    <n v="10299"/>
    <n v="38"/>
    <n v="100"/>
    <n v="7"/>
    <n v="4382.16"/>
    <d v="2004-09-30T00:00:00"/>
    <x v="0"/>
    <n v="3"/>
    <x v="10"/>
    <x v="10"/>
    <x v="1"/>
    <x v="0"/>
    <n v="102"/>
    <x v="90"/>
    <x v="16"/>
    <s v="90-224 8555"/>
    <s v="Keskuskatu 45"/>
    <m/>
    <x v="13"/>
    <m/>
    <n v="21240"/>
    <x v="4"/>
    <x v="1"/>
    <s v="Karttunen"/>
    <s v="Matti"/>
    <x v="1"/>
  </r>
  <r>
    <n v="10309"/>
    <n v="50"/>
    <n v="84.7"/>
    <n v="3"/>
    <n v="4235"/>
    <d v="2004-10-15T00:00:00"/>
    <x v="0"/>
    <n v="4"/>
    <x v="4"/>
    <x v="4"/>
    <x v="1"/>
    <x v="0"/>
    <n v="102"/>
    <x v="90"/>
    <x v="17"/>
    <s v="07-98 9555"/>
    <s v="Erling Skakkes gate 78"/>
    <m/>
    <x v="14"/>
    <m/>
    <n v="4110"/>
    <x v="2"/>
    <x v="1"/>
    <s v="Bergulfsen"/>
    <s v="Jonas"/>
    <x v="1"/>
  </r>
  <r>
    <n v="10319"/>
    <n v="22"/>
    <n v="100"/>
    <n v="8"/>
    <n v="2626.8"/>
    <d v="2004-11-03T00:00:00"/>
    <x v="0"/>
    <n v="4"/>
    <x v="5"/>
    <x v="5"/>
    <x v="1"/>
    <x v="0"/>
    <n v="102"/>
    <x v="90"/>
    <x v="79"/>
    <n v="2125551957"/>
    <s v="5290 North Pendale Street"/>
    <s v="Suite 200"/>
    <x v="0"/>
    <s v="NY"/>
    <n v="10022"/>
    <x v="0"/>
    <x v="0"/>
    <s v="Kuo"/>
    <s v="Kee"/>
    <x v="0"/>
  </r>
  <r>
    <n v="10331"/>
    <n v="32"/>
    <n v="100"/>
    <n v="4"/>
    <n v="5026.5600000000004"/>
    <d v="2004-11-17T00:00:00"/>
    <x v="0"/>
    <n v="4"/>
    <x v="5"/>
    <x v="5"/>
    <x v="1"/>
    <x v="0"/>
    <n v="102"/>
    <x v="90"/>
    <x v="45"/>
    <n v="2155559857"/>
    <s v="11328 Douglas Av."/>
    <m/>
    <x v="24"/>
    <s v="PA"/>
    <n v="71270"/>
    <x v="0"/>
    <x v="0"/>
    <s v="Hernandez"/>
    <s v="Rosa"/>
    <x v="1"/>
  </r>
  <r>
    <n v="10341"/>
    <n v="31"/>
    <n v="71.02"/>
    <n v="4"/>
    <n v="2201.62"/>
    <d v="2004-11-24T00:00:00"/>
    <x v="0"/>
    <n v="4"/>
    <x v="5"/>
    <x v="5"/>
    <x v="1"/>
    <x v="0"/>
    <n v="102"/>
    <x v="90"/>
    <x v="19"/>
    <s v="6562-9555"/>
    <s v="Geislweg 14"/>
    <m/>
    <x v="16"/>
    <m/>
    <n v="5020"/>
    <x v="5"/>
    <x v="1"/>
    <s v="Pipps"/>
    <s v="Georg"/>
    <x v="0"/>
  </r>
  <r>
    <n v="10355"/>
    <n v="40"/>
    <n v="100"/>
    <n v="5"/>
    <n v="4326.8"/>
    <d v="2004-12-07T00:00:00"/>
    <x v="0"/>
    <n v="4"/>
    <x v="6"/>
    <x v="6"/>
    <x v="1"/>
    <x v="0"/>
    <n v="102"/>
    <x v="90"/>
    <x v="23"/>
    <s v="(91) 555 94 44"/>
    <s v="C/ Moralzarzal, 86"/>
    <m/>
    <x v="20"/>
    <m/>
    <n v="28034"/>
    <x v="7"/>
    <x v="1"/>
    <s v="Freyre"/>
    <s v="Diego"/>
    <x v="1"/>
  </r>
  <r>
    <n v="10365"/>
    <n v="22"/>
    <n v="100"/>
    <n v="3"/>
    <n v="3425.18"/>
    <d v="2005-01-07T00:00:00"/>
    <x v="0"/>
    <n v="1"/>
    <x v="7"/>
    <x v="7"/>
    <x v="2"/>
    <x v="0"/>
    <n v="102"/>
    <x v="90"/>
    <x v="50"/>
    <n v="5085559555"/>
    <s v="4575 Hillside Dr."/>
    <m/>
    <x v="18"/>
    <s v="MA"/>
    <n v="50553"/>
    <x v="0"/>
    <x v="0"/>
    <s v="Tam"/>
    <s v="Wing C"/>
    <x v="1"/>
  </r>
  <r>
    <n v="10375"/>
    <n v="41"/>
    <n v="100"/>
    <n v="15"/>
    <n v="4701.88"/>
    <d v="2005-02-03T00:00:00"/>
    <x v="0"/>
    <n v="1"/>
    <x v="0"/>
    <x v="0"/>
    <x v="2"/>
    <x v="0"/>
    <n v="102"/>
    <x v="90"/>
    <x v="14"/>
    <s v="40.67.8555"/>
    <s v="67, rue des Cinquante Otages"/>
    <m/>
    <x v="11"/>
    <m/>
    <n v="44000"/>
    <x v="1"/>
    <x v="1"/>
    <s v="Labrune"/>
    <s v="Janine"/>
    <x v="1"/>
  </r>
  <r>
    <n v="10390"/>
    <n v="45"/>
    <n v="48.98"/>
    <n v="12"/>
    <n v="2204.1"/>
    <d v="2005-03-04T00:00:00"/>
    <x v="0"/>
    <n v="1"/>
    <x v="11"/>
    <x v="11"/>
    <x v="2"/>
    <x v="0"/>
    <n v="102"/>
    <x v="90"/>
    <x v="39"/>
    <n v="4155551450"/>
    <s v="5677 Strong St."/>
    <m/>
    <x v="33"/>
    <s v="CA"/>
    <n v="97562"/>
    <x v="0"/>
    <x v="0"/>
    <s v="Nelson"/>
    <s v="Valarie"/>
    <x v="0"/>
  </r>
  <r>
    <n v="10403"/>
    <n v="45"/>
    <n v="100"/>
    <n v="5"/>
    <n v="5189.3999999999996"/>
    <d v="2005-04-08T00:00:00"/>
    <x v="0"/>
    <n v="2"/>
    <x v="8"/>
    <x v="8"/>
    <x v="2"/>
    <x v="0"/>
    <n v="102"/>
    <x v="90"/>
    <x v="22"/>
    <s v="(171) 555-2282"/>
    <s v="Berkeley Gardens 12  Brewery"/>
    <m/>
    <x v="19"/>
    <m/>
    <s v="WX1 6LT"/>
    <x v="6"/>
    <x v="1"/>
    <s v="Devon"/>
    <s v="Elizabeth"/>
    <x v="1"/>
  </r>
  <r>
    <n v="10106"/>
    <n v="39"/>
    <n v="40.15"/>
    <n v="6"/>
    <n v="1565.85"/>
    <d v="2003-02-17T00:00:00"/>
    <x v="0"/>
    <n v="1"/>
    <x v="0"/>
    <x v="0"/>
    <x v="0"/>
    <x v="3"/>
    <n v="43"/>
    <x v="91"/>
    <x v="86"/>
    <s v="035-640555"/>
    <s v="Via Ludovico il Moro 22"/>
    <m/>
    <x v="69"/>
    <m/>
    <n v="24100"/>
    <x v="12"/>
    <x v="1"/>
    <s v="Rovelli"/>
    <s v="Giovanni"/>
    <x v="0"/>
  </r>
  <r>
    <n v="10120"/>
    <n v="49"/>
    <n v="50.62"/>
    <n v="12"/>
    <n v="2480.38"/>
    <d v="2003-04-29T00:00:00"/>
    <x v="0"/>
    <n v="2"/>
    <x v="8"/>
    <x v="8"/>
    <x v="0"/>
    <x v="3"/>
    <n v="43"/>
    <x v="91"/>
    <x v="10"/>
    <s v="03 9520 4555"/>
    <s v="636 St Kilda Road"/>
    <s v="Level 3"/>
    <x v="8"/>
    <s v="Victoria"/>
    <n v="3004"/>
    <x v="3"/>
    <x v="2"/>
    <s v="Ferguson"/>
    <s v="Peter"/>
    <x v="0"/>
  </r>
  <r>
    <n v="10133"/>
    <n v="27"/>
    <n v="50.19"/>
    <n v="7"/>
    <n v="1355.13"/>
    <d v="2003-06-27T00:00:00"/>
    <x v="0"/>
    <n v="2"/>
    <x v="9"/>
    <x v="9"/>
    <x v="0"/>
    <x v="3"/>
    <n v="43"/>
    <x v="91"/>
    <x v="23"/>
    <s v="(91) 555 94 44"/>
    <s v="C/ Moralzarzal, 86"/>
    <m/>
    <x v="20"/>
    <m/>
    <n v="28034"/>
    <x v="7"/>
    <x v="1"/>
    <s v="Freyre"/>
    <s v="Diego"/>
    <x v="0"/>
  </r>
  <r>
    <n v="10143"/>
    <n v="34"/>
    <n v="36.659999999999997"/>
    <n v="1"/>
    <n v="1246.44"/>
    <d v="2003-08-10T00:00:00"/>
    <x v="0"/>
    <n v="3"/>
    <x v="3"/>
    <x v="3"/>
    <x v="0"/>
    <x v="3"/>
    <n v="43"/>
    <x v="91"/>
    <x v="50"/>
    <n v="5085559555"/>
    <s v="4575 Hillside Dr."/>
    <m/>
    <x v="18"/>
    <s v="MA"/>
    <n v="50553"/>
    <x v="0"/>
    <x v="0"/>
    <s v="Tam"/>
    <s v="Wing C"/>
    <x v="0"/>
  </r>
  <r>
    <n v="10156"/>
    <n v="20"/>
    <n v="41.02"/>
    <n v="1"/>
    <n v="820.4"/>
    <d v="2003-10-08T00:00:00"/>
    <x v="0"/>
    <n v="4"/>
    <x v="4"/>
    <x v="4"/>
    <x v="0"/>
    <x v="3"/>
    <n v="43"/>
    <x v="91"/>
    <x v="23"/>
    <s v="(91) 555 94 44"/>
    <s v="C/ Moralzarzal, 86"/>
    <m/>
    <x v="20"/>
    <m/>
    <n v="28034"/>
    <x v="7"/>
    <x v="1"/>
    <s v="Freyre"/>
    <s v="Diego"/>
    <x v="0"/>
  </r>
  <r>
    <n v="10168"/>
    <n v="48"/>
    <n v="51.93"/>
    <n v="13"/>
    <n v="2492.64"/>
    <d v="2003-10-28T00:00:00"/>
    <x v="0"/>
    <n v="4"/>
    <x v="4"/>
    <x v="4"/>
    <x v="0"/>
    <x v="3"/>
    <n v="43"/>
    <x v="91"/>
    <x v="5"/>
    <n v="6505556809"/>
    <s v="9408 Furth Circle"/>
    <m/>
    <x v="5"/>
    <s v="CA"/>
    <n v="94217"/>
    <x v="0"/>
    <x v="0"/>
    <s v="Hirano"/>
    <s v="Juri"/>
    <x v="0"/>
  </r>
  <r>
    <n v="10199"/>
    <n v="29"/>
    <n v="38.4"/>
    <n v="1"/>
    <n v="1113.5999999999999"/>
    <d v="2003-12-01T00:00:00"/>
    <x v="0"/>
    <n v="4"/>
    <x v="6"/>
    <x v="6"/>
    <x v="0"/>
    <x v="3"/>
    <n v="43"/>
    <x v="91"/>
    <x v="32"/>
    <n v="3105553722"/>
    <s v="3675 Furth Circle"/>
    <m/>
    <x v="27"/>
    <s v="CA"/>
    <n v="94019"/>
    <x v="0"/>
    <x v="0"/>
    <s v="Thompson"/>
    <s v="Steve"/>
    <x v="0"/>
  </r>
  <r>
    <n v="10210"/>
    <n v="43"/>
    <n v="41.02"/>
    <n v="11"/>
    <n v="1763.86"/>
    <d v="2004-01-12T00:00:00"/>
    <x v="0"/>
    <n v="1"/>
    <x v="7"/>
    <x v="7"/>
    <x v="1"/>
    <x v="3"/>
    <n v="43"/>
    <x v="91"/>
    <x v="44"/>
    <s v="+81 06 6342 5555"/>
    <s v="Dojima Avanza 4F, 1-6-20 Dojima, Kita-ku"/>
    <m/>
    <x v="38"/>
    <s v="Osaka"/>
    <s v="530-0003"/>
    <x v="11"/>
    <x v="3"/>
    <s v="Kentary"/>
    <s v="Mory"/>
    <x v="0"/>
  </r>
  <r>
    <n v="10223"/>
    <n v="41"/>
    <n v="46.26"/>
    <n v="13"/>
    <n v="1896.66"/>
    <d v="2004-02-20T00:00:00"/>
    <x v="0"/>
    <n v="1"/>
    <x v="0"/>
    <x v="0"/>
    <x v="1"/>
    <x v="3"/>
    <n v="43"/>
    <x v="91"/>
    <x v="10"/>
    <s v="03 9520 4555"/>
    <s v="636 St Kilda Road"/>
    <s v="Level 3"/>
    <x v="8"/>
    <s v="Victoria"/>
    <n v="3004"/>
    <x v="3"/>
    <x v="2"/>
    <s v="Ferguson"/>
    <s v="Peter"/>
    <x v="0"/>
  </r>
  <r>
    <n v="10235"/>
    <n v="41"/>
    <n v="35.35"/>
    <n v="7"/>
    <n v="1449.35"/>
    <d v="2004-04-02T00:00:00"/>
    <x v="0"/>
    <n v="2"/>
    <x v="8"/>
    <x v="8"/>
    <x v="1"/>
    <x v="3"/>
    <n v="43"/>
    <x v="91"/>
    <x v="57"/>
    <s v="(604) 555-4555"/>
    <s v="23 Tsawassen Blvd."/>
    <m/>
    <x v="47"/>
    <s v="BC"/>
    <s v="T2F 8M4"/>
    <x v="10"/>
    <x v="0"/>
    <s v="Lincoln"/>
    <s v="Elizabeth"/>
    <x v="0"/>
  </r>
  <r>
    <n v="10250"/>
    <n v="36"/>
    <n v="51.93"/>
    <n v="8"/>
    <n v="1869.48"/>
    <d v="2004-05-11T00:00:00"/>
    <x v="0"/>
    <n v="2"/>
    <x v="1"/>
    <x v="1"/>
    <x v="1"/>
    <x v="3"/>
    <n v="43"/>
    <x v="91"/>
    <x v="61"/>
    <n v="4085553659"/>
    <s v="3086 Ingle Ln."/>
    <m/>
    <x v="51"/>
    <s v="CA"/>
    <n v="94217"/>
    <x v="0"/>
    <x v="0"/>
    <s v="Frick"/>
    <s v="Sue"/>
    <x v="0"/>
  </r>
  <r>
    <n v="10262"/>
    <n v="49"/>
    <n v="37.97"/>
    <n v="3"/>
    <n v="1860.53"/>
    <d v="2004-06-24T00:00:00"/>
    <x v="3"/>
    <n v="2"/>
    <x v="9"/>
    <x v="9"/>
    <x v="1"/>
    <x v="3"/>
    <n v="43"/>
    <x v="91"/>
    <x v="23"/>
    <s v="(91) 555 94 44"/>
    <s v="C/ Moralzarzal, 86"/>
    <m/>
    <x v="20"/>
    <m/>
    <n v="28034"/>
    <x v="7"/>
    <x v="1"/>
    <s v="Freyre"/>
    <s v="Diego"/>
    <x v="0"/>
  </r>
  <r>
    <n v="10275"/>
    <n v="38"/>
    <n v="45.39"/>
    <n v="13"/>
    <n v="1724.82"/>
    <d v="2004-07-23T00:00:00"/>
    <x v="0"/>
    <n v="3"/>
    <x v="2"/>
    <x v="2"/>
    <x v="1"/>
    <x v="3"/>
    <n v="43"/>
    <x v="91"/>
    <x v="14"/>
    <s v="40.67.8555"/>
    <s v="67, rue des Cinquante Otages"/>
    <m/>
    <x v="11"/>
    <m/>
    <n v="44000"/>
    <x v="1"/>
    <x v="1"/>
    <s v="Labrune"/>
    <s v="Janine"/>
    <x v="0"/>
  </r>
  <r>
    <n v="10284"/>
    <n v="33"/>
    <n v="51.93"/>
    <n v="5"/>
    <n v="1713.69"/>
    <d v="2004-08-21T00:00:00"/>
    <x v="0"/>
    <n v="3"/>
    <x v="3"/>
    <x v="3"/>
    <x v="1"/>
    <x v="3"/>
    <n v="43"/>
    <x v="91"/>
    <x v="85"/>
    <s v="+47 2212 1555"/>
    <s v="Drammensveien 126 A, PB 744 Sentrum"/>
    <m/>
    <x v="68"/>
    <m/>
    <s v="N 0106"/>
    <x v="2"/>
    <x v="1"/>
    <s v="Klaeboe"/>
    <s v="Jan"/>
    <x v="0"/>
  </r>
  <r>
    <n v="10296"/>
    <n v="26"/>
    <n v="48.44"/>
    <n v="1"/>
    <n v="1259.44"/>
    <d v="2004-09-15T00:00:00"/>
    <x v="0"/>
    <n v="3"/>
    <x v="10"/>
    <x v="10"/>
    <x v="1"/>
    <x v="3"/>
    <n v="43"/>
    <x v="91"/>
    <x v="89"/>
    <s v="+49 89 61 08 9555"/>
    <s v="Hansastr. 15"/>
    <m/>
    <x v="71"/>
    <m/>
    <n v="80686"/>
    <x v="16"/>
    <x v="1"/>
    <s v="Donnermeyer"/>
    <s v="Michael"/>
    <x v="0"/>
  </r>
  <r>
    <n v="10308"/>
    <n v="47"/>
    <n v="43.64"/>
    <n v="11"/>
    <n v="2051.08"/>
    <d v="2004-10-15T00:00:00"/>
    <x v="0"/>
    <n v="4"/>
    <x v="4"/>
    <x v="4"/>
    <x v="1"/>
    <x v="3"/>
    <n v="43"/>
    <x v="91"/>
    <x v="47"/>
    <n v="9145554562"/>
    <s v="3758 North Pendale Street"/>
    <m/>
    <x v="39"/>
    <s v="NY"/>
    <n v="24067"/>
    <x v="0"/>
    <x v="0"/>
    <s v="Frick"/>
    <s v="Steve"/>
    <x v="0"/>
  </r>
  <r>
    <n v="10316"/>
    <n v="34"/>
    <n v="47.57"/>
    <n v="3"/>
    <n v="1617.38"/>
    <d v="2004-11-01T00:00:00"/>
    <x v="0"/>
    <n v="4"/>
    <x v="5"/>
    <x v="5"/>
    <x v="1"/>
    <x v="3"/>
    <n v="43"/>
    <x v="91"/>
    <x v="59"/>
    <s v="(198) 555-8888"/>
    <s v="Garden House Crowther Way"/>
    <m/>
    <x v="49"/>
    <s v="Isle of Wight"/>
    <s v="PO31 7PJ"/>
    <x v="6"/>
    <x v="1"/>
    <s v="Bennett"/>
    <s v="Helen"/>
    <x v="0"/>
  </r>
  <r>
    <n v="10328"/>
    <n v="34"/>
    <n v="51.93"/>
    <n v="7"/>
    <n v="1765.62"/>
    <d v="2004-11-12T00:00:00"/>
    <x v="0"/>
    <n v="4"/>
    <x v="5"/>
    <x v="5"/>
    <x v="1"/>
    <x v="3"/>
    <n v="43"/>
    <x v="91"/>
    <x v="86"/>
    <s v="035-640555"/>
    <s v="Via Ludovico il Moro 22"/>
    <m/>
    <x v="69"/>
    <m/>
    <n v="24100"/>
    <x v="12"/>
    <x v="1"/>
    <s v="Rovelli"/>
    <s v="Giovanni"/>
    <x v="0"/>
  </r>
  <r>
    <n v="10340"/>
    <n v="40"/>
    <n v="50.62"/>
    <n v="4"/>
    <n v="2024.8"/>
    <d v="2004-11-24T00:00:00"/>
    <x v="0"/>
    <n v="4"/>
    <x v="5"/>
    <x v="5"/>
    <x v="1"/>
    <x v="3"/>
    <n v="43"/>
    <x v="91"/>
    <x v="53"/>
    <s v="(93) 203 4555"/>
    <s v="Rambla de Catalu¤a, 23"/>
    <m/>
    <x v="43"/>
    <m/>
    <n v="8022"/>
    <x v="7"/>
    <x v="1"/>
    <s v="Saavedra"/>
    <s v="Eduardo"/>
    <x v="0"/>
  </r>
  <r>
    <n v="10353"/>
    <n v="40"/>
    <n v="82.21"/>
    <n v="8"/>
    <n v="3288.4"/>
    <d v="2004-12-04T00:00:00"/>
    <x v="0"/>
    <n v="4"/>
    <x v="6"/>
    <x v="6"/>
    <x v="1"/>
    <x v="3"/>
    <n v="43"/>
    <x v="91"/>
    <x v="88"/>
    <n v="2035554407"/>
    <s v="2440 Pompton St."/>
    <m/>
    <x v="63"/>
    <s v="CT"/>
    <n v="97561"/>
    <x v="0"/>
    <x v="0"/>
    <s v="Lewis"/>
    <s v="Dan"/>
    <x v="1"/>
  </r>
  <r>
    <n v="10361"/>
    <n v="33"/>
    <n v="82.59"/>
    <n v="3"/>
    <n v="2725.47"/>
    <d v="2004-12-17T00:00:00"/>
    <x v="0"/>
    <n v="4"/>
    <x v="6"/>
    <x v="6"/>
    <x v="1"/>
    <x v="3"/>
    <n v="43"/>
    <x v="91"/>
    <x v="20"/>
    <s v="+61 2 9495 8555"/>
    <s v="Monitor Money Building, 815 Pacific Hwy"/>
    <s v="Level 6"/>
    <x v="17"/>
    <s v="NSW"/>
    <n v="2067"/>
    <x v="3"/>
    <x v="2"/>
    <s v="Huxley"/>
    <s v="Adrian"/>
    <x v="0"/>
  </r>
  <r>
    <n v="10375"/>
    <n v="49"/>
    <n v="65.8"/>
    <n v="5"/>
    <n v="3224.2"/>
    <d v="2005-02-03T00:00:00"/>
    <x v="0"/>
    <n v="1"/>
    <x v="0"/>
    <x v="0"/>
    <x v="2"/>
    <x v="3"/>
    <n v="43"/>
    <x v="91"/>
    <x v="14"/>
    <s v="40.67.8555"/>
    <s v="67, rue des Cinquante Otages"/>
    <m/>
    <x v="11"/>
    <m/>
    <n v="44000"/>
    <x v="1"/>
    <x v="1"/>
    <s v="Labrune"/>
    <s v="Janine"/>
    <x v="1"/>
  </r>
  <r>
    <n v="10388"/>
    <n v="27"/>
    <n v="100"/>
    <n v="1"/>
    <n v="3211.38"/>
    <d v="2005-03-03T00:00:00"/>
    <x v="0"/>
    <n v="1"/>
    <x v="11"/>
    <x v="11"/>
    <x v="2"/>
    <x v="3"/>
    <n v="43"/>
    <x v="91"/>
    <x v="21"/>
    <n v="5085552555"/>
    <s v="1785 First Street"/>
    <m/>
    <x v="18"/>
    <s v="MA"/>
    <n v="50553"/>
    <x v="0"/>
    <x v="0"/>
    <s v="Benitez"/>
    <s v="Violeta"/>
    <x v="1"/>
  </r>
  <r>
    <n v="10398"/>
    <n v="49"/>
    <n v="36.659999999999997"/>
    <n v="5"/>
    <n v="1796.34"/>
    <d v="2005-03-30T00:00:00"/>
    <x v="0"/>
    <n v="1"/>
    <x v="11"/>
    <x v="11"/>
    <x v="2"/>
    <x v="3"/>
    <n v="43"/>
    <x v="91"/>
    <x v="1"/>
    <s v="26.47.1555"/>
    <s v="59 rue de l'Abbaye"/>
    <m/>
    <x v="1"/>
    <m/>
    <n v="51100"/>
    <x v="1"/>
    <x v="1"/>
    <s v="Henriot"/>
    <s v="Paul"/>
    <x v="0"/>
  </r>
  <r>
    <n v="10401"/>
    <n v="56"/>
    <n v="35.35"/>
    <n v="7"/>
    <n v="1979.6"/>
    <d v="2005-04-03T00:00:00"/>
    <x v="4"/>
    <n v="2"/>
    <x v="8"/>
    <x v="8"/>
    <x v="2"/>
    <x v="3"/>
    <n v="43"/>
    <x v="91"/>
    <x v="12"/>
    <n v="2015559350"/>
    <s v="7476 Moss Rd."/>
    <m/>
    <x v="9"/>
    <s v="NJ"/>
    <n v="94019"/>
    <x v="0"/>
    <x v="0"/>
    <s v="Brown"/>
    <s v="William"/>
    <x v="0"/>
  </r>
  <r>
    <n v="10416"/>
    <n v="37"/>
    <n v="51.93"/>
    <n v="8"/>
    <n v="1921.41"/>
    <d v="2005-05-10T00:00:00"/>
    <x v="0"/>
    <n v="2"/>
    <x v="1"/>
    <x v="1"/>
    <x v="2"/>
    <x v="3"/>
    <n v="43"/>
    <x v="91"/>
    <x v="70"/>
    <s v="0522-556555"/>
    <s v="Strada Provinciale 124"/>
    <m/>
    <x v="57"/>
    <m/>
    <n v="42100"/>
    <x v="12"/>
    <x v="1"/>
    <s v="Moroni"/>
    <s v="Maurizio"/>
    <x v="0"/>
  </r>
  <r>
    <n v="10104"/>
    <n v="33"/>
    <n v="100"/>
    <n v="7"/>
    <n v="3705.24"/>
    <d v="2003-01-31T00:00:00"/>
    <x v="0"/>
    <n v="1"/>
    <x v="7"/>
    <x v="7"/>
    <x v="0"/>
    <x v="2"/>
    <n v="115"/>
    <x v="92"/>
    <x v="23"/>
    <s v="(91) 555 94 44"/>
    <s v="C/ Moralzarzal, 86"/>
    <m/>
    <x v="20"/>
    <m/>
    <n v="28034"/>
    <x v="7"/>
    <x v="1"/>
    <s v="Freyre"/>
    <s v="Diego"/>
    <x v="1"/>
  </r>
  <r>
    <n v="10115"/>
    <n v="27"/>
    <n v="100"/>
    <n v="3"/>
    <n v="2843.91"/>
    <d v="2003-04-04T00:00:00"/>
    <x v="0"/>
    <n v="2"/>
    <x v="8"/>
    <x v="8"/>
    <x v="0"/>
    <x v="2"/>
    <n v="115"/>
    <x v="92"/>
    <x v="27"/>
    <n v="2125558493"/>
    <s v="5905 Pompton St."/>
    <s v="Suite 750"/>
    <x v="0"/>
    <s v="NY"/>
    <n v="10022"/>
    <x v="0"/>
    <x v="0"/>
    <s v="Hernandez"/>
    <s v="Maria"/>
    <x v="0"/>
  </r>
  <r>
    <n v="10127"/>
    <n v="46"/>
    <n v="100"/>
    <n v="9"/>
    <n v="6176.42"/>
    <d v="2003-06-03T00:00:00"/>
    <x v="0"/>
    <n v="2"/>
    <x v="9"/>
    <x v="9"/>
    <x v="0"/>
    <x v="2"/>
    <n v="115"/>
    <x v="92"/>
    <x v="74"/>
    <n v="2125557413"/>
    <s v="4092 Furth Circle"/>
    <s v="Suite 400"/>
    <x v="0"/>
    <s v="NY"/>
    <n v="10022"/>
    <x v="0"/>
    <x v="0"/>
    <s v="Young"/>
    <s v="Jeff"/>
    <x v="1"/>
  </r>
  <r>
    <n v="10141"/>
    <n v="44"/>
    <n v="100"/>
    <n v="3"/>
    <n v="5500.44"/>
    <d v="2003-08-01T00:00:00"/>
    <x v="0"/>
    <n v="3"/>
    <x v="3"/>
    <x v="3"/>
    <x v="0"/>
    <x v="2"/>
    <n v="115"/>
    <x v="92"/>
    <x v="73"/>
    <s v="+358 9 8045 555"/>
    <s v="Software Engineering Center, SEC Oy"/>
    <m/>
    <x v="59"/>
    <m/>
    <s v="FIN-02271"/>
    <x v="4"/>
    <x v="1"/>
    <s v="Suominen"/>
    <s v="Kalle"/>
    <x v="1"/>
  </r>
  <r>
    <n v="10151"/>
    <n v="26"/>
    <n v="100"/>
    <n v="1"/>
    <n v="3220.1"/>
    <d v="2003-09-21T00:00:00"/>
    <x v="0"/>
    <n v="3"/>
    <x v="10"/>
    <x v="10"/>
    <x v="0"/>
    <x v="2"/>
    <n v="115"/>
    <x v="92"/>
    <x v="60"/>
    <s v="981-443655"/>
    <s v="Torikatu 38"/>
    <m/>
    <x v="50"/>
    <m/>
    <n v="90110"/>
    <x v="4"/>
    <x v="1"/>
    <s v="Koskitalo"/>
    <s v="Pirkko"/>
    <x v="1"/>
  </r>
  <r>
    <n v="10165"/>
    <n v="48"/>
    <n v="94.92"/>
    <n v="10"/>
    <n v="4556.16"/>
    <d v="2003-10-22T00:00:00"/>
    <x v="0"/>
    <n v="4"/>
    <x v="4"/>
    <x v="4"/>
    <x v="0"/>
    <x v="2"/>
    <n v="115"/>
    <x v="92"/>
    <x v="26"/>
    <s v="+65 221 7555"/>
    <s v="Bronz Sok., Bronz Apt. 3/6 Tesvikiye"/>
    <m/>
    <x v="22"/>
    <m/>
    <n v="79903"/>
    <x v="9"/>
    <x v="3"/>
    <s v="Natividad"/>
    <s v="Eric"/>
    <x v="1"/>
  </r>
  <r>
    <n v="10176"/>
    <n v="23"/>
    <n v="100"/>
    <n v="9"/>
    <n v="3114.89"/>
    <d v="2003-11-06T00:00:00"/>
    <x v="0"/>
    <n v="4"/>
    <x v="5"/>
    <x v="5"/>
    <x v="0"/>
    <x v="2"/>
    <n v="115"/>
    <x v="92"/>
    <x v="70"/>
    <s v="0522-556555"/>
    <s v="Strada Provinciale 124"/>
    <m/>
    <x v="57"/>
    <m/>
    <n v="42100"/>
    <x v="12"/>
    <x v="1"/>
    <s v="Moroni"/>
    <s v="Maurizio"/>
    <x v="1"/>
  </r>
  <r>
    <n v="10184"/>
    <n v="45"/>
    <n v="100"/>
    <n v="4"/>
    <n v="4948.2"/>
    <d v="2003-11-14T00:00:00"/>
    <x v="0"/>
    <n v="4"/>
    <x v="5"/>
    <x v="5"/>
    <x v="0"/>
    <x v="2"/>
    <n v="115"/>
    <x v="92"/>
    <x v="81"/>
    <s v="(95) 555 82 82"/>
    <s v="C/ Romero, 33"/>
    <m/>
    <x v="64"/>
    <m/>
    <n v="41101"/>
    <x v="7"/>
    <x v="1"/>
    <s v="Roel"/>
    <s v="Jose Pedro"/>
    <x v="1"/>
  </r>
  <r>
    <n v="10195"/>
    <n v="49"/>
    <n v="100"/>
    <n v="4"/>
    <n v="5161.17"/>
    <d v="2003-11-25T00:00:00"/>
    <x v="0"/>
    <n v="4"/>
    <x v="5"/>
    <x v="5"/>
    <x v="0"/>
    <x v="2"/>
    <n v="115"/>
    <x v="92"/>
    <x v="47"/>
    <n v="9145554562"/>
    <s v="3758 North Pendale Street"/>
    <m/>
    <x v="39"/>
    <s v="NY"/>
    <n v="24067"/>
    <x v="0"/>
    <x v="0"/>
    <s v="Frick"/>
    <s v="Steve"/>
    <x v="1"/>
  </r>
  <r>
    <n v="10207"/>
    <n v="28"/>
    <n v="94.92"/>
    <n v="5"/>
    <n v="2657.76"/>
    <d v="2003-12-09T00:00:00"/>
    <x v="0"/>
    <n v="4"/>
    <x v="6"/>
    <x v="6"/>
    <x v="0"/>
    <x v="2"/>
    <n v="115"/>
    <x v="92"/>
    <x v="64"/>
    <n v="6175552555"/>
    <s v="6251 Ingle Ln."/>
    <m/>
    <x v="48"/>
    <s v="MA"/>
    <n v="51003"/>
    <x v="0"/>
    <x v="0"/>
    <s v="Franco"/>
    <s v="Valarie"/>
    <x v="0"/>
  </r>
  <r>
    <n v="10220"/>
    <n v="37"/>
    <n v="100"/>
    <n v="9"/>
    <n v="3983.05"/>
    <d v="2004-02-12T00:00:00"/>
    <x v="0"/>
    <n v="1"/>
    <x v="0"/>
    <x v="0"/>
    <x v="1"/>
    <x v="2"/>
    <n v="115"/>
    <x v="92"/>
    <x v="75"/>
    <s v="+353 1862 1555"/>
    <s v="25 Maiden Lane"/>
    <s v="Floor No. 4"/>
    <x v="60"/>
    <m/>
    <n v="2"/>
    <x v="18"/>
    <x v="1"/>
    <s v="Cassidy"/>
    <s v="Dean"/>
    <x v="1"/>
  </r>
  <r>
    <n v="10230"/>
    <n v="34"/>
    <n v="100"/>
    <n v="7"/>
    <n v="3974.94"/>
    <d v="2004-03-15T00:00:00"/>
    <x v="0"/>
    <n v="1"/>
    <x v="11"/>
    <x v="11"/>
    <x v="1"/>
    <x v="2"/>
    <n v="115"/>
    <x v="92"/>
    <x v="72"/>
    <s v="+49 69 66 90 2555"/>
    <s v="Lyonerstr. 34"/>
    <m/>
    <x v="58"/>
    <m/>
    <n v="60528"/>
    <x v="16"/>
    <x v="1"/>
    <s v="Keitel"/>
    <s v="Roland"/>
    <x v="1"/>
  </r>
  <r>
    <n v="10246"/>
    <n v="22"/>
    <n v="100"/>
    <n v="3"/>
    <n v="2928.42"/>
    <d v="2004-05-05T00:00:00"/>
    <x v="0"/>
    <n v="2"/>
    <x v="1"/>
    <x v="1"/>
    <x v="1"/>
    <x v="2"/>
    <n v="115"/>
    <x v="92"/>
    <x v="23"/>
    <s v="(91) 555 94 44"/>
    <s v="C/ Moralzarzal, 86"/>
    <m/>
    <x v="20"/>
    <m/>
    <n v="28034"/>
    <x v="7"/>
    <x v="1"/>
    <s v="Freyre"/>
    <s v="Diego"/>
    <x v="0"/>
  </r>
  <r>
    <n v="10259"/>
    <n v="29"/>
    <n v="100"/>
    <n v="2"/>
    <n v="3054.57"/>
    <d v="2004-06-15T00:00:00"/>
    <x v="0"/>
    <n v="2"/>
    <x v="9"/>
    <x v="9"/>
    <x v="1"/>
    <x v="2"/>
    <n v="115"/>
    <x v="92"/>
    <x v="65"/>
    <s v="+65 224 1555"/>
    <s v="Village Close - 106 Linden Road Sandown"/>
    <s v="2nd Floor"/>
    <x v="22"/>
    <m/>
    <n v="69045"/>
    <x v="9"/>
    <x v="2"/>
    <s v="Victorino"/>
    <s v="Wendy"/>
    <x v="1"/>
  </r>
  <r>
    <n v="10271"/>
    <n v="34"/>
    <n v="98.39"/>
    <n v="3"/>
    <n v="3345.26"/>
    <d v="2004-07-20T00:00:00"/>
    <x v="0"/>
    <n v="3"/>
    <x v="2"/>
    <x v="2"/>
    <x v="1"/>
    <x v="2"/>
    <n v="115"/>
    <x v="92"/>
    <x v="39"/>
    <n v="4155551450"/>
    <s v="5677 Strong St."/>
    <m/>
    <x v="33"/>
    <s v="CA"/>
    <n v="97562"/>
    <x v="0"/>
    <x v="0"/>
    <s v="Nelson"/>
    <s v="Valarie"/>
    <x v="1"/>
  </r>
  <r>
    <n v="10282"/>
    <n v="38"/>
    <n v="100"/>
    <n v="12"/>
    <n v="4310.72"/>
    <d v="2004-08-20T00:00:00"/>
    <x v="0"/>
    <n v="3"/>
    <x v="3"/>
    <x v="3"/>
    <x v="1"/>
    <x v="2"/>
    <n v="115"/>
    <x v="92"/>
    <x v="39"/>
    <n v="4155551450"/>
    <s v="5677 Strong St."/>
    <m/>
    <x v="33"/>
    <s v="CA"/>
    <n v="97562"/>
    <x v="0"/>
    <x v="0"/>
    <s v="Nelson"/>
    <s v="Valarie"/>
    <x v="1"/>
  </r>
  <r>
    <n v="10292"/>
    <n v="41"/>
    <n v="100"/>
    <n v="6"/>
    <n v="4983.1400000000003"/>
    <d v="2004-09-08T00:00:00"/>
    <x v="0"/>
    <n v="3"/>
    <x v="10"/>
    <x v="10"/>
    <x v="1"/>
    <x v="2"/>
    <n v="115"/>
    <x v="92"/>
    <x v="0"/>
    <n v="2125557818"/>
    <s v="897 Long Airport Avenue"/>
    <m/>
    <x v="0"/>
    <s v="NY"/>
    <n v="10022"/>
    <x v="0"/>
    <x v="0"/>
    <s v="Yu"/>
    <s v="Kwai"/>
    <x v="1"/>
  </r>
  <r>
    <n v="10305"/>
    <n v="42"/>
    <n v="100"/>
    <n v="3"/>
    <n v="4618.32"/>
    <d v="2004-10-13T00:00:00"/>
    <x v="0"/>
    <n v="4"/>
    <x v="4"/>
    <x v="4"/>
    <x v="1"/>
    <x v="2"/>
    <n v="115"/>
    <x v="92"/>
    <x v="15"/>
    <n v="6175558555"/>
    <s v="39323 Spinnaker Dr."/>
    <m/>
    <x v="12"/>
    <s v="MA"/>
    <n v="51247"/>
    <x v="0"/>
    <x v="0"/>
    <s v="Hernandez"/>
    <s v="Marta"/>
    <x v="1"/>
  </r>
  <r>
    <n v="10314"/>
    <n v="28"/>
    <n v="100"/>
    <n v="12"/>
    <n v="3403.12"/>
    <d v="2004-10-22T00:00:00"/>
    <x v="0"/>
    <n v="4"/>
    <x v="4"/>
    <x v="4"/>
    <x v="1"/>
    <x v="2"/>
    <n v="115"/>
    <x v="92"/>
    <x v="78"/>
    <s v="86 21 3555"/>
    <s v="Smagsloget 45"/>
    <m/>
    <x v="62"/>
    <m/>
    <n v="8200"/>
    <x v="13"/>
    <x v="1"/>
    <s v="Ibsen"/>
    <s v="Palle"/>
    <x v="1"/>
  </r>
  <r>
    <n v="10325"/>
    <n v="38"/>
    <n v="100"/>
    <n v="4"/>
    <n v="5190.42"/>
    <d v="2004-11-05T00:00:00"/>
    <x v="0"/>
    <n v="4"/>
    <x v="5"/>
    <x v="5"/>
    <x v="1"/>
    <x v="2"/>
    <n v="115"/>
    <x v="92"/>
    <x v="17"/>
    <s v="07-98 9555"/>
    <s v="Erling Skakkes gate 78"/>
    <m/>
    <x v="14"/>
    <m/>
    <n v="4110"/>
    <x v="2"/>
    <x v="1"/>
    <s v="Bergulfsen"/>
    <s v="Jonas"/>
    <x v="1"/>
  </r>
  <r>
    <n v="10336"/>
    <n v="23"/>
    <n v="100"/>
    <n v="8"/>
    <n v="3141.57"/>
    <d v="2004-11-20T00:00:00"/>
    <x v="0"/>
    <n v="4"/>
    <x v="5"/>
    <x v="5"/>
    <x v="1"/>
    <x v="2"/>
    <n v="115"/>
    <x v="92"/>
    <x v="62"/>
    <s v="(1) 42.34.2555"/>
    <s v="265, boulevard Charonne"/>
    <m/>
    <x v="2"/>
    <m/>
    <n v="75012"/>
    <x v="1"/>
    <x v="1"/>
    <s v="Bertrand"/>
    <s v="Marie"/>
    <x v="1"/>
  </r>
  <r>
    <n v="10350"/>
    <n v="31"/>
    <n v="71.400000000000006"/>
    <n v="8"/>
    <n v="2213.4"/>
    <d v="2004-12-02T00:00:00"/>
    <x v="0"/>
    <n v="4"/>
    <x v="6"/>
    <x v="6"/>
    <x v="1"/>
    <x v="2"/>
    <n v="115"/>
    <x v="92"/>
    <x v="23"/>
    <s v="(91) 555 94 44"/>
    <s v="C/ Moralzarzal, 86"/>
    <m/>
    <x v="20"/>
    <m/>
    <n v="28034"/>
    <x v="7"/>
    <x v="1"/>
    <s v="Freyre"/>
    <s v="Diego"/>
    <x v="0"/>
  </r>
  <r>
    <n v="10359"/>
    <n v="46"/>
    <n v="100"/>
    <n v="2"/>
    <n v="4896.7"/>
    <d v="2004-12-15T00:00:00"/>
    <x v="0"/>
    <n v="4"/>
    <x v="6"/>
    <x v="6"/>
    <x v="1"/>
    <x v="2"/>
    <n v="115"/>
    <x v="92"/>
    <x v="1"/>
    <s v="26.47.1555"/>
    <s v="59 rue de l'Abbaye"/>
    <m/>
    <x v="1"/>
    <m/>
    <n v="51100"/>
    <x v="1"/>
    <x v="1"/>
    <s v="Henriot"/>
    <s v="Paul"/>
    <x v="1"/>
  </r>
  <r>
    <n v="10371"/>
    <n v="48"/>
    <n v="56.55"/>
    <n v="10"/>
    <n v="2714.4"/>
    <d v="2005-01-23T00:00:00"/>
    <x v="0"/>
    <n v="1"/>
    <x v="7"/>
    <x v="7"/>
    <x v="2"/>
    <x v="2"/>
    <n v="115"/>
    <x v="92"/>
    <x v="39"/>
    <n v="4155551450"/>
    <s v="5677 Strong St."/>
    <m/>
    <x v="33"/>
    <s v="CA"/>
    <n v="97562"/>
    <x v="0"/>
    <x v="0"/>
    <s v="Nelson"/>
    <s v="Valarie"/>
    <x v="0"/>
  </r>
  <r>
    <n v="10383"/>
    <n v="29"/>
    <n v="100"/>
    <n v="13"/>
    <n v="3087.05"/>
    <d v="2005-02-22T00:00:00"/>
    <x v="0"/>
    <n v="1"/>
    <x v="0"/>
    <x v="0"/>
    <x v="2"/>
    <x v="2"/>
    <n v="115"/>
    <x v="92"/>
    <x v="23"/>
    <s v="(91) 555 94 44"/>
    <s v="C/ Moralzarzal, 86"/>
    <m/>
    <x v="20"/>
    <m/>
    <n v="28034"/>
    <x v="7"/>
    <x v="1"/>
    <s v="Freyre"/>
    <s v="Diego"/>
    <x v="1"/>
  </r>
  <r>
    <n v="10395"/>
    <n v="46"/>
    <n v="100"/>
    <n v="4"/>
    <n v="5692.96"/>
    <d v="2005-03-17T00:00:00"/>
    <x v="0"/>
    <n v="1"/>
    <x v="11"/>
    <x v="11"/>
    <x v="2"/>
    <x v="2"/>
    <n v="115"/>
    <x v="92"/>
    <x v="2"/>
    <s v="+33 1 46 62 7555"/>
    <s v="27 rue du Colonel Pierre Avia"/>
    <m/>
    <x v="2"/>
    <m/>
    <n v="75508"/>
    <x v="1"/>
    <x v="1"/>
    <s v="Da Cunha"/>
    <s v="Daniel"/>
    <x v="1"/>
  </r>
  <r>
    <n v="10412"/>
    <n v="26"/>
    <n v="100"/>
    <n v="3"/>
    <n v="3460.86"/>
    <d v="2005-05-03T00:00:00"/>
    <x v="0"/>
    <n v="2"/>
    <x v="1"/>
    <x v="1"/>
    <x v="2"/>
    <x v="2"/>
    <n v="115"/>
    <x v="92"/>
    <x v="23"/>
    <s v="(91) 555 94 44"/>
    <s v="C/ Moralzarzal, 86"/>
    <m/>
    <x v="20"/>
    <m/>
    <n v="28034"/>
    <x v="7"/>
    <x v="1"/>
    <s v="Freyre"/>
    <s v="Diego"/>
    <x v="1"/>
  </r>
  <r>
    <n v="10425"/>
    <n v="18"/>
    <n v="100"/>
    <n v="2"/>
    <n v="1895.94"/>
    <d v="2005-05-31T00:00:00"/>
    <x v="2"/>
    <n v="2"/>
    <x v="1"/>
    <x v="1"/>
    <x v="2"/>
    <x v="2"/>
    <n v="115"/>
    <x v="92"/>
    <x v="14"/>
    <s v="40.67.8555"/>
    <s v="67, rue des Cinquante Otages"/>
    <m/>
    <x v="11"/>
    <m/>
    <n v="44000"/>
    <x v="1"/>
    <x v="1"/>
    <s v="Labrune"/>
    <s v="Janine"/>
    <x v="0"/>
  </r>
  <r>
    <n v="10104"/>
    <n v="32"/>
    <n v="53.31"/>
    <n v="2"/>
    <n v="1705.92"/>
    <d v="2003-01-31T00:00:00"/>
    <x v="0"/>
    <n v="1"/>
    <x v="7"/>
    <x v="7"/>
    <x v="0"/>
    <x v="6"/>
    <n v="58"/>
    <x v="93"/>
    <x v="23"/>
    <s v="(91) 555 94 44"/>
    <s v="C/ Moralzarzal, 86"/>
    <m/>
    <x v="20"/>
    <m/>
    <n v="28034"/>
    <x v="7"/>
    <x v="1"/>
    <s v="Freyre"/>
    <s v="Diego"/>
    <x v="0"/>
  </r>
  <r>
    <n v="10117"/>
    <n v="21"/>
    <n v="49.21"/>
    <n v="11"/>
    <n v="1033.4100000000001"/>
    <d v="2003-04-16T00:00:00"/>
    <x v="0"/>
    <n v="2"/>
    <x v="8"/>
    <x v="8"/>
    <x v="0"/>
    <x v="6"/>
    <n v="58"/>
    <x v="93"/>
    <x v="26"/>
    <s v="+65 221 7555"/>
    <s v="Bronz Sok., Bronz Apt. 3/6 Tesvikiye"/>
    <m/>
    <x v="22"/>
    <m/>
    <n v="79903"/>
    <x v="9"/>
    <x v="3"/>
    <s v="Natividad"/>
    <s v="Eric"/>
    <x v="0"/>
  </r>
  <r>
    <n v="10127"/>
    <n v="46"/>
    <n v="69.12"/>
    <n v="4"/>
    <n v="3179.52"/>
    <d v="2003-06-03T00:00:00"/>
    <x v="0"/>
    <n v="2"/>
    <x v="9"/>
    <x v="9"/>
    <x v="0"/>
    <x v="6"/>
    <n v="58"/>
    <x v="93"/>
    <x v="74"/>
    <n v="2125557413"/>
    <s v="4092 Furth Circle"/>
    <s v="Suite 400"/>
    <x v="0"/>
    <s v="NY"/>
    <n v="10022"/>
    <x v="0"/>
    <x v="0"/>
    <s v="Young"/>
    <s v="Jeff"/>
    <x v="1"/>
  </r>
  <r>
    <n v="10142"/>
    <n v="42"/>
    <n v="49.79"/>
    <n v="14"/>
    <n v="2091.1799999999998"/>
    <d v="2003-08-08T00:00:00"/>
    <x v="0"/>
    <n v="3"/>
    <x v="3"/>
    <x v="3"/>
    <x v="0"/>
    <x v="6"/>
    <n v="58"/>
    <x v="93"/>
    <x v="39"/>
    <n v="4155551450"/>
    <s v="5677 Strong St."/>
    <m/>
    <x v="33"/>
    <s v="CA"/>
    <n v="97562"/>
    <x v="0"/>
    <x v="0"/>
    <s v="Nelson"/>
    <s v="Valarie"/>
    <x v="0"/>
  </r>
  <r>
    <n v="10153"/>
    <n v="31"/>
    <n v="57.41"/>
    <n v="13"/>
    <n v="1779.71"/>
    <d v="2003-09-28T00:00:00"/>
    <x v="0"/>
    <n v="3"/>
    <x v="10"/>
    <x v="10"/>
    <x v="0"/>
    <x v="6"/>
    <n v="58"/>
    <x v="93"/>
    <x v="23"/>
    <s v="(91) 555 94 44"/>
    <s v="C/ Moralzarzal, 86"/>
    <m/>
    <x v="20"/>
    <m/>
    <n v="28034"/>
    <x v="7"/>
    <x v="1"/>
    <s v="Freyre"/>
    <s v="Diego"/>
    <x v="0"/>
  </r>
  <r>
    <n v="10165"/>
    <n v="38"/>
    <n v="66.78"/>
    <n v="5"/>
    <n v="2537.64"/>
    <d v="2003-10-22T00:00:00"/>
    <x v="0"/>
    <n v="4"/>
    <x v="4"/>
    <x v="4"/>
    <x v="0"/>
    <x v="6"/>
    <n v="58"/>
    <x v="93"/>
    <x v="26"/>
    <s v="+65 221 7555"/>
    <s v="Bronz Sok., Bronz Apt. 3/6 Tesvikiye"/>
    <m/>
    <x v="22"/>
    <m/>
    <n v="79903"/>
    <x v="9"/>
    <x v="3"/>
    <s v="Natividad"/>
    <s v="Eric"/>
    <x v="0"/>
  </r>
  <r>
    <n v="10176"/>
    <n v="38"/>
    <n v="64.44"/>
    <n v="4"/>
    <n v="2448.7199999999998"/>
    <d v="2003-11-06T00:00:00"/>
    <x v="0"/>
    <n v="4"/>
    <x v="5"/>
    <x v="5"/>
    <x v="0"/>
    <x v="6"/>
    <n v="58"/>
    <x v="93"/>
    <x v="70"/>
    <s v="0522-556555"/>
    <s v="Strada Provinciale 124"/>
    <m/>
    <x v="57"/>
    <m/>
    <n v="42100"/>
    <x v="12"/>
    <x v="1"/>
    <s v="Moroni"/>
    <s v="Maurizio"/>
    <x v="0"/>
  </r>
  <r>
    <n v="10185"/>
    <n v="20"/>
    <n v="48.62"/>
    <n v="15"/>
    <n v="972.4"/>
    <d v="2003-11-14T00:00:00"/>
    <x v="0"/>
    <n v="4"/>
    <x v="5"/>
    <x v="5"/>
    <x v="0"/>
    <x v="6"/>
    <n v="58"/>
    <x v="93"/>
    <x v="50"/>
    <n v="5085559555"/>
    <s v="4575 Hillside Dr."/>
    <m/>
    <x v="18"/>
    <s v="MA"/>
    <n v="50553"/>
    <x v="0"/>
    <x v="0"/>
    <s v="Tam"/>
    <s v="Wing C"/>
    <x v="0"/>
  </r>
  <r>
    <n v="10196"/>
    <n v="46"/>
    <n v="62.09"/>
    <n v="7"/>
    <n v="2856.14"/>
    <d v="2003-11-26T00:00:00"/>
    <x v="0"/>
    <n v="4"/>
    <x v="5"/>
    <x v="5"/>
    <x v="0"/>
    <x v="6"/>
    <n v="58"/>
    <x v="93"/>
    <x v="34"/>
    <n v="2035559545"/>
    <s v="567 North Pendale Street"/>
    <m/>
    <x v="28"/>
    <s v="CT"/>
    <n v="97823"/>
    <x v="0"/>
    <x v="0"/>
    <s v="Murphy"/>
    <s v="Leslie"/>
    <x v="0"/>
  </r>
  <r>
    <n v="10208"/>
    <n v="30"/>
    <n v="65.61"/>
    <n v="15"/>
    <n v="1968.3"/>
    <d v="2004-01-02T00:00:00"/>
    <x v="0"/>
    <n v="1"/>
    <x v="7"/>
    <x v="7"/>
    <x v="1"/>
    <x v="6"/>
    <n v="58"/>
    <x v="93"/>
    <x v="30"/>
    <s v="78.32.5555"/>
    <s v="2, rue du Commerce"/>
    <m/>
    <x v="25"/>
    <m/>
    <n v="69004"/>
    <x v="1"/>
    <x v="1"/>
    <s v="Saveley"/>
    <s v="Mary"/>
    <x v="0"/>
  </r>
  <r>
    <n v="10220"/>
    <n v="30"/>
    <n v="68.540000000000006"/>
    <n v="4"/>
    <n v="2056.1999999999998"/>
    <d v="2004-02-12T00:00:00"/>
    <x v="0"/>
    <n v="1"/>
    <x v="0"/>
    <x v="0"/>
    <x v="1"/>
    <x v="6"/>
    <n v="58"/>
    <x v="93"/>
    <x v="75"/>
    <s v="+353 1862 1555"/>
    <s v="25 Maiden Lane"/>
    <s v="Floor No. 4"/>
    <x v="60"/>
    <m/>
    <n v="2"/>
    <x v="18"/>
    <x v="1"/>
    <s v="Cassidy"/>
    <s v="Dean"/>
    <x v="0"/>
  </r>
  <r>
    <n v="10230"/>
    <n v="43"/>
    <n v="52.14"/>
    <n v="2"/>
    <n v="2242.02"/>
    <d v="2004-03-15T00:00:00"/>
    <x v="0"/>
    <n v="1"/>
    <x v="11"/>
    <x v="11"/>
    <x v="1"/>
    <x v="6"/>
    <n v="58"/>
    <x v="93"/>
    <x v="72"/>
    <s v="+49 69 66 90 2555"/>
    <s v="Lyonerstr. 34"/>
    <m/>
    <x v="58"/>
    <m/>
    <n v="60528"/>
    <x v="16"/>
    <x v="1"/>
    <s v="Keitel"/>
    <s v="Roland"/>
    <x v="0"/>
  </r>
  <r>
    <n v="10247"/>
    <n v="49"/>
    <n v="63.85"/>
    <n v="4"/>
    <n v="3128.65"/>
    <d v="2004-05-05T00:00:00"/>
    <x v="0"/>
    <n v="2"/>
    <x v="1"/>
    <x v="1"/>
    <x v="1"/>
    <x v="6"/>
    <n v="58"/>
    <x v="93"/>
    <x v="73"/>
    <s v="+358 9 8045 555"/>
    <s v="Software Engineering Center, SEC Oy"/>
    <m/>
    <x v="59"/>
    <m/>
    <s v="FIN-02271"/>
    <x v="4"/>
    <x v="1"/>
    <s v="Suominen"/>
    <s v="Kalle"/>
    <x v="1"/>
  </r>
  <r>
    <n v="10272"/>
    <n v="43"/>
    <n v="56.82"/>
    <n v="4"/>
    <n v="2443.2600000000002"/>
    <d v="2004-07-20T00:00:00"/>
    <x v="0"/>
    <n v="3"/>
    <x v="2"/>
    <x v="2"/>
    <x v="1"/>
    <x v="6"/>
    <n v="58"/>
    <x v="93"/>
    <x v="18"/>
    <n v="2155551555"/>
    <s v="7586 Pompton St."/>
    <m/>
    <x v="15"/>
    <s v="PA"/>
    <n v="70267"/>
    <x v="0"/>
    <x v="0"/>
    <s v="Yu"/>
    <s v="Kyung"/>
    <x v="0"/>
  </r>
  <r>
    <n v="10282"/>
    <n v="37"/>
    <n v="66.78"/>
    <n v="7"/>
    <n v="2470.86"/>
    <d v="2004-08-20T00:00:00"/>
    <x v="0"/>
    <n v="3"/>
    <x v="3"/>
    <x v="3"/>
    <x v="1"/>
    <x v="6"/>
    <n v="58"/>
    <x v="93"/>
    <x v="39"/>
    <n v="4155551450"/>
    <s v="5677 Strong St."/>
    <m/>
    <x v="33"/>
    <s v="CA"/>
    <n v="97562"/>
    <x v="0"/>
    <x v="0"/>
    <s v="Nelson"/>
    <s v="Valarie"/>
    <x v="0"/>
  </r>
  <r>
    <n v="10292"/>
    <n v="35"/>
    <n v="55.07"/>
    <n v="1"/>
    <n v="1927.45"/>
    <d v="2004-09-08T00:00:00"/>
    <x v="0"/>
    <n v="3"/>
    <x v="10"/>
    <x v="10"/>
    <x v="1"/>
    <x v="6"/>
    <n v="58"/>
    <x v="93"/>
    <x v="0"/>
    <n v="2125557818"/>
    <s v="897 Long Airport Avenue"/>
    <m/>
    <x v="0"/>
    <s v="NY"/>
    <n v="10022"/>
    <x v="0"/>
    <x v="0"/>
    <s v="Yu"/>
    <s v="Kwai"/>
    <x v="0"/>
  </r>
  <r>
    <n v="10306"/>
    <n v="34"/>
    <n v="60.34"/>
    <n v="15"/>
    <n v="2051.56"/>
    <d v="2004-10-14T00:00:00"/>
    <x v="0"/>
    <n v="4"/>
    <x v="4"/>
    <x v="4"/>
    <x v="1"/>
    <x v="6"/>
    <n v="58"/>
    <x v="93"/>
    <x v="77"/>
    <s v="(171) 555-1555"/>
    <s v="Fauntleroy Circus"/>
    <m/>
    <x v="61"/>
    <m/>
    <s v="EC2 5NT"/>
    <x v="6"/>
    <x v="1"/>
    <s v="Ashworth"/>
    <s v="Victoria"/>
    <x v="0"/>
  </r>
  <r>
    <n v="10314"/>
    <n v="38"/>
    <n v="61.51"/>
    <n v="7"/>
    <n v="2337.38"/>
    <d v="2004-10-22T00:00:00"/>
    <x v="0"/>
    <n v="4"/>
    <x v="4"/>
    <x v="4"/>
    <x v="1"/>
    <x v="6"/>
    <n v="58"/>
    <x v="93"/>
    <x v="78"/>
    <s v="86 21 3555"/>
    <s v="Smagsloget 45"/>
    <m/>
    <x v="62"/>
    <m/>
    <n v="8200"/>
    <x v="13"/>
    <x v="1"/>
    <s v="Ibsen"/>
    <s v="Palle"/>
    <x v="0"/>
  </r>
  <r>
    <n v="10325"/>
    <n v="44"/>
    <n v="100"/>
    <n v="7"/>
    <n v="5932.96"/>
    <d v="2004-11-05T00:00:00"/>
    <x v="0"/>
    <n v="4"/>
    <x v="5"/>
    <x v="5"/>
    <x v="1"/>
    <x v="6"/>
    <n v="58"/>
    <x v="93"/>
    <x v="17"/>
    <s v="07-98 9555"/>
    <s v="Erling Skakkes gate 78"/>
    <m/>
    <x v="14"/>
    <m/>
    <n v="4110"/>
    <x v="2"/>
    <x v="1"/>
    <s v="Bergulfsen"/>
    <s v="Jonas"/>
    <x v="1"/>
  </r>
  <r>
    <n v="10337"/>
    <n v="21"/>
    <n v="100"/>
    <n v="6"/>
    <n v="2296.77"/>
    <d v="2004-11-21T00:00:00"/>
    <x v="0"/>
    <n v="4"/>
    <x v="5"/>
    <x v="5"/>
    <x v="1"/>
    <x v="6"/>
    <n v="58"/>
    <x v="93"/>
    <x v="27"/>
    <n v="2125558493"/>
    <s v="5905 Pompton St."/>
    <s v="Suite 750"/>
    <x v="0"/>
    <s v="NY"/>
    <n v="10022"/>
    <x v="0"/>
    <x v="0"/>
    <s v="Hernandez"/>
    <s v="Maria"/>
    <x v="0"/>
  </r>
  <r>
    <n v="10350"/>
    <n v="44"/>
    <n v="100"/>
    <n v="17"/>
    <n v="6490.88"/>
    <d v="2004-12-02T00:00:00"/>
    <x v="0"/>
    <n v="4"/>
    <x v="6"/>
    <x v="6"/>
    <x v="1"/>
    <x v="6"/>
    <n v="58"/>
    <x v="93"/>
    <x v="23"/>
    <s v="(91) 555 94 44"/>
    <s v="C/ Moralzarzal, 86"/>
    <m/>
    <x v="20"/>
    <m/>
    <n v="28034"/>
    <x v="7"/>
    <x v="1"/>
    <s v="Freyre"/>
    <s v="Diego"/>
    <x v="1"/>
  </r>
  <r>
    <n v="10359"/>
    <n v="25"/>
    <n v="64.930000000000007"/>
    <n v="4"/>
    <n v="1623.25"/>
    <d v="2004-12-15T00:00:00"/>
    <x v="0"/>
    <n v="4"/>
    <x v="6"/>
    <x v="6"/>
    <x v="1"/>
    <x v="6"/>
    <n v="58"/>
    <x v="93"/>
    <x v="1"/>
    <s v="26.47.1555"/>
    <s v="59 rue de l'Abbaye"/>
    <m/>
    <x v="1"/>
    <m/>
    <n v="51100"/>
    <x v="1"/>
    <x v="1"/>
    <s v="Henriot"/>
    <s v="Paul"/>
    <x v="0"/>
  </r>
  <r>
    <n v="10372"/>
    <n v="24"/>
    <n v="58.58"/>
    <n v="9"/>
    <n v="1405.92"/>
    <d v="2005-01-26T00:00:00"/>
    <x v="0"/>
    <n v="1"/>
    <x v="7"/>
    <x v="7"/>
    <x v="2"/>
    <x v="6"/>
    <n v="58"/>
    <x v="93"/>
    <x v="35"/>
    <s v="+81 3 3584 0555"/>
    <s v="2-2-8 Roppongi"/>
    <m/>
    <x v="29"/>
    <s v="Tokyo"/>
    <s v="106-0032"/>
    <x v="11"/>
    <x v="3"/>
    <s v="Shimamura"/>
    <s v="Akiko"/>
    <x v="0"/>
  </r>
  <r>
    <n v="10383"/>
    <n v="38"/>
    <n v="60.06"/>
    <n v="10"/>
    <n v="2282.2800000000002"/>
    <d v="2005-02-22T00:00:00"/>
    <x v="0"/>
    <n v="1"/>
    <x v="0"/>
    <x v="0"/>
    <x v="2"/>
    <x v="6"/>
    <n v="58"/>
    <x v="93"/>
    <x v="23"/>
    <s v="(91) 555 94 44"/>
    <s v="C/ Moralzarzal, 86"/>
    <m/>
    <x v="20"/>
    <m/>
    <n v="28034"/>
    <x v="7"/>
    <x v="1"/>
    <s v="Freyre"/>
    <s v="Diego"/>
    <x v="0"/>
  </r>
  <r>
    <n v="10395"/>
    <n v="45"/>
    <n v="100"/>
    <n v="3"/>
    <n v="8977.0499999999993"/>
    <d v="2005-03-17T00:00:00"/>
    <x v="0"/>
    <n v="1"/>
    <x v="11"/>
    <x v="11"/>
    <x v="2"/>
    <x v="6"/>
    <n v="58"/>
    <x v="93"/>
    <x v="2"/>
    <s v="+33 1 46 62 7555"/>
    <s v="27 rue du Colonel Pierre Avia"/>
    <m/>
    <x v="2"/>
    <m/>
    <n v="75508"/>
    <x v="1"/>
    <x v="1"/>
    <s v="Da Cunha"/>
    <s v="Daniel"/>
    <x v="2"/>
  </r>
  <r>
    <n v="10413"/>
    <n v="51"/>
    <n v="63.85"/>
    <n v="4"/>
    <n v="3256.35"/>
    <d v="2005-05-05T00:00:00"/>
    <x v="0"/>
    <n v="2"/>
    <x v="1"/>
    <x v="1"/>
    <x v="2"/>
    <x v="6"/>
    <n v="58"/>
    <x v="93"/>
    <x v="13"/>
    <n v="2035552570"/>
    <s v="25593 South Bay Ln."/>
    <m/>
    <x v="10"/>
    <s v="CT"/>
    <n v="97562"/>
    <x v="0"/>
    <x v="0"/>
    <s v="King"/>
    <s v="Julie"/>
    <x v="1"/>
  </r>
  <r>
    <n v="10108"/>
    <n v="34"/>
    <n v="82.99"/>
    <n v="14"/>
    <n v="2821.66"/>
    <d v="2003-03-03T00:00:00"/>
    <x v="0"/>
    <n v="1"/>
    <x v="11"/>
    <x v="11"/>
    <x v="0"/>
    <x v="0"/>
    <n v="81"/>
    <x v="94"/>
    <x v="66"/>
    <s v="+63 2 555 3587"/>
    <s v="15 McCallum Street - NatWest Center #13-03"/>
    <m/>
    <x v="53"/>
    <m/>
    <s v="1227 MM"/>
    <x v="15"/>
    <x v="3"/>
    <s v="Cruz"/>
    <s v="Arnold"/>
    <x v="0"/>
  </r>
  <r>
    <n v="10121"/>
    <n v="44"/>
    <n v="74.849999999999994"/>
    <n v="1"/>
    <n v="3293.4"/>
    <d v="2003-05-07T00:00:00"/>
    <x v="0"/>
    <n v="2"/>
    <x v="1"/>
    <x v="1"/>
    <x v="0"/>
    <x v="0"/>
    <n v="81"/>
    <x v="94"/>
    <x v="1"/>
    <s v="26.47.1555"/>
    <s v="59 rue de l'Abbaye"/>
    <m/>
    <x v="1"/>
    <m/>
    <n v="51100"/>
    <x v="1"/>
    <x v="1"/>
    <s v="Henriot"/>
    <s v="Paul"/>
    <x v="1"/>
  </r>
  <r>
    <n v="10135"/>
    <n v="44"/>
    <n v="96"/>
    <n v="15"/>
    <n v="4224"/>
    <d v="2003-07-02T00:00:00"/>
    <x v="0"/>
    <n v="3"/>
    <x v="2"/>
    <x v="2"/>
    <x v="0"/>
    <x v="0"/>
    <n v="81"/>
    <x v="94"/>
    <x v="39"/>
    <n v="4155551450"/>
    <s v="5677 Strong St."/>
    <m/>
    <x v="33"/>
    <s v="CA"/>
    <n v="97562"/>
    <x v="0"/>
    <x v="0"/>
    <s v="Nelson"/>
    <s v="Valarie"/>
    <x v="1"/>
  </r>
  <r>
    <n v="10145"/>
    <n v="38"/>
    <n v="81.36"/>
    <n v="2"/>
    <n v="3091.68"/>
    <d v="2003-08-25T00:00:00"/>
    <x v="0"/>
    <n v="3"/>
    <x v="3"/>
    <x v="3"/>
    <x v="0"/>
    <x v="0"/>
    <n v="81"/>
    <x v="94"/>
    <x v="3"/>
    <n v="6265557265"/>
    <s v="78934 Hillside Dr."/>
    <m/>
    <x v="3"/>
    <s v="CA"/>
    <n v="90003"/>
    <x v="0"/>
    <x v="0"/>
    <s v="Young"/>
    <s v="Julie"/>
    <x v="1"/>
  </r>
  <r>
    <n v="10159"/>
    <n v="31"/>
    <n v="71.599999999999994"/>
    <n v="10"/>
    <n v="2219.6"/>
    <d v="2003-10-10T00:00:00"/>
    <x v="0"/>
    <n v="4"/>
    <x v="4"/>
    <x v="4"/>
    <x v="0"/>
    <x v="0"/>
    <n v="81"/>
    <x v="94"/>
    <x v="4"/>
    <n v="6505551386"/>
    <s v="7734 Strong St."/>
    <m/>
    <x v="4"/>
    <s v="CA"/>
    <m/>
    <x v="0"/>
    <x v="0"/>
    <s v="Brown"/>
    <s v="Julie"/>
    <x v="0"/>
  </r>
  <r>
    <n v="10169"/>
    <n v="48"/>
    <n v="80.55"/>
    <n v="10"/>
    <n v="3866.4"/>
    <d v="2003-11-04T00:00:00"/>
    <x v="0"/>
    <n v="4"/>
    <x v="5"/>
    <x v="5"/>
    <x v="0"/>
    <x v="0"/>
    <n v="81"/>
    <x v="94"/>
    <x v="42"/>
    <s v="02 9936 8555"/>
    <s v="201 Miller Street"/>
    <s v="Level 15"/>
    <x v="36"/>
    <s v="NSW"/>
    <n v="2060"/>
    <x v="3"/>
    <x v="2"/>
    <s v="O'Hara"/>
    <s v="Anna"/>
    <x v="1"/>
  </r>
  <r>
    <n v="10180"/>
    <n v="21"/>
    <n v="93.56"/>
    <n v="5"/>
    <n v="1964.76"/>
    <d v="2003-11-11T00:00:00"/>
    <x v="0"/>
    <n v="4"/>
    <x v="5"/>
    <x v="5"/>
    <x v="0"/>
    <x v="0"/>
    <n v="81"/>
    <x v="94"/>
    <x v="6"/>
    <s v="20.16.1555"/>
    <s v="184, chausse de Tournai"/>
    <m/>
    <x v="6"/>
    <m/>
    <n v="59000"/>
    <x v="1"/>
    <x v="1"/>
    <s v="Rance"/>
    <s v="Martine"/>
    <x v="0"/>
  </r>
  <r>
    <n v="10190"/>
    <n v="40"/>
    <n v="66.72"/>
    <n v="2"/>
    <n v="2668.8"/>
    <d v="2003-11-19T00:00:00"/>
    <x v="0"/>
    <n v="4"/>
    <x v="5"/>
    <x v="5"/>
    <x v="0"/>
    <x v="0"/>
    <n v="81"/>
    <x v="94"/>
    <x v="23"/>
    <s v="(91) 555 94 44"/>
    <s v="C/ Moralzarzal, 86"/>
    <m/>
    <x v="20"/>
    <m/>
    <n v="28034"/>
    <x v="7"/>
    <x v="1"/>
    <s v="Freyre"/>
    <s v="Diego"/>
    <x v="0"/>
  </r>
  <r>
    <n v="10211"/>
    <n v="40"/>
    <n v="80.55"/>
    <n v="10"/>
    <n v="3222"/>
    <d v="2004-01-15T00:00:00"/>
    <x v="0"/>
    <n v="1"/>
    <x v="7"/>
    <x v="7"/>
    <x v="1"/>
    <x v="0"/>
    <n v="81"/>
    <x v="94"/>
    <x v="9"/>
    <s v="(1) 47.55.6555"/>
    <s v="25, rue Lauriston"/>
    <m/>
    <x v="2"/>
    <m/>
    <n v="75016"/>
    <x v="1"/>
    <x v="1"/>
    <s v="Perrier"/>
    <s v="Dominique"/>
    <x v="1"/>
  </r>
  <r>
    <n v="10224"/>
    <n v="50"/>
    <n v="77.290000000000006"/>
    <n v="3"/>
    <n v="3864.5"/>
    <d v="2004-02-21T00:00:00"/>
    <x v="0"/>
    <n v="1"/>
    <x v="0"/>
    <x v="0"/>
    <x v="1"/>
    <x v="0"/>
    <n v="81"/>
    <x v="94"/>
    <x v="6"/>
    <s v="20.16.1555"/>
    <s v="184, chausse de Tournai"/>
    <m/>
    <x v="6"/>
    <m/>
    <n v="59000"/>
    <x v="1"/>
    <x v="1"/>
    <s v="Rance"/>
    <s v="Martine"/>
    <x v="1"/>
  </r>
  <r>
    <n v="10237"/>
    <n v="20"/>
    <n v="68.34"/>
    <n v="3"/>
    <n v="1366.8"/>
    <d v="2004-04-05T00:00:00"/>
    <x v="0"/>
    <n v="2"/>
    <x v="8"/>
    <x v="8"/>
    <x v="1"/>
    <x v="0"/>
    <n v="81"/>
    <x v="94"/>
    <x v="11"/>
    <n v="2125551500"/>
    <s v="2678 Kingston Rd."/>
    <s v="Suite 101"/>
    <x v="0"/>
    <s v="NY"/>
    <n v="10022"/>
    <x v="0"/>
    <x v="0"/>
    <s v="Frick"/>
    <s v="Michael"/>
    <x v="0"/>
  </r>
  <r>
    <n v="10252"/>
    <n v="48"/>
    <n v="72.41"/>
    <n v="7"/>
    <n v="3475.68"/>
    <d v="2004-05-26T00:00:00"/>
    <x v="0"/>
    <n v="2"/>
    <x v="1"/>
    <x v="1"/>
    <x v="1"/>
    <x v="0"/>
    <n v="81"/>
    <x v="94"/>
    <x v="9"/>
    <s v="(1) 47.55.6555"/>
    <s v="25, rue Lauriston"/>
    <m/>
    <x v="2"/>
    <m/>
    <n v="75016"/>
    <x v="1"/>
    <x v="1"/>
    <s v="Perrier"/>
    <s v="Dominique"/>
    <x v="1"/>
  </r>
  <r>
    <n v="10264"/>
    <n v="47"/>
    <n v="89.5"/>
    <n v="5"/>
    <n v="4206.5"/>
    <d v="2004-06-30T00:00:00"/>
    <x v="0"/>
    <n v="2"/>
    <x v="9"/>
    <x v="9"/>
    <x v="1"/>
    <x v="0"/>
    <n v="81"/>
    <x v="94"/>
    <x v="58"/>
    <n v="6175559555"/>
    <s v="8616 Spinnaker Dr."/>
    <m/>
    <x v="48"/>
    <s v="MA"/>
    <n v="51003"/>
    <x v="0"/>
    <x v="0"/>
    <s v="Yoshido"/>
    <s v="Juri"/>
    <x v="1"/>
  </r>
  <r>
    <n v="10276"/>
    <n v="21"/>
    <n v="70.78"/>
    <n v="11"/>
    <n v="1486.38"/>
    <d v="2004-08-02T00:00:00"/>
    <x v="0"/>
    <n v="3"/>
    <x v="3"/>
    <x v="3"/>
    <x v="1"/>
    <x v="0"/>
    <n v="81"/>
    <x v="94"/>
    <x v="71"/>
    <n v="6175557555"/>
    <s v="7635 Spinnaker Dr."/>
    <m/>
    <x v="35"/>
    <s v="MA"/>
    <n v="58339"/>
    <x v="0"/>
    <x v="0"/>
    <s v="Barajas"/>
    <s v="Miguel"/>
    <x v="0"/>
  </r>
  <r>
    <n v="10285"/>
    <n v="39"/>
    <n v="78.92"/>
    <n v="2"/>
    <n v="3077.88"/>
    <d v="2004-08-27T00:00:00"/>
    <x v="0"/>
    <n v="3"/>
    <x v="3"/>
    <x v="3"/>
    <x v="1"/>
    <x v="0"/>
    <n v="81"/>
    <x v="94"/>
    <x v="15"/>
    <n v="6175558555"/>
    <s v="39323 Spinnaker Dr."/>
    <m/>
    <x v="12"/>
    <s v="MA"/>
    <n v="51247"/>
    <x v="0"/>
    <x v="0"/>
    <s v="Hernandez"/>
    <s v="Marta"/>
    <x v="1"/>
  </r>
  <r>
    <n v="10299"/>
    <n v="44"/>
    <n v="80.55"/>
    <n v="5"/>
    <n v="3544.2"/>
    <d v="2004-09-30T00:00:00"/>
    <x v="0"/>
    <n v="3"/>
    <x v="10"/>
    <x v="10"/>
    <x v="1"/>
    <x v="0"/>
    <n v="81"/>
    <x v="94"/>
    <x v="16"/>
    <s v="90-224 8555"/>
    <s v="Keskuskatu 45"/>
    <m/>
    <x v="13"/>
    <m/>
    <n v="21240"/>
    <x v="4"/>
    <x v="1"/>
    <s v="Karttunen"/>
    <s v="Matti"/>
    <x v="1"/>
  </r>
  <r>
    <n v="10309"/>
    <n v="28"/>
    <n v="88.68"/>
    <n v="1"/>
    <n v="2483.04"/>
    <d v="2004-10-15T00:00:00"/>
    <x v="0"/>
    <n v="4"/>
    <x v="4"/>
    <x v="4"/>
    <x v="1"/>
    <x v="0"/>
    <n v="81"/>
    <x v="94"/>
    <x v="17"/>
    <s v="07-98 9555"/>
    <s v="Erling Skakkes gate 78"/>
    <m/>
    <x v="14"/>
    <m/>
    <n v="4110"/>
    <x v="2"/>
    <x v="1"/>
    <s v="Bergulfsen"/>
    <s v="Jonas"/>
    <x v="0"/>
  </r>
  <r>
    <n v="10319"/>
    <n v="45"/>
    <n v="77.290000000000006"/>
    <n v="6"/>
    <n v="3478.05"/>
    <d v="2004-11-03T00:00:00"/>
    <x v="0"/>
    <n v="4"/>
    <x v="5"/>
    <x v="5"/>
    <x v="1"/>
    <x v="0"/>
    <n v="81"/>
    <x v="94"/>
    <x v="79"/>
    <n v="2125551957"/>
    <s v="5290 North Pendale Street"/>
    <s v="Suite 200"/>
    <x v="0"/>
    <s v="NY"/>
    <n v="10022"/>
    <x v="0"/>
    <x v="0"/>
    <s v="Kuo"/>
    <s v="Kee"/>
    <x v="1"/>
  </r>
  <r>
    <n v="10331"/>
    <n v="20"/>
    <n v="100"/>
    <n v="5"/>
    <n v="3657.8"/>
    <d v="2004-11-17T00:00:00"/>
    <x v="0"/>
    <n v="4"/>
    <x v="5"/>
    <x v="5"/>
    <x v="1"/>
    <x v="0"/>
    <n v="81"/>
    <x v="94"/>
    <x v="45"/>
    <n v="2155559857"/>
    <s v="11328 Douglas Av."/>
    <m/>
    <x v="24"/>
    <s v="PA"/>
    <n v="71270"/>
    <x v="0"/>
    <x v="0"/>
    <s v="Hernandez"/>
    <s v="Rosa"/>
    <x v="1"/>
  </r>
  <r>
    <n v="10341"/>
    <n v="38"/>
    <n v="100"/>
    <n v="3"/>
    <n v="4682.3599999999997"/>
    <d v="2004-11-24T00:00:00"/>
    <x v="0"/>
    <n v="4"/>
    <x v="5"/>
    <x v="5"/>
    <x v="1"/>
    <x v="0"/>
    <n v="81"/>
    <x v="94"/>
    <x v="19"/>
    <s v="6562-9555"/>
    <s v="Geislweg 14"/>
    <m/>
    <x v="16"/>
    <m/>
    <n v="5020"/>
    <x v="5"/>
    <x v="1"/>
    <s v="Pipps"/>
    <s v="Georg"/>
    <x v="1"/>
  </r>
  <r>
    <n v="10356"/>
    <n v="26"/>
    <n v="100"/>
    <n v="4"/>
    <n v="3937.7"/>
    <d v="2004-12-09T00:00:00"/>
    <x v="0"/>
    <n v="4"/>
    <x v="6"/>
    <x v="6"/>
    <x v="1"/>
    <x v="0"/>
    <n v="81"/>
    <x v="94"/>
    <x v="2"/>
    <s v="+33 1 46 62 7555"/>
    <s v="27 rue du Colonel Pierre Avia"/>
    <m/>
    <x v="2"/>
    <m/>
    <n v="75508"/>
    <x v="1"/>
    <x v="1"/>
    <s v="Da Cunha"/>
    <s v="Daniel"/>
    <x v="1"/>
  </r>
  <r>
    <n v="10365"/>
    <n v="44"/>
    <n v="100"/>
    <n v="2"/>
    <n v="4984.32"/>
    <d v="2005-01-07T00:00:00"/>
    <x v="0"/>
    <n v="1"/>
    <x v="7"/>
    <x v="7"/>
    <x v="2"/>
    <x v="0"/>
    <n v="81"/>
    <x v="94"/>
    <x v="50"/>
    <n v="5085559555"/>
    <s v="4575 Hillside Dr."/>
    <m/>
    <x v="18"/>
    <s v="MA"/>
    <n v="50553"/>
    <x v="0"/>
    <x v="0"/>
    <s v="Tam"/>
    <s v="Wing C"/>
    <x v="1"/>
  </r>
  <r>
    <n v="10375"/>
    <n v="49"/>
    <n v="100"/>
    <n v="8"/>
    <n v="5406.66"/>
    <d v="2005-02-03T00:00:00"/>
    <x v="0"/>
    <n v="1"/>
    <x v="0"/>
    <x v="0"/>
    <x v="2"/>
    <x v="0"/>
    <n v="81"/>
    <x v="94"/>
    <x v="14"/>
    <s v="40.67.8555"/>
    <s v="67, rue des Cinquante Otages"/>
    <m/>
    <x v="11"/>
    <m/>
    <n v="44000"/>
    <x v="1"/>
    <x v="1"/>
    <s v="Labrune"/>
    <s v="Janine"/>
    <x v="1"/>
  </r>
  <r>
    <n v="10390"/>
    <n v="22"/>
    <n v="100"/>
    <n v="13"/>
    <n v="3491.18"/>
    <d v="2005-03-04T00:00:00"/>
    <x v="0"/>
    <n v="1"/>
    <x v="11"/>
    <x v="11"/>
    <x v="2"/>
    <x v="0"/>
    <n v="81"/>
    <x v="94"/>
    <x v="39"/>
    <n v="4155551450"/>
    <s v="5677 Strong St."/>
    <m/>
    <x v="33"/>
    <s v="CA"/>
    <n v="97562"/>
    <x v="0"/>
    <x v="0"/>
    <s v="Nelson"/>
    <s v="Valarie"/>
    <x v="1"/>
  </r>
  <r>
    <n v="10403"/>
    <n v="31"/>
    <n v="68.34"/>
    <n v="3"/>
    <n v="2118.54"/>
    <d v="2005-04-08T00:00:00"/>
    <x v="0"/>
    <n v="2"/>
    <x v="8"/>
    <x v="8"/>
    <x v="2"/>
    <x v="0"/>
    <n v="81"/>
    <x v="94"/>
    <x v="22"/>
    <s v="(171) 555-2282"/>
    <s v="Berkeley Gardens 12  Brewery"/>
    <m/>
    <x v="19"/>
    <m/>
    <s v="WX1 6LT"/>
    <x v="6"/>
    <x v="1"/>
    <s v="Devon"/>
    <s v="Elizabeth"/>
    <x v="0"/>
  </r>
  <r>
    <n v="10105"/>
    <n v="41"/>
    <n v="70.67"/>
    <n v="5"/>
    <n v="2897.47"/>
    <d v="2003-02-11T00:00:00"/>
    <x v="0"/>
    <n v="1"/>
    <x v="0"/>
    <x v="0"/>
    <x v="0"/>
    <x v="5"/>
    <n v="66"/>
    <x v="95"/>
    <x v="48"/>
    <s v="31 12 3555"/>
    <s v="Vinb'ltet 34"/>
    <m/>
    <x v="40"/>
    <m/>
    <n v="1734"/>
    <x v="13"/>
    <x v="1"/>
    <s v="Petersen"/>
    <s v="Jytte"/>
    <x v="0"/>
  </r>
  <r>
    <n v="10119"/>
    <n v="25"/>
    <n v="76.67"/>
    <n v="14"/>
    <n v="1916.75"/>
    <d v="2003-04-28T00:00:00"/>
    <x v="0"/>
    <n v="2"/>
    <x v="8"/>
    <x v="8"/>
    <x v="0"/>
    <x v="5"/>
    <n v="66"/>
    <x v="95"/>
    <x v="19"/>
    <s v="6562-9555"/>
    <s v="Geislweg 14"/>
    <m/>
    <x v="16"/>
    <m/>
    <n v="5020"/>
    <x v="5"/>
    <x v="1"/>
    <s v="Pipps"/>
    <s v="Georg"/>
    <x v="0"/>
  </r>
  <r>
    <n v="10129"/>
    <n v="31"/>
    <n v="60"/>
    <n v="5"/>
    <n v="1860"/>
    <d v="2003-06-12T00:00:00"/>
    <x v="0"/>
    <n v="2"/>
    <x v="9"/>
    <x v="9"/>
    <x v="0"/>
    <x v="5"/>
    <n v="66"/>
    <x v="95"/>
    <x v="49"/>
    <s v="(171) 555-0297"/>
    <s v="35 King George"/>
    <m/>
    <x v="41"/>
    <m/>
    <s v="WX3 6FW"/>
    <x v="6"/>
    <x v="1"/>
    <s v="Brown"/>
    <s v="Ann"/>
    <x v="0"/>
  </r>
  <r>
    <n v="10142"/>
    <n v="41"/>
    <n v="64"/>
    <n v="2"/>
    <n v="2624"/>
    <d v="2003-08-08T00:00:00"/>
    <x v="0"/>
    <n v="3"/>
    <x v="3"/>
    <x v="3"/>
    <x v="0"/>
    <x v="5"/>
    <n v="66"/>
    <x v="95"/>
    <x v="39"/>
    <n v="4155551450"/>
    <s v="5677 Strong St."/>
    <m/>
    <x v="33"/>
    <s v="CA"/>
    <n v="97562"/>
    <x v="0"/>
    <x v="0"/>
    <s v="Nelson"/>
    <s v="Valarie"/>
    <x v="0"/>
  </r>
  <r>
    <n v="10153"/>
    <n v="43"/>
    <n v="64.67"/>
    <n v="1"/>
    <n v="2780.81"/>
    <d v="2003-09-28T00:00:00"/>
    <x v="0"/>
    <n v="3"/>
    <x v="10"/>
    <x v="10"/>
    <x v="0"/>
    <x v="5"/>
    <n v="66"/>
    <x v="95"/>
    <x v="23"/>
    <s v="(91) 555 94 44"/>
    <s v="C/ Moralzarzal, 86"/>
    <m/>
    <x v="20"/>
    <m/>
    <n v="28034"/>
    <x v="7"/>
    <x v="1"/>
    <s v="Freyre"/>
    <s v="Diego"/>
    <x v="0"/>
  </r>
  <r>
    <n v="10167"/>
    <n v="43"/>
    <n v="75.34"/>
    <n v="12"/>
    <n v="3239.62"/>
    <d v="2003-10-23T00:00:00"/>
    <x v="3"/>
    <n v="4"/>
    <x v="4"/>
    <x v="4"/>
    <x v="0"/>
    <x v="5"/>
    <n v="66"/>
    <x v="95"/>
    <x v="37"/>
    <s v="0695-34 6555"/>
    <s v="?kergatan 24"/>
    <m/>
    <x v="31"/>
    <m/>
    <s v="S-844 67"/>
    <x v="8"/>
    <x v="1"/>
    <s v="Larsson"/>
    <s v="Maria"/>
    <x v="1"/>
  </r>
  <r>
    <n v="10177"/>
    <n v="24"/>
    <n v="76"/>
    <n v="3"/>
    <n v="1824"/>
    <d v="2003-11-07T00:00:00"/>
    <x v="0"/>
    <n v="4"/>
    <x v="5"/>
    <x v="5"/>
    <x v="0"/>
    <x v="5"/>
    <n v="66"/>
    <x v="95"/>
    <x v="76"/>
    <s v="+34 913 728 555"/>
    <s v="Merchants House, 27-30 Merchant's Quay"/>
    <m/>
    <x v="20"/>
    <m/>
    <n v="28023"/>
    <x v="7"/>
    <x v="1"/>
    <s v="Fernandez"/>
    <s v="Jesus"/>
    <x v="0"/>
  </r>
  <r>
    <n v="10185"/>
    <n v="21"/>
    <n v="54"/>
    <n v="3"/>
    <n v="1134"/>
    <d v="2003-11-14T00:00:00"/>
    <x v="0"/>
    <n v="4"/>
    <x v="5"/>
    <x v="5"/>
    <x v="0"/>
    <x v="5"/>
    <n v="66"/>
    <x v="95"/>
    <x v="50"/>
    <n v="5085559555"/>
    <s v="4575 Hillside Dr."/>
    <m/>
    <x v="18"/>
    <s v="MA"/>
    <n v="50553"/>
    <x v="0"/>
    <x v="0"/>
    <s v="Tam"/>
    <s v="Wing C"/>
    <x v="0"/>
  </r>
  <r>
    <n v="10197"/>
    <n v="23"/>
    <n v="64.67"/>
    <n v="9"/>
    <n v="1487.41"/>
    <d v="2003-11-26T00:00:00"/>
    <x v="0"/>
    <n v="4"/>
    <x v="5"/>
    <x v="5"/>
    <x v="0"/>
    <x v="5"/>
    <n v="66"/>
    <x v="95"/>
    <x v="53"/>
    <s v="(93) 203 4555"/>
    <s v="Rambla de Catalu¤a, 23"/>
    <m/>
    <x v="43"/>
    <m/>
    <n v="8022"/>
    <x v="7"/>
    <x v="1"/>
    <s v="Saavedra"/>
    <s v="Eduardo"/>
    <x v="0"/>
  </r>
  <r>
    <n v="10208"/>
    <n v="38"/>
    <n v="74.67"/>
    <n v="3"/>
    <n v="2837.46"/>
    <d v="2004-01-02T00:00:00"/>
    <x v="0"/>
    <n v="1"/>
    <x v="7"/>
    <x v="7"/>
    <x v="1"/>
    <x v="5"/>
    <n v="66"/>
    <x v="95"/>
    <x v="30"/>
    <s v="78.32.5555"/>
    <s v="2, rue du Commerce"/>
    <m/>
    <x v="25"/>
    <m/>
    <n v="69004"/>
    <x v="1"/>
    <x v="1"/>
    <s v="Saveley"/>
    <s v="Mary"/>
    <x v="0"/>
  </r>
  <r>
    <n v="10222"/>
    <n v="31"/>
    <n v="62.67"/>
    <n v="15"/>
    <n v="1942.77"/>
    <d v="2004-02-19T00:00:00"/>
    <x v="0"/>
    <n v="1"/>
    <x v="0"/>
    <x v="0"/>
    <x v="1"/>
    <x v="5"/>
    <n v="66"/>
    <x v="95"/>
    <x v="55"/>
    <n v="7605558146"/>
    <s v="361 Furth Circle"/>
    <m/>
    <x v="45"/>
    <s v="CA"/>
    <n v="91217"/>
    <x v="0"/>
    <x v="0"/>
    <s v="Thompson"/>
    <s v="Valarie"/>
    <x v="0"/>
  </r>
  <r>
    <n v="10233"/>
    <n v="36"/>
    <n v="70.67"/>
    <n v="3"/>
    <n v="2544.12"/>
    <d v="2004-03-29T00:00:00"/>
    <x v="0"/>
    <n v="1"/>
    <x v="11"/>
    <x v="11"/>
    <x v="1"/>
    <x v="5"/>
    <n v="66"/>
    <x v="95"/>
    <x v="12"/>
    <n v="2015559350"/>
    <s v="7476 Moss Rd."/>
    <m/>
    <x v="9"/>
    <s v="NJ"/>
    <n v="94019"/>
    <x v="0"/>
    <x v="0"/>
    <s v="Brown"/>
    <s v="William"/>
    <x v="0"/>
  </r>
  <r>
    <n v="10248"/>
    <n v="36"/>
    <n v="71.34"/>
    <n v="6"/>
    <n v="2568.2399999999998"/>
    <d v="2004-05-07T00:00:00"/>
    <x v="3"/>
    <n v="2"/>
    <x v="1"/>
    <x v="1"/>
    <x v="1"/>
    <x v="5"/>
    <n v="66"/>
    <x v="95"/>
    <x v="0"/>
    <n v="2125557818"/>
    <s v="897 Long Airport Avenue"/>
    <m/>
    <x v="0"/>
    <s v="NY"/>
    <n v="10022"/>
    <x v="0"/>
    <x v="0"/>
    <s v="Yu"/>
    <s v="Kwai"/>
    <x v="0"/>
  </r>
  <r>
    <n v="10261"/>
    <n v="34"/>
    <n v="62"/>
    <n v="4"/>
    <n v="2108"/>
    <d v="2004-06-17T00:00:00"/>
    <x v="0"/>
    <n v="2"/>
    <x v="9"/>
    <x v="9"/>
    <x v="1"/>
    <x v="5"/>
    <n v="66"/>
    <x v="95"/>
    <x v="43"/>
    <s v="(514) 555-8054"/>
    <s v="43 rue St. Laurent"/>
    <m/>
    <x v="37"/>
    <s v="Quebec"/>
    <s v="H1J 1C3"/>
    <x v="10"/>
    <x v="0"/>
    <s v="Fresnisre"/>
    <s v="Jean"/>
    <x v="0"/>
  </r>
  <r>
    <n v="10273"/>
    <n v="21"/>
    <n v="65.34"/>
    <n v="7"/>
    <n v="1372.14"/>
    <d v="2004-07-21T00:00:00"/>
    <x v="0"/>
    <n v="3"/>
    <x v="2"/>
    <x v="2"/>
    <x v="1"/>
    <x v="5"/>
    <n v="66"/>
    <x v="95"/>
    <x v="56"/>
    <s v="(02) 5554 67"/>
    <s v="Rue Joseph-Bens 532"/>
    <m/>
    <x v="46"/>
    <m/>
    <s v="B-1180"/>
    <x v="14"/>
    <x v="1"/>
    <s v="Dewey"/>
    <s v="Catherine"/>
    <x v="0"/>
  </r>
  <r>
    <n v="10283"/>
    <n v="45"/>
    <n v="78.67"/>
    <n v="9"/>
    <n v="3540.15"/>
    <d v="2004-08-20T00:00:00"/>
    <x v="0"/>
    <n v="3"/>
    <x v="3"/>
    <x v="3"/>
    <x v="1"/>
    <x v="5"/>
    <n v="66"/>
    <x v="95"/>
    <x v="57"/>
    <s v="(604) 555-4555"/>
    <s v="23 Tsawassen Blvd."/>
    <m/>
    <x v="47"/>
    <s v="BC"/>
    <s v="T2F 8M4"/>
    <x v="10"/>
    <x v="0"/>
    <s v="Lincoln"/>
    <s v="Elizabeth"/>
    <x v="1"/>
  </r>
  <r>
    <n v="10295"/>
    <n v="26"/>
    <n v="75.34"/>
    <n v="4"/>
    <n v="1958.84"/>
    <d v="2004-09-10T00:00:00"/>
    <x v="0"/>
    <n v="3"/>
    <x v="10"/>
    <x v="10"/>
    <x v="1"/>
    <x v="5"/>
    <n v="66"/>
    <x v="95"/>
    <x v="58"/>
    <n v="6175559555"/>
    <s v="8616 Spinnaker Dr."/>
    <m/>
    <x v="48"/>
    <s v="MA"/>
    <n v="51003"/>
    <x v="0"/>
    <x v="0"/>
    <s v="Yoshido"/>
    <s v="Juri"/>
    <x v="0"/>
  </r>
  <r>
    <n v="10306"/>
    <n v="50"/>
    <n v="54"/>
    <n v="3"/>
    <n v="2700"/>
    <d v="2004-10-14T00:00:00"/>
    <x v="0"/>
    <n v="4"/>
    <x v="4"/>
    <x v="4"/>
    <x v="1"/>
    <x v="5"/>
    <n v="66"/>
    <x v="95"/>
    <x v="77"/>
    <s v="(171) 555-1555"/>
    <s v="Fauntleroy Circus"/>
    <m/>
    <x v="61"/>
    <m/>
    <s v="EC2 5NT"/>
    <x v="6"/>
    <x v="1"/>
    <s v="Ashworth"/>
    <s v="Victoria"/>
    <x v="0"/>
  </r>
  <r>
    <n v="10315"/>
    <n v="41"/>
    <n v="62"/>
    <n v="2"/>
    <n v="2542"/>
    <d v="2004-10-29T00:00:00"/>
    <x v="0"/>
    <n v="4"/>
    <x v="4"/>
    <x v="4"/>
    <x v="1"/>
    <x v="5"/>
    <n v="66"/>
    <x v="95"/>
    <x v="14"/>
    <s v="40.67.8555"/>
    <s v="67, rue des Cinquante Otages"/>
    <m/>
    <x v="11"/>
    <m/>
    <n v="44000"/>
    <x v="1"/>
    <x v="1"/>
    <s v="Labrune"/>
    <s v="Janine"/>
    <x v="0"/>
  </r>
  <r>
    <n v="10326"/>
    <n v="39"/>
    <n v="60"/>
    <n v="1"/>
    <n v="2340"/>
    <d v="2004-11-09T00:00:00"/>
    <x v="0"/>
    <n v="4"/>
    <x v="5"/>
    <x v="5"/>
    <x v="1"/>
    <x v="5"/>
    <n v="66"/>
    <x v="95"/>
    <x v="24"/>
    <s v="0921-12 3555"/>
    <s v="Berguvsv„gen  8"/>
    <m/>
    <x v="21"/>
    <m/>
    <s v="S-958 22"/>
    <x v="8"/>
    <x v="1"/>
    <s v="Berglund"/>
    <s v="Christina"/>
    <x v="0"/>
  </r>
  <r>
    <n v="10339"/>
    <n v="22"/>
    <n v="100"/>
    <n v="5"/>
    <n v="2816.44"/>
    <d v="2004-11-23T00:00:00"/>
    <x v="0"/>
    <n v="4"/>
    <x v="5"/>
    <x v="5"/>
    <x v="1"/>
    <x v="5"/>
    <n v="66"/>
    <x v="95"/>
    <x v="35"/>
    <s v="+81 3 3584 0555"/>
    <s v="2-2-8 Roppongi"/>
    <m/>
    <x v="29"/>
    <s v="Tokyo"/>
    <s v="106-0032"/>
    <x v="11"/>
    <x v="3"/>
    <s v="Shimamura"/>
    <s v="Akiko"/>
    <x v="0"/>
  </r>
  <r>
    <n v="10350"/>
    <n v="46"/>
    <n v="76.67"/>
    <n v="11"/>
    <n v="3526.82"/>
    <d v="2004-12-02T00:00:00"/>
    <x v="0"/>
    <n v="4"/>
    <x v="6"/>
    <x v="6"/>
    <x v="1"/>
    <x v="5"/>
    <n v="66"/>
    <x v="95"/>
    <x v="23"/>
    <s v="(91) 555 94 44"/>
    <s v="C/ Moralzarzal, 86"/>
    <m/>
    <x v="20"/>
    <m/>
    <n v="28034"/>
    <x v="7"/>
    <x v="1"/>
    <s v="Freyre"/>
    <s v="Diego"/>
    <x v="1"/>
  </r>
  <r>
    <n v="10373"/>
    <n v="44"/>
    <n v="100"/>
    <n v="14"/>
    <n v="4627.92"/>
    <d v="2005-01-31T00:00:00"/>
    <x v="0"/>
    <n v="1"/>
    <x v="7"/>
    <x v="7"/>
    <x v="2"/>
    <x v="5"/>
    <n v="66"/>
    <x v="95"/>
    <x v="60"/>
    <s v="981-443655"/>
    <s v="Torikatu 38"/>
    <m/>
    <x v="50"/>
    <m/>
    <n v="90110"/>
    <x v="4"/>
    <x v="1"/>
    <s v="Koskitalo"/>
    <s v="Pirkko"/>
    <x v="1"/>
  </r>
  <r>
    <n v="10385"/>
    <n v="25"/>
    <n v="77.34"/>
    <n v="1"/>
    <n v="1933.5"/>
    <d v="2005-02-28T00:00:00"/>
    <x v="0"/>
    <n v="1"/>
    <x v="0"/>
    <x v="0"/>
    <x v="2"/>
    <x v="5"/>
    <n v="66"/>
    <x v="95"/>
    <x v="39"/>
    <n v="4155551450"/>
    <s v="5677 Strong St."/>
    <m/>
    <x v="33"/>
    <s v="CA"/>
    <n v="97562"/>
    <x v="0"/>
    <x v="0"/>
    <s v="Nelson"/>
    <s v="Valarie"/>
    <x v="0"/>
  </r>
  <r>
    <n v="10396"/>
    <n v="39"/>
    <n v="66.67"/>
    <n v="1"/>
    <n v="2600.13"/>
    <d v="2005-03-23T00:00:00"/>
    <x v="0"/>
    <n v="1"/>
    <x v="11"/>
    <x v="11"/>
    <x v="2"/>
    <x v="5"/>
    <n v="66"/>
    <x v="95"/>
    <x v="39"/>
    <n v="4155551450"/>
    <s v="5677 Strong St."/>
    <m/>
    <x v="33"/>
    <s v="CA"/>
    <n v="97562"/>
    <x v="0"/>
    <x v="0"/>
    <s v="Nelson"/>
    <s v="Valarie"/>
    <x v="0"/>
  </r>
  <r>
    <n v="10414"/>
    <n v="37"/>
    <n v="71.34"/>
    <n v="6"/>
    <n v="2639.58"/>
    <d v="2005-05-06T00:00:00"/>
    <x v="4"/>
    <n v="2"/>
    <x v="1"/>
    <x v="1"/>
    <x v="2"/>
    <x v="5"/>
    <n v="66"/>
    <x v="95"/>
    <x v="58"/>
    <n v="6175559555"/>
    <s v="8616 Spinnaker Dr."/>
    <m/>
    <x v="48"/>
    <s v="MA"/>
    <n v="51003"/>
    <x v="0"/>
    <x v="0"/>
    <s v="Yoshido"/>
    <s v="Juri"/>
    <x v="0"/>
  </r>
  <r>
    <n v="10106"/>
    <n v="31"/>
    <n v="100"/>
    <n v="7"/>
    <n v="3312.97"/>
    <d v="2003-02-17T00:00:00"/>
    <x v="0"/>
    <n v="1"/>
    <x v="0"/>
    <x v="0"/>
    <x v="0"/>
    <x v="4"/>
    <n v="91"/>
    <x v="96"/>
    <x v="86"/>
    <s v="035-640555"/>
    <s v="Via Ludovico il Moro 22"/>
    <m/>
    <x v="69"/>
    <m/>
    <n v="24100"/>
    <x v="12"/>
    <x v="1"/>
    <s v="Rovelli"/>
    <s v="Giovanni"/>
    <x v="1"/>
  </r>
  <r>
    <n v="10120"/>
    <n v="47"/>
    <n v="82.21"/>
    <n v="13"/>
    <n v="3863.87"/>
    <d v="2003-04-29T00:00:00"/>
    <x v="0"/>
    <n v="2"/>
    <x v="8"/>
    <x v="8"/>
    <x v="0"/>
    <x v="4"/>
    <n v="91"/>
    <x v="96"/>
    <x v="10"/>
    <s v="03 9520 4555"/>
    <s v="636 St Kilda Road"/>
    <s v="Level 3"/>
    <x v="8"/>
    <s v="Victoria"/>
    <n v="3004"/>
    <x v="3"/>
    <x v="2"/>
    <s v="Ferguson"/>
    <s v="Peter"/>
    <x v="1"/>
  </r>
  <r>
    <n v="10133"/>
    <n v="24"/>
    <n v="77.64"/>
    <n v="8"/>
    <n v="1863.36"/>
    <d v="2003-06-27T00:00:00"/>
    <x v="0"/>
    <n v="2"/>
    <x v="9"/>
    <x v="9"/>
    <x v="0"/>
    <x v="4"/>
    <n v="91"/>
    <x v="96"/>
    <x v="23"/>
    <s v="(91) 555 94 44"/>
    <s v="C/ Moralzarzal, 86"/>
    <m/>
    <x v="20"/>
    <m/>
    <n v="28034"/>
    <x v="7"/>
    <x v="1"/>
    <s v="Freyre"/>
    <s v="Diego"/>
    <x v="0"/>
  </r>
  <r>
    <n v="10143"/>
    <n v="36"/>
    <n v="100"/>
    <n v="2"/>
    <n v="3945.96"/>
    <d v="2003-08-10T00:00:00"/>
    <x v="0"/>
    <n v="3"/>
    <x v="3"/>
    <x v="3"/>
    <x v="0"/>
    <x v="4"/>
    <n v="91"/>
    <x v="96"/>
    <x v="50"/>
    <n v="5085559555"/>
    <s v="4575 Hillside Dr."/>
    <m/>
    <x v="18"/>
    <s v="MA"/>
    <n v="50553"/>
    <x v="0"/>
    <x v="0"/>
    <s v="Tam"/>
    <s v="Wing C"/>
    <x v="1"/>
  </r>
  <r>
    <n v="10156"/>
    <n v="48"/>
    <n v="100"/>
    <n v="2"/>
    <n v="4954.08"/>
    <d v="2003-10-08T00:00:00"/>
    <x v="0"/>
    <n v="4"/>
    <x v="4"/>
    <x v="4"/>
    <x v="0"/>
    <x v="4"/>
    <n v="91"/>
    <x v="96"/>
    <x v="23"/>
    <s v="(91) 555 94 44"/>
    <s v="C/ Moralzarzal, 86"/>
    <m/>
    <x v="20"/>
    <m/>
    <n v="28034"/>
    <x v="7"/>
    <x v="1"/>
    <s v="Freyre"/>
    <s v="Diego"/>
    <x v="1"/>
  </r>
  <r>
    <n v="10168"/>
    <n v="28"/>
    <n v="98.65"/>
    <n v="14"/>
    <n v="2762.2"/>
    <d v="2003-10-28T00:00:00"/>
    <x v="0"/>
    <n v="4"/>
    <x v="4"/>
    <x v="4"/>
    <x v="0"/>
    <x v="4"/>
    <n v="91"/>
    <x v="96"/>
    <x v="5"/>
    <n v="6505556809"/>
    <s v="9408 Furth Circle"/>
    <m/>
    <x v="5"/>
    <s v="CA"/>
    <n v="94217"/>
    <x v="0"/>
    <x v="0"/>
    <s v="Hirano"/>
    <s v="Juri"/>
    <x v="0"/>
  </r>
  <r>
    <n v="10199"/>
    <n v="48"/>
    <n v="83.12"/>
    <n v="2"/>
    <n v="3989.76"/>
    <d v="2003-12-01T00:00:00"/>
    <x v="0"/>
    <n v="4"/>
    <x v="6"/>
    <x v="6"/>
    <x v="0"/>
    <x v="4"/>
    <n v="91"/>
    <x v="96"/>
    <x v="32"/>
    <n v="3105553722"/>
    <s v="3675 Furth Circle"/>
    <m/>
    <x v="27"/>
    <s v="CA"/>
    <n v="94019"/>
    <x v="0"/>
    <x v="0"/>
    <s v="Thompson"/>
    <s v="Steve"/>
    <x v="1"/>
  </r>
  <r>
    <n v="10210"/>
    <n v="21"/>
    <n v="78.55"/>
    <n v="12"/>
    <n v="1649.55"/>
    <d v="2004-01-12T00:00:00"/>
    <x v="0"/>
    <n v="1"/>
    <x v="7"/>
    <x v="7"/>
    <x v="1"/>
    <x v="4"/>
    <n v="91"/>
    <x v="96"/>
    <x v="44"/>
    <s v="+81 06 6342 5555"/>
    <s v="Dojima Avanza 4F, 1-6-20 Dojima, Kita-ku"/>
    <m/>
    <x v="38"/>
    <s v="Osaka"/>
    <s v="530-0003"/>
    <x v="11"/>
    <x v="3"/>
    <s v="Kentary"/>
    <s v="Mory"/>
    <x v="0"/>
  </r>
  <r>
    <n v="10223"/>
    <n v="25"/>
    <n v="100"/>
    <n v="14"/>
    <n v="2534.75"/>
    <d v="2004-02-20T00:00:00"/>
    <x v="0"/>
    <n v="1"/>
    <x v="0"/>
    <x v="0"/>
    <x v="1"/>
    <x v="4"/>
    <n v="91"/>
    <x v="96"/>
    <x v="10"/>
    <s v="03 9520 4555"/>
    <s v="636 St Kilda Road"/>
    <s v="Level 3"/>
    <x v="8"/>
    <s v="Victoria"/>
    <n v="3004"/>
    <x v="3"/>
    <x v="2"/>
    <s v="Ferguson"/>
    <s v="Peter"/>
    <x v="0"/>
  </r>
  <r>
    <n v="10235"/>
    <n v="25"/>
    <n v="100"/>
    <n v="8"/>
    <n v="2580.25"/>
    <d v="2004-04-02T00:00:00"/>
    <x v="0"/>
    <n v="2"/>
    <x v="8"/>
    <x v="8"/>
    <x v="1"/>
    <x v="4"/>
    <n v="91"/>
    <x v="96"/>
    <x v="57"/>
    <s v="(604) 555-4555"/>
    <s v="23 Tsawassen Blvd."/>
    <m/>
    <x v="47"/>
    <s v="BC"/>
    <s v="T2F 8M4"/>
    <x v="10"/>
    <x v="0"/>
    <s v="Lincoln"/>
    <s v="Elizabeth"/>
    <x v="0"/>
  </r>
  <r>
    <n v="10250"/>
    <n v="31"/>
    <n v="91.34"/>
    <n v="9"/>
    <n v="2831.54"/>
    <d v="2004-05-11T00:00:00"/>
    <x v="0"/>
    <n v="2"/>
    <x v="1"/>
    <x v="1"/>
    <x v="1"/>
    <x v="4"/>
    <n v="91"/>
    <x v="96"/>
    <x v="61"/>
    <n v="4085553659"/>
    <s v="3086 Ingle Ln."/>
    <m/>
    <x v="51"/>
    <s v="CA"/>
    <n v="94217"/>
    <x v="0"/>
    <x v="0"/>
    <s v="Frick"/>
    <s v="Sue"/>
    <x v="0"/>
  </r>
  <r>
    <n v="10262"/>
    <n v="40"/>
    <n v="84.03"/>
    <n v="4"/>
    <n v="3361.2"/>
    <d v="2004-06-24T00:00:00"/>
    <x v="3"/>
    <n v="2"/>
    <x v="9"/>
    <x v="9"/>
    <x v="1"/>
    <x v="4"/>
    <n v="91"/>
    <x v="96"/>
    <x v="23"/>
    <s v="(91) 555 94 44"/>
    <s v="C/ Moralzarzal, 86"/>
    <m/>
    <x v="20"/>
    <m/>
    <n v="28034"/>
    <x v="7"/>
    <x v="1"/>
    <s v="Freyre"/>
    <s v="Diego"/>
    <x v="1"/>
  </r>
  <r>
    <n v="10275"/>
    <n v="32"/>
    <n v="89.51"/>
    <n v="14"/>
    <n v="2864.32"/>
    <d v="2004-07-23T00:00:00"/>
    <x v="0"/>
    <n v="3"/>
    <x v="2"/>
    <x v="2"/>
    <x v="1"/>
    <x v="4"/>
    <n v="91"/>
    <x v="96"/>
    <x v="14"/>
    <s v="40.67.8555"/>
    <s v="67, rue des Cinquante Otages"/>
    <m/>
    <x v="11"/>
    <m/>
    <n v="44000"/>
    <x v="1"/>
    <x v="1"/>
    <s v="Labrune"/>
    <s v="Janine"/>
    <x v="0"/>
  </r>
  <r>
    <n v="10284"/>
    <n v="24"/>
    <n v="83.12"/>
    <n v="6"/>
    <n v="1994.88"/>
    <d v="2004-08-21T00:00:00"/>
    <x v="0"/>
    <n v="3"/>
    <x v="3"/>
    <x v="3"/>
    <x v="1"/>
    <x v="4"/>
    <n v="91"/>
    <x v="96"/>
    <x v="85"/>
    <s v="+47 2212 1555"/>
    <s v="Drammensveien 126 A, PB 744 Sentrum"/>
    <m/>
    <x v="68"/>
    <m/>
    <s v="N 0106"/>
    <x v="2"/>
    <x v="1"/>
    <s v="Klaeboe"/>
    <s v="Jan"/>
    <x v="0"/>
  </r>
  <r>
    <n v="10296"/>
    <n v="42"/>
    <n v="100"/>
    <n v="2"/>
    <n v="4296.6000000000004"/>
    <d v="2004-09-15T00:00:00"/>
    <x v="0"/>
    <n v="3"/>
    <x v="10"/>
    <x v="10"/>
    <x v="1"/>
    <x v="4"/>
    <n v="91"/>
    <x v="96"/>
    <x v="89"/>
    <s v="+49 89 61 08 9555"/>
    <s v="Hansastr. 15"/>
    <m/>
    <x v="71"/>
    <m/>
    <n v="80686"/>
    <x v="16"/>
    <x v="1"/>
    <s v="Donnermeyer"/>
    <s v="Michael"/>
    <x v="1"/>
  </r>
  <r>
    <n v="10308"/>
    <n v="21"/>
    <n v="100"/>
    <n v="12"/>
    <n v="2224.9499999999998"/>
    <d v="2004-10-15T00:00:00"/>
    <x v="0"/>
    <n v="4"/>
    <x v="4"/>
    <x v="4"/>
    <x v="1"/>
    <x v="4"/>
    <n v="91"/>
    <x v="96"/>
    <x v="47"/>
    <n v="9145554562"/>
    <s v="3758 North Pendale Street"/>
    <m/>
    <x v="39"/>
    <s v="NY"/>
    <n v="24067"/>
    <x v="0"/>
    <x v="0"/>
    <s v="Frick"/>
    <s v="Steve"/>
    <x v="0"/>
  </r>
  <r>
    <n v="10316"/>
    <n v="34"/>
    <n v="82.21"/>
    <n v="4"/>
    <n v="2795.14"/>
    <d v="2004-11-01T00:00:00"/>
    <x v="0"/>
    <n v="4"/>
    <x v="5"/>
    <x v="5"/>
    <x v="1"/>
    <x v="4"/>
    <n v="91"/>
    <x v="96"/>
    <x v="59"/>
    <s v="(198) 555-8888"/>
    <s v="Garden House Crowther Way"/>
    <m/>
    <x v="49"/>
    <s v="Isle of Wight"/>
    <s v="PO31 7PJ"/>
    <x v="6"/>
    <x v="1"/>
    <s v="Bennett"/>
    <s v="Helen"/>
    <x v="0"/>
  </r>
  <r>
    <n v="10328"/>
    <n v="27"/>
    <n v="100"/>
    <n v="8"/>
    <n v="2762.1"/>
    <d v="2004-11-12T00:00:00"/>
    <x v="0"/>
    <n v="4"/>
    <x v="5"/>
    <x v="5"/>
    <x v="1"/>
    <x v="4"/>
    <n v="91"/>
    <x v="96"/>
    <x v="86"/>
    <s v="035-640555"/>
    <s v="Via Ludovico il Moro 22"/>
    <m/>
    <x v="69"/>
    <m/>
    <n v="24100"/>
    <x v="12"/>
    <x v="1"/>
    <s v="Rovelli"/>
    <s v="Giovanni"/>
    <x v="0"/>
  </r>
  <r>
    <n v="10340"/>
    <n v="30"/>
    <n v="88.6"/>
    <n v="5"/>
    <n v="2658"/>
    <d v="2004-11-24T00:00:00"/>
    <x v="0"/>
    <n v="4"/>
    <x v="5"/>
    <x v="5"/>
    <x v="1"/>
    <x v="4"/>
    <n v="91"/>
    <x v="96"/>
    <x v="53"/>
    <s v="(93) 203 4555"/>
    <s v="Rambla de Catalu¤a, 23"/>
    <m/>
    <x v="43"/>
    <m/>
    <n v="8022"/>
    <x v="7"/>
    <x v="1"/>
    <s v="Saavedra"/>
    <s v="Eduardo"/>
    <x v="0"/>
  </r>
  <r>
    <n v="10353"/>
    <n v="39"/>
    <n v="100"/>
    <n v="9"/>
    <n v="5043.87"/>
    <d v="2004-12-04T00:00:00"/>
    <x v="0"/>
    <n v="4"/>
    <x v="6"/>
    <x v="6"/>
    <x v="1"/>
    <x v="4"/>
    <n v="91"/>
    <x v="96"/>
    <x v="88"/>
    <n v="2035554407"/>
    <s v="2440 Pompton St."/>
    <m/>
    <x v="63"/>
    <s v="CT"/>
    <n v="97561"/>
    <x v="0"/>
    <x v="0"/>
    <s v="Lewis"/>
    <s v="Dan"/>
    <x v="1"/>
  </r>
  <r>
    <n v="10361"/>
    <n v="20"/>
    <n v="60.54"/>
    <n v="4"/>
    <n v="1210.8"/>
    <d v="2004-12-17T00:00:00"/>
    <x v="0"/>
    <n v="4"/>
    <x v="6"/>
    <x v="6"/>
    <x v="1"/>
    <x v="4"/>
    <n v="91"/>
    <x v="96"/>
    <x v="20"/>
    <s v="+61 2 9495 8555"/>
    <s v="Monitor Money Building, 815 Pacific Hwy"/>
    <s v="Level 6"/>
    <x v="17"/>
    <s v="NSW"/>
    <n v="2067"/>
    <x v="3"/>
    <x v="2"/>
    <s v="Huxley"/>
    <s v="Adrian"/>
    <x v="0"/>
  </r>
  <r>
    <n v="10375"/>
    <n v="37"/>
    <n v="81.87"/>
    <n v="6"/>
    <n v="3029.19"/>
    <d v="2005-02-03T00:00:00"/>
    <x v="0"/>
    <n v="1"/>
    <x v="0"/>
    <x v="0"/>
    <x v="2"/>
    <x v="4"/>
    <n v="91"/>
    <x v="96"/>
    <x v="14"/>
    <s v="40.67.8555"/>
    <s v="67, rue des Cinquante Otages"/>
    <m/>
    <x v="11"/>
    <m/>
    <n v="44000"/>
    <x v="1"/>
    <x v="1"/>
    <s v="Labrune"/>
    <s v="Janine"/>
    <x v="1"/>
  </r>
  <r>
    <n v="10388"/>
    <n v="46"/>
    <n v="100"/>
    <n v="2"/>
    <n v="10066.6"/>
    <d v="2005-03-03T00:00:00"/>
    <x v="0"/>
    <n v="1"/>
    <x v="11"/>
    <x v="11"/>
    <x v="2"/>
    <x v="4"/>
    <n v="91"/>
    <x v="96"/>
    <x v="21"/>
    <n v="5085552555"/>
    <s v="1785 First Street"/>
    <m/>
    <x v="18"/>
    <s v="MA"/>
    <n v="50553"/>
    <x v="0"/>
    <x v="0"/>
    <s v="Benitez"/>
    <s v="Violeta"/>
    <x v="2"/>
  </r>
  <r>
    <n v="10398"/>
    <n v="47"/>
    <n v="87.69"/>
    <n v="6"/>
    <n v="4121.43"/>
    <d v="2005-03-30T00:00:00"/>
    <x v="0"/>
    <n v="1"/>
    <x v="11"/>
    <x v="11"/>
    <x v="2"/>
    <x v="4"/>
    <n v="91"/>
    <x v="96"/>
    <x v="1"/>
    <s v="26.47.1555"/>
    <s v="59 rue de l'Abbaye"/>
    <m/>
    <x v="1"/>
    <m/>
    <n v="51100"/>
    <x v="1"/>
    <x v="1"/>
    <s v="Henriot"/>
    <s v="Paul"/>
    <x v="1"/>
  </r>
  <r>
    <n v="10401"/>
    <n v="11"/>
    <n v="100"/>
    <n v="8"/>
    <n v="1135.31"/>
    <d v="2005-04-03T00:00:00"/>
    <x v="4"/>
    <n v="2"/>
    <x v="8"/>
    <x v="8"/>
    <x v="2"/>
    <x v="4"/>
    <n v="91"/>
    <x v="96"/>
    <x v="12"/>
    <n v="2015559350"/>
    <s v="7476 Moss Rd."/>
    <m/>
    <x v="9"/>
    <s v="NJ"/>
    <n v="94019"/>
    <x v="0"/>
    <x v="0"/>
    <s v="Brown"/>
    <s v="William"/>
    <x v="0"/>
  </r>
  <r>
    <n v="10416"/>
    <n v="23"/>
    <n v="91.34"/>
    <n v="9"/>
    <n v="2100.8200000000002"/>
    <d v="2005-05-10T00:00:00"/>
    <x v="0"/>
    <n v="2"/>
    <x v="1"/>
    <x v="1"/>
    <x v="2"/>
    <x v="4"/>
    <n v="91"/>
    <x v="96"/>
    <x v="70"/>
    <s v="0522-556555"/>
    <s v="Strada Provinciale 124"/>
    <m/>
    <x v="57"/>
    <m/>
    <n v="42100"/>
    <x v="12"/>
    <x v="1"/>
    <s v="Moroni"/>
    <s v="Maurizio"/>
    <x v="0"/>
  </r>
  <r>
    <n v="10105"/>
    <n v="29"/>
    <n v="70.150000000000006"/>
    <n v="12"/>
    <n v="2034.35"/>
    <d v="2003-02-11T00:00:00"/>
    <x v="0"/>
    <n v="1"/>
    <x v="0"/>
    <x v="0"/>
    <x v="0"/>
    <x v="5"/>
    <n v="86"/>
    <x v="97"/>
    <x v="48"/>
    <s v="31 12 3555"/>
    <s v="Vinb'ltet 34"/>
    <m/>
    <x v="40"/>
    <m/>
    <n v="1734"/>
    <x v="13"/>
    <x v="1"/>
    <s v="Petersen"/>
    <s v="Jytte"/>
    <x v="0"/>
  </r>
  <r>
    <n v="10117"/>
    <n v="38"/>
    <n v="79.680000000000007"/>
    <n v="6"/>
    <n v="3027.84"/>
    <d v="2003-04-16T00:00:00"/>
    <x v="0"/>
    <n v="2"/>
    <x v="8"/>
    <x v="8"/>
    <x v="0"/>
    <x v="5"/>
    <n v="86"/>
    <x v="97"/>
    <x v="26"/>
    <s v="+65 221 7555"/>
    <s v="Bronz Sok., Bronz Apt. 3/6 Tesvikiye"/>
    <m/>
    <x v="22"/>
    <m/>
    <n v="79903"/>
    <x v="9"/>
    <x v="3"/>
    <s v="Natividad"/>
    <s v="Eric"/>
    <x v="1"/>
  </r>
  <r>
    <n v="10128"/>
    <n v="32"/>
    <n v="97"/>
    <n v="3"/>
    <n v="3104"/>
    <d v="2003-06-06T00:00:00"/>
    <x v="0"/>
    <n v="2"/>
    <x v="9"/>
    <x v="9"/>
    <x v="0"/>
    <x v="5"/>
    <n v="86"/>
    <x v="97"/>
    <x v="23"/>
    <s v="(91) 555 94 44"/>
    <s v="C/ Moralzarzal, 86"/>
    <m/>
    <x v="20"/>
    <m/>
    <n v="28034"/>
    <x v="7"/>
    <x v="1"/>
    <s v="Freyre"/>
    <s v="Diego"/>
    <x v="1"/>
  </r>
  <r>
    <n v="10142"/>
    <n v="43"/>
    <n v="84.01"/>
    <n v="9"/>
    <n v="3612.43"/>
    <d v="2003-08-08T00:00:00"/>
    <x v="0"/>
    <n v="3"/>
    <x v="3"/>
    <x v="3"/>
    <x v="0"/>
    <x v="5"/>
    <n v="86"/>
    <x v="97"/>
    <x v="39"/>
    <n v="4155551450"/>
    <s v="5677 Strong St."/>
    <m/>
    <x v="33"/>
    <s v="CA"/>
    <n v="97562"/>
    <x v="0"/>
    <x v="0"/>
    <s v="Nelson"/>
    <s v="Valarie"/>
    <x v="1"/>
  </r>
  <r>
    <n v="10153"/>
    <n v="31"/>
    <n v="87.48"/>
    <n v="8"/>
    <n v="2711.88"/>
    <d v="2003-09-28T00:00:00"/>
    <x v="0"/>
    <n v="3"/>
    <x v="10"/>
    <x v="10"/>
    <x v="0"/>
    <x v="5"/>
    <n v="86"/>
    <x v="97"/>
    <x v="23"/>
    <s v="(91) 555 94 44"/>
    <s v="C/ Moralzarzal, 86"/>
    <m/>
    <x v="20"/>
    <m/>
    <n v="28034"/>
    <x v="7"/>
    <x v="1"/>
    <s v="Freyre"/>
    <s v="Diego"/>
    <x v="0"/>
  </r>
  <r>
    <n v="10166"/>
    <n v="29"/>
    <n v="100"/>
    <n v="3"/>
    <n v="3013.97"/>
    <d v="2003-10-21T00:00:00"/>
    <x v="0"/>
    <n v="4"/>
    <x v="4"/>
    <x v="4"/>
    <x v="0"/>
    <x v="5"/>
    <n v="86"/>
    <x v="97"/>
    <x v="21"/>
    <n v="5085552555"/>
    <s v="1785 First Street"/>
    <m/>
    <x v="18"/>
    <s v="MA"/>
    <n v="50553"/>
    <x v="0"/>
    <x v="0"/>
    <s v="Benitez"/>
    <s v="Violeta"/>
    <x v="1"/>
  </r>
  <r>
    <n v="10177"/>
    <n v="31"/>
    <n v="88.34"/>
    <n v="10"/>
    <n v="2738.54"/>
    <d v="2003-11-07T00:00:00"/>
    <x v="0"/>
    <n v="4"/>
    <x v="5"/>
    <x v="5"/>
    <x v="0"/>
    <x v="5"/>
    <n v="86"/>
    <x v="97"/>
    <x v="76"/>
    <s v="+34 913 728 555"/>
    <s v="Merchants House, 27-30 Merchant's Quay"/>
    <m/>
    <x v="20"/>
    <m/>
    <n v="28023"/>
    <x v="7"/>
    <x v="1"/>
    <s v="Fernandez"/>
    <s v="Jesus"/>
    <x v="0"/>
  </r>
  <r>
    <n v="10185"/>
    <n v="30"/>
    <n v="94.4"/>
    <n v="10"/>
    <n v="2832"/>
    <d v="2003-11-14T00:00:00"/>
    <x v="0"/>
    <n v="4"/>
    <x v="5"/>
    <x v="5"/>
    <x v="0"/>
    <x v="5"/>
    <n v="86"/>
    <x v="97"/>
    <x v="50"/>
    <n v="5085559555"/>
    <s v="4575 Hillside Dr."/>
    <m/>
    <x v="18"/>
    <s v="MA"/>
    <n v="50553"/>
    <x v="0"/>
    <x v="0"/>
    <s v="Tam"/>
    <s v="Wing C"/>
    <x v="0"/>
  </r>
  <r>
    <n v="10196"/>
    <n v="50"/>
    <n v="94.4"/>
    <n v="2"/>
    <n v="4720"/>
    <d v="2003-11-26T00:00:00"/>
    <x v="0"/>
    <n v="4"/>
    <x v="5"/>
    <x v="5"/>
    <x v="0"/>
    <x v="5"/>
    <n v="86"/>
    <x v="97"/>
    <x v="34"/>
    <n v="2035559545"/>
    <s v="567 North Pendale Street"/>
    <m/>
    <x v="28"/>
    <s v="CT"/>
    <n v="97823"/>
    <x v="0"/>
    <x v="0"/>
    <s v="Murphy"/>
    <s v="Leslie"/>
    <x v="1"/>
  </r>
  <r>
    <n v="10208"/>
    <n v="40"/>
    <n v="80.55"/>
    <n v="10"/>
    <n v="3222"/>
    <d v="2004-01-02T00:00:00"/>
    <x v="0"/>
    <n v="1"/>
    <x v="7"/>
    <x v="7"/>
    <x v="1"/>
    <x v="5"/>
    <n v="86"/>
    <x v="97"/>
    <x v="30"/>
    <s v="78.32.5555"/>
    <s v="2, rue du Commerce"/>
    <m/>
    <x v="25"/>
    <m/>
    <n v="69004"/>
    <x v="1"/>
    <x v="1"/>
    <s v="Saveley"/>
    <s v="Mary"/>
    <x v="1"/>
  </r>
  <r>
    <n v="10221"/>
    <n v="23"/>
    <n v="97"/>
    <n v="4"/>
    <n v="2231"/>
    <d v="2004-02-18T00:00:00"/>
    <x v="0"/>
    <n v="1"/>
    <x v="0"/>
    <x v="0"/>
    <x v="1"/>
    <x v="5"/>
    <n v="86"/>
    <x v="97"/>
    <x v="56"/>
    <s v="(02) 5554 67"/>
    <s v="Rue Joseph-Bens 532"/>
    <m/>
    <x v="46"/>
    <m/>
    <s v="B-1180"/>
    <x v="14"/>
    <x v="1"/>
    <s v="Dewey"/>
    <s v="Catherine"/>
    <x v="0"/>
  </r>
  <r>
    <n v="10232"/>
    <n v="26"/>
    <n v="88.34"/>
    <n v="7"/>
    <n v="2296.84"/>
    <d v="2004-03-20T00:00:00"/>
    <x v="0"/>
    <n v="1"/>
    <x v="11"/>
    <x v="11"/>
    <x v="1"/>
    <x v="5"/>
    <n v="86"/>
    <x v="97"/>
    <x v="59"/>
    <s v="(198) 555-8888"/>
    <s v="Garden House Crowther Way"/>
    <m/>
    <x v="49"/>
    <s v="Isle of Wight"/>
    <s v="PO31 7PJ"/>
    <x v="6"/>
    <x v="1"/>
    <s v="Bennett"/>
    <s v="Helen"/>
    <x v="0"/>
  </r>
  <r>
    <n v="10248"/>
    <n v="40"/>
    <n v="100"/>
    <n v="13"/>
    <n v="4157.2"/>
    <d v="2004-05-07T00:00:00"/>
    <x v="3"/>
    <n v="2"/>
    <x v="1"/>
    <x v="1"/>
    <x v="1"/>
    <x v="5"/>
    <n v="86"/>
    <x v="97"/>
    <x v="0"/>
    <n v="2125557818"/>
    <s v="897 Long Airport Avenue"/>
    <m/>
    <x v="0"/>
    <s v="NY"/>
    <n v="10022"/>
    <x v="0"/>
    <x v="0"/>
    <s v="Yu"/>
    <s v="Kwai"/>
    <x v="1"/>
  </r>
  <r>
    <n v="10273"/>
    <n v="21"/>
    <n v="100"/>
    <n v="14"/>
    <n v="2146.1999999999998"/>
    <d v="2004-07-21T00:00:00"/>
    <x v="0"/>
    <n v="3"/>
    <x v="2"/>
    <x v="2"/>
    <x v="1"/>
    <x v="5"/>
    <n v="86"/>
    <x v="97"/>
    <x v="56"/>
    <s v="(02) 5554 67"/>
    <s v="Rue Joseph-Bens 532"/>
    <m/>
    <x v="46"/>
    <m/>
    <s v="B-1180"/>
    <x v="14"/>
    <x v="1"/>
    <s v="Dewey"/>
    <s v="Catherine"/>
    <x v="0"/>
  </r>
  <r>
    <n v="10282"/>
    <n v="43"/>
    <n v="86.61"/>
    <n v="2"/>
    <n v="3724.23"/>
    <d v="2004-08-20T00:00:00"/>
    <x v="0"/>
    <n v="3"/>
    <x v="3"/>
    <x v="3"/>
    <x v="1"/>
    <x v="5"/>
    <n v="86"/>
    <x v="97"/>
    <x v="39"/>
    <n v="4155551450"/>
    <s v="5677 Strong St."/>
    <m/>
    <x v="33"/>
    <s v="CA"/>
    <n v="97562"/>
    <x v="0"/>
    <x v="0"/>
    <s v="Nelson"/>
    <s v="Valarie"/>
    <x v="1"/>
  </r>
  <r>
    <n v="10293"/>
    <n v="29"/>
    <n v="71.89"/>
    <n v="5"/>
    <n v="2084.81"/>
    <d v="2004-09-09T00:00:00"/>
    <x v="0"/>
    <n v="3"/>
    <x v="10"/>
    <x v="10"/>
    <x v="1"/>
    <x v="5"/>
    <n v="86"/>
    <x v="97"/>
    <x v="36"/>
    <s v="011-4988555"/>
    <s v="Via Monte Bianco 34"/>
    <m/>
    <x v="30"/>
    <m/>
    <n v="10100"/>
    <x v="12"/>
    <x v="1"/>
    <s v="Accorti"/>
    <s v="Paolo"/>
    <x v="0"/>
  </r>
  <r>
    <n v="10306"/>
    <n v="38"/>
    <n v="91.81"/>
    <n v="10"/>
    <n v="3488.78"/>
    <d v="2004-10-14T00:00:00"/>
    <x v="0"/>
    <n v="4"/>
    <x v="4"/>
    <x v="4"/>
    <x v="1"/>
    <x v="5"/>
    <n v="86"/>
    <x v="97"/>
    <x v="77"/>
    <s v="(171) 555-1555"/>
    <s v="Fauntleroy Circus"/>
    <m/>
    <x v="61"/>
    <m/>
    <s v="EC2 5NT"/>
    <x v="6"/>
    <x v="1"/>
    <s v="Ashworth"/>
    <s v="Victoria"/>
    <x v="1"/>
  </r>
  <r>
    <n v="10314"/>
    <n v="23"/>
    <n v="76.22"/>
    <n v="2"/>
    <n v="1753.06"/>
    <d v="2004-10-22T00:00:00"/>
    <x v="0"/>
    <n v="4"/>
    <x v="4"/>
    <x v="4"/>
    <x v="1"/>
    <x v="5"/>
    <n v="86"/>
    <x v="97"/>
    <x v="78"/>
    <s v="86 21 3555"/>
    <s v="Smagsloget 45"/>
    <m/>
    <x v="62"/>
    <m/>
    <n v="8200"/>
    <x v="13"/>
    <x v="1"/>
    <s v="Ibsen"/>
    <s v="Palle"/>
    <x v="0"/>
  </r>
  <r>
    <n v="10327"/>
    <n v="20"/>
    <n v="100"/>
    <n v="7"/>
    <n v="3469.2"/>
    <d v="2004-11-10T00:00:00"/>
    <x v="5"/>
    <n v="4"/>
    <x v="5"/>
    <x v="5"/>
    <x v="1"/>
    <x v="5"/>
    <n v="86"/>
    <x v="97"/>
    <x v="48"/>
    <s v="31 12 3555"/>
    <s v="Vinb'ltet 34"/>
    <m/>
    <x v="40"/>
    <m/>
    <n v="1734"/>
    <x v="13"/>
    <x v="1"/>
    <s v="Petersen"/>
    <s v="Jytte"/>
    <x v="1"/>
  </r>
  <r>
    <n v="10337"/>
    <n v="36"/>
    <n v="70.3"/>
    <n v="9"/>
    <n v="2530.8000000000002"/>
    <d v="2004-11-21T00:00:00"/>
    <x v="0"/>
    <n v="4"/>
    <x v="5"/>
    <x v="5"/>
    <x v="1"/>
    <x v="5"/>
    <n v="86"/>
    <x v="97"/>
    <x v="27"/>
    <n v="2125558493"/>
    <s v="5905 Pompton St."/>
    <s v="Suite 750"/>
    <x v="0"/>
    <s v="NY"/>
    <n v="10022"/>
    <x v="0"/>
    <x v="0"/>
    <s v="Hernandez"/>
    <s v="Maria"/>
    <x v="0"/>
  </r>
  <r>
    <n v="10350"/>
    <n v="28"/>
    <n v="100"/>
    <n v="4"/>
    <n v="2924.32"/>
    <d v="2004-12-02T00:00:00"/>
    <x v="0"/>
    <n v="4"/>
    <x v="6"/>
    <x v="6"/>
    <x v="1"/>
    <x v="5"/>
    <n v="86"/>
    <x v="97"/>
    <x v="23"/>
    <s v="(91) 555 94 44"/>
    <s v="C/ Moralzarzal, 86"/>
    <m/>
    <x v="20"/>
    <m/>
    <n v="28034"/>
    <x v="7"/>
    <x v="1"/>
    <s v="Freyre"/>
    <s v="Diego"/>
    <x v="0"/>
  </r>
  <r>
    <n v="10372"/>
    <n v="44"/>
    <n v="100"/>
    <n v="2"/>
    <n v="4496.8"/>
    <d v="2005-01-26T00:00:00"/>
    <x v="0"/>
    <n v="1"/>
    <x v="7"/>
    <x v="7"/>
    <x v="2"/>
    <x v="5"/>
    <n v="86"/>
    <x v="97"/>
    <x v="35"/>
    <s v="+81 3 3584 0555"/>
    <s v="2-2-8 Roppongi"/>
    <m/>
    <x v="29"/>
    <s v="Tokyo"/>
    <s v="106-0032"/>
    <x v="11"/>
    <x v="3"/>
    <s v="Shimamura"/>
    <s v="Akiko"/>
    <x v="1"/>
  </r>
  <r>
    <n v="10384"/>
    <n v="49"/>
    <n v="100"/>
    <n v="1"/>
    <n v="6397.44"/>
    <d v="2005-02-23T00:00:00"/>
    <x v="0"/>
    <n v="1"/>
    <x v="0"/>
    <x v="0"/>
    <x v="2"/>
    <x v="5"/>
    <n v="86"/>
    <x v="97"/>
    <x v="4"/>
    <n v="6505551386"/>
    <s v="7734 Strong St."/>
    <m/>
    <x v="4"/>
    <s v="CA"/>
    <m/>
    <x v="0"/>
    <x v="0"/>
    <s v="Brown"/>
    <s v="Julie"/>
    <x v="1"/>
  </r>
  <r>
    <n v="10397"/>
    <n v="32"/>
    <n v="80.55"/>
    <n v="5"/>
    <n v="2577.6"/>
    <d v="2005-03-28T00:00:00"/>
    <x v="0"/>
    <n v="1"/>
    <x v="11"/>
    <x v="11"/>
    <x v="2"/>
    <x v="5"/>
    <n v="86"/>
    <x v="97"/>
    <x v="51"/>
    <s v="61.77.6555"/>
    <s v="1 rue Alsace-Lorraine"/>
    <m/>
    <x v="42"/>
    <m/>
    <n v="31000"/>
    <x v="1"/>
    <x v="1"/>
    <s v="Roulet"/>
    <s v="Annette"/>
    <x v="0"/>
  </r>
  <r>
    <n v="10414"/>
    <n v="34"/>
    <n v="100"/>
    <n v="13"/>
    <n v="3533.62"/>
    <d v="2005-05-06T00:00:00"/>
    <x v="4"/>
    <n v="2"/>
    <x v="1"/>
    <x v="1"/>
    <x v="2"/>
    <x v="5"/>
    <n v="86"/>
    <x v="97"/>
    <x v="58"/>
    <n v="6175559555"/>
    <s v="8616 Spinnaker Dr."/>
    <m/>
    <x v="48"/>
    <s v="MA"/>
    <n v="51003"/>
    <x v="0"/>
    <x v="0"/>
    <s v="Yoshido"/>
    <s v="Juri"/>
    <x v="1"/>
  </r>
  <r>
    <n v="10106"/>
    <n v="30"/>
    <n v="100"/>
    <n v="16"/>
    <n v="3177.3"/>
    <d v="2003-02-17T00:00:00"/>
    <x v="0"/>
    <n v="1"/>
    <x v="0"/>
    <x v="0"/>
    <x v="0"/>
    <x v="5"/>
    <n v="90"/>
    <x v="98"/>
    <x v="86"/>
    <s v="035-640555"/>
    <s v="Via Ludovico il Moro 22"/>
    <m/>
    <x v="69"/>
    <m/>
    <n v="24100"/>
    <x v="12"/>
    <x v="1"/>
    <s v="Rovelli"/>
    <s v="Giovanni"/>
    <x v="1"/>
  </r>
  <r>
    <n v="10119"/>
    <n v="29"/>
    <n v="94.14"/>
    <n v="7"/>
    <n v="2730.06"/>
    <d v="2003-04-28T00:00:00"/>
    <x v="0"/>
    <n v="2"/>
    <x v="8"/>
    <x v="8"/>
    <x v="0"/>
    <x v="5"/>
    <n v="90"/>
    <x v="98"/>
    <x v="19"/>
    <s v="6562-9555"/>
    <s v="Geislweg 14"/>
    <m/>
    <x v="16"/>
    <m/>
    <n v="5020"/>
    <x v="5"/>
    <x v="1"/>
    <s v="Pipps"/>
    <s v="Georg"/>
    <x v="0"/>
  </r>
  <r>
    <n v="10131"/>
    <n v="22"/>
    <n v="85.99"/>
    <n v="8"/>
    <n v="1891.78"/>
    <d v="2003-06-16T00:00:00"/>
    <x v="0"/>
    <n v="2"/>
    <x v="9"/>
    <x v="9"/>
    <x v="0"/>
    <x v="5"/>
    <n v="90"/>
    <x v="98"/>
    <x v="88"/>
    <n v="2035554407"/>
    <s v="2440 Pompton St."/>
    <m/>
    <x v="63"/>
    <s v="CT"/>
    <n v="97561"/>
    <x v="0"/>
    <x v="0"/>
    <s v="Lewis"/>
    <s v="Dan"/>
    <x v="0"/>
  </r>
  <r>
    <n v="10143"/>
    <n v="26"/>
    <n v="100"/>
    <n v="11"/>
    <n v="2612.48"/>
    <d v="2003-08-10T00:00:00"/>
    <x v="0"/>
    <n v="3"/>
    <x v="3"/>
    <x v="3"/>
    <x v="0"/>
    <x v="5"/>
    <n v="90"/>
    <x v="98"/>
    <x v="50"/>
    <n v="5085559555"/>
    <s v="4575 Hillside Dr."/>
    <m/>
    <x v="18"/>
    <s v="MA"/>
    <n v="50553"/>
    <x v="0"/>
    <x v="0"/>
    <s v="Tam"/>
    <s v="Wing C"/>
    <x v="0"/>
  </r>
  <r>
    <n v="10155"/>
    <n v="32"/>
    <n v="91.43"/>
    <n v="9"/>
    <n v="2925.76"/>
    <d v="2003-10-06T00:00:00"/>
    <x v="0"/>
    <n v="4"/>
    <x v="4"/>
    <x v="4"/>
    <x v="0"/>
    <x v="5"/>
    <n v="90"/>
    <x v="98"/>
    <x v="16"/>
    <s v="90-224 8555"/>
    <s v="Keskuskatu 45"/>
    <m/>
    <x v="13"/>
    <m/>
    <n v="21240"/>
    <x v="4"/>
    <x v="1"/>
    <s v="Karttunen"/>
    <s v="Matti"/>
    <x v="0"/>
  </r>
  <r>
    <n v="10167"/>
    <n v="29"/>
    <n v="100"/>
    <n v="5"/>
    <n v="2940.02"/>
    <d v="2003-10-23T00:00:00"/>
    <x v="3"/>
    <n v="4"/>
    <x v="4"/>
    <x v="4"/>
    <x v="0"/>
    <x v="5"/>
    <n v="90"/>
    <x v="98"/>
    <x v="37"/>
    <s v="0695-34 6555"/>
    <s v="?kergatan 24"/>
    <m/>
    <x v="31"/>
    <m/>
    <s v="S-844 67"/>
    <x v="8"/>
    <x v="1"/>
    <s v="Larsson"/>
    <s v="Maria"/>
    <x v="0"/>
  </r>
  <r>
    <n v="10178"/>
    <n v="34"/>
    <n v="96.86"/>
    <n v="8"/>
    <n v="3293.24"/>
    <d v="2003-11-08T00:00:00"/>
    <x v="0"/>
    <n v="4"/>
    <x v="5"/>
    <x v="5"/>
    <x v="0"/>
    <x v="5"/>
    <n v="90"/>
    <x v="98"/>
    <x v="51"/>
    <s v="61.77.6555"/>
    <s v="1 rue Alsace-Lorraine"/>
    <m/>
    <x v="42"/>
    <m/>
    <n v="31000"/>
    <x v="1"/>
    <x v="1"/>
    <s v="Roulet"/>
    <s v="Annette"/>
    <x v="1"/>
  </r>
  <r>
    <n v="10186"/>
    <n v="24"/>
    <n v="99.57"/>
    <n v="5"/>
    <n v="2389.6799999999998"/>
    <d v="2003-11-14T00:00:00"/>
    <x v="0"/>
    <n v="4"/>
    <x v="5"/>
    <x v="5"/>
    <x v="0"/>
    <x v="5"/>
    <n v="90"/>
    <x v="98"/>
    <x v="52"/>
    <s v="(171) 555-7555"/>
    <s v="120 Hanover Sq."/>
    <m/>
    <x v="41"/>
    <m/>
    <s v="WA1 1DP"/>
    <x v="6"/>
    <x v="1"/>
    <s v="Hardy"/>
    <s v="Thomas"/>
    <x v="0"/>
  </r>
  <r>
    <n v="10197"/>
    <n v="24"/>
    <n v="90.52"/>
    <n v="2"/>
    <n v="2172.48"/>
    <d v="2003-11-26T00:00:00"/>
    <x v="0"/>
    <n v="4"/>
    <x v="5"/>
    <x v="5"/>
    <x v="0"/>
    <x v="5"/>
    <n v="90"/>
    <x v="98"/>
    <x v="53"/>
    <s v="(93) 203 4555"/>
    <s v="Rambla de Catalu¤a, 23"/>
    <m/>
    <x v="43"/>
    <m/>
    <n v="8022"/>
    <x v="7"/>
    <x v="1"/>
    <s v="Saavedra"/>
    <s v="Eduardo"/>
    <x v="0"/>
  </r>
  <r>
    <n v="10209"/>
    <n v="33"/>
    <n v="88.71"/>
    <n v="4"/>
    <n v="2927.43"/>
    <d v="2004-01-09T00:00:00"/>
    <x v="0"/>
    <n v="1"/>
    <x v="7"/>
    <x v="7"/>
    <x v="1"/>
    <x v="5"/>
    <n v="90"/>
    <x v="98"/>
    <x v="54"/>
    <n v="2155554369"/>
    <s v="6047 Douglas Av."/>
    <m/>
    <x v="44"/>
    <s v="CA"/>
    <m/>
    <x v="0"/>
    <x v="0"/>
    <s v="Chandler"/>
    <s v="Michael"/>
    <x v="0"/>
  </r>
  <r>
    <n v="10222"/>
    <n v="26"/>
    <n v="100"/>
    <n v="8"/>
    <n v="2659.54"/>
    <d v="2004-02-19T00:00:00"/>
    <x v="0"/>
    <n v="1"/>
    <x v="0"/>
    <x v="0"/>
    <x v="1"/>
    <x v="5"/>
    <n v="90"/>
    <x v="98"/>
    <x v="55"/>
    <n v="7605558146"/>
    <s v="361 Furth Circle"/>
    <m/>
    <x v="45"/>
    <s v="CA"/>
    <n v="91217"/>
    <x v="0"/>
    <x v="0"/>
    <s v="Thompson"/>
    <s v="Valarie"/>
    <x v="0"/>
  </r>
  <r>
    <n v="10249"/>
    <n v="40"/>
    <n v="95.95"/>
    <n v="4"/>
    <n v="3838"/>
    <d v="2004-05-08T00:00:00"/>
    <x v="0"/>
    <n v="2"/>
    <x v="1"/>
    <x v="1"/>
    <x v="1"/>
    <x v="5"/>
    <n v="90"/>
    <x v="98"/>
    <x v="33"/>
    <n v="6175555555"/>
    <s v="4658 Baden Av."/>
    <m/>
    <x v="12"/>
    <s v="MA"/>
    <n v="51247"/>
    <x v="0"/>
    <x v="0"/>
    <s v="Tseng"/>
    <s v="Kyung"/>
    <x v="1"/>
  </r>
  <r>
    <n v="10262"/>
    <n v="44"/>
    <n v="94.14"/>
    <n v="13"/>
    <n v="4142.16"/>
    <d v="2004-06-24T00:00:00"/>
    <x v="3"/>
    <n v="2"/>
    <x v="9"/>
    <x v="9"/>
    <x v="1"/>
    <x v="5"/>
    <n v="90"/>
    <x v="98"/>
    <x v="23"/>
    <s v="(91) 555 94 44"/>
    <s v="C/ Moralzarzal, 86"/>
    <m/>
    <x v="20"/>
    <m/>
    <n v="28034"/>
    <x v="7"/>
    <x v="1"/>
    <s v="Freyre"/>
    <s v="Diego"/>
    <x v="1"/>
  </r>
  <r>
    <n v="10274"/>
    <n v="24"/>
    <n v="90.52"/>
    <n v="5"/>
    <n v="2172.48"/>
    <d v="2004-07-21T00:00:00"/>
    <x v="0"/>
    <n v="3"/>
    <x v="2"/>
    <x v="2"/>
    <x v="1"/>
    <x v="5"/>
    <n v="90"/>
    <x v="98"/>
    <x v="41"/>
    <n v="6175558555"/>
    <s v="7825 Douglas Av."/>
    <m/>
    <x v="35"/>
    <s v="MA"/>
    <n v="58339"/>
    <x v="0"/>
    <x v="0"/>
    <s v="Nelson"/>
    <s v="Allen"/>
    <x v="0"/>
  </r>
  <r>
    <n v="10283"/>
    <n v="20"/>
    <n v="94.14"/>
    <n v="2"/>
    <n v="1882.8"/>
    <d v="2004-08-20T00:00:00"/>
    <x v="0"/>
    <n v="3"/>
    <x v="3"/>
    <x v="3"/>
    <x v="1"/>
    <x v="5"/>
    <n v="90"/>
    <x v="98"/>
    <x v="57"/>
    <s v="(604) 555-4555"/>
    <s v="23 Tsawassen Blvd."/>
    <m/>
    <x v="47"/>
    <s v="BC"/>
    <s v="T2F 8M4"/>
    <x v="10"/>
    <x v="0"/>
    <s v="Lincoln"/>
    <s v="Elizabeth"/>
    <x v="0"/>
  </r>
  <r>
    <n v="10296"/>
    <n v="34"/>
    <n v="100"/>
    <n v="11"/>
    <n v="3477.86"/>
    <d v="2004-09-15T00:00:00"/>
    <x v="0"/>
    <n v="3"/>
    <x v="10"/>
    <x v="10"/>
    <x v="1"/>
    <x v="5"/>
    <n v="90"/>
    <x v="98"/>
    <x v="89"/>
    <s v="+49 89 61 08 9555"/>
    <s v="Hansastr. 15"/>
    <m/>
    <x v="71"/>
    <m/>
    <n v="80686"/>
    <x v="16"/>
    <x v="1"/>
    <s v="Donnermeyer"/>
    <s v="Michael"/>
    <x v="1"/>
  </r>
  <r>
    <n v="10307"/>
    <n v="34"/>
    <n v="97.76"/>
    <n v="5"/>
    <n v="3323.84"/>
    <d v="2004-10-14T00:00:00"/>
    <x v="0"/>
    <n v="4"/>
    <x v="4"/>
    <x v="4"/>
    <x v="1"/>
    <x v="5"/>
    <n v="90"/>
    <x v="98"/>
    <x v="29"/>
    <n v="2155554695"/>
    <s v="782 First Street"/>
    <m/>
    <x v="24"/>
    <s v="PA"/>
    <n v="71270"/>
    <x v="0"/>
    <x v="0"/>
    <s v="Cervantes"/>
    <s v="Francisca"/>
    <x v="1"/>
  </r>
  <r>
    <n v="10316"/>
    <n v="45"/>
    <n v="93.24"/>
    <n v="13"/>
    <n v="4195.8"/>
    <d v="2004-11-01T00:00:00"/>
    <x v="0"/>
    <n v="4"/>
    <x v="5"/>
    <x v="5"/>
    <x v="1"/>
    <x v="5"/>
    <n v="90"/>
    <x v="98"/>
    <x v="59"/>
    <s v="(198) 555-8888"/>
    <s v="Garden House Crowther Way"/>
    <m/>
    <x v="49"/>
    <s v="Isle of Wight"/>
    <s v="PO31 7PJ"/>
    <x v="6"/>
    <x v="1"/>
    <s v="Bennett"/>
    <s v="Helen"/>
    <x v="1"/>
  </r>
  <r>
    <n v="10328"/>
    <n v="41"/>
    <n v="100"/>
    <n v="9"/>
    <n v="4156.58"/>
    <d v="2004-11-12T00:00:00"/>
    <x v="0"/>
    <n v="4"/>
    <x v="5"/>
    <x v="5"/>
    <x v="1"/>
    <x v="5"/>
    <n v="90"/>
    <x v="98"/>
    <x v="86"/>
    <s v="035-640555"/>
    <s v="Via Ludovico il Moro 22"/>
    <m/>
    <x v="69"/>
    <m/>
    <n v="24100"/>
    <x v="12"/>
    <x v="1"/>
    <s v="Rovelli"/>
    <s v="Giovanni"/>
    <x v="1"/>
  </r>
  <r>
    <n v="10339"/>
    <n v="55"/>
    <n v="71.25"/>
    <n v="15"/>
    <n v="3918.75"/>
    <d v="2004-11-23T00:00:00"/>
    <x v="0"/>
    <n v="4"/>
    <x v="5"/>
    <x v="5"/>
    <x v="1"/>
    <x v="5"/>
    <n v="90"/>
    <x v="98"/>
    <x v="35"/>
    <s v="+81 3 3584 0555"/>
    <s v="2-2-8 Roppongi"/>
    <m/>
    <x v="29"/>
    <s v="Tokyo"/>
    <s v="106-0032"/>
    <x v="11"/>
    <x v="3"/>
    <s v="Shimamura"/>
    <s v="Akiko"/>
    <x v="1"/>
  </r>
  <r>
    <n v="10352"/>
    <n v="23"/>
    <n v="100"/>
    <n v="3"/>
    <n v="2352.67"/>
    <d v="2004-12-03T00:00:00"/>
    <x v="0"/>
    <n v="4"/>
    <x v="6"/>
    <x v="6"/>
    <x v="1"/>
    <x v="5"/>
    <n v="90"/>
    <x v="98"/>
    <x v="91"/>
    <n v="6175558428"/>
    <s v="16780 Pompton St."/>
    <m/>
    <x v="35"/>
    <s v="MA"/>
    <n v="58339"/>
    <x v="0"/>
    <x v="0"/>
    <s v="Taylor"/>
    <s v="Leslie"/>
    <x v="0"/>
  </r>
  <r>
    <n v="10361"/>
    <n v="24"/>
    <n v="45.39"/>
    <n v="14"/>
    <n v="1089.3599999999999"/>
    <d v="2004-12-17T00:00:00"/>
    <x v="0"/>
    <n v="4"/>
    <x v="6"/>
    <x v="6"/>
    <x v="1"/>
    <x v="5"/>
    <n v="90"/>
    <x v="98"/>
    <x v="20"/>
    <s v="+61 2 9495 8555"/>
    <s v="Monitor Money Building, 815 Pacific Hwy"/>
    <s v="Level 6"/>
    <x v="17"/>
    <s v="NSW"/>
    <n v="2067"/>
    <x v="3"/>
    <x v="2"/>
    <s v="Huxley"/>
    <s v="Adrian"/>
    <x v="0"/>
  </r>
  <r>
    <n v="10373"/>
    <n v="32"/>
    <n v="84.41"/>
    <n v="15"/>
    <n v="2701.12"/>
    <d v="2005-01-31T00:00:00"/>
    <x v="0"/>
    <n v="1"/>
    <x v="7"/>
    <x v="7"/>
    <x v="2"/>
    <x v="5"/>
    <n v="90"/>
    <x v="98"/>
    <x v="60"/>
    <s v="981-443655"/>
    <s v="Torikatu 38"/>
    <m/>
    <x v="50"/>
    <m/>
    <n v="90110"/>
    <x v="4"/>
    <x v="1"/>
    <s v="Koskitalo"/>
    <s v="Pirkko"/>
    <x v="0"/>
  </r>
  <r>
    <n v="10386"/>
    <n v="29"/>
    <n v="85.76"/>
    <n v="13"/>
    <n v="2487.04"/>
    <d v="2005-03-01T00:00:00"/>
    <x v="5"/>
    <n v="1"/>
    <x v="11"/>
    <x v="11"/>
    <x v="2"/>
    <x v="5"/>
    <n v="90"/>
    <x v="98"/>
    <x v="23"/>
    <s v="(91) 555 94 44"/>
    <s v="C/ Moralzarzal, 86"/>
    <m/>
    <x v="20"/>
    <m/>
    <n v="28034"/>
    <x v="7"/>
    <x v="1"/>
    <s v="Freyre"/>
    <s v="Diego"/>
    <x v="0"/>
  </r>
  <r>
    <n v="10398"/>
    <n v="36"/>
    <n v="100"/>
    <n v="7"/>
    <n v="3910.32"/>
    <d v="2005-03-30T00:00:00"/>
    <x v="0"/>
    <n v="1"/>
    <x v="11"/>
    <x v="11"/>
    <x v="2"/>
    <x v="5"/>
    <n v="90"/>
    <x v="98"/>
    <x v="1"/>
    <s v="26.47.1555"/>
    <s v="59 rue de l'Abbaye"/>
    <m/>
    <x v="1"/>
    <m/>
    <n v="51100"/>
    <x v="1"/>
    <x v="1"/>
    <s v="Henriot"/>
    <s v="Paul"/>
    <x v="1"/>
  </r>
  <r>
    <n v="10400"/>
    <n v="46"/>
    <n v="87.8"/>
    <n v="5"/>
    <n v="4038.8"/>
    <d v="2005-04-01T00:00:00"/>
    <x v="0"/>
    <n v="2"/>
    <x v="8"/>
    <x v="8"/>
    <x v="2"/>
    <x v="5"/>
    <n v="90"/>
    <x v="98"/>
    <x v="61"/>
    <n v="4085553659"/>
    <s v="3086 Ingle Ln."/>
    <m/>
    <x v="51"/>
    <s v="CA"/>
    <n v="94217"/>
    <x v="0"/>
    <x v="0"/>
    <s v="Frick"/>
    <s v="Sue"/>
    <x v="1"/>
  </r>
  <r>
    <n v="10415"/>
    <n v="32"/>
    <n v="95.95"/>
    <n v="4"/>
    <n v="3070.4"/>
    <d v="2005-05-09T00:00:00"/>
    <x v="1"/>
    <n v="2"/>
    <x v="1"/>
    <x v="1"/>
    <x v="2"/>
    <x v="5"/>
    <n v="90"/>
    <x v="98"/>
    <x v="87"/>
    <s v="61-9-3844-6555"/>
    <s v="7 Allen Street"/>
    <m/>
    <x v="70"/>
    <s v="Victoria"/>
    <n v="3150"/>
    <x v="3"/>
    <x v="2"/>
    <s v="Connery"/>
    <s v="Sean"/>
    <x v="1"/>
  </r>
  <r>
    <n v="10106"/>
    <n v="34"/>
    <n v="100"/>
    <n v="9"/>
    <n v="3763.46"/>
    <d v="2003-02-17T00:00:00"/>
    <x v="0"/>
    <n v="1"/>
    <x v="0"/>
    <x v="0"/>
    <x v="0"/>
    <x v="4"/>
    <n v="99"/>
    <x v="99"/>
    <x v="86"/>
    <s v="035-640555"/>
    <s v="Via Ludovico il Moro 22"/>
    <m/>
    <x v="69"/>
    <m/>
    <n v="24100"/>
    <x v="12"/>
    <x v="1"/>
    <s v="Rovelli"/>
    <s v="Giovanni"/>
    <x v="1"/>
  </r>
  <r>
    <n v="10120"/>
    <n v="24"/>
    <n v="100"/>
    <n v="15"/>
    <n v="2584.8000000000002"/>
    <d v="2003-04-29T00:00:00"/>
    <x v="0"/>
    <n v="2"/>
    <x v="8"/>
    <x v="8"/>
    <x v="0"/>
    <x v="4"/>
    <n v="99"/>
    <x v="99"/>
    <x v="10"/>
    <s v="03 9520 4555"/>
    <s v="636 St Kilda Road"/>
    <s v="Level 3"/>
    <x v="8"/>
    <s v="Victoria"/>
    <n v="3004"/>
    <x v="3"/>
    <x v="2"/>
    <s v="Ferguson"/>
    <s v="Peter"/>
    <x v="0"/>
  </r>
  <r>
    <n v="10131"/>
    <n v="40"/>
    <n v="100"/>
    <n v="1"/>
    <n v="4427.6000000000004"/>
    <d v="2003-06-16T00:00:00"/>
    <x v="0"/>
    <n v="2"/>
    <x v="9"/>
    <x v="9"/>
    <x v="0"/>
    <x v="4"/>
    <n v="99"/>
    <x v="99"/>
    <x v="88"/>
    <n v="2035554407"/>
    <s v="2440 Pompton St."/>
    <m/>
    <x v="63"/>
    <s v="CT"/>
    <n v="97561"/>
    <x v="0"/>
    <x v="0"/>
    <s v="Lewis"/>
    <s v="Dan"/>
    <x v="1"/>
  </r>
  <r>
    <n v="10143"/>
    <n v="26"/>
    <n v="82.77"/>
    <n v="4"/>
    <n v="2152.02"/>
    <d v="2003-08-10T00:00:00"/>
    <x v="0"/>
    <n v="3"/>
    <x v="3"/>
    <x v="3"/>
    <x v="0"/>
    <x v="4"/>
    <n v="99"/>
    <x v="99"/>
    <x v="50"/>
    <n v="5085559555"/>
    <s v="4575 Hillside Dr."/>
    <m/>
    <x v="18"/>
    <s v="MA"/>
    <n v="50553"/>
    <x v="0"/>
    <x v="0"/>
    <s v="Tam"/>
    <s v="Wing C"/>
    <x v="0"/>
  </r>
  <r>
    <n v="10155"/>
    <n v="20"/>
    <n v="100"/>
    <n v="2"/>
    <n v="2353.4"/>
    <d v="2003-10-06T00:00:00"/>
    <x v="0"/>
    <n v="4"/>
    <x v="4"/>
    <x v="4"/>
    <x v="0"/>
    <x v="4"/>
    <n v="99"/>
    <x v="99"/>
    <x v="16"/>
    <s v="90-224 8555"/>
    <s v="Keskuskatu 45"/>
    <m/>
    <x v="13"/>
    <m/>
    <n v="21240"/>
    <x v="4"/>
    <x v="1"/>
    <s v="Karttunen"/>
    <s v="Matti"/>
    <x v="0"/>
  </r>
  <r>
    <n v="10168"/>
    <n v="31"/>
    <n v="100"/>
    <n v="16"/>
    <n v="3431.39"/>
    <d v="2003-10-28T00:00:00"/>
    <x v="0"/>
    <n v="4"/>
    <x v="4"/>
    <x v="4"/>
    <x v="0"/>
    <x v="4"/>
    <n v="99"/>
    <x v="99"/>
    <x v="5"/>
    <n v="6505556809"/>
    <s v="9408 Furth Circle"/>
    <m/>
    <x v="5"/>
    <s v="CA"/>
    <n v="94217"/>
    <x v="0"/>
    <x v="0"/>
    <s v="Hirano"/>
    <s v="Juri"/>
    <x v="1"/>
  </r>
  <r>
    <n v="10178"/>
    <n v="22"/>
    <n v="87.75"/>
    <n v="1"/>
    <n v="1930.5"/>
    <d v="2003-11-08T00:00:00"/>
    <x v="0"/>
    <n v="4"/>
    <x v="5"/>
    <x v="5"/>
    <x v="0"/>
    <x v="4"/>
    <n v="99"/>
    <x v="99"/>
    <x v="51"/>
    <s v="61.77.6555"/>
    <s v="1 rue Alsace-Lorraine"/>
    <m/>
    <x v="42"/>
    <m/>
    <n v="31000"/>
    <x v="1"/>
    <x v="1"/>
    <s v="Roulet"/>
    <s v="Annette"/>
    <x v="0"/>
  </r>
  <r>
    <n v="10198"/>
    <n v="42"/>
    <n v="100"/>
    <n v="1"/>
    <n v="4774.5600000000004"/>
    <d v="2003-11-27T00:00:00"/>
    <x v="0"/>
    <n v="4"/>
    <x v="5"/>
    <x v="5"/>
    <x v="0"/>
    <x v="4"/>
    <n v="99"/>
    <x v="99"/>
    <x v="66"/>
    <s v="+63 2 555 3587"/>
    <s v="15 McCallum Street - NatWest Center #13-03"/>
    <m/>
    <x v="53"/>
    <m/>
    <s v="1227 MM"/>
    <x v="15"/>
    <x v="3"/>
    <s v="Cruz"/>
    <s v="Arnold"/>
    <x v="1"/>
  </r>
  <r>
    <n v="10210"/>
    <n v="26"/>
    <n v="99.72"/>
    <n v="14"/>
    <n v="2592.7199999999998"/>
    <d v="2004-01-12T00:00:00"/>
    <x v="0"/>
    <n v="1"/>
    <x v="7"/>
    <x v="7"/>
    <x v="1"/>
    <x v="4"/>
    <n v="99"/>
    <x v="99"/>
    <x v="44"/>
    <s v="+81 06 6342 5555"/>
    <s v="Dojima Avanza 4F, 1-6-20 Dojima, Kita-ku"/>
    <m/>
    <x v="38"/>
    <s v="Osaka"/>
    <s v="530-0003"/>
    <x v="11"/>
    <x v="3"/>
    <s v="Kentary"/>
    <s v="Mory"/>
    <x v="0"/>
  </r>
  <r>
    <n v="10222"/>
    <n v="37"/>
    <n v="87.75"/>
    <n v="1"/>
    <n v="3246.75"/>
    <d v="2004-02-19T00:00:00"/>
    <x v="0"/>
    <n v="1"/>
    <x v="0"/>
    <x v="0"/>
    <x v="1"/>
    <x v="4"/>
    <n v="99"/>
    <x v="99"/>
    <x v="55"/>
    <n v="7605558146"/>
    <s v="361 Furth Circle"/>
    <m/>
    <x v="45"/>
    <s v="CA"/>
    <n v="91217"/>
    <x v="0"/>
    <x v="0"/>
    <s v="Thompson"/>
    <s v="Valarie"/>
    <x v="1"/>
  </r>
  <r>
    <n v="10235"/>
    <n v="38"/>
    <n v="88.75"/>
    <n v="10"/>
    <n v="3372.5"/>
    <d v="2004-04-02T00:00:00"/>
    <x v="0"/>
    <n v="2"/>
    <x v="8"/>
    <x v="8"/>
    <x v="1"/>
    <x v="4"/>
    <n v="99"/>
    <x v="99"/>
    <x v="57"/>
    <s v="(604) 555-4555"/>
    <s v="23 Tsawassen Blvd."/>
    <m/>
    <x v="47"/>
    <s v="BC"/>
    <s v="T2F 8M4"/>
    <x v="10"/>
    <x v="0"/>
    <s v="Lincoln"/>
    <s v="Elizabeth"/>
    <x v="1"/>
  </r>
  <r>
    <n v="10250"/>
    <n v="35"/>
    <n v="100"/>
    <n v="11"/>
    <n v="3909.15"/>
    <d v="2004-05-11T00:00:00"/>
    <x v="0"/>
    <n v="2"/>
    <x v="1"/>
    <x v="1"/>
    <x v="1"/>
    <x v="4"/>
    <n v="99"/>
    <x v="99"/>
    <x v="61"/>
    <n v="4085553659"/>
    <s v="3086 Ingle Ln."/>
    <m/>
    <x v="51"/>
    <s v="CA"/>
    <n v="94217"/>
    <x v="0"/>
    <x v="0"/>
    <s v="Frick"/>
    <s v="Sue"/>
    <x v="1"/>
  </r>
  <r>
    <n v="10262"/>
    <n v="33"/>
    <n v="90.75"/>
    <n v="6"/>
    <n v="2994.75"/>
    <d v="2004-06-24T00:00:00"/>
    <x v="3"/>
    <n v="2"/>
    <x v="9"/>
    <x v="9"/>
    <x v="1"/>
    <x v="4"/>
    <n v="99"/>
    <x v="99"/>
    <x v="23"/>
    <s v="(91) 555 94 44"/>
    <s v="C/ Moralzarzal, 86"/>
    <m/>
    <x v="20"/>
    <m/>
    <n v="28034"/>
    <x v="7"/>
    <x v="1"/>
    <s v="Freyre"/>
    <s v="Diego"/>
    <x v="0"/>
  </r>
  <r>
    <n v="10275"/>
    <n v="39"/>
    <n v="100"/>
    <n v="16"/>
    <n v="4472.5200000000004"/>
    <d v="2004-07-23T00:00:00"/>
    <x v="0"/>
    <n v="3"/>
    <x v="2"/>
    <x v="2"/>
    <x v="1"/>
    <x v="4"/>
    <n v="99"/>
    <x v="99"/>
    <x v="14"/>
    <s v="40.67.8555"/>
    <s v="67, rue des Cinquante Otages"/>
    <m/>
    <x v="11"/>
    <m/>
    <n v="44000"/>
    <x v="1"/>
    <x v="1"/>
    <s v="Labrune"/>
    <s v="Janine"/>
    <x v="1"/>
  </r>
  <r>
    <n v="10284"/>
    <n v="45"/>
    <n v="100"/>
    <n v="8"/>
    <n v="4576.95"/>
    <d v="2004-08-21T00:00:00"/>
    <x v="0"/>
    <n v="3"/>
    <x v="3"/>
    <x v="3"/>
    <x v="1"/>
    <x v="4"/>
    <n v="99"/>
    <x v="99"/>
    <x v="85"/>
    <s v="+47 2212 1555"/>
    <s v="Drammensveien 126 A, PB 744 Sentrum"/>
    <m/>
    <x v="68"/>
    <m/>
    <s v="N 0106"/>
    <x v="2"/>
    <x v="1"/>
    <s v="Klaeboe"/>
    <s v="Jan"/>
    <x v="1"/>
  </r>
  <r>
    <n v="10296"/>
    <n v="24"/>
    <n v="100"/>
    <n v="4"/>
    <n v="2441.04"/>
    <d v="2004-09-15T00:00:00"/>
    <x v="0"/>
    <n v="3"/>
    <x v="10"/>
    <x v="10"/>
    <x v="1"/>
    <x v="4"/>
    <n v="99"/>
    <x v="99"/>
    <x v="89"/>
    <s v="+49 89 61 08 9555"/>
    <s v="Hansastr. 15"/>
    <m/>
    <x v="71"/>
    <m/>
    <n v="80686"/>
    <x v="16"/>
    <x v="1"/>
    <s v="Donnermeyer"/>
    <s v="Michael"/>
    <x v="0"/>
  </r>
  <r>
    <n v="10308"/>
    <n v="35"/>
    <n v="88.75"/>
    <n v="14"/>
    <n v="3106.25"/>
    <d v="2004-10-15T00:00:00"/>
    <x v="0"/>
    <n v="4"/>
    <x v="4"/>
    <x v="4"/>
    <x v="1"/>
    <x v="4"/>
    <n v="99"/>
    <x v="99"/>
    <x v="47"/>
    <n v="9145554562"/>
    <s v="3758 North Pendale Street"/>
    <m/>
    <x v="39"/>
    <s v="NY"/>
    <n v="24067"/>
    <x v="0"/>
    <x v="0"/>
    <s v="Frick"/>
    <s v="Steve"/>
    <x v="1"/>
  </r>
  <r>
    <n v="10316"/>
    <n v="23"/>
    <n v="100"/>
    <n v="6"/>
    <n v="2706.41"/>
    <d v="2004-11-01T00:00:00"/>
    <x v="0"/>
    <n v="4"/>
    <x v="5"/>
    <x v="5"/>
    <x v="1"/>
    <x v="4"/>
    <n v="99"/>
    <x v="99"/>
    <x v="59"/>
    <s v="(198) 555-8888"/>
    <s v="Garden House Crowther Way"/>
    <m/>
    <x v="49"/>
    <s v="Isle of Wight"/>
    <s v="PO31 7PJ"/>
    <x v="6"/>
    <x v="1"/>
    <s v="Bennett"/>
    <s v="Helen"/>
    <x v="0"/>
  </r>
  <r>
    <n v="10328"/>
    <n v="37"/>
    <n v="100"/>
    <n v="10"/>
    <n v="4021.53"/>
    <d v="2004-11-12T00:00:00"/>
    <x v="0"/>
    <n v="4"/>
    <x v="5"/>
    <x v="5"/>
    <x v="1"/>
    <x v="4"/>
    <n v="99"/>
    <x v="99"/>
    <x v="86"/>
    <s v="035-640555"/>
    <s v="Via Ludovico il Moro 22"/>
    <m/>
    <x v="69"/>
    <m/>
    <n v="24100"/>
    <x v="12"/>
    <x v="1"/>
    <s v="Rovelli"/>
    <s v="Giovanni"/>
    <x v="1"/>
  </r>
  <r>
    <n v="10340"/>
    <n v="55"/>
    <n v="87.75"/>
    <n v="7"/>
    <n v="4826.25"/>
    <d v="2004-11-24T00:00:00"/>
    <x v="0"/>
    <n v="4"/>
    <x v="5"/>
    <x v="5"/>
    <x v="1"/>
    <x v="4"/>
    <n v="99"/>
    <x v="99"/>
    <x v="53"/>
    <s v="(93) 203 4555"/>
    <s v="Rambla de Catalu¤a, 23"/>
    <m/>
    <x v="43"/>
    <m/>
    <n v="8022"/>
    <x v="7"/>
    <x v="1"/>
    <s v="Saavedra"/>
    <s v="Eduardo"/>
    <x v="1"/>
  </r>
  <r>
    <n v="10352"/>
    <n v="49"/>
    <n v="100"/>
    <n v="2"/>
    <n v="4935.28"/>
    <d v="2004-12-03T00:00:00"/>
    <x v="0"/>
    <n v="4"/>
    <x v="6"/>
    <x v="6"/>
    <x v="1"/>
    <x v="4"/>
    <n v="99"/>
    <x v="99"/>
    <x v="91"/>
    <n v="6175558428"/>
    <s v="16780 Pompton St."/>
    <m/>
    <x v="35"/>
    <s v="MA"/>
    <n v="58339"/>
    <x v="0"/>
    <x v="0"/>
    <s v="Taylor"/>
    <s v="Leslie"/>
    <x v="1"/>
  </r>
  <r>
    <n v="10361"/>
    <n v="26"/>
    <n v="100"/>
    <n v="9"/>
    <n v="2754.7"/>
    <d v="2004-12-17T00:00:00"/>
    <x v="0"/>
    <n v="4"/>
    <x v="6"/>
    <x v="6"/>
    <x v="1"/>
    <x v="4"/>
    <n v="99"/>
    <x v="99"/>
    <x v="20"/>
    <s v="+61 2 9495 8555"/>
    <s v="Monitor Money Building, 815 Pacific Hwy"/>
    <s v="Level 6"/>
    <x v="17"/>
    <s v="NSW"/>
    <n v="2067"/>
    <x v="3"/>
    <x v="2"/>
    <s v="Huxley"/>
    <s v="Adrian"/>
    <x v="0"/>
  </r>
  <r>
    <n v="10375"/>
    <n v="33"/>
    <n v="100"/>
    <n v="1"/>
    <n v="3856.71"/>
    <d v="2005-02-03T00:00:00"/>
    <x v="0"/>
    <n v="1"/>
    <x v="0"/>
    <x v="0"/>
    <x v="2"/>
    <x v="4"/>
    <n v="99"/>
    <x v="99"/>
    <x v="14"/>
    <s v="40.67.8555"/>
    <s v="67, rue des Cinquante Otages"/>
    <m/>
    <x v="11"/>
    <m/>
    <n v="44000"/>
    <x v="1"/>
    <x v="1"/>
    <s v="Labrune"/>
    <s v="Janine"/>
    <x v="1"/>
  </r>
  <r>
    <n v="10386"/>
    <n v="37"/>
    <n v="83.84"/>
    <n v="14"/>
    <n v="3102.08"/>
    <d v="2005-03-01T00:00:00"/>
    <x v="5"/>
    <n v="1"/>
    <x v="11"/>
    <x v="11"/>
    <x v="2"/>
    <x v="4"/>
    <n v="99"/>
    <x v="99"/>
    <x v="23"/>
    <s v="(91) 555 94 44"/>
    <s v="C/ Moralzarzal, 86"/>
    <m/>
    <x v="20"/>
    <m/>
    <n v="28034"/>
    <x v="7"/>
    <x v="1"/>
    <s v="Freyre"/>
    <s v="Diego"/>
    <x v="1"/>
  </r>
  <r>
    <n v="10398"/>
    <n v="22"/>
    <n v="86.76"/>
    <n v="8"/>
    <n v="1908.72"/>
    <d v="2005-03-30T00:00:00"/>
    <x v="0"/>
    <n v="1"/>
    <x v="11"/>
    <x v="11"/>
    <x v="2"/>
    <x v="4"/>
    <n v="99"/>
    <x v="99"/>
    <x v="1"/>
    <s v="26.47.1555"/>
    <s v="59 rue de l'Abbaye"/>
    <m/>
    <x v="1"/>
    <m/>
    <n v="51100"/>
    <x v="1"/>
    <x v="1"/>
    <s v="Henriot"/>
    <s v="Paul"/>
    <x v="0"/>
  </r>
  <r>
    <n v="10401"/>
    <n v="85"/>
    <n v="88.75"/>
    <n v="10"/>
    <n v="7543.75"/>
    <d v="2005-04-03T00:00:00"/>
    <x v="4"/>
    <n v="2"/>
    <x v="8"/>
    <x v="8"/>
    <x v="2"/>
    <x v="4"/>
    <n v="99"/>
    <x v="99"/>
    <x v="12"/>
    <n v="2015559350"/>
    <s v="7476 Moss Rd."/>
    <m/>
    <x v="9"/>
    <s v="NJ"/>
    <n v="94019"/>
    <x v="0"/>
    <x v="0"/>
    <s v="Brown"/>
    <s v="William"/>
    <x v="2"/>
  </r>
  <r>
    <n v="10416"/>
    <n v="22"/>
    <n v="100"/>
    <n v="11"/>
    <n v="2457.1799999999998"/>
    <d v="2005-05-10T00:00:00"/>
    <x v="0"/>
    <n v="2"/>
    <x v="1"/>
    <x v="1"/>
    <x v="2"/>
    <x v="4"/>
    <n v="99"/>
    <x v="99"/>
    <x v="70"/>
    <s v="0522-556555"/>
    <s v="Strada Provinciale 124"/>
    <m/>
    <x v="57"/>
    <m/>
    <n v="42100"/>
    <x v="12"/>
    <x v="1"/>
    <s v="Moroni"/>
    <s v="Maurizio"/>
    <x v="0"/>
  </r>
  <r>
    <n v="10105"/>
    <n v="31"/>
    <n v="65.77"/>
    <n v="3"/>
    <n v="2038.87"/>
    <d v="2003-02-11T00:00:00"/>
    <x v="0"/>
    <n v="1"/>
    <x v="0"/>
    <x v="0"/>
    <x v="0"/>
    <x v="5"/>
    <n v="72"/>
    <x v="100"/>
    <x v="48"/>
    <s v="31 12 3555"/>
    <s v="Vinb'ltet 34"/>
    <m/>
    <x v="40"/>
    <m/>
    <n v="1734"/>
    <x v="13"/>
    <x v="1"/>
    <s v="Petersen"/>
    <s v="Jytte"/>
    <x v="0"/>
  </r>
  <r>
    <n v="10119"/>
    <n v="38"/>
    <n v="65.77"/>
    <n v="12"/>
    <n v="2499.2600000000002"/>
    <d v="2003-04-28T00:00:00"/>
    <x v="0"/>
    <n v="2"/>
    <x v="8"/>
    <x v="8"/>
    <x v="0"/>
    <x v="5"/>
    <n v="72"/>
    <x v="100"/>
    <x v="19"/>
    <s v="6562-9555"/>
    <s v="Geislweg 14"/>
    <m/>
    <x v="16"/>
    <m/>
    <n v="5020"/>
    <x v="5"/>
    <x v="1"/>
    <s v="Pipps"/>
    <s v="Georg"/>
    <x v="0"/>
  </r>
  <r>
    <n v="10129"/>
    <n v="45"/>
    <n v="85.29"/>
    <n v="3"/>
    <n v="3838.05"/>
    <d v="2003-06-12T00:00:00"/>
    <x v="0"/>
    <n v="2"/>
    <x v="9"/>
    <x v="9"/>
    <x v="0"/>
    <x v="5"/>
    <n v="72"/>
    <x v="100"/>
    <x v="49"/>
    <s v="(171) 555-0297"/>
    <s v="35 King George"/>
    <m/>
    <x v="41"/>
    <m/>
    <s v="WX3 6FW"/>
    <x v="6"/>
    <x v="1"/>
    <s v="Brown"/>
    <s v="Ann"/>
    <x v="1"/>
  </r>
  <r>
    <n v="10143"/>
    <n v="31"/>
    <n v="85.29"/>
    <n v="16"/>
    <n v="2643.99"/>
    <d v="2003-08-10T00:00:00"/>
    <x v="0"/>
    <n v="3"/>
    <x v="3"/>
    <x v="3"/>
    <x v="0"/>
    <x v="5"/>
    <n v="72"/>
    <x v="100"/>
    <x v="50"/>
    <n v="5085559555"/>
    <s v="4575 Hillside Dr."/>
    <m/>
    <x v="18"/>
    <s v="MA"/>
    <n v="50553"/>
    <x v="0"/>
    <x v="0"/>
    <s v="Tam"/>
    <s v="Wing C"/>
    <x v="0"/>
  </r>
  <r>
    <n v="10154"/>
    <n v="36"/>
    <n v="64.33"/>
    <n v="1"/>
    <n v="2315.88"/>
    <d v="2003-10-02T00:00:00"/>
    <x v="0"/>
    <n v="4"/>
    <x v="4"/>
    <x v="4"/>
    <x v="0"/>
    <x v="5"/>
    <n v="72"/>
    <x v="100"/>
    <x v="80"/>
    <n v="3105552373"/>
    <s v="4097 Douglas Av."/>
    <m/>
    <x v="63"/>
    <s v="CA"/>
    <n v="92561"/>
    <x v="0"/>
    <x v="0"/>
    <s v="Young"/>
    <s v="Leslie"/>
    <x v="0"/>
  </r>
  <r>
    <n v="10167"/>
    <n v="46"/>
    <n v="70.11"/>
    <n v="10"/>
    <n v="3225.06"/>
    <d v="2003-10-23T00:00:00"/>
    <x v="3"/>
    <n v="4"/>
    <x v="4"/>
    <x v="4"/>
    <x v="0"/>
    <x v="5"/>
    <n v="72"/>
    <x v="100"/>
    <x v="37"/>
    <s v="0695-34 6555"/>
    <s v="?kergatan 24"/>
    <m/>
    <x v="31"/>
    <m/>
    <s v="S-844 67"/>
    <x v="8"/>
    <x v="1"/>
    <s v="Larsson"/>
    <s v="Maria"/>
    <x v="1"/>
  </r>
  <r>
    <n v="10177"/>
    <n v="32"/>
    <n v="76.62"/>
    <n v="1"/>
    <n v="2451.84"/>
    <d v="2003-11-07T00:00:00"/>
    <x v="0"/>
    <n v="4"/>
    <x v="5"/>
    <x v="5"/>
    <x v="0"/>
    <x v="5"/>
    <n v="72"/>
    <x v="100"/>
    <x v="76"/>
    <s v="+34 913 728 555"/>
    <s v="Merchants House, 27-30 Merchant's Quay"/>
    <m/>
    <x v="20"/>
    <m/>
    <n v="28023"/>
    <x v="7"/>
    <x v="1"/>
    <s v="Fernandez"/>
    <s v="Jesus"/>
    <x v="0"/>
  </r>
  <r>
    <n v="10185"/>
    <n v="39"/>
    <n v="57.82"/>
    <n v="1"/>
    <n v="2254.98"/>
    <d v="2003-11-14T00:00:00"/>
    <x v="0"/>
    <n v="4"/>
    <x v="5"/>
    <x v="5"/>
    <x v="0"/>
    <x v="5"/>
    <n v="72"/>
    <x v="100"/>
    <x v="50"/>
    <n v="5085559555"/>
    <s v="4575 Hillside Dr."/>
    <m/>
    <x v="18"/>
    <s v="MA"/>
    <n v="50553"/>
    <x v="0"/>
    <x v="0"/>
    <s v="Tam"/>
    <s v="Wing C"/>
    <x v="0"/>
  </r>
  <r>
    <n v="10197"/>
    <n v="50"/>
    <n v="78.790000000000006"/>
    <n v="7"/>
    <n v="3939.5"/>
    <d v="2003-11-26T00:00:00"/>
    <x v="0"/>
    <n v="4"/>
    <x v="5"/>
    <x v="5"/>
    <x v="0"/>
    <x v="5"/>
    <n v="72"/>
    <x v="100"/>
    <x v="53"/>
    <s v="(93) 203 4555"/>
    <s v="Rambla de Catalu¤a, 23"/>
    <m/>
    <x v="43"/>
    <m/>
    <n v="8022"/>
    <x v="7"/>
    <x v="1"/>
    <s v="Saavedra"/>
    <s v="Eduardo"/>
    <x v="1"/>
  </r>
  <r>
    <n v="10208"/>
    <n v="46"/>
    <n v="74.45"/>
    <n v="1"/>
    <n v="3424.7"/>
    <d v="2004-01-02T00:00:00"/>
    <x v="0"/>
    <n v="1"/>
    <x v="7"/>
    <x v="7"/>
    <x v="1"/>
    <x v="5"/>
    <n v="72"/>
    <x v="100"/>
    <x v="30"/>
    <s v="78.32.5555"/>
    <s v="2, rue du Commerce"/>
    <m/>
    <x v="25"/>
    <m/>
    <n v="69004"/>
    <x v="1"/>
    <x v="1"/>
    <s v="Saveley"/>
    <s v="Mary"/>
    <x v="1"/>
  </r>
  <r>
    <n v="10222"/>
    <n v="36"/>
    <n v="80.95"/>
    <n v="13"/>
    <n v="2914.2"/>
    <d v="2004-02-19T00:00:00"/>
    <x v="0"/>
    <n v="1"/>
    <x v="0"/>
    <x v="0"/>
    <x v="1"/>
    <x v="5"/>
    <n v="72"/>
    <x v="100"/>
    <x v="55"/>
    <n v="7605558146"/>
    <s v="361 Furth Circle"/>
    <m/>
    <x v="45"/>
    <s v="CA"/>
    <n v="91217"/>
    <x v="0"/>
    <x v="0"/>
    <s v="Thompson"/>
    <s v="Valarie"/>
    <x v="0"/>
  </r>
  <r>
    <n v="10233"/>
    <n v="29"/>
    <n v="82.4"/>
    <n v="1"/>
    <n v="2389.6"/>
    <d v="2004-03-29T00:00:00"/>
    <x v="0"/>
    <n v="1"/>
    <x v="11"/>
    <x v="11"/>
    <x v="1"/>
    <x v="5"/>
    <n v="72"/>
    <x v="100"/>
    <x v="12"/>
    <n v="2015559350"/>
    <s v="7476 Moss Rd."/>
    <m/>
    <x v="9"/>
    <s v="NJ"/>
    <n v="94019"/>
    <x v="0"/>
    <x v="0"/>
    <s v="Brown"/>
    <s v="William"/>
    <x v="0"/>
  </r>
  <r>
    <n v="10248"/>
    <n v="32"/>
    <n v="75.89"/>
    <n v="4"/>
    <n v="2428.48"/>
    <d v="2004-05-07T00:00:00"/>
    <x v="3"/>
    <n v="2"/>
    <x v="1"/>
    <x v="1"/>
    <x v="1"/>
    <x v="5"/>
    <n v="72"/>
    <x v="100"/>
    <x v="0"/>
    <n v="2125557818"/>
    <s v="897 Long Airport Avenue"/>
    <m/>
    <x v="0"/>
    <s v="NY"/>
    <n v="10022"/>
    <x v="0"/>
    <x v="0"/>
    <s v="Yu"/>
    <s v="Kwai"/>
    <x v="0"/>
  </r>
  <r>
    <n v="10261"/>
    <n v="44"/>
    <n v="68.67"/>
    <n v="2"/>
    <n v="3021.48"/>
    <d v="2004-06-17T00:00:00"/>
    <x v="0"/>
    <n v="2"/>
    <x v="9"/>
    <x v="9"/>
    <x v="1"/>
    <x v="5"/>
    <n v="72"/>
    <x v="100"/>
    <x v="43"/>
    <s v="(514) 555-8054"/>
    <s v="43 rue St. Laurent"/>
    <m/>
    <x v="37"/>
    <s v="Quebec"/>
    <s v="H1J 1C3"/>
    <x v="10"/>
    <x v="0"/>
    <s v="Fresnisre"/>
    <s v="Jean"/>
    <x v="1"/>
  </r>
  <r>
    <n v="10273"/>
    <n v="42"/>
    <n v="62.16"/>
    <n v="5"/>
    <n v="2610.7199999999998"/>
    <d v="2004-07-21T00:00:00"/>
    <x v="0"/>
    <n v="3"/>
    <x v="2"/>
    <x v="2"/>
    <x v="1"/>
    <x v="5"/>
    <n v="72"/>
    <x v="100"/>
    <x v="56"/>
    <s v="(02) 5554 67"/>
    <s v="Rue Joseph-Bens 532"/>
    <m/>
    <x v="46"/>
    <m/>
    <s v="B-1180"/>
    <x v="14"/>
    <x v="1"/>
    <s v="Dewey"/>
    <s v="Catherine"/>
    <x v="0"/>
  </r>
  <r>
    <n v="10283"/>
    <n v="47"/>
    <n v="65.77"/>
    <n v="7"/>
    <n v="3091.19"/>
    <d v="2004-08-20T00:00:00"/>
    <x v="0"/>
    <n v="3"/>
    <x v="3"/>
    <x v="3"/>
    <x v="1"/>
    <x v="5"/>
    <n v="72"/>
    <x v="100"/>
    <x v="57"/>
    <s v="(604) 555-4555"/>
    <s v="23 Tsawassen Blvd."/>
    <m/>
    <x v="47"/>
    <s v="BC"/>
    <s v="T2F 8M4"/>
    <x v="10"/>
    <x v="0"/>
    <s v="Lincoln"/>
    <s v="Elizabeth"/>
    <x v="1"/>
  </r>
  <r>
    <n v="10295"/>
    <n v="44"/>
    <n v="58.55"/>
    <n v="2"/>
    <n v="2576.1999999999998"/>
    <d v="2004-09-10T00:00:00"/>
    <x v="0"/>
    <n v="3"/>
    <x v="10"/>
    <x v="10"/>
    <x v="1"/>
    <x v="5"/>
    <n v="72"/>
    <x v="100"/>
    <x v="58"/>
    <n v="6175559555"/>
    <s v="8616 Spinnaker Dr."/>
    <m/>
    <x v="48"/>
    <s v="MA"/>
    <n v="51003"/>
    <x v="0"/>
    <x v="0"/>
    <s v="Yoshido"/>
    <s v="Juri"/>
    <x v="0"/>
  </r>
  <r>
    <n v="10306"/>
    <n v="43"/>
    <n v="75.17"/>
    <n v="1"/>
    <n v="3232.31"/>
    <d v="2004-10-14T00:00:00"/>
    <x v="0"/>
    <n v="4"/>
    <x v="4"/>
    <x v="4"/>
    <x v="1"/>
    <x v="5"/>
    <n v="72"/>
    <x v="100"/>
    <x v="77"/>
    <s v="(171) 555-1555"/>
    <s v="Fauntleroy Circus"/>
    <m/>
    <x v="61"/>
    <m/>
    <s v="EC2 5NT"/>
    <x v="6"/>
    <x v="1"/>
    <s v="Ashworth"/>
    <s v="Victoria"/>
    <x v="1"/>
  </r>
  <r>
    <n v="10316"/>
    <n v="48"/>
    <n v="74.45"/>
    <n v="18"/>
    <n v="3573.6"/>
    <d v="2004-11-01T00:00:00"/>
    <x v="0"/>
    <n v="4"/>
    <x v="5"/>
    <x v="5"/>
    <x v="1"/>
    <x v="5"/>
    <n v="72"/>
    <x v="100"/>
    <x v="59"/>
    <s v="(198) 555-8888"/>
    <s v="Garden House Crowther Way"/>
    <m/>
    <x v="49"/>
    <s v="Isle of Wight"/>
    <s v="PO31 7PJ"/>
    <x v="6"/>
    <x v="1"/>
    <s v="Bennett"/>
    <s v="Helen"/>
    <x v="1"/>
  </r>
  <r>
    <n v="10327"/>
    <n v="21"/>
    <n v="96.31"/>
    <n v="1"/>
    <n v="2022.51"/>
    <d v="2004-11-10T00:00:00"/>
    <x v="5"/>
    <n v="4"/>
    <x v="5"/>
    <x v="5"/>
    <x v="1"/>
    <x v="5"/>
    <n v="72"/>
    <x v="100"/>
    <x v="48"/>
    <s v="31 12 3555"/>
    <s v="Vinb'ltet 34"/>
    <m/>
    <x v="40"/>
    <m/>
    <n v="1734"/>
    <x v="13"/>
    <x v="1"/>
    <s v="Petersen"/>
    <s v="Jytte"/>
    <x v="0"/>
  </r>
  <r>
    <n v="10339"/>
    <n v="50"/>
    <n v="74.349999999999994"/>
    <n v="9"/>
    <n v="3717.5"/>
    <d v="2004-11-23T00:00:00"/>
    <x v="0"/>
    <n v="4"/>
    <x v="5"/>
    <x v="5"/>
    <x v="1"/>
    <x v="5"/>
    <n v="72"/>
    <x v="100"/>
    <x v="35"/>
    <s v="+81 3 3584 0555"/>
    <s v="2-2-8 Roppongi"/>
    <m/>
    <x v="29"/>
    <s v="Tokyo"/>
    <s v="106-0032"/>
    <x v="11"/>
    <x v="3"/>
    <s v="Shimamura"/>
    <s v="Akiko"/>
    <x v="1"/>
  </r>
  <r>
    <n v="10350"/>
    <n v="29"/>
    <n v="75.349999999999994"/>
    <n v="12"/>
    <n v="2185.15"/>
    <d v="2004-12-02T00:00:00"/>
    <x v="0"/>
    <n v="4"/>
    <x v="6"/>
    <x v="6"/>
    <x v="1"/>
    <x v="5"/>
    <n v="72"/>
    <x v="100"/>
    <x v="23"/>
    <s v="(91) 555 94 44"/>
    <s v="C/ Moralzarzal, 86"/>
    <m/>
    <x v="20"/>
    <m/>
    <n v="28034"/>
    <x v="7"/>
    <x v="1"/>
    <s v="Freyre"/>
    <s v="Diego"/>
    <x v="0"/>
  </r>
  <r>
    <n v="10373"/>
    <n v="41"/>
    <n v="70.33"/>
    <n v="16"/>
    <n v="2883.53"/>
    <d v="2005-01-31T00:00:00"/>
    <x v="0"/>
    <n v="1"/>
    <x v="7"/>
    <x v="7"/>
    <x v="2"/>
    <x v="5"/>
    <n v="72"/>
    <x v="100"/>
    <x v="60"/>
    <s v="981-443655"/>
    <s v="Torikatu 38"/>
    <m/>
    <x v="50"/>
    <m/>
    <n v="90110"/>
    <x v="4"/>
    <x v="1"/>
    <s v="Koskitalo"/>
    <s v="Pirkko"/>
    <x v="0"/>
  </r>
  <r>
    <n v="10386"/>
    <n v="37"/>
    <n v="100"/>
    <n v="10"/>
    <n v="5017.57"/>
    <d v="2005-03-01T00:00:00"/>
    <x v="5"/>
    <n v="1"/>
    <x v="11"/>
    <x v="11"/>
    <x v="2"/>
    <x v="5"/>
    <n v="72"/>
    <x v="100"/>
    <x v="23"/>
    <s v="(91) 555 94 44"/>
    <s v="C/ Moralzarzal, 86"/>
    <m/>
    <x v="20"/>
    <m/>
    <n v="28034"/>
    <x v="7"/>
    <x v="1"/>
    <s v="Freyre"/>
    <s v="Diego"/>
    <x v="1"/>
  </r>
  <r>
    <n v="10397"/>
    <n v="22"/>
    <n v="66.5"/>
    <n v="4"/>
    <n v="1463"/>
    <d v="2005-03-28T00:00:00"/>
    <x v="0"/>
    <n v="1"/>
    <x v="11"/>
    <x v="11"/>
    <x v="2"/>
    <x v="5"/>
    <n v="72"/>
    <x v="100"/>
    <x v="51"/>
    <s v="61.77.6555"/>
    <s v="1 rue Alsace-Lorraine"/>
    <m/>
    <x v="42"/>
    <m/>
    <n v="31000"/>
    <x v="1"/>
    <x v="1"/>
    <s v="Roulet"/>
    <s v="Annette"/>
    <x v="0"/>
  </r>
  <r>
    <n v="10414"/>
    <n v="31"/>
    <n v="75.89"/>
    <n v="4"/>
    <n v="2352.59"/>
    <d v="2005-05-06T00:00:00"/>
    <x v="4"/>
    <n v="2"/>
    <x v="1"/>
    <x v="1"/>
    <x v="2"/>
    <x v="5"/>
    <n v="72"/>
    <x v="100"/>
    <x v="58"/>
    <n v="6175559555"/>
    <s v="8616 Spinnaker Dr."/>
    <m/>
    <x v="48"/>
    <s v="MA"/>
    <n v="51003"/>
    <x v="0"/>
    <x v="0"/>
    <s v="Yoshido"/>
    <s v="Juri"/>
    <x v="0"/>
  </r>
  <r>
    <n v="10103"/>
    <n v="42"/>
    <n v="100"/>
    <n v="6"/>
    <n v="4460.82"/>
    <d v="2003-01-29T00:00:00"/>
    <x v="0"/>
    <n v="1"/>
    <x v="7"/>
    <x v="7"/>
    <x v="0"/>
    <x v="1"/>
    <n v="101"/>
    <x v="101"/>
    <x v="17"/>
    <s v="07-98 9555"/>
    <s v="Erling Skakkes gate 78"/>
    <m/>
    <x v="14"/>
    <m/>
    <n v="4110"/>
    <x v="2"/>
    <x v="1"/>
    <s v="Bergulfsen"/>
    <s v="Jonas"/>
    <x v="1"/>
  </r>
  <r>
    <n v="10114"/>
    <n v="42"/>
    <n v="100"/>
    <n v="10"/>
    <n v="4758.18"/>
    <d v="2003-04-01T00:00:00"/>
    <x v="0"/>
    <n v="2"/>
    <x v="8"/>
    <x v="8"/>
    <x v="0"/>
    <x v="1"/>
    <n v="101"/>
    <x v="101"/>
    <x v="62"/>
    <s v="(1) 42.34.2555"/>
    <s v="265, boulevard Charonne"/>
    <m/>
    <x v="2"/>
    <m/>
    <n v="75012"/>
    <x v="1"/>
    <x v="1"/>
    <s v="Bertrand"/>
    <s v="Marie"/>
    <x v="1"/>
  </r>
  <r>
    <n v="10126"/>
    <n v="45"/>
    <n v="100"/>
    <n v="6"/>
    <n v="4597.2"/>
    <d v="2003-05-28T00:00:00"/>
    <x v="0"/>
    <n v="2"/>
    <x v="1"/>
    <x v="1"/>
    <x v="0"/>
    <x v="1"/>
    <n v="101"/>
    <x v="101"/>
    <x v="25"/>
    <s v="(91) 555 22 82"/>
    <s v="C/ Araquil, 67"/>
    <m/>
    <x v="20"/>
    <m/>
    <n v="28023"/>
    <x v="7"/>
    <x v="1"/>
    <s v="Sommer"/>
    <s v="Mart¡n"/>
    <x v="1"/>
  </r>
  <r>
    <n v="10140"/>
    <n v="36"/>
    <n v="100"/>
    <n v="6"/>
    <n v="4114.8"/>
    <d v="2003-07-24T00:00:00"/>
    <x v="0"/>
    <n v="3"/>
    <x v="2"/>
    <x v="2"/>
    <x v="0"/>
    <x v="1"/>
    <n v="101"/>
    <x v="101"/>
    <x v="5"/>
    <n v="6505556809"/>
    <s v="9408 Furth Circle"/>
    <m/>
    <x v="5"/>
    <s v="CA"/>
    <n v="94217"/>
    <x v="0"/>
    <x v="0"/>
    <s v="Hirano"/>
    <s v="Juri"/>
    <x v="1"/>
  </r>
  <r>
    <n v="10150"/>
    <n v="20"/>
    <n v="100"/>
    <n v="3"/>
    <n v="2104"/>
    <d v="2003-09-19T00:00:00"/>
    <x v="0"/>
    <n v="3"/>
    <x v="10"/>
    <x v="10"/>
    <x v="0"/>
    <x v="1"/>
    <n v="101"/>
    <x v="101"/>
    <x v="26"/>
    <s v="+65 221 7555"/>
    <s v="Bronz Sok., Bronz Apt. 3/6 Tesvikiye"/>
    <m/>
    <x v="22"/>
    <m/>
    <n v="79903"/>
    <x v="9"/>
    <x v="3"/>
    <s v="Natividad"/>
    <s v="Eric"/>
    <x v="0"/>
  </r>
  <r>
    <n v="10164"/>
    <n v="39"/>
    <n v="81.93"/>
    <n v="4"/>
    <n v="3195.27"/>
    <d v="2003-10-21T00:00:00"/>
    <x v="5"/>
    <n v="4"/>
    <x v="4"/>
    <x v="4"/>
    <x v="0"/>
    <x v="1"/>
    <n v="101"/>
    <x v="101"/>
    <x v="63"/>
    <s v="7675-3555"/>
    <s v="Kirchgasse 6"/>
    <m/>
    <x v="52"/>
    <m/>
    <n v="8010"/>
    <x v="5"/>
    <x v="1"/>
    <s v="Mendel"/>
    <s v="Roland"/>
    <x v="1"/>
  </r>
  <r>
    <n v="10175"/>
    <n v="42"/>
    <n v="85.98"/>
    <n v="11"/>
    <n v="3611.16"/>
    <d v="2003-11-06T00:00:00"/>
    <x v="0"/>
    <n v="4"/>
    <x v="5"/>
    <x v="5"/>
    <x v="0"/>
    <x v="1"/>
    <n v="101"/>
    <x v="101"/>
    <x v="49"/>
    <s v="(171) 555-0297"/>
    <s v="35 King George"/>
    <m/>
    <x v="41"/>
    <m/>
    <s v="WX3 6FW"/>
    <x v="6"/>
    <x v="1"/>
    <s v="Brown"/>
    <s v="Ann"/>
    <x v="1"/>
  </r>
  <r>
    <n v="10183"/>
    <n v="23"/>
    <n v="86.99"/>
    <n v="3"/>
    <n v="2000.77"/>
    <d v="2003-11-13T00:00:00"/>
    <x v="0"/>
    <n v="4"/>
    <x v="5"/>
    <x v="5"/>
    <x v="0"/>
    <x v="1"/>
    <n v="101"/>
    <x v="101"/>
    <x v="29"/>
    <n v="2155554695"/>
    <s v="782 First Street"/>
    <m/>
    <x v="24"/>
    <s v="PA"/>
    <n v="71270"/>
    <x v="0"/>
    <x v="0"/>
    <s v="Cervantes"/>
    <s v="Francisca"/>
    <x v="0"/>
  </r>
  <r>
    <n v="10194"/>
    <n v="26"/>
    <n v="89.01"/>
    <n v="6"/>
    <n v="2314.2600000000002"/>
    <d v="2003-11-25T00:00:00"/>
    <x v="0"/>
    <n v="4"/>
    <x v="5"/>
    <x v="5"/>
    <x v="0"/>
    <x v="1"/>
    <n v="101"/>
    <x v="101"/>
    <x v="30"/>
    <s v="78.32.5555"/>
    <s v="2, rue du Commerce"/>
    <m/>
    <x v="25"/>
    <m/>
    <n v="69004"/>
    <x v="1"/>
    <x v="1"/>
    <s v="Saveley"/>
    <s v="Mary"/>
    <x v="0"/>
  </r>
  <r>
    <n v="10206"/>
    <n v="33"/>
    <n v="100"/>
    <n v="1"/>
    <n v="3871.89"/>
    <d v="2003-12-05T00:00:00"/>
    <x v="0"/>
    <n v="4"/>
    <x v="6"/>
    <x v="6"/>
    <x v="0"/>
    <x v="1"/>
    <n v="101"/>
    <x v="101"/>
    <x v="31"/>
    <s v="(604) 555-3392"/>
    <s v="1900 Oak St."/>
    <m/>
    <x v="26"/>
    <s v="BC"/>
    <s v="V3F 2K1"/>
    <x v="10"/>
    <x v="0"/>
    <s v="Tannamuri"/>
    <s v="Yoshi"/>
    <x v="1"/>
  </r>
  <r>
    <n v="10217"/>
    <n v="31"/>
    <n v="88"/>
    <n v="6"/>
    <n v="2728"/>
    <d v="2004-02-04T00:00:00"/>
    <x v="0"/>
    <n v="1"/>
    <x v="0"/>
    <x v="0"/>
    <x v="1"/>
    <x v="1"/>
    <n v="101"/>
    <x v="101"/>
    <x v="65"/>
    <s v="+65 224 1555"/>
    <s v="Village Close - 106 Linden Road Sandown"/>
    <s v="2nd Floor"/>
    <x v="22"/>
    <m/>
    <n v="69045"/>
    <x v="9"/>
    <x v="2"/>
    <s v="Victorino"/>
    <s v="Wendy"/>
    <x v="0"/>
  </r>
  <r>
    <n v="10229"/>
    <n v="50"/>
    <n v="100"/>
    <n v="11"/>
    <n v="5614"/>
    <d v="2004-03-11T00:00:00"/>
    <x v="0"/>
    <n v="1"/>
    <x v="11"/>
    <x v="11"/>
    <x v="1"/>
    <x v="1"/>
    <n v="101"/>
    <x v="101"/>
    <x v="39"/>
    <n v="4155551450"/>
    <s v="5677 Strong St."/>
    <m/>
    <x v="33"/>
    <s v="CA"/>
    <n v="97562"/>
    <x v="0"/>
    <x v="0"/>
    <s v="Nelson"/>
    <s v="Valarie"/>
    <x v="1"/>
  </r>
  <r>
    <n v="10245"/>
    <n v="44"/>
    <n v="100"/>
    <n v="4"/>
    <n v="4628.8"/>
    <d v="2004-05-04T00:00:00"/>
    <x v="0"/>
    <n v="2"/>
    <x v="1"/>
    <x v="1"/>
    <x v="1"/>
    <x v="1"/>
    <n v="101"/>
    <x v="101"/>
    <x v="34"/>
    <n v="2035559545"/>
    <s v="567 North Pendale Street"/>
    <m/>
    <x v="28"/>
    <s v="CT"/>
    <n v="97823"/>
    <x v="0"/>
    <x v="0"/>
    <s v="Murphy"/>
    <s v="Leslie"/>
    <x v="1"/>
  </r>
  <r>
    <n v="10258"/>
    <n v="45"/>
    <n v="80.92"/>
    <n v="1"/>
    <n v="3641.4"/>
    <d v="2004-06-15T00:00:00"/>
    <x v="0"/>
    <n v="2"/>
    <x v="9"/>
    <x v="9"/>
    <x v="1"/>
    <x v="1"/>
    <n v="101"/>
    <x v="101"/>
    <x v="35"/>
    <s v="+81 3 3584 0555"/>
    <s v="2-2-8 Roppongi"/>
    <m/>
    <x v="29"/>
    <s v="Tokyo"/>
    <s v="106-0032"/>
    <x v="11"/>
    <x v="3"/>
    <s v="Shimamura"/>
    <s v="Akiko"/>
    <x v="1"/>
  </r>
  <r>
    <n v="10270"/>
    <n v="46"/>
    <n v="88"/>
    <n v="4"/>
    <n v="4048"/>
    <d v="2004-07-19T00:00:00"/>
    <x v="0"/>
    <n v="3"/>
    <x v="2"/>
    <x v="2"/>
    <x v="1"/>
    <x v="1"/>
    <n v="101"/>
    <x v="101"/>
    <x v="20"/>
    <s v="+61 2 9495 8555"/>
    <s v="Monitor Money Building, 815 Pacific Hwy"/>
    <s v="Level 6"/>
    <x v="17"/>
    <s v="NSW"/>
    <n v="2067"/>
    <x v="3"/>
    <x v="2"/>
    <s v="Huxley"/>
    <s v="Adrian"/>
    <x v="1"/>
  </r>
  <r>
    <n v="10281"/>
    <n v="27"/>
    <n v="85.98"/>
    <n v="11"/>
    <n v="2321.46"/>
    <d v="2004-08-19T00:00:00"/>
    <x v="0"/>
    <n v="3"/>
    <x v="3"/>
    <x v="3"/>
    <x v="1"/>
    <x v="1"/>
    <n v="101"/>
    <x v="101"/>
    <x v="18"/>
    <n v="2155551555"/>
    <s v="7586 Pompton St."/>
    <m/>
    <x v="15"/>
    <s v="PA"/>
    <n v="70267"/>
    <x v="0"/>
    <x v="0"/>
    <s v="Yu"/>
    <s v="Kyung"/>
    <x v="0"/>
  </r>
  <r>
    <n v="10291"/>
    <n v="28"/>
    <n v="100"/>
    <n v="6"/>
    <n v="3256.96"/>
    <d v="2004-09-08T00:00:00"/>
    <x v="0"/>
    <n v="3"/>
    <x v="10"/>
    <x v="10"/>
    <x v="1"/>
    <x v="1"/>
    <n v="101"/>
    <x v="101"/>
    <x v="37"/>
    <s v="0695-34 6555"/>
    <s v="?kergatan 24"/>
    <m/>
    <x v="31"/>
    <m/>
    <s v="S-844 67"/>
    <x v="8"/>
    <x v="1"/>
    <s v="Larsson"/>
    <s v="Maria"/>
    <x v="1"/>
  </r>
  <r>
    <n v="10304"/>
    <n v="40"/>
    <n v="100"/>
    <n v="1"/>
    <n v="4208"/>
    <d v="2004-10-11T00:00:00"/>
    <x v="0"/>
    <n v="4"/>
    <x v="4"/>
    <x v="4"/>
    <x v="1"/>
    <x v="1"/>
    <n v="101"/>
    <x v="101"/>
    <x v="38"/>
    <s v="30.59.8555"/>
    <s v="67, avenue de l'Europe"/>
    <m/>
    <x v="32"/>
    <m/>
    <n v="78000"/>
    <x v="1"/>
    <x v="1"/>
    <s v="Tonini"/>
    <s v="Daniel"/>
    <x v="1"/>
  </r>
  <r>
    <n v="10313"/>
    <n v="30"/>
    <n v="99.13"/>
    <n v="9"/>
    <n v="2973.9"/>
    <d v="2004-10-22T00:00:00"/>
    <x v="0"/>
    <n v="4"/>
    <x v="4"/>
    <x v="4"/>
    <x v="1"/>
    <x v="1"/>
    <n v="101"/>
    <x v="101"/>
    <x v="31"/>
    <s v="(604) 555-3392"/>
    <s v="1900 Oak St."/>
    <m/>
    <x v="26"/>
    <s v="BC"/>
    <s v="V3F 2K1"/>
    <x v="10"/>
    <x v="0"/>
    <s v="Tannamuri"/>
    <s v="Yoshi"/>
    <x v="0"/>
  </r>
  <r>
    <n v="10324"/>
    <n v="34"/>
    <n v="100"/>
    <n v="5"/>
    <n v="4248.3"/>
    <d v="2004-11-05T00:00:00"/>
    <x v="0"/>
    <n v="4"/>
    <x v="5"/>
    <x v="5"/>
    <x v="1"/>
    <x v="1"/>
    <n v="101"/>
    <x v="101"/>
    <x v="11"/>
    <n v="2125551500"/>
    <s v="2678 Kingston Rd."/>
    <s v="Suite 101"/>
    <x v="0"/>
    <s v="NY"/>
    <n v="10022"/>
    <x v="0"/>
    <x v="0"/>
    <s v="Frick"/>
    <s v="Michael"/>
    <x v="1"/>
  </r>
  <r>
    <n v="10336"/>
    <n v="46"/>
    <n v="100"/>
    <n v="2"/>
    <n v="9558.7999999999993"/>
    <d v="2004-11-20T00:00:00"/>
    <x v="0"/>
    <n v="4"/>
    <x v="5"/>
    <x v="5"/>
    <x v="1"/>
    <x v="1"/>
    <n v="101"/>
    <x v="101"/>
    <x v="62"/>
    <s v="(1) 42.34.2555"/>
    <s v="265, boulevard Charonne"/>
    <m/>
    <x v="2"/>
    <m/>
    <n v="75012"/>
    <x v="1"/>
    <x v="1"/>
    <s v="Bertrand"/>
    <s v="Marie"/>
    <x v="2"/>
  </r>
  <r>
    <n v="10348"/>
    <n v="32"/>
    <n v="82.83"/>
    <n v="7"/>
    <n v="2650.56"/>
    <d v="2004-11-01T00:00:00"/>
    <x v="0"/>
    <n v="4"/>
    <x v="5"/>
    <x v="5"/>
    <x v="1"/>
    <x v="1"/>
    <n v="101"/>
    <x v="101"/>
    <x v="25"/>
    <s v="(91) 555 22 82"/>
    <s v="C/ Araquil, 67"/>
    <m/>
    <x v="20"/>
    <m/>
    <n v="28023"/>
    <x v="7"/>
    <x v="1"/>
    <s v="Sommer"/>
    <s v="Mart¡n"/>
    <x v="0"/>
  </r>
  <r>
    <n v="10358"/>
    <n v="27"/>
    <n v="100"/>
    <n v="3"/>
    <n v="3761.37"/>
    <d v="2004-12-10T00:00:00"/>
    <x v="0"/>
    <n v="4"/>
    <x v="6"/>
    <x v="6"/>
    <x v="1"/>
    <x v="1"/>
    <n v="101"/>
    <x v="101"/>
    <x v="23"/>
    <s v="(91) 555 94 44"/>
    <s v="C/ Moralzarzal, 86"/>
    <m/>
    <x v="20"/>
    <m/>
    <n v="28034"/>
    <x v="7"/>
    <x v="1"/>
    <s v="Freyre"/>
    <s v="Diego"/>
    <x v="1"/>
  </r>
  <r>
    <n v="10371"/>
    <n v="34"/>
    <n v="100"/>
    <n v="3"/>
    <n v="4301.34"/>
    <d v="2005-01-23T00:00:00"/>
    <x v="0"/>
    <n v="1"/>
    <x v="7"/>
    <x v="7"/>
    <x v="2"/>
    <x v="1"/>
    <n v="101"/>
    <x v="101"/>
    <x v="39"/>
    <n v="4155551450"/>
    <s v="5677 Strong St."/>
    <m/>
    <x v="33"/>
    <s v="CA"/>
    <n v="97562"/>
    <x v="0"/>
    <x v="0"/>
    <s v="Nelson"/>
    <s v="Valarie"/>
    <x v="1"/>
  </r>
  <r>
    <n v="10382"/>
    <n v="34"/>
    <n v="54.84"/>
    <n v="9"/>
    <n v="1864.56"/>
    <d v="2005-02-17T00:00:00"/>
    <x v="0"/>
    <n v="1"/>
    <x v="0"/>
    <x v="0"/>
    <x v="2"/>
    <x v="1"/>
    <n v="101"/>
    <x v="101"/>
    <x v="39"/>
    <n v="4155551450"/>
    <s v="5677 Strong St."/>
    <m/>
    <x v="33"/>
    <s v="CA"/>
    <n v="97562"/>
    <x v="0"/>
    <x v="0"/>
    <s v="Nelson"/>
    <s v="Valarie"/>
    <x v="0"/>
  </r>
  <r>
    <n v="10411"/>
    <n v="34"/>
    <n v="100"/>
    <n v="4"/>
    <n v="3576.8"/>
    <d v="2005-05-01T00:00:00"/>
    <x v="0"/>
    <n v="2"/>
    <x v="1"/>
    <x v="1"/>
    <x v="2"/>
    <x v="1"/>
    <n v="101"/>
    <x v="101"/>
    <x v="43"/>
    <s v="(514) 555-8054"/>
    <s v="43 rue St. Laurent"/>
    <m/>
    <x v="37"/>
    <s v="Quebec"/>
    <s v="H1J 1C3"/>
    <x v="10"/>
    <x v="0"/>
    <s v="Fresnisre"/>
    <s v="Jean"/>
    <x v="1"/>
  </r>
  <r>
    <n v="10424"/>
    <n v="46"/>
    <n v="80.92"/>
    <n v="1"/>
    <n v="3722.32"/>
    <d v="2005-05-31T00:00:00"/>
    <x v="2"/>
    <n v="2"/>
    <x v="1"/>
    <x v="1"/>
    <x v="2"/>
    <x v="1"/>
    <n v="101"/>
    <x v="101"/>
    <x v="23"/>
    <s v="(91) 555 94 44"/>
    <s v="C/ Moralzarzal, 86"/>
    <m/>
    <x v="20"/>
    <m/>
    <n v="28034"/>
    <x v="7"/>
    <x v="1"/>
    <s v="Freyre"/>
    <s v="Diego"/>
    <x v="1"/>
  </r>
  <r>
    <n v="10106"/>
    <n v="32"/>
    <n v="100"/>
    <n v="1"/>
    <n v="3986.56"/>
    <d v="2003-02-17T00:00:00"/>
    <x v="0"/>
    <n v="1"/>
    <x v="0"/>
    <x v="0"/>
    <x v="0"/>
    <x v="4"/>
    <n v="118"/>
    <x v="102"/>
    <x v="86"/>
    <s v="035-640555"/>
    <s v="Via Ludovico il Moro 22"/>
    <m/>
    <x v="69"/>
    <m/>
    <n v="24100"/>
    <x v="12"/>
    <x v="1"/>
    <s v="Rovelli"/>
    <s v="Giovanni"/>
    <x v="1"/>
  </r>
  <r>
    <n v="10120"/>
    <n v="24"/>
    <n v="100"/>
    <n v="7"/>
    <n v="3417.12"/>
    <d v="2003-04-29T00:00:00"/>
    <x v="0"/>
    <n v="2"/>
    <x v="8"/>
    <x v="8"/>
    <x v="0"/>
    <x v="4"/>
    <n v="118"/>
    <x v="102"/>
    <x v="10"/>
    <s v="03 9520 4555"/>
    <s v="636 St Kilda Road"/>
    <s v="Level 3"/>
    <x v="8"/>
    <s v="Victoria"/>
    <n v="3004"/>
    <x v="3"/>
    <x v="2"/>
    <s v="Ferguson"/>
    <s v="Peter"/>
    <x v="1"/>
  </r>
  <r>
    <n v="10133"/>
    <n v="27"/>
    <n v="99.67"/>
    <n v="2"/>
    <n v="2691.09"/>
    <d v="2003-06-27T00:00:00"/>
    <x v="0"/>
    <n v="2"/>
    <x v="9"/>
    <x v="9"/>
    <x v="0"/>
    <x v="4"/>
    <n v="118"/>
    <x v="102"/>
    <x v="23"/>
    <s v="(91) 555 94 44"/>
    <s v="C/ Moralzarzal, 86"/>
    <m/>
    <x v="20"/>
    <m/>
    <n v="28034"/>
    <x v="7"/>
    <x v="1"/>
    <s v="Freyre"/>
    <s v="Diego"/>
    <x v="0"/>
  </r>
  <r>
    <n v="10145"/>
    <n v="20"/>
    <n v="100"/>
    <n v="13"/>
    <n v="2752.6"/>
    <d v="2003-08-25T00:00:00"/>
    <x v="0"/>
    <n v="3"/>
    <x v="3"/>
    <x v="3"/>
    <x v="0"/>
    <x v="4"/>
    <n v="118"/>
    <x v="102"/>
    <x v="3"/>
    <n v="6265557265"/>
    <s v="78934 Hillside Dr."/>
    <m/>
    <x v="3"/>
    <s v="CA"/>
    <n v="90003"/>
    <x v="0"/>
    <x v="0"/>
    <s v="Young"/>
    <s v="Julie"/>
    <x v="0"/>
  </r>
  <r>
    <n v="10168"/>
    <n v="36"/>
    <n v="100"/>
    <n v="8"/>
    <n v="4527.72"/>
    <d v="2003-10-28T00:00:00"/>
    <x v="0"/>
    <n v="4"/>
    <x v="4"/>
    <x v="4"/>
    <x v="0"/>
    <x v="4"/>
    <n v="118"/>
    <x v="102"/>
    <x v="5"/>
    <n v="6505556809"/>
    <s v="9408 Furth Circle"/>
    <m/>
    <x v="5"/>
    <s v="CA"/>
    <n v="94217"/>
    <x v="0"/>
    <x v="0"/>
    <s v="Hirano"/>
    <s v="Juri"/>
    <x v="1"/>
  </r>
  <r>
    <n v="10188"/>
    <n v="29"/>
    <n v="100"/>
    <n v="8"/>
    <n v="3957.05"/>
    <d v="2003-11-18T00:00:00"/>
    <x v="0"/>
    <n v="4"/>
    <x v="5"/>
    <x v="5"/>
    <x v="0"/>
    <x v="4"/>
    <n v="118"/>
    <x v="102"/>
    <x v="7"/>
    <s v="+47 2267 3215"/>
    <s v="Drammen 121, PR 744 Sentrum"/>
    <m/>
    <x v="7"/>
    <m/>
    <s v="N 5804"/>
    <x v="2"/>
    <x v="1"/>
    <s v="Oeztan"/>
    <s v="Veysel"/>
    <x v="1"/>
  </r>
  <r>
    <n v="10210"/>
    <n v="25"/>
    <n v="100"/>
    <n v="6"/>
    <n v="2818"/>
    <d v="2004-01-12T00:00:00"/>
    <x v="0"/>
    <n v="1"/>
    <x v="7"/>
    <x v="7"/>
    <x v="1"/>
    <x v="4"/>
    <n v="118"/>
    <x v="102"/>
    <x v="44"/>
    <s v="+81 06 6342 5555"/>
    <s v="Dojima Avanza 4F, 1-6-20 Dojima, Kita-ku"/>
    <m/>
    <x v="38"/>
    <s v="Osaka"/>
    <s v="530-0003"/>
    <x v="11"/>
    <x v="3"/>
    <s v="Kentary"/>
    <s v="Mory"/>
    <x v="0"/>
  </r>
  <r>
    <n v="10223"/>
    <n v="29"/>
    <n v="100"/>
    <n v="8"/>
    <n v="3199.86"/>
    <d v="2004-02-20T00:00:00"/>
    <x v="0"/>
    <n v="1"/>
    <x v="0"/>
    <x v="0"/>
    <x v="1"/>
    <x v="4"/>
    <n v="118"/>
    <x v="102"/>
    <x v="10"/>
    <s v="03 9520 4555"/>
    <s v="636 St Kilda Road"/>
    <s v="Level 3"/>
    <x v="8"/>
    <s v="Victoria"/>
    <n v="3004"/>
    <x v="3"/>
    <x v="2"/>
    <s v="Ferguson"/>
    <s v="Peter"/>
    <x v="1"/>
  </r>
  <r>
    <n v="10235"/>
    <n v="25"/>
    <n v="96.11"/>
    <n v="2"/>
    <n v="2402.75"/>
    <d v="2004-04-02T00:00:00"/>
    <x v="0"/>
    <n v="2"/>
    <x v="8"/>
    <x v="8"/>
    <x v="1"/>
    <x v="4"/>
    <n v="118"/>
    <x v="102"/>
    <x v="57"/>
    <s v="(604) 555-4555"/>
    <s v="23 Tsawassen Blvd."/>
    <m/>
    <x v="47"/>
    <s v="BC"/>
    <s v="T2F 8M4"/>
    <x v="10"/>
    <x v="0"/>
    <s v="Lincoln"/>
    <s v="Elizabeth"/>
    <x v="0"/>
  </r>
  <r>
    <n v="10250"/>
    <n v="44"/>
    <n v="100"/>
    <n v="3"/>
    <n v="6055.72"/>
    <d v="2004-05-11T00:00:00"/>
    <x v="0"/>
    <n v="2"/>
    <x v="1"/>
    <x v="1"/>
    <x v="1"/>
    <x v="4"/>
    <n v="118"/>
    <x v="102"/>
    <x v="61"/>
    <n v="4085553659"/>
    <s v="3086 Ingle Ln."/>
    <m/>
    <x v="51"/>
    <s v="CA"/>
    <n v="94217"/>
    <x v="0"/>
    <x v="0"/>
    <s v="Frick"/>
    <s v="Sue"/>
    <x v="1"/>
  </r>
  <r>
    <n v="10263"/>
    <n v="47"/>
    <n v="100"/>
    <n v="9"/>
    <n v="5465.16"/>
    <d v="2004-06-28T00:00:00"/>
    <x v="0"/>
    <n v="2"/>
    <x v="9"/>
    <x v="9"/>
    <x v="1"/>
    <x v="4"/>
    <n v="118"/>
    <x v="102"/>
    <x v="13"/>
    <n v="2035552570"/>
    <s v="25593 South Bay Ln."/>
    <m/>
    <x v="10"/>
    <s v="CT"/>
    <n v="97562"/>
    <x v="0"/>
    <x v="0"/>
    <s v="King"/>
    <s v="Julie"/>
    <x v="1"/>
  </r>
  <r>
    <n v="10275"/>
    <n v="48"/>
    <n v="100"/>
    <n v="8"/>
    <n v="6378.72"/>
    <d v="2004-07-23T00:00:00"/>
    <x v="0"/>
    <n v="3"/>
    <x v="2"/>
    <x v="2"/>
    <x v="1"/>
    <x v="4"/>
    <n v="118"/>
    <x v="102"/>
    <x v="14"/>
    <s v="40.67.8555"/>
    <s v="67, rue des Cinquante Otages"/>
    <m/>
    <x v="11"/>
    <m/>
    <n v="44000"/>
    <x v="1"/>
    <x v="1"/>
    <s v="Labrune"/>
    <s v="Janine"/>
    <x v="1"/>
  </r>
  <r>
    <n v="10285"/>
    <n v="45"/>
    <n v="100"/>
    <n v="13"/>
    <n v="5392.8"/>
    <d v="2004-08-27T00:00:00"/>
    <x v="0"/>
    <n v="3"/>
    <x v="3"/>
    <x v="3"/>
    <x v="1"/>
    <x v="4"/>
    <n v="118"/>
    <x v="102"/>
    <x v="15"/>
    <n v="6175558555"/>
    <s v="39323 Spinnaker Dr."/>
    <m/>
    <x v="12"/>
    <s v="MA"/>
    <n v="51247"/>
    <x v="0"/>
    <x v="0"/>
    <s v="Hernandez"/>
    <s v="Marta"/>
    <x v="1"/>
  </r>
  <r>
    <n v="10297"/>
    <n v="35"/>
    <n v="100"/>
    <n v="3"/>
    <n v="3986.5"/>
    <d v="2004-09-16T00:00:00"/>
    <x v="0"/>
    <n v="3"/>
    <x v="10"/>
    <x v="10"/>
    <x v="1"/>
    <x v="4"/>
    <n v="118"/>
    <x v="102"/>
    <x v="75"/>
    <s v="+353 1862 1555"/>
    <s v="25 Maiden Lane"/>
    <s v="Floor No. 4"/>
    <x v="60"/>
    <m/>
    <n v="2"/>
    <x v="18"/>
    <x v="1"/>
    <s v="Cassidy"/>
    <s v="Dean"/>
    <x v="1"/>
  </r>
  <r>
    <n v="10308"/>
    <n v="31"/>
    <n v="100"/>
    <n v="6"/>
    <n v="4009.23"/>
    <d v="2004-10-15T00:00:00"/>
    <x v="0"/>
    <n v="4"/>
    <x v="4"/>
    <x v="4"/>
    <x v="1"/>
    <x v="4"/>
    <n v="118"/>
    <x v="102"/>
    <x v="47"/>
    <n v="9145554562"/>
    <s v="3758 North Pendale Street"/>
    <m/>
    <x v="39"/>
    <s v="NY"/>
    <n v="24067"/>
    <x v="0"/>
    <x v="0"/>
    <s v="Frick"/>
    <s v="Steve"/>
    <x v="1"/>
  </r>
  <r>
    <n v="10318"/>
    <n v="50"/>
    <n v="100"/>
    <n v="8"/>
    <n v="7119"/>
    <d v="2004-11-02T00:00:00"/>
    <x v="0"/>
    <n v="4"/>
    <x v="5"/>
    <x v="5"/>
    <x v="1"/>
    <x v="4"/>
    <n v="118"/>
    <x v="102"/>
    <x v="18"/>
    <n v="2155551555"/>
    <s v="7586 Pompton St."/>
    <m/>
    <x v="15"/>
    <s v="PA"/>
    <n v="70267"/>
    <x v="0"/>
    <x v="0"/>
    <s v="Yu"/>
    <s v="Kyung"/>
    <x v="2"/>
  </r>
  <r>
    <n v="10328"/>
    <n v="33"/>
    <n v="100"/>
    <n v="11"/>
    <n v="4072.2"/>
    <d v="2004-11-12T00:00:00"/>
    <x v="0"/>
    <n v="4"/>
    <x v="5"/>
    <x v="5"/>
    <x v="1"/>
    <x v="4"/>
    <n v="118"/>
    <x v="102"/>
    <x v="86"/>
    <s v="035-640555"/>
    <s v="Via Ludovico il Moro 22"/>
    <m/>
    <x v="69"/>
    <m/>
    <n v="24100"/>
    <x v="12"/>
    <x v="1"/>
    <s v="Rovelli"/>
    <s v="Giovanni"/>
    <x v="1"/>
  </r>
  <r>
    <n v="10340"/>
    <n v="29"/>
    <n v="100"/>
    <n v="6"/>
    <n v="4094.51"/>
    <d v="2004-11-24T00:00:00"/>
    <x v="0"/>
    <n v="4"/>
    <x v="5"/>
    <x v="5"/>
    <x v="1"/>
    <x v="4"/>
    <n v="118"/>
    <x v="102"/>
    <x v="53"/>
    <s v="(93) 203 4555"/>
    <s v="Rambla de Catalu¤a, 23"/>
    <m/>
    <x v="43"/>
    <m/>
    <n v="8022"/>
    <x v="7"/>
    <x v="1"/>
    <s v="Saavedra"/>
    <s v="Eduardo"/>
    <x v="1"/>
  </r>
  <r>
    <n v="10353"/>
    <n v="48"/>
    <n v="68.8"/>
    <n v="4"/>
    <n v="3302.4"/>
    <d v="2004-12-04T00:00:00"/>
    <x v="0"/>
    <n v="4"/>
    <x v="6"/>
    <x v="6"/>
    <x v="1"/>
    <x v="4"/>
    <n v="118"/>
    <x v="102"/>
    <x v="88"/>
    <n v="2035554407"/>
    <s v="2440 Pompton St."/>
    <m/>
    <x v="63"/>
    <s v="CT"/>
    <n v="97561"/>
    <x v="0"/>
    <x v="0"/>
    <s v="Lewis"/>
    <s v="Dan"/>
    <x v="1"/>
  </r>
  <r>
    <n v="10361"/>
    <n v="44"/>
    <n v="72.42"/>
    <n v="5"/>
    <n v="3186.48"/>
    <d v="2004-12-17T00:00:00"/>
    <x v="0"/>
    <n v="4"/>
    <x v="6"/>
    <x v="6"/>
    <x v="1"/>
    <x v="4"/>
    <n v="118"/>
    <x v="102"/>
    <x v="20"/>
    <s v="+61 2 9495 8555"/>
    <s v="Monitor Money Building, 815 Pacific Hwy"/>
    <s v="Level 6"/>
    <x v="17"/>
    <s v="NSW"/>
    <n v="2067"/>
    <x v="3"/>
    <x v="2"/>
    <s v="Huxley"/>
    <s v="Adrian"/>
    <x v="1"/>
  </r>
  <r>
    <n v="10375"/>
    <n v="25"/>
    <n v="66.73"/>
    <n v="10"/>
    <n v="1668.25"/>
    <d v="2005-02-03T00:00:00"/>
    <x v="0"/>
    <n v="1"/>
    <x v="0"/>
    <x v="0"/>
    <x v="2"/>
    <x v="4"/>
    <n v="118"/>
    <x v="102"/>
    <x v="14"/>
    <s v="40.67.8555"/>
    <s v="67, rue des Cinquante Otages"/>
    <m/>
    <x v="11"/>
    <m/>
    <n v="44000"/>
    <x v="1"/>
    <x v="1"/>
    <s v="Labrune"/>
    <s v="Janine"/>
    <x v="0"/>
  </r>
  <r>
    <n v="10388"/>
    <n v="50"/>
    <n v="100"/>
    <n v="3"/>
    <n v="7154.5"/>
    <d v="2005-03-03T00:00:00"/>
    <x v="0"/>
    <n v="1"/>
    <x v="11"/>
    <x v="11"/>
    <x v="2"/>
    <x v="4"/>
    <n v="118"/>
    <x v="102"/>
    <x v="21"/>
    <n v="5085552555"/>
    <s v="1785 First Street"/>
    <m/>
    <x v="18"/>
    <s v="MA"/>
    <n v="50553"/>
    <x v="0"/>
    <x v="0"/>
    <s v="Benitez"/>
    <s v="Violeta"/>
    <x v="2"/>
  </r>
  <r>
    <n v="10398"/>
    <n v="23"/>
    <n v="100"/>
    <n v="9"/>
    <n v="2810.83"/>
    <d v="2005-03-30T00:00:00"/>
    <x v="0"/>
    <n v="1"/>
    <x v="11"/>
    <x v="11"/>
    <x v="2"/>
    <x v="4"/>
    <n v="118"/>
    <x v="102"/>
    <x v="1"/>
    <s v="26.47.1555"/>
    <s v="59 rue de l'Abbaye"/>
    <m/>
    <x v="1"/>
    <m/>
    <n v="51100"/>
    <x v="1"/>
    <x v="1"/>
    <s v="Henriot"/>
    <s v="Paul"/>
    <x v="0"/>
  </r>
  <r>
    <n v="10401"/>
    <n v="21"/>
    <n v="96.11"/>
    <n v="2"/>
    <n v="2018.31"/>
    <d v="2005-04-03T00:00:00"/>
    <x v="4"/>
    <n v="2"/>
    <x v="8"/>
    <x v="8"/>
    <x v="2"/>
    <x v="4"/>
    <n v="118"/>
    <x v="102"/>
    <x v="12"/>
    <n v="2015559350"/>
    <s v="7476 Moss Rd."/>
    <m/>
    <x v="9"/>
    <s v="NJ"/>
    <n v="94019"/>
    <x v="0"/>
    <x v="0"/>
    <s v="Brown"/>
    <s v="William"/>
    <x v="0"/>
  </r>
  <r>
    <n v="10416"/>
    <n v="41"/>
    <n v="100"/>
    <n v="3"/>
    <n v="5642.83"/>
    <d v="2005-05-10T00:00:00"/>
    <x v="0"/>
    <n v="2"/>
    <x v="1"/>
    <x v="1"/>
    <x v="2"/>
    <x v="4"/>
    <n v="118"/>
    <x v="102"/>
    <x v="70"/>
    <s v="0522-556555"/>
    <s v="Strada Provinciale 124"/>
    <m/>
    <x v="57"/>
    <m/>
    <n v="42100"/>
    <x v="12"/>
    <x v="1"/>
    <s v="Moroni"/>
    <s v="Maurizio"/>
    <x v="1"/>
  </r>
  <r>
    <n v="10106"/>
    <n v="44"/>
    <n v="74.400000000000006"/>
    <n v="8"/>
    <n v="3273.6"/>
    <d v="2003-02-17T00:00:00"/>
    <x v="0"/>
    <n v="1"/>
    <x v="0"/>
    <x v="0"/>
    <x v="0"/>
    <x v="4"/>
    <n v="80"/>
    <x v="103"/>
    <x v="86"/>
    <s v="035-640555"/>
    <s v="Via Ludovico il Moro 22"/>
    <m/>
    <x v="69"/>
    <m/>
    <n v="24100"/>
    <x v="12"/>
    <x v="1"/>
    <s v="Rovelli"/>
    <s v="Giovanni"/>
    <x v="1"/>
  </r>
  <r>
    <n v="10120"/>
    <n v="43"/>
    <n v="76"/>
    <n v="14"/>
    <n v="3268"/>
    <d v="2003-04-29T00:00:00"/>
    <x v="0"/>
    <n v="2"/>
    <x v="8"/>
    <x v="8"/>
    <x v="0"/>
    <x v="4"/>
    <n v="80"/>
    <x v="103"/>
    <x v="10"/>
    <s v="03 9520 4555"/>
    <s v="636 St Kilda Road"/>
    <s v="Level 3"/>
    <x v="8"/>
    <s v="Victoria"/>
    <n v="3004"/>
    <x v="3"/>
    <x v="2"/>
    <s v="Ferguson"/>
    <s v="Peter"/>
    <x v="1"/>
  </r>
  <r>
    <n v="10143"/>
    <n v="28"/>
    <n v="96"/>
    <n v="3"/>
    <n v="2688"/>
    <d v="2003-08-10T00:00:00"/>
    <x v="0"/>
    <n v="3"/>
    <x v="3"/>
    <x v="3"/>
    <x v="0"/>
    <x v="4"/>
    <n v="80"/>
    <x v="103"/>
    <x v="50"/>
    <n v="5085559555"/>
    <s v="4575 Hillside Dr."/>
    <m/>
    <x v="18"/>
    <s v="MA"/>
    <n v="50553"/>
    <x v="0"/>
    <x v="0"/>
    <s v="Tam"/>
    <s v="Wing C"/>
    <x v="0"/>
  </r>
  <r>
    <n v="10155"/>
    <n v="43"/>
    <n v="86.4"/>
    <n v="1"/>
    <n v="3715.2"/>
    <d v="2003-10-06T00:00:00"/>
    <x v="0"/>
    <n v="4"/>
    <x v="4"/>
    <x v="4"/>
    <x v="0"/>
    <x v="4"/>
    <n v="80"/>
    <x v="103"/>
    <x v="16"/>
    <s v="90-224 8555"/>
    <s v="Keskuskatu 45"/>
    <m/>
    <x v="13"/>
    <m/>
    <n v="21240"/>
    <x v="4"/>
    <x v="1"/>
    <s v="Karttunen"/>
    <s v="Matti"/>
    <x v="1"/>
  </r>
  <r>
    <n v="10168"/>
    <n v="48"/>
    <n v="96"/>
    <n v="15"/>
    <n v="4608"/>
    <d v="2003-10-28T00:00:00"/>
    <x v="0"/>
    <n v="4"/>
    <x v="4"/>
    <x v="4"/>
    <x v="0"/>
    <x v="4"/>
    <n v="80"/>
    <x v="103"/>
    <x v="5"/>
    <n v="6505556809"/>
    <s v="9408 Furth Circle"/>
    <m/>
    <x v="5"/>
    <s v="CA"/>
    <n v="94217"/>
    <x v="0"/>
    <x v="0"/>
    <s v="Hirano"/>
    <s v="Juri"/>
    <x v="1"/>
  </r>
  <r>
    <n v="10199"/>
    <n v="38"/>
    <n v="82.4"/>
    <n v="3"/>
    <n v="3131.2"/>
    <d v="2003-12-01T00:00:00"/>
    <x v="0"/>
    <n v="4"/>
    <x v="6"/>
    <x v="6"/>
    <x v="0"/>
    <x v="4"/>
    <n v="80"/>
    <x v="103"/>
    <x v="32"/>
    <n v="3105553722"/>
    <s v="3675 Furth Circle"/>
    <m/>
    <x v="27"/>
    <s v="CA"/>
    <n v="94019"/>
    <x v="0"/>
    <x v="0"/>
    <s v="Thompson"/>
    <s v="Steve"/>
    <x v="1"/>
  </r>
  <r>
    <n v="10210"/>
    <n v="31"/>
    <n v="86.4"/>
    <n v="13"/>
    <n v="2678.4"/>
    <d v="2004-01-12T00:00:00"/>
    <x v="0"/>
    <n v="1"/>
    <x v="7"/>
    <x v="7"/>
    <x v="1"/>
    <x v="4"/>
    <n v="80"/>
    <x v="103"/>
    <x v="44"/>
    <s v="+81 06 6342 5555"/>
    <s v="Dojima Avanza 4F, 1-6-20 Dojima, Kita-ku"/>
    <m/>
    <x v="38"/>
    <s v="Osaka"/>
    <s v="530-0003"/>
    <x v="11"/>
    <x v="3"/>
    <s v="Kentary"/>
    <s v="Mory"/>
    <x v="0"/>
  </r>
  <r>
    <n v="10223"/>
    <n v="26"/>
    <n v="67.2"/>
    <n v="15"/>
    <n v="1747.2"/>
    <d v="2004-02-20T00:00:00"/>
    <x v="0"/>
    <n v="1"/>
    <x v="0"/>
    <x v="0"/>
    <x v="1"/>
    <x v="4"/>
    <n v="80"/>
    <x v="103"/>
    <x v="10"/>
    <s v="03 9520 4555"/>
    <s v="636 St Kilda Road"/>
    <s v="Level 3"/>
    <x v="8"/>
    <s v="Victoria"/>
    <n v="3004"/>
    <x v="3"/>
    <x v="2"/>
    <s v="Ferguson"/>
    <s v="Peter"/>
    <x v="0"/>
  </r>
  <r>
    <n v="10235"/>
    <n v="32"/>
    <n v="92"/>
    <n v="9"/>
    <n v="2944"/>
    <d v="2004-04-02T00:00:00"/>
    <x v="0"/>
    <n v="2"/>
    <x v="8"/>
    <x v="8"/>
    <x v="1"/>
    <x v="4"/>
    <n v="80"/>
    <x v="103"/>
    <x v="57"/>
    <s v="(604) 555-4555"/>
    <s v="23 Tsawassen Blvd."/>
    <m/>
    <x v="47"/>
    <s v="BC"/>
    <s v="T2F 8M4"/>
    <x v="10"/>
    <x v="0"/>
    <s v="Lincoln"/>
    <s v="Elizabeth"/>
    <x v="0"/>
  </r>
  <r>
    <n v="10250"/>
    <n v="44"/>
    <n v="67.2"/>
    <n v="10"/>
    <n v="2956.8"/>
    <d v="2004-05-11T00:00:00"/>
    <x v="0"/>
    <n v="2"/>
    <x v="1"/>
    <x v="1"/>
    <x v="1"/>
    <x v="4"/>
    <n v="80"/>
    <x v="103"/>
    <x v="61"/>
    <n v="4085553659"/>
    <s v="3086 Ingle Ln."/>
    <m/>
    <x v="51"/>
    <s v="CA"/>
    <n v="94217"/>
    <x v="0"/>
    <x v="0"/>
    <s v="Frick"/>
    <s v="Sue"/>
    <x v="0"/>
  </r>
  <r>
    <n v="10262"/>
    <n v="27"/>
    <n v="76"/>
    <n v="5"/>
    <n v="2052"/>
    <d v="2004-06-24T00:00:00"/>
    <x v="3"/>
    <n v="2"/>
    <x v="9"/>
    <x v="9"/>
    <x v="1"/>
    <x v="4"/>
    <n v="80"/>
    <x v="103"/>
    <x v="23"/>
    <s v="(91) 555 94 44"/>
    <s v="C/ Moralzarzal, 86"/>
    <m/>
    <x v="20"/>
    <m/>
    <n v="28034"/>
    <x v="7"/>
    <x v="1"/>
    <s v="Freyre"/>
    <s v="Diego"/>
    <x v="0"/>
  </r>
  <r>
    <n v="10275"/>
    <n v="43"/>
    <n v="73.599999999999994"/>
    <n v="15"/>
    <n v="3164.8"/>
    <d v="2004-07-23T00:00:00"/>
    <x v="0"/>
    <n v="3"/>
    <x v="2"/>
    <x v="2"/>
    <x v="1"/>
    <x v="4"/>
    <n v="80"/>
    <x v="103"/>
    <x v="14"/>
    <s v="40.67.8555"/>
    <s v="67, rue des Cinquante Otages"/>
    <m/>
    <x v="11"/>
    <m/>
    <n v="44000"/>
    <x v="1"/>
    <x v="1"/>
    <s v="Labrune"/>
    <s v="Janine"/>
    <x v="1"/>
  </r>
  <r>
    <n v="10284"/>
    <n v="25"/>
    <n v="69.599999999999994"/>
    <n v="7"/>
    <n v="1740"/>
    <d v="2004-08-21T00:00:00"/>
    <x v="0"/>
    <n v="3"/>
    <x v="3"/>
    <x v="3"/>
    <x v="1"/>
    <x v="4"/>
    <n v="80"/>
    <x v="103"/>
    <x v="85"/>
    <s v="+47 2212 1555"/>
    <s v="Drammensveien 126 A, PB 744 Sentrum"/>
    <m/>
    <x v="68"/>
    <m/>
    <s v="N 0106"/>
    <x v="2"/>
    <x v="1"/>
    <s v="Klaeboe"/>
    <s v="Jan"/>
    <x v="0"/>
  </r>
  <r>
    <n v="10296"/>
    <n v="22"/>
    <n v="80.8"/>
    <n v="3"/>
    <n v="1777.6"/>
    <d v="2004-09-15T00:00:00"/>
    <x v="0"/>
    <n v="3"/>
    <x v="10"/>
    <x v="10"/>
    <x v="1"/>
    <x v="4"/>
    <n v="80"/>
    <x v="103"/>
    <x v="89"/>
    <s v="+49 89 61 08 9555"/>
    <s v="Hansastr. 15"/>
    <m/>
    <x v="71"/>
    <m/>
    <n v="80686"/>
    <x v="16"/>
    <x v="1"/>
    <s v="Donnermeyer"/>
    <s v="Michael"/>
    <x v="0"/>
  </r>
  <r>
    <n v="10308"/>
    <n v="21"/>
    <n v="87.2"/>
    <n v="13"/>
    <n v="1831.2"/>
    <d v="2004-10-15T00:00:00"/>
    <x v="0"/>
    <n v="4"/>
    <x v="4"/>
    <x v="4"/>
    <x v="1"/>
    <x v="4"/>
    <n v="80"/>
    <x v="103"/>
    <x v="47"/>
    <n v="9145554562"/>
    <s v="3758 North Pendale Street"/>
    <m/>
    <x v="39"/>
    <s v="NY"/>
    <n v="24067"/>
    <x v="0"/>
    <x v="0"/>
    <s v="Frick"/>
    <s v="Steve"/>
    <x v="0"/>
  </r>
  <r>
    <n v="10316"/>
    <n v="48"/>
    <n v="75.2"/>
    <n v="5"/>
    <n v="3609.6"/>
    <d v="2004-11-01T00:00:00"/>
    <x v="0"/>
    <n v="4"/>
    <x v="5"/>
    <x v="5"/>
    <x v="1"/>
    <x v="4"/>
    <n v="80"/>
    <x v="103"/>
    <x v="59"/>
    <s v="(198) 555-8888"/>
    <s v="Garden House Crowther Way"/>
    <m/>
    <x v="49"/>
    <s v="Isle of Wight"/>
    <s v="PO31 7PJ"/>
    <x v="6"/>
    <x v="1"/>
    <s v="Bennett"/>
    <s v="Helen"/>
    <x v="1"/>
  </r>
  <r>
    <n v="10328"/>
    <n v="33"/>
    <n v="64"/>
    <n v="13"/>
    <n v="2112"/>
    <d v="2004-11-12T00:00:00"/>
    <x v="0"/>
    <n v="4"/>
    <x v="5"/>
    <x v="5"/>
    <x v="1"/>
    <x v="4"/>
    <n v="80"/>
    <x v="103"/>
    <x v="86"/>
    <s v="035-640555"/>
    <s v="Via Ludovico il Moro 22"/>
    <m/>
    <x v="69"/>
    <m/>
    <n v="24100"/>
    <x v="12"/>
    <x v="1"/>
    <s v="Rovelli"/>
    <s v="Giovanni"/>
    <x v="0"/>
  </r>
  <r>
    <n v="10341"/>
    <n v="34"/>
    <n v="100"/>
    <n v="5"/>
    <n v="3644.12"/>
    <d v="2004-11-24T00:00:00"/>
    <x v="0"/>
    <n v="4"/>
    <x v="5"/>
    <x v="5"/>
    <x v="1"/>
    <x v="4"/>
    <n v="80"/>
    <x v="103"/>
    <x v="19"/>
    <s v="6562-9555"/>
    <s v="Geislweg 14"/>
    <m/>
    <x v="16"/>
    <m/>
    <n v="5020"/>
    <x v="5"/>
    <x v="1"/>
    <s v="Pipps"/>
    <s v="Georg"/>
    <x v="1"/>
  </r>
  <r>
    <n v="10353"/>
    <n v="43"/>
    <n v="81.95"/>
    <n v="6"/>
    <n v="3523.85"/>
    <d v="2004-12-04T00:00:00"/>
    <x v="0"/>
    <n v="4"/>
    <x v="6"/>
    <x v="6"/>
    <x v="1"/>
    <x v="4"/>
    <n v="80"/>
    <x v="103"/>
    <x v="88"/>
    <n v="2035554407"/>
    <s v="2440 Pompton St."/>
    <m/>
    <x v="63"/>
    <s v="CT"/>
    <n v="97561"/>
    <x v="0"/>
    <x v="0"/>
    <s v="Lewis"/>
    <s v="Dan"/>
    <x v="1"/>
  </r>
  <r>
    <n v="10361"/>
    <n v="44"/>
    <n v="100"/>
    <n v="10"/>
    <n v="5001.92"/>
    <d v="2004-12-17T00:00:00"/>
    <x v="0"/>
    <n v="4"/>
    <x v="6"/>
    <x v="6"/>
    <x v="1"/>
    <x v="4"/>
    <n v="80"/>
    <x v="103"/>
    <x v="20"/>
    <s v="+61 2 9495 8555"/>
    <s v="Monitor Money Building, 815 Pacific Hwy"/>
    <s v="Level 6"/>
    <x v="17"/>
    <s v="NSW"/>
    <n v="2067"/>
    <x v="3"/>
    <x v="2"/>
    <s v="Huxley"/>
    <s v="Adrian"/>
    <x v="1"/>
  </r>
  <r>
    <n v="10375"/>
    <n v="44"/>
    <n v="100"/>
    <n v="11"/>
    <n v="5208.72"/>
    <d v="2005-02-03T00:00:00"/>
    <x v="0"/>
    <n v="1"/>
    <x v="0"/>
    <x v="0"/>
    <x v="2"/>
    <x v="4"/>
    <n v="80"/>
    <x v="103"/>
    <x v="14"/>
    <s v="40.67.8555"/>
    <s v="67, rue des Cinquante Otages"/>
    <m/>
    <x v="11"/>
    <m/>
    <n v="44000"/>
    <x v="1"/>
    <x v="1"/>
    <s v="Labrune"/>
    <s v="Janine"/>
    <x v="1"/>
  </r>
  <r>
    <n v="10386"/>
    <n v="32"/>
    <n v="94.34"/>
    <n v="17"/>
    <n v="3018.88"/>
    <d v="2005-03-01T00:00:00"/>
    <x v="5"/>
    <n v="1"/>
    <x v="11"/>
    <x v="11"/>
    <x v="2"/>
    <x v="4"/>
    <n v="80"/>
    <x v="103"/>
    <x v="23"/>
    <s v="(91) 555 94 44"/>
    <s v="C/ Moralzarzal, 86"/>
    <m/>
    <x v="20"/>
    <m/>
    <n v="28034"/>
    <x v="7"/>
    <x v="1"/>
    <s v="Freyre"/>
    <s v="Diego"/>
    <x v="1"/>
  </r>
  <r>
    <n v="10398"/>
    <n v="29"/>
    <n v="65.599999999999994"/>
    <n v="10"/>
    <n v="1902.4"/>
    <d v="2005-03-30T00:00:00"/>
    <x v="0"/>
    <n v="1"/>
    <x v="11"/>
    <x v="11"/>
    <x v="2"/>
    <x v="4"/>
    <n v="80"/>
    <x v="103"/>
    <x v="1"/>
    <s v="26.47.1555"/>
    <s v="59 rue de l'Abbaye"/>
    <m/>
    <x v="1"/>
    <m/>
    <n v="51100"/>
    <x v="1"/>
    <x v="1"/>
    <s v="Henriot"/>
    <s v="Paul"/>
    <x v="0"/>
  </r>
  <r>
    <n v="10401"/>
    <n v="77"/>
    <n v="92"/>
    <n v="9"/>
    <n v="7084"/>
    <d v="2005-04-03T00:00:00"/>
    <x v="4"/>
    <n v="2"/>
    <x v="8"/>
    <x v="8"/>
    <x v="2"/>
    <x v="4"/>
    <n v="80"/>
    <x v="103"/>
    <x v="12"/>
    <n v="2015559350"/>
    <s v="7476 Moss Rd."/>
    <m/>
    <x v="9"/>
    <s v="NJ"/>
    <n v="94019"/>
    <x v="0"/>
    <x v="0"/>
    <s v="Brown"/>
    <s v="William"/>
    <x v="2"/>
  </r>
  <r>
    <n v="10416"/>
    <n v="39"/>
    <n v="67.2"/>
    <n v="10"/>
    <n v="2620.8000000000002"/>
    <d v="2005-05-10T00:00:00"/>
    <x v="0"/>
    <n v="2"/>
    <x v="1"/>
    <x v="1"/>
    <x v="2"/>
    <x v="4"/>
    <n v="80"/>
    <x v="103"/>
    <x v="70"/>
    <s v="0522-556555"/>
    <s v="Strada Provinciale 124"/>
    <m/>
    <x v="57"/>
    <m/>
    <n v="42100"/>
    <x v="12"/>
    <x v="1"/>
    <s v="Moroni"/>
    <s v="Maurizio"/>
    <x v="0"/>
  </r>
  <r>
    <n v="10105"/>
    <n v="39"/>
    <n v="81.14"/>
    <n v="6"/>
    <n v="3164.46"/>
    <d v="2003-02-11T00:00:00"/>
    <x v="0"/>
    <n v="1"/>
    <x v="0"/>
    <x v="0"/>
    <x v="0"/>
    <x v="5"/>
    <n v="100"/>
    <x v="104"/>
    <x v="48"/>
    <s v="31 12 3555"/>
    <s v="Vinb'ltet 34"/>
    <m/>
    <x v="40"/>
    <m/>
    <n v="1734"/>
    <x v="13"/>
    <x v="1"/>
    <s v="Petersen"/>
    <s v="Jytte"/>
    <x v="1"/>
  </r>
  <r>
    <n v="10118"/>
    <n v="36"/>
    <n v="100"/>
    <n v="1"/>
    <n v="4219.2"/>
    <d v="2003-04-21T00:00:00"/>
    <x v="0"/>
    <n v="2"/>
    <x v="8"/>
    <x v="8"/>
    <x v="0"/>
    <x v="5"/>
    <n v="100"/>
    <x v="104"/>
    <x v="53"/>
    <s v="(93) 203 4555"/>
    <s v="Rambla de Catalu¤a, 23"/>
    <m/>
    <x v="43"/>
    <m/>
    <n v="8022"/>
    <x v="7"/>
    <x v="1"/>
    <s v="Saavedra"/>
    <s v="Eduardo"/>
    <x v="1"/>
  </r>
  <r>
    <n v="10129"/>
    <n v="42"/>
    <n v="91.15"/>
    <n v="6"/>
    <n v="3828.3"/>
    <d v="2003-06-12T00:00:00"/>
    <x v="0"/>
    <n v="2"/>
    <x v="9"/>
    <x v="9"/>
    <x v="0"/>
    <x v="5"/>
    <n v="100"/>
    <x v="104"/>
    <x v="49"/>
    <s v="(171) 555-0297"/>
    <s v="35 King George"/>
    <m/>
    <x v="41"/>
    <m/>
    <s v="WX3 6FW"/>
    <x v="6"/>
    <x v="1"/>
    <s v="Brown"/>
    <s v="Ann"/>
    <x v="1"/>
  </r>
  <r>
    <n v="10142"/>
    <n v="21"/>
    <n v="100"/>
    <n v="3"/>
    <n v="2334.9899999999998"/>
    <d v="2003-08-08T00:00:00"/>
    <x v="0"/>
    <n v="3"/>
    <x v="3"/>
    <x v="3"/>
    <x v="0"/>
    <x v="5"/>
    <n v="100"/>
    <x v="104"/>
    <x v="39"/>
    <n v="4155551450"/>
    <s v="5677 Strong St."/>
    <m/>
    <x v="33"/>
    <s v="CA"/>
    <n v="97562"/>
    <x v="0"/>
    <x v="0"/>
    <s v="Nelson"/>
    <s v="Valarie"/>
    <x v="0"/>
  </r>
  <r>
    <n v="10153"/>
    <n v="50"/>
    <n v="88.15"/>
    <n v="2"/>
    <n v="4407.5"/>
    <d v="2003-09-28T00:00:00"/>
    <x v="0"/>
    <n v="3"/>
    <x v="10"/>
    <x v="10"/>
    <x v="0"/>
    <x v="5"/>
    <n v="100"/>
    <x v="104"/>
    <x v="23"/>
    <s v="(91) 555 94 44"/>
    <s v="C/ Moralzarzal, 86"/>
    <m/>
    <x v="20"/>
    <m/>
    <n v="28034"/>
    <x v="7"/>
    <x v="1"/>
    <s v="Freyre"/>
    <s v="Diego"/>
    <x v="1"/>
  </r>
  <r>
    <n v="10167"/>
    <n v="24"/>
    <n v="100"/>
    <n v="13"/>
    <n v="2812.8"/>
    <d v="2003-10-23T00:00:00"/>
    <x v="3"/>
    <n v="4"/>
    <x v="4"/>
    <x v="4"/>
    <x v="0"/>
    <x v="5"/>
    <n v="100"/>
    <x v="104"/>
    <x v="37"/>
    <s v="0695-34 6555"/>
    <s v="?kergatan 24"/>
    <m/>
    <x v="31"/>
    <m/>
    <s v="S-844 67"/>
    <x v="8"/>
    <x v="1"/>
    <s v="Larsson"/>
    <s v="Maria"/>
    <x v="0"/>
  </r>
  <r>
    <n v="10177"/>
    <n v="44"/>
    <n v="92.16"/>
    <n v="4"/>
    <n v="4055.04"/>
    <d v="2003-11-07T00:00:00"/>
    <x v="0"/>
    <n v="4"/>
    <x v="5"/>
    <x v="5"/>
    <x v="0"/>
    <x v="5"/>
    <n v="100"/>
    <x v="104"/>
    <x v="76"/>
    <s v="+34 913 728 555"/>
    <s v="Merchants House, 27-30 Merchant's Quay"/>
    <m/>
    <x v="20"/>
    <m/>
    <n v="28023"/>
    <x v="7"/>
    <x v="1"/>
    <s v="Fernandez"/>
    <s v="Jesus"/>
    <x v="1"/>
  </r>
  <r>
    <n v="10185"/>
    <n v="37"/>
    <n v="100"/>
    <n v="4"/>
    <n v="3891.66"/>
    <d v="2003-11-14T00:00:00"/>
    <x v="0"/>
    <n v="4"/>
    <x v="5"/>
    <x v="5"/>
    <x v="0"/>
    <x v="5"/>
    <n v="100"/>
    <x v="104"/>
    <x v="50"/>
    <n v="5085559555"/>
    <s v="4575 Hillside Dr."/>
    <m/>
    <x v="18"/>
    <s v="MA"/>
    <n v="50553"/>
    <x v="0"/>
    <x v="0"/>
    <s v="Tam"/>
    <s v="Wing C"/>
    <x v="1"/>
  </r>
  <r>
    <n v="10197"/>
    <n v="27"/>
    <n v="92.16"/>
    <n v="10"/>
    <n v="2488.3200000000002"/>
    <d v="2003-11-26T00:00:00"/>
    <x v="0"/>
    <n v="4"/>
    <x v="5"/>
    <x v="5"/>
    <x v="0"/>
    <x v="5"/>
    <n v="100"/>
    <x v="104"/>
    <x v="53"/>
    <s v="(93) 203 4555"/>
    <s v="Rambla de Catalu¤a, 23"/>
    <m/>
    <x v="43"/>
    <m/>
    <n v="8022"/>
    <x v="7"/>
    <x v="1"/>
    <s v="Saavedra"/>
    <s v="Eduardo"/>
    <x v="0"/>
  </r>
  <r>
    <n v="10208"/>
    <n v="37"/>
    <n v="100"/>
    <n v="4"/>
    <n v="4447.3999999999996"/>
    <d v="2004-01-02T00:00:00"/>
    <x v="0"/>
    <n v="1"/>
    <x v="7"/>
    <x v="7"/>
    <x v="1"/>
    <x v="5"/>
    <n v="100"/>
    <x v="104"/>
    <x v="30"/>
    <s v="78.32.5555"/>
    <s v="2, rue du Commerce"/>
    <m/>
    <x v="25"/>
    <m/>
    <n v="69004"/>
    <x v="1"/>
    <x v="1"/>
    <s v="Saveley"/>
    <s v="Mary"/>
    <x v="1"/>
  </r>
  <r>
    <n v="10222"/>
    <n v="38"/>
    <n v="100"/>
    <n v="16"/>
    <n v="4187.22"/>
    <d v="2004-02-19T00:00:00"/>
    <x v="0"/>
    <n v="1"/>
    <x v="0"/>
    <x v="0"/>
    <x v="1"/>
    <x v="5"/>
    <n v="100"/>
    <x v="104"/>
    <x v="55"/>
    <n v="7605558146"/>
    <s v="361 Furth Circle"/>
    <m/>
    <x v="45"/>
    <s v="CA"/>
    <n v="91217"/>
    <x v="0"/>
    <x v="0"/>
    <s v="Thompson"/>
    <s v="Valarie"/>
    <x v="1"/>
  </r>
  <r>
    <n v="10232"/>
    <n v="48"/>
    <n v="96.16"/>
    <n v="1"/>
    <n v="4615.68"/>
    <d v="2004-03-20T00:00:00"/>
    <x v="0"/>
    <n v="1"/>
    <x v="11"/>
    <x v="11"/>
    <x v="1"/>
    <x v="5"/>
    <n v="100"/>
    <x v="104"/>
    <x v="59"/>
    <s v="(198) 555-8888"/>
    <s v="Garden House Crowther Way"/>
    <m/>
    <x v="49"/>
    <s v="Isle of Wight"/>
    <s v="PO31 7PJ"/>
    <x v="6"/>
    <x v="1"/>
    <s v="Bennett"/>
    <s v="Helen"/>
    <x v="1"/>
  </r>
  <r>
    <n v="10248"/>
    <n v="30"/>
    <n v="100"/>
    <n v="7"/>
    <n v="3245.4"/>
    <d v="2004-05-07T00:00:00"/>
    <x v="3"/>
    <n v="2"/>
    <x v="1"/>
    <x v="1"/>
    <x v="1"/>
    <x v="5"/>
    <n v="100"/>
    <x v="104"/>
    <x v="0"/>
    <n v="2125557818"/>
    <s v="897 Long Airport Avenue"/>
    <m/>
    <x v="0"/>
    <s v="NY"/>
    <n v="10022"/>
    <x v="0"/>
    <x v="0"/>
    <s v="Yu"/>
    <s v="Kwai"/>
    <x v="1"/>
  </r>
  <r>
    <n v="10261"/>
    <n v="25"/>
    <n v="88.15"/>
    <n v="5"/>
    <n v="2203.75"/>
    <d v="2004-06-17T00:00:00"/>
    <x v="0"/>
    <n v="2"/>
    <x v="9"/>
    <x v="9"/>
    <x v="1"/>
    <x v="5"/>
    <n v="100"/>
    <x v="104"/>
    <x v="43"/>
    <s v="(514) 555-8054"/>
    <s v="43 rue St. Laurent"/>
    <m/>
    <x v="37"/>
    <s v="Quebec"/>
    <s v="H1J 1C3"/>
    <x v="10"/>
    <x v="0"/>
    <s v="Fresnisre"/>
    <s v="Jean"/>
    <x v="0"/>
  </r>
  <r>
    <n v="10273"/>
    <n v="40"/>
    <n v="86.15"/>
    <n v="8"/>
    <n v="3446"/>
    <d v="2004-07-21T00:00:00"/>
    <x v="0"/>
    <n v="3"/>
    <x v="2"/>
    <x v="2"/>
    <x v="1"/>
    <x v="5"/>
    <n v="100"/>
    <x v="104"/>
    <x v="56"/>
    <s v="(02) 5554 67"/>
    <s v="Rue Joseph-Bens 532"/>
    <m/>
    <x v="46"/>
    <m/>
    <s v="B-1180"/>
    <x v="14"/>
    <x v="1"/>
    <s v="Dewey"/>
    <s v="Catherine"/>
    <x v="1"/>
  </r>
  <r>
    <n v="10283"/>
    <n v="22"/>
    <n v="88.15"/>
    <n v="10"/>
    <n v="1939.3"/>
    <d v="2004-08-20T00:00:00"/>
    <x v="0"/>
    <n v="3"/>
    <x v="3"/>
    <x v="3"/>
    <x v="1"/>
    <x v="5"/>
    <n v="100"/>
    <x v="104"/>
    <x v="57"/>
    <s v="(604) 555-4555"/>
    <s v="23 Tsawassen Blvd."/>
    <m/>
    <x v="47"/>
    <s v="BC"/>
    <s v="T2F 8M4"/>
    <x v="10"/>
    <x v="0"/>
    <s v="Lincoln"/>
    <s v="Elizabeth"/>
    <x v="0"/>
  </r>
  <r>
    <n v="10295"/>
    <n v="34"/>
    <n v="100"/>
    <n v="5"/>
    <n v="3473.78"/>
    <d v="2004-09-10T00:00:00"/>
    <x v="0"/>
    <n v="3"/>
    <x v="10"/>
    <x v="10"/>
    <x v="1"/>
    <x v="5"/>
    <n v="100"/>
    <x v="104"/>
    <x v="58"/>
    <n v="6175559555"/>
    <s v="8616 Spinnaker Dr."/>
    <m/>
    <x v="48"/>
    <s v="MA"/>
    <n v="51003"/>
    <x v="0"/>
    <x v="0"/>
    <s v="Yoshido"/>
    <s v="Juri"/>
    <x v="1"/>
  </r>
  <r>
    <n v="10306"/>
    <n v="32"/>
    <n v="90.15"/>
    <n v="4"/>
    <n v="2884.8"/>
    <d v="2004-10-14T00:00:00"/>
    <x v="0"/>
    <n v="4"/>
    <x v="4"/>
    <x v="4"/>
    <x v="1"/>
    <x v="5"/>
    <n v="100"/>
    <x v="104"/>
    <x v="77"/>
    <s v="(171) 555-1555"/>
    <s v="Fauntleroy Circus"/>
    <m/>
    <x v="61"/>
    <m/>
    <s v="EC2 5NT"/>
    <x v="6"/>
    <x v="1"/>
    <s v="Ashworth"/>
    <s v="Victoria"/>
    <x v="0"/>
  </r>
  <r>
    <n v="10315"/>
    <n v="31"/>
    <n v="86.15"/>
    <n v="3"/>
    <n v="2670.65"/>
    <d v="2004-10-29T00:00:00"/>
    <x v="0"/>
    <n v="4"/>
    <x v="4"/>
    <x v="4"/>
    <x v="1"/>
    <x v="5"/>
    <n v="100"/>
    <x v="104"/>
    <x v="14"/>
    <s v="40.67.8555"/>
    <s v="67, rue des Cinquante Otages"/>
    <m/>
    <x v="11"/>
    <m/>
    <n v="44000"/>
    <x v="1"/>
    <x v="1"/>
    <s v="Labrune"/>
    <s v="Janine"/>
    <x v="0"/>
  </r>
  <r>
    <n v="10327"/>
    <n v="43"/>
    <n v="80"/>
    <n v="2"/>
    <n v="3440"/>
    <d v="2004-11-10T00:00:00"/>
    <x v="5"/>
    <n v="4"/>
    <x v="5"/>
    <x v="5"/>
    <x v="1"/>
    <x v="5"/>
    <n v="100"/>
    <x v="104"/>
    <x v="48"/>
    <s v="31 12 3555"/>
    <s v="Vinb'ltet 34"/>
    <m/>
    <x v="40"/>
    <m/>
    <n v="1734"/>
    <x v="13"/>
    <x v="1"/>
    <s v="Petersen"/>
    <s v="Jytte"/>
    <x v="1"/>
  </r>
  <r>
    <n v="10337"/>
    <n v="31"/>
    <n v="89.38"/>
    <n v="1"/>
    <n v="2770.78"/>
    <d v="2004-11-21T00:00:00"/>
    <x v="0"/>
    <n v="4"/>
    <x v="5"/>
    <x v="5"/>
    <x v="1"/>
    <x v="5"/>
    <n v="100"/>
    <x v="104"/>
    <x v="27"/>
    <n v="2125558493"/>
    <s v="5905 Pompton St."/>
    <s v="Suite 750"/>
    <x v="0"/>
    <s v="NY"/>
    <n v="10022"/>
    <x v="0"/>
    <x v="0"/>
    <s v="Hernandez"/>
    <s v="Maria"/>
    <x v="0"/>
  </r>
  <r>
    <n v="10350"/>
    <n v="31"/>
    <n v="77.34"/>
    <n v="13"/>
    <n v="2397.54"/>
    <d v="2004-12-02T00:00:00"/>
    <x v="0"/>
    <n v="4"/>
    <x v="6"/>
    <x v="6"/>
    <x v="1"/>
    <x v="5"/>
    <n v="100"/>
    <x v="104"/>
    <x v="23"/>
    <s v="(91) 555 94 44"/>
    <s v="C/ Moralzarzal, 86"/>
    <m/>
    <x v="20"/>
    <m/>
    <n v="28034"/>
    <x v="7"/>
    <x v="1"/>
    <s v="Freyre"/>
    <s v="Diego"/>
    <x v="0"/>
  </r>
  <r>
    <n v="10373"/>
    <n v="34"/>
    <n v="96.34"/>
    <n v="2"/>
    <n v="3275.56"/>
    <d v="2005-01-31T00:00:00"/>
    <x v="0"/>
    <n v="1"/>
    <x v="7"/>
    <x v="7"/>
    <x v="2"/>
    <x v="5"/>
    <n v="100"/>
    <x v="104"/>
    <x v="60"/>
    <s v="981-443655"/>
    <s v="Torikatu 38"/>
    <m/>
    <x v="50"/>
    <m/>
    <n v="90110"/>
    <x v="4"/>
    <x v="1"/>
    <s v="Koskitalo"/>
    <s v="Pirkko"/>
    <x v="1"/>
  </r>
  <r>
    <n v="10386"/>
    <n v="45"/>
    <n v="92.08"/>
    <n v="2"/>
    <n v="4143.6000000000004"/>
    <d v="2005-03-01T00:00:00"/>
    <x v="5"/>
    <n v="1"/>
    <x v="11"/>
    <x v="11"/>
    <x v="2"/>
    <x v="5"/>
    <n v="100"/>
    <x v="104"/>
    <x v="23"/>
    <s v="(91) 555 94 44"/>
    <s v="C/ Moralzarzal, 86"/>
    <m/>
    <x v="20"/>
    <m/>
    <n v="28034"/>
    <x v="7"/>
    <x v="1"/>
    <s v="Freyre"/>
    <s v="Diego"/>
    <x v="1"/>
  </r>
  <r>
    <n v="10397"/>
    <n v="48"/>
    <n v="100"/>
    <n v="3"/>
    <n v="5192.6400000000003"/>
    <d v="2005-03-28T00:00:00"/>
    <x v="0"/>
    <n v="1"/>
    <x v="11"/>
    <x v="11"/>
    <x v="2"/>
    <x v="5"/>
    <n v="100"/>
    <x v="104"/>
    <x v="51"/>
    <s v="61.77.6555"/>
    <s v="1 rue Alsace-Lorraine"/>
    <m/>
    <x v="42"/>
    <m/>
    <n v="31000"/>
    <x v="1"/>
    <x v="1"/>
    <s v="Roulet"/>
    <s v="Annette"/>
    <x v="1"/>
  </r>
  <r>
    <n v="10414"/>
    <n v="28"/>
    <n v="100"/>
    <n v="7"/>
    <n v="3029.04"/>
    <d v="2005-05-06T00:00:00"/>
    <x v="4"/>
    <n v="2"/>
    <x v="1"/>
    <x v="1"/>
    <x v="2"/>
    <x v="5"/>
    <n v="100"/>
    <x v="104"/>
    <x v="58"/>
    <n v="6175559555"/>
    <s v="8616 Spinnaker Dr."/>
    <m/>
    <x v="48"/>
    <s v="MA"/>
    <n v="51003"/>
    <x v="0"/>
    <x v="0"/>
    <s v="Yoshido"/>
    <s v="Juri"/>
    <x v="1"/>
  </r>
  <r>
    <n v="10105"/>
    <n v="22"/>
    <n v="100"/>
    <n v="7"/>
    <n v="2556.1799999999998"/>
    <d v="2003-02-11T00:00:00"/>
    <x v="0"/>
    <n v="1"/>
    <x v="0"/>
    <x v="0"/>
    <x v="0"/>
    <x v="5"/>
    <n v="99"/>
    <x v="105"/>
    <x v="48"/>
    <s v="31 12 3555"/>
    <s v="Vinb'ltet 34"/>
    <m/>
    <x v="40"/>
    <m/>
    <n v="1734"/>
    <x v="13"/>
    <x v="1"/>
    <s v="Petersen"/>
    <s v="Jytte"/>
    <x v="0"/>
  </r>
  <r>
    <n v="10117"/>
    <n v="45"/>
    <n v="83.42"/>
    <n v="1"/>
    <n v="3753.9"/>
    <d v="2003-04-16T00:00:00"/>
    <x v="0"/>
    <n v="2"/>
    <x v="8"/>
    <x v="8"/>
    <x v="0"/>
    <x v="5"/>
    <n v="99"/>
    <x v="105"/>
    <x v="26"/>
    <s v="+65 221 7555"/>
    <s v="Bronz Sok., Bronz Apt. 3/6 Tesvikiye"/>
    <m/>
    <x v="22"/>
    <m/>
    <n v="79903"/>
    <x v="9"/>
    <x v="3"/>
    <s v="Natividad"/>
    <s v="Eric"/>
    <x v="1"/>
  </r>
  <r>
    <n v="10129"/>
    <n v="30"/>
    <n v="85.41"/>
    <n v="7"/>
    <n v="2562.3000000000002"/>
    <d v="2003-06-12T00:00:00"/>
    <x v="0"/>
    <n v="2"/>
    <x v="9"/>
    <x v="9"/>
    <x v="0"/>
    <x v="5"/>
    <n v="99"/>
    <x v="105"/>
    <x v="49"/>
    <s v="(171) 555-0297"/>
    <s v="35 King George"/>
    <m/>
    <x v="41"/>
    <m/>
    <s v="WX3 6FW"/>
    <x v="6"/>
    <x v="1"/>
    <s v="Brown"/>
    <s v="Ann"/>
    <x v="0"/>
  </r>
  <r>
    <n v="10142"/>
    <n v="38"/>
    <n v="85.41"/>
    <n v="4"/>
    <n v="3245.58"/>
    <d v="2003-08-08T00:00:00"/>
    <x v="0"/>
    <n v="3"/>
    <x v="3"/>
    <x v="3"/>
    <x v="0"/>
    <x v="5"/>
    <n v="99"/>
    <x v="105"/>
    <x v="39"/>
    <n v="4155551450"/>
    <s v="5677 Strong St."/>
    <m/>
    <x v="33"/>
    <s v="CA"/>
    <n v="97562"/>
    <x v="0"/>
    <x v="0"/>
    <s v="Nelson"/>
    <s v="Valarie"/>
    <x v="1"/>
  </r>
  <r>
    <n v="10153"/>
    <n v="20"/>
    <n v="100"/>
    <n v="3"/>
    <n v="2204.6"/>
    <d v="2003-09-28T00:00:00"/>
    <x v="0"/>
    <n v="3"/>
    <x v="10"/>
    <x v="10"/>
    <x v="0"/>
    <x v="5"/>
    <n v="99"/>
    <x v="105"/>
    <x v="23"/>
    <s v="(91) 555 94 44"/>
    <s v="C/ Moralzarzal, 86"/>
    <m/>
    <x v="20"/>
    <m/>
    <n v="28034"/>
    <x v="7"/>
    <x v="1"/>
    <s v="Freyre"/>
    <s v="Diego"/>
    <x v="0"/>
  </r>
  <r>
    <n v="10167"/>
    <n v="28"/>
    <n v="100"/>
    <n v="14"/>
    <n v="3003"/>
    <d v="2003-10-23T00:00:00"/>
    <x v="3"/>
    <n v="4"/>
    <x v="4"/>
    <x v="4"/>
    <x v="0"/>
    <x v="5"/>
    <n v="99"/>
    <x v="105"/>
    <x v="37"/>
    <s v="0695-34 6555"/>
    <s v="?kergatan 24"/>
    <m/>
    <x v="31"/>
    <m/>
    <s v="S-844 67"/>
    <x v="8"/>
    <x v="1"/>
    <s v="Larsson"/>
    <s v="Maria"/>
    <x v="1"/>
  </r>
  <r>
    <n v="10177"/>
    <n v="24"/>
    <n v="100"/>
    <n v="5"/>
    <n v="2526.48"/>
    <d v="2003-11-07T00:00:00"/>
    <x v="0"/>
    <n v="4"/>
    <x v="5"/>
    <x v="5"/>
    <x v="0"/>
    <x v="5"/>
    <n v="99"/>
    <x v="105"/>
    <x v="76"/>
    <s v="+34 913 728 555"/>
    <s v="Merchants House, 27-30 Merchant's Quay"/>
    <m/>
    <x v="20"/>
    <m/>
    <n v="28023"/>
    <x v="7"/>
    <x v="1"/>
    <s v="Fernandez"/>
    <s v="Jesus"/>
    <x v="0"/>
  </r>
  <r>
    <n v="10185"/>
    <n v="22"/>
    <n v="79.45"/>
    <n v="5"/>
    <n v="1747.9"/>
    <d v="2003-11-14T00:00:00"/>
    <x v="0"/>
    <n v="4"/>
    <x v="5"/>
    <x v="5"/>
    <x v="0"/>
    <x v="5"/>
    <n v="99"/>
    <x v="105"/>
    <x v="50"/>
    <n v="5085559555"/>
    <s v="4575 Hillside Dr."/>
    <m/>
    <x v="18"/>
    <s v="MA"/>
    <n v="50553"/>
    <x v="0"/>
    <x v="0"/>
    <s v="Tam"/>
    <s v="Wing C"/>
    <x v="0"/>
  </r>
  <r>
    <n v="10197"/>
    <n v="35"/>
    <n v="93.35"/>
    <n v="11"/>
    <n v="3267.25"/>
    <d v="2003-11-26T00:00:00"/>
    <x v="0"/>
    <n v="4"/>
    <x v="5"/>
    <x v="5"/>
    <x v="0"/>
    <x v="5"/>
    <n v="99"/>
    <x v="105"/>
    <x v="53"/>
    <s v="(93) 203 4555"/>
    <s v="Rambla de Catalu¤a, 23"/>
    <m/>
    <x v="43"/>
    <m/>
    <n v="8022"/>
    <x v="7"/>
    <x v="1"/>
    <s v="Saavedra"/>
    <s v="Eduardo"/>
    <x v="1"/>
  </r>
  <r>
    <n v="10208"/>
    <n v="33"/>
    <n v="85.41"/>
    <n v="5"/>
    <n v="2818.53"/>
    <d v="2004-01-02T00:00:00"/>
    <x v="0"/>
    <n v="1"/>
    <x v="7"/>
    <x v="7"/>
    <x v="1"/>
    <x v="5"/>
    <n v="99"/>
    <x v="105"/>
    <x v="30"/>
    <s v="78.32.5555"/>
    <s v="2, rue du Commerce"/>
    <m/>
    <x v="25"/>
    <m/>
    <n v="69004"/>
    <x v="1"/>
    <x v="1"/>
    <s v="Saveley"/>
    <s v="Mary"/>
    <x v="0"/>
  </r>
  <r>
    <n v="10222"/>
    <n v="31"/>
    <n v="95.34"/>
    <n v="17"/>
    <n v="2955.54"/>
    <d v="2004-02-19T00:00:00"/>
    <x v="0"/>
    <n v="1"/>
    <x v="0"/>
    <x v="0"/>
    <x v="1"/>
    <x v="5"/>
    <n v="99"/>
    <x v="105"/>
    <x v="55"/>
    <n v="7605558146"/>
    <s v="361 Furth Circle"/>
    <m/>
    <x v="45"/>
    <s v="CA"/>
    <n v="91217"/>
    <x v="0"/>
    <x v="0"/>
    <s v="Thompson"/>
    <s v="Valarie"/>
    <x v="0"/>
  </r>
  <r>
    <n v="10232"/>
    <n v="35"/>
    <n v="82.43"/>
    <n v="2"/>
    <n v="2885.05"/>
    <d v="2004-03-20T00:00:00"/>
    <x v="0"/>
    <n v="1"/>
    <x v="11"/>
    <x v="11"/>
    <x v="1"/>
    <x v="5"/>
    <n v="99"/>
    <x v="105"/>
    <x v="59"/>
    <s v="(198) 555-8888"/>
    <s v="Garden House Crowther Way"/>
    <m/>
    <x v="49"/>
    <s v="Isle of Wight"/>
    <s v="PO31 7PJ"/>
    <x v="6"/>
    <x v="1"/>
    <s v="Bennett"/>
    <s v="Helen"/>
    <x v="0"/>
  </r>
  <r>
    <n v="10248"/>
    <n v="35"/>
    <n v="90.37"/>
    <n v="8"/>
    <n v="3162.95"/>
    <d v="2004-05-07T00:00:00"/>
    <x v="3"/>
    <n v="2"/>
    <x v="1"/>
    <x v="1"/>
    <x v="1"/>
    <x v="5"/>
    <n v="99"/>
    <x v="105"/>
    <x v="0"/>
    <n v="2125557818"/>
    <s v="897 Long Airport Avenue"/>
    <m/>
    <x v="0"/>
    <s v="NY"/>
    <n v="10022"/>
    <x v="0"/>
    <x v="0"/>
    <s v="Yu"/>
    <s v="Kwai"/>
    <x v="1"/>
  </r>
  <r>
    <n v="10261"/>
    <n v="50"/>
    <n v="81.430000000000007"/>
    <n v="6"/>
    <n v="4071.5"/>
    <d v="2004-06-17T00:00:00"/>
    <x v="0"/>
    <n v="2"/>
    <x v="9"/>
    <x v="9"/>
    <x v="1"/>
    <x v="5"/>
    <n v="99"/>
    <x v="105"/>
    <x v="43"/>
    <s v="(514) 555-8054"/>
    <s v="43 rue St. Laurent"/>
    <m/>
    <x v="37"/>
    <s v="Quebec"/>
    <s v="H1J 1C3"/>
    <x v="10"/>
    <x v="0"/>
    <s v="Fresnisre"/>
    <s v="Jean"/>
    <x v="1"/>
  </r>
  <r>
    <n v="10273"/>
    <n v="26"/>
    <n v="100"/>
    <n v="9"/>
    <n v="2969.46"/>
    <d v="2004-07-21T00:00:00"/>
    <x v="0"/>
    <n v="3"/>
    <x v="2"/>
    <x v="2"/>
    <x v="1"/>
    <x v="5"/>
    <n v="99"/>
    <x v="105"/>
    <x v="56"/>
    <s v="(02) 5554 67"/>
    <s v="Rue Joseph-Bens 532"/>
    <m/>
    <x v="46"/>
    <m/>
    <s v="B-1180"/>
    <x v="14"/>
    <x v="1"/>
    <s v="Dewey"/>
    <s v="Catherine"/>
    <x v="0"/>
  </r>
  <r>
    <n v="10283"/>
    <n v="38"/>
    <n v="89.38"/>
    <n v="11"/>
    <n v="3396.44"/>
    <d v="2004-08-20T00:00:00"/>
    <x v="0"/>
    <n v="3"/>
    <x v="3"/>
    <x v="3"/>
    <x v="1"/>
    <x v="5"/>
    <n v="99"/>
    <x v="105"/>
    <x v="57"/>
    <s v="(604) 555-4555"/>
    <s v="23 Tsawassen Blvd."/>
    <m/>
    <x v="47"/>
    <s v="BC"/>
    <s v="T2F 8M4"/>
    <x v="10"/>
    <x v="0"/>
    <s v="Lincoln"/>
    <s v="Elizabeth"/>
    <x v="1"/>
  </r>
  <r>
    <n v="10294"/>
    <n v="45"/>
    <n v="100"/>
    <n v="1"/>
    <n v="4692.6000000000004"/>
    <d v="2004-09-10T00:00:00"/>
    <x v="0"/>
    <n v="3"/>
    <x v="10"/>
    <x v="10"/>
    <x v="1"/>
    <x v="5"/>
    <n v="99"/>
    <x v="105"/>
    <x v="71"/>
    <n v="6175557555"/>
    <s v="7635 Spinnaker Dr."/>
    <m/>
    <x v="35"/>
    <s v="MA"/>
    <n v="58339"/>
    <x v="0"/>
    <x v="0"/>
    <s v="Barajas"/>
    <s v="Miguel"/>
    <x v="1"/>
  </r>
  <r>
    <n v="10306"/>
    <n v="30"/>
    <n v="100"/>
    <n v="5"/>
    <n v="3515.7"/>
    <d v="2004-10-14T00:00:00"/>
    <x v="0"/>
    <n v="4"/>
    <x v="4"/>
    <x v="4"/>
    <x v="1"/>
    <x v="5"/>
    <n v="99"/>
    <x v="105"/>
    <x v="77"/>
    <s v="(171) 555-1555"/>
    <s v="Fauntleroy Circus"/>
    <m/>
    <x v="61"/>
    <m/>
    <s v="EC2 5NT"/>
    <x v="6"/>
    <x v="1"/>
    <s v="Ashworth"/>
    <s v="Victoria"/>
    <x v="1"/>
  </r>
  <r>
    <n v="10315"/>
    <n v="37"/>
    <n v="91.37"/>
    <n v="4"/>
    <n v="3380.69"/>
    <d v="2004-10-29T00:00:00"/>
    <x v="0"/>
    <n v="4"/>
    <x v="4"/>
    <x v="4"/>
    <x v="1"/>
    <x v="5"/>
    <n v="99"/>
    <x v="105"/>
    <x v="14"/>
    <s v="40.67.8555"/>
    <s v="67, rue des Cinquante Otages"/>
    <m/>
    <x v="11"/>
    <m/>
    <n v="44000"/>
    <x v="1"/>
    <x v="1"/>
    <s v="Labrune"/>
    <s v="Janine"/>
    <x v="1"/>
  </r>
  <r>
    <n v="10327"/>
    <n v="37"/>
    <n v="86.61"/>
    <n v="3"/>
    <n v="3204.57"/>
    <d v="2004-11-10T00:00:00"/>
    <x v="5"/>
    <n v="4"/>
    <x v="5"/>
    <x v="5"/>
    <x v="1"/>
    <x v="5"/>
    <n v="99"/>
    <x v="105"/>
    <x v="48"/>
    <s v="31 12 3555"/>
    <s v="Vinb'ltet 34"/>
    <m/>
    <x v="40"/>
    <m/>
    <n v="1734"/>
    <x v="13"/>
    <x v="1"/>
    <s v="Petersen"/>
    <s v="Jytte"/>
    <x v="1"/>
  </r>
  <r>
    <n v="10337"/>
    <n v="36"/>
    <n v="71.89"/>
    <n v="7"/>
    <n v="2588.04"/>
    <d v="2004-11-21T00:00:00"/>
    <x v="0"/>
    <n v="4"/>
    <x v="5"/>
    <x v="5"/>
    <x v="1"/>
    <x v="5"/>
    <n v="99"/>
    <x v="105"/>
    <x v="27"/>
    <n v="2125558493"/>
    <s v="5905 Pompton St."/>
    <s v="Suite 750"/>
    <x v="0"/>
    <s v="NY"/>
    <n v="10022"/>
    <x v="0"/>
    <x v="0"/>
    <s v="Hernandez"/>
    <s v="Maria"/>
    <x v="0"/>
  </r>
  <r>
    <n v="10350"/>
    <n v="25"/>
    <n v="100"/>
    <n v="16"/>
    <n v="2854.75"/>
    <d v="2004-12-02T00:00:00"/>
    <x v="0"/>
    <n v="4"/>
    <x v="6"/>
    <x v="6"/>
    <x v="1"/>
    <x v="5"/>
    <n v="99"/>
    <x v="105"/>
    <x v="23"/>
    <s v="(91) 555 94 44"/>
    <s v="C/ Moralzarzal, 86"/>
    <m/>
    <x v="20"/>
    <m/>
    <n v="28034"/>
    <x v="7"/>
    <x v="1"/>
    <s v="Freyre"/>
    <s v="Diego"/>
    <x v="0"/>
  </r>
  <r>
    <n v="10373"/>
    <n v="37"/>
    <n v="100"/>
    <n v="8"/>
    <n v="4025.6"/>
    <d v="2005-01-31T00:00:00"/>
    <x v="0"/>
    <n v="1"/>
    <x v="7"/>
    <x v="7"/>
    <x v="2"/>
    <x v="5"/>
    <n v="99"/>
    <x v="105"/>
    <x v="60"/>
    <s v="981-443655"/>
    <s v="Torikatu 38"/>
    <m/>
    <x v="50"/>
    <m/>
    <n v="90110"/>
    <x v="4"/>
    <x v="1"/>
    <s v="Koskitalo"/>
    <s v="Pirkko"/>
    <x v="1"/>
  </r>
  <r>
    <n v="10386"/>
    <n v="30"/>
    <n v="95.48"/>
    <n v="3"/>
    <n v="2864.4"/>
    <d v="2005-03-01T00:00:00"/>
    <x v="5"/>
    <n v="1"/>
    <x v="11"/>
    <x v="11"/>
    <x v="2"/>
    <x v="5"/>
    <n v="99"/>
    <x v="105"/>
    <x v="23"/>
    <s v="(91) 555 94 44"/>
    <s v="C/ Moralzarzal, 86"/>
    <m/>
    <x v="20"/>
    <m/>
    <n v="28034"/>
    <x v="7"/>
    <x v="1"/>
    <s v="Freyre"/>
    <s v="Diego"/>
    <x v="0"/>
  </r>
  <r>
    <n v="10397"/>
    <n v="36"/>
    <n v="100"/>
    <n v="2"/>
    <n v="3789.72"/>
    <d v="2005-03-28T00:00:00"/>
    <x v="0"/>
    <n v="1"/>
    <x v="11"/>
    <x v="11"/>
    <x v="2"/>
    <x v="5"/>
    <n v="99"/>
    <x v="105"/>
    <x v="51"/>
    <s v="61.77.6555"/>
    <s v="1 rue Alsace-Lorraine"/>
    <m/>
    <x v="42"/>
    <m/>
    <n v="31000"/>
    <x v="1"/>
    <x v="1"/>
    <s v="Roulet"/>
    <s v="Annette"/>
    <x v="1"/>
  </r>
  <r>
    <n v="10414"/>
    <n v="27"/>
    <n v="90.37"/>
    <n v="8"/>
    <n v="2439.9899999999998"/>
    <d v="2005-05-06T00:00:00"/>
    <x v="4"/>
    <n v="2"/>
    <x v="1"/>
    <x v="1"/>
    <x v="2"/>
    <x v="5"/>
    <n v="99"/>
    <x v="105"/>
    <x v="58"/>
    <n v="6175559555"/>
    <s v="8616 Spinnaker Dr."/>
    <m/>
    <x v="48"/>
    <s v="MA"/>
    <n v="51003"/>
    <x v="0"/>
    <x v="0"/>
    <s v="Yoshido"/>
    <s v="Juri"/>
    <x v="0"/>
  </r>
  <r>
    <n v="10106"/>
    <n v="48"/>
    <n v="61.44"/>
    <n v="10"/>
    <n v="2949.12"/>
    <d v="2003-02-17T00:00:00"/>
    <x v="0"/>
    <n v="1"/>
    <x v="0"/>
    <x v="0"/>
    <x v="0"/>
    <x v="4"/>
    <n v="74"/>
    <x v="106"/>
    <x v="86"/>
    <s v="035-640555"/>
    <s v="Via Ludovico il Moro 22"/>
    <m/>
    <x v="69"/>
    <m/>
    <n v="24100"/>
    <x v="12"/>
    <x v="1"/>
    <s v="Rovelli"/>
    <s v="Giovanni"/>
    <x v="0"/>
  </r>
  <r>
    <n v="10119"/>
    <n v="26"/>
    <n v="59.22"/>
    <n v="1"/>
    <n v="1539.72"/>
    <d v="2003-04-28T00:00:00"/>
    <x v="0"/>
    <n v="2"/>
    <x v="8"/>
    <x v="8"/>
    <x v="0"/>
    <x v="4"/>
    <n v="74"/>
    <x v="106"/>
    <x v="19"/>
    <s v="6562-9555"/>
    <s v="Geislweg 14"/>
    <m/>
    <x v="16"/>
    <m/>
    <n v="5020"/>
    <x v="5"/>
    <x v="1"/>
    <s v="Pipps"/>
    <s v="Georg"/>
    <x v="0"/>
  </r>
  <r>
    <n v="10131"/>
    <n v="26"/>
    <n v="85.13"/>
    <n v="2"/>
    <n v="2213.38"/>
    <d v="2003-06-16T00:00:00"/>
    <x v="0"/>
    <n v="2"/>
    <x v="9"/>
    <x v="9"/>
    <x v="0"/>
    <x v="4"/>
    <n v="74"/>
    <x v="106"/>
    <x v="88"/>
    <n v="2035554407"/>
    <s v="2440 Pompton St."/>
    <m/>
    <x v="63"/>
    <s v="CT"/>
    <n v="97561"/>
    <x v="0"/>
    <x v="0"/>
    <s v="Lewis"/>
    <s v="Dan"/>
    <x v="0"/>
  </r>
  <r>
    <n v="10143"/>
    <n v="34"/>
    <n v="85.87"/>
    <n v="5"/>
    <n v="2919.58"/>
    <d v="2003-08-10T00:00:00"/>
    <x v="0"/>
    <n v="3"/>
    <x v="3"/>
    <x v="3"/>
    <x v="0"/>
    <x v="4"/>
    <n v="74"/>
    <x v="106"/>
    <x v="50"/>
    <n v="5085559555"/>
    <s v="4575 Hillside Dr."/>
    <m/>
    <x v="18"/>
    <s v="MA"/>
    <n v="50553"/>
    <x v="0"/>
    <x v="0"/>
    <s v="Tam"/>
    <s v="Wing C"/>
    <x v="0"/>
  </r>
  <r>
    <n v="10155"/>
    <n v="44"/>
    <n v="85.87"/>
    <n v="3"/>
    <n v="3778.28"/>
    <d v="2003-10-06T00:00:00"/>
    <x v="0"/>
    <n v="4"/>
    <x v="4"/>
    <x v="4"/>
    <x v="0"/>
    <x v="4"/>
    <n v="74"/>
    <x v="106"/>
    <x v="16"/>
    <s v="90-224 8555"/>
    <s v="Keskuskatu 45"/>
    <m/>
    <x v="13"/>
    <m/>
    <n v="21240"/>
    <x v="4"/>
    <x v="1"/>
    <s v="Karttunen"/>
    <s v="Matti"/>
    <x v="1"/>
  </r>
  <r>
    <n v="10168"/>
    <n v="39"/>
    <n v="82.91"/>
    <n v="17"/>
    <n v="3233.49"/>
    <d v="2003-10-28T00:00:00"/>
    <x v="0"/>
    <n v="4"/>
    <x v="4"/>
    <x v="4"/>
    <x v="0"/>
    <x v="4"/>
    <n v="74"/>
    <x v="106"/>
    <x v="5"/>
    <n v="6505556809"/>
    <s v="9408 Furth Circle"/>
    <m/>
    <x v="5"/>
    <s v="CA"/>
    <n v="94217"/>
    <x v="0"/>
    <x v="0"/>
    <s v="Hirano"/>
    <s v="Juri"/>
    <x v="1"/>
  </r>
  <r>
    <n v="10178"/>
    <n v="45"/>
    <n v="76.25"/>
    <n v="2"/>
    <n v="3431.25"/>
    <d v="2003-11-08T00:00:00"/>
    <x v="0"/>
    <n v="4"/>
    <x v="5"/>
    <x v="5"/>
    <x v="0"/>
    <x v="4"/>
    <n v="74"/>
    <x v="106"/>
    <x v="51"/>
    <s v="61.77.6555"/>
    <s v="1 rue Alsace-Lorraine"/>
    <m/>
    <x v="42"/>
    <m/>
    <n v="31000"/>
    <x v="1"/>
    <x v="1"/>
    <s v="Roulet"/>
    <s v="Annette"/>
    <x v="1"/>
  </r>
  <r>
    <n v="10198"/>
    <n v="40"/>
    <n v="63.67"/>
    <n v="2"/>
    <n v="2546.8000000000002"/>
    <d v="2003-11-27T00:00:00"/>
    <x v="0"/>
    <n v="4"/>
    <x v="5"/>
    <x v="5"/>
    <x v="0"/>
    <x v="4"/>
    <n v="74"/>
    <x v="106"/>
    <x v="66"/>
    <s v="+63 2 555 3587"/>
    <s v="15 McCallum Street - NatWest Center #13-03"/>
    <m/>
    <x v="53"/>
    <m/>
    <s v="1227 MM"/>
    <x v="15"/>
    <x v="3"/>
    <s v="Cruz"/>
    <s v="Arnold"/>
    <x v="0"/>
  </r>
  <r>
    <n v="10210"/>
    <n v="42"/>
    <n v="70.33"/>
    <n v="15"/>
    <n v="2953.86"/>
    <d v="2004-01-12T00:00:00"/>
    <x v="0"/>
    <n v="1"/>
    <x v="7"/>
    <x v="7"/>
    <x v="1"/>
    <x v="4"/>
    <n v="74"/>
    <x v="106"/>
    <x v="44"/>
    <s v="+81 06 6342 5555"/>
    <s v="Dojima Avanza 4F, 1-6-20 Dojima, Kita-ku"/>
    <m/>
    <x v="38"/>
    <s v="Osaka"/>
    <s v="530-0003"/>
    <x v="11"/>
    <x v="3"/>
    <s v="Kentary"/>
    <s v="Mory"/>
    <x v="0"/>
  </r>
  <r>
    <n v="10222"/>
    <n v="43"/>
    <n v="74.03"/>
    <n v="2"/>
    <n v="3183.29"/>
    <d v="2004-02-19T00:00:00"/>
    <x v="0"/>
    <n v="1"/>
    <x v="0"/>
    <x v="0"/>
    <x v="1"/>
    <x v="4"/>
    <n v="74"/>
    <x v="106"/>
    <x v="55"/>
    <n v="7605558146"/>
    <s v="361 Furth Circle"/>
    <m/>
    <x v="45"/>
    <s v="CA"/>
    <n v="91217"/>
    <x v="0"/>
    <x v="0"/>
    <s v="Thompson"/>
    <s v="Valarie"/>
    <x v="1"/>
  </r>
  <r>
    <n v="10235"/>
    <n v="34"/>
    <n v="72.55"/>
    <n v="11"/>
    <n v="2466.6999999999998"/>
    <d v="2004-04-02T00:00:00"/>
    <x v="0"/>
    <n v="2"/>
    <x v="8"/>
    <x v="8"/>
    <x v="1"/>
    <x v="4"/>
    <n v="74"/>
    <x v="106"/>
    <x v="57"/>
    <s v="(604) 555-4555"/>
    <s v="23 Tsawassen Blvd."/>
    <m/>
    <x v="47"/>
    <s v="BC"/>
    <s v="T2F 8M4"/>
    <x v="10"/>
    <x v="0"/>
    <s v="Lincoln"/>
    <s v="Elizabeth"/>
    <x v="0"/>
  </r>
  <r>
    <n v="10250"/>
    <n v="38"/>
    <n v="62.19"/>
    <n v="12"/>
    <n v="2363.2199999999998"/>
    <d v="2004-05-11T00:00:00"/>
    <x v="0"/>
    <n v="2"/>
    <x v="1"/>
    <x v="1"/>
    <x v="1"/>
    <x v="4"/>
    <n v="74"/>
    <x v="106"/>
    <x v="61"/>
    <n v="4085553659"/>
    <s v="3086 Ingle Ln."/>
    <m/>
    <x v="51"/>
    <s v="CA"/>
    <n v="94217"/>
    <x v="0"/>
    <x v="0"/>
    <s v="Frick"/>
    <s v="Sue"/>
    <x v="0"/>
  </r>
  <r>
    <n v="10262"/>
    <n v="35"/>
    <n v="71.069999999999993"/>
    <n v="7"/>
    <n v="2487.4499999999998"/>
    <d v="2004-06-24T00:00:00"/>
    <x v="3"/>
    <n v="2"/>
    <x v="9"/>
    <x v="9"/>
    <x v="1"/>
    <x v="4"/>
    <n v="74"/>
    <x v="106"/>
    <x v="23"/>
    <s v="(91) 555 94 44"/>
    <s v="C/ Moralzarzal, 86"/>
    <m/>
    <x v="20"/>
    <m/>
    <n v="28034"/>
    <x v="7"/>
    <x v="1"/>
    <s v="Freyre"/>
    <s v="Diego"/>
    <x v="0"/>
  </r>
  <r>
    <n v="10275"/>
    <n v="31"/>
    <n v="72.55"/>
    <n v="17"/>
    <n v="2249.0500000000002"/>
    <d v="2004-07-23T00:00:00"/>
    <x v="0"/>
    <n v="3"/>
    <x v="2"/>
    <x v="2"/>
    <x v="1"/>
    <x v="4"/>
    <n v="74"/>
    <x v="106"/>
    <x v="14"/>
    <s v="40.67.8555"/>
    <s v="67, rue des Cinquante Otages"/>
    <m/>
    <x v="11"/>
    <m/>
    <n v="44000"/>
    <x v="1"/>
    <x v="1"/>
    <s v="Labrune"/>
    <s v="Janine"/>
    <x v="0"/>
  </r>
  <r>
    <n v="10284"/>
    <n v="32"/>
    <n v="64.41"/>
    <n v="9"/>
    <n v="2061.12"/>
    <d v="2004-08-21T00:00:00"/>
    <x v="0"/>
    <n v="3"/>
    <x v="3"/>
    <x v="3"/>
    <x v="1"/>
    <x v="4"/>
    <n v="74"/>
    <x v="106"/>
    <x v="85"/>
    <s v="+47 2212 1555"/>
    <s v="Drammensveien 126 A, PB 744 Sentrum"/>
    <m/>
    <x v="68"/>
    <m/>
    <s v="N 0106"/>
    <x v="2"/>
    <x v="1"/>
    <s v="Klaeboe"/>
    <s v="Jan"/>
    <x v="0"/>
  </r>
  <r>
    <n v="10296"/>
    <n v="47"/>
    <n v="86.62"/>
    <n v="5"/>
    <n v="4071.14"/>
    <d v="2004-09-15T00:00:00"/>
    <x v="0"/>
    <n v="3"/>
    <x v="10"/>
    <x v="10"/>
    <x v="1"/>
    <x v="4"/>
    <n v="74"/>
    <x v="106"/>
    <x v="89"/>
    <s v="+49 89 61 08 9555"/>
    <s v="Hansastr. 15"/>
    <m/>
    <x v="71"/>
    <m/>
    <n v="80686"/>
    <x v="16"/>
    <x v="1"/>
    <s v="Donnermeyer"/>
    <s v="Michael"/>
    <x v="1"/>
  </r>
  <r>
    <n v="10308"/>
    <n v="39"/>
    <n v="68.11"/>
    <n v="15"/>
    <n v="2656.29"/>
    <d v="2004-10-15T00:00:00"/>
    <x v="0"/>
    <n v="4"/>
    <x v="4"/>
    <x v="4"/>
    <x v="1"/>
    <x v="4"/>
    <n v="74"/>
    <x v="106"/>
    <x v="47"/>
    <n v="9145554562"/>
    <s v="3758 North Pendale Street"/>
    <m/>
    <x v="39"/>
    <s v="NY"/>
    <n v="24067"/>
    <x v="0"/>
    <x v="0"/>
    <s v="Frick"/>
    <s v="Steve"/>
    <x v="0"/>
  </r>
  <r>
    <n v="10316"/>
    <n v="44"/>
    <n v="62.19"/>
    <n v="7"/>
    <n v="2736.36"/>
    <d v="2004-11-01T00:00:00"/>
    <x v="0"/>
    <n v="4"/>
    <x v="5"/>
    <x v="5"/>
    <x v="1"/>
    <x v="4"/>
    <n v="74"/>
    <x v="106"/>
    <x v="59"/>
    <s v="(198) 555-8888"/>
    <s v="Garden House Crowther Way"/>
    <m/>
    <x v="49"/>
    <s v="Isle of Wight"/>
    <s v="PO31 7PJ"/>
    <x v="6"/>
    <x v="1"/>
    <s v="Bennett"/>
    <s v="Helen"/>
    <x v="0"/>
  </r>
  <r>
    <n v="10328"/>
    <n v="39"/>
    <n v="85.87"/>
    <n v="12"/>
    <n v="3348.93"/>
    <d v="2004-11-12T00:00:00"/>
    <x v="0"/>
    <n v="4"/>
    <x v="5"/>
    <x v="5"/>
    <x v="1"/>
    <x v="4"/>
    <n v="74"/>
    <x v="106"/>
    <x v="86"/>
    <s v="035-640555"/>
    <s v="Via Ludovico il Moro 22"/>
    <m/>
    <x v="69"/>
    <m/>
    <n v="24100"/>
    <x v="12"/>
    <x v="1"/>
    <s v="Rovelli"/>
    <s v="Giovanni"/>
    <x v="1"/>
  </r>
  <r>
    <n v="10339"/>
    <n v="50"/>
    <n v="57.86"/>
    <n v="8"/>
    <n v="2893"/>
    <d v="2004-11-23T00:00:00"/>
    <x v="0"/>
    <n v="4"/>
    <x v="5"/>
    <x v="5"/>
    <x v="1"/>
    <x v="4"/>
    <n v="74"/>
    <x v="106"/>
    <x v="35"/>
    <s v="+81 3 3584 0555"/>
    <s v="2-2-8 Roppongi"/>
    <m/>
    <x v="29"/>
    <s v="Tokyo"/>
    <s v="106-0032"/>
    <x v="11"/>
    <x v="3"/>
    <s v="Shimamura"/>
    <s v="Akiko"/>
    <x v="0"/>
  </r>
  <r>
    <n v="10352"/>
    <n v="22"/>
    <n v="75.510000000000005"/>
    <n v="1"/>
    <n v="1661.22"/>
    <d v="2004-12-03T00:00:00"/>
    <x v="0"/>
    <n v="4"/>
    <x v="6"/>
    <x v="6"/>
    <x v="1"/>
    <x v="4"/>
    <n v="74"/>
    <x v="106"/>
    <x v="91"/>
    <n v="6175558428"/>
    <s v="16780 Pompton St."/>
    <m/>
    <x v="35"/>
    <s v="MA"/>
    <n v="58339"/>
    <x v="0"/>
    <x v="0"/>
    <s v="Taylor"/>
    <s v="Leslie"/>
    <x v="0"/>
  </r>
  <r>
    <n v="10361"/>
    <n v="35"/>
    <n v="100"/>
    <n v="11"/>
    <n v="4277.3500000000004"/>
    <d v="2004-12-17T00:00:00"/>
    <x v="0"/>
    <n v="4"/>
    <x v="6"/>
    <x v="6"/>
    <x v="1"/>
    <x v="4"/>
    <n v="74"/>
    <x v="106"/>
    <x v="20"/>
    <s v="+61 2 9495 8555"/>
    <s v="Monitor Money Building, 815 Pacific Hwy"/>
    <s v="Level 6"/>
    <x v="17"/>
    <s v="NSW"/>
    <n v="2067"/>
    <x v="3"/>
    <x v="2"/>
    <s v="Huxley"/>
    <s v="Adrian"/>
    <x v="1"/>
  </r>
  <r>
    <n v="10373"/>
    <n v="45"/>
    <n v="55.62"/>
    <n v="17"/>
    <n v="2502.9"/>
    <d v="2005-01-31T00:00:00"/>
    <x v="0"/>
    <n v="1"/>
    <x v="7"/>
    <x v="7"/>
    <x v="2"/>
    <x v="4"/>
    <n v="74"/>
    <x v="106"/>
    <x v="60"/>
    <s v="981-443655"/>
    <s v="Torikatu 38"/>
    <m/>
    <x v="50"/>
    <m/>
    <n v="90110"/>
    <x v="4"/>
    <x v="1"/>
    <s v="Koskitalo"/>
    <s v="Pirkko"/>
    <x v="0"/>
  </r>
  <r>
    <n v="10386"/>
    <n v="44"/>
    <n v="86.4"/>
    <n v="15"/>
    <n v="3801.6"/>
    <d v="2005-03-01T00:00:00"/>
    <x v="5"/>
    <n v="1"/>
    <x v="11"/>
    <x v="11"/>
    <x v="2"/>
    <x v="4"/>
    <n v="74"/>
    <x v="106"/>
    <x v="23"/>
    <s v="(91) 555 94 44"/>
    <s v="C/ Moralzarzal, 86"/>
    <m/>
    <x v="20"/>
    <m/>
    <n v="28034"/>
    <x v="7"/>
    <x v="1"/>
    <s v="Freyre"/>
    <s v="Diego"/>
    <x v="1"/>
  </r>
  <r>
    <n v="10398"/>
    <n v="36"/>
    <n v="87.36"/>
    <n v="12"/>
    <n v="3144.96"/>
    <d v="2005-03-30T00:00:00"/>
    <x v="0"/>
    <n v="1"/>
    <x v="11"/>
    <x v="11"/>
    <x v="2"/>
    <x v="4"/>
    <n v="74"/>
    <x v="106"/>
    <x v="1"/>
    <s v="26.47.1555"/>
    <s v="59 rue de l'Abbaye"/>
    <m/>
    <x v="1"/>
    <m/>
    <n v="51100"/>
    <x v="1"/>
    <x v="1"/>
    <s v="Henriot"/>
    <s v="Paul"/>
    <x v="1"/>
  </r>
  <r>
    <n v="10401"/>
    <n v="28"/>
    <n v="72.55"/>
    <n v="11"/>
    <n v="2031.4"/>
    <d v="2005-04-03T00:00:00"/>
    <x v="4"/>
    <n v="2"/>
    <x v="8"/>
    <x v="8"/>
    <x v="2"/>
    <x v="4"/>
    <n v="74"/>
    <x v="106"/>
    <x v="12"/>
    <n v="2015559350"/>
    <s v="7476 Moss Rd."/>
    <m/>
    <x v="9"/>
    <s v="NJ"/>
    <n v="94019"/>
    <x v="0"/>
    <x v="0"/>
    <s v="Brown"/>
    <s v="William"/>
    <x v="0"/>
  </r>
  <r>
    <n v="10416"/>
    <n v="43"/>
    <n v="62.19"/>
    <n v="12"/>
    <n v="2674.17"/>
    <d v="2005-05-10T00:00:00"/>
    <x v="0"/>
    <n v="2"/>
    <x v="1"/>
    <x v="1"/>
    <x v="2"/>
    <x v="4"/>
    <n v="74"/>
    <x v="106"/>
    <x v="70"/>
    <s v="0522-556555"/>
    <s v="Strada Provinciale 124"/>
    <m/>
    <x v="57"/>
    <m/>
    <n v="42100"/>
    <x v="12"/>
    <x v="1"/>
    <s v="Moroni"/>
    <s v="Maurizio"/>
    <x v="0"/>
  </r>
  <r>
    <n v="10106"/>
    <n v="48"/>
    <n v="52.64"/>
    <n v="15"/>
    <n v="2526.7199999999998"/>
    <d v="2003-02-17T00:00:00"/>
    <x v="0"/>
    <n v="1"/>
    <x v="0"/>
    <x v="0"/>
    <x v="0"/>
    <x v="4"/>
    <n v="49"/>
    <x v="107"/>
    <x v="86"/>
    <s v="035-640555"/>
    <s v="Via Ludovico il Moro 22"/>
    <m/>
    <x v="69"/>
    <m/>
    <n v="24100"/>
    <x v="12"/>
    <x v="1"/>
    <s v="Rovelli"/>
    <s v="Giovanni"/>
    <x v="0"/>
  </r>
  <r>
    <n v="10119"/>
    <n v="28"/>
    <n v="48.17"/>
    <n v="6"/>
    <n v="1348.76"/>
    <d v="2003-04-28T00:00:00"/>
    <x v="0"/>
    <n v="2"/>
    <x v="8"/>
    <x v="8"/>
    <x v="0"/>
    <x v="4"/>
    <n v="49"/>
    <x v="107"/>
    <x v="19"/>
    <s v="6562-9555"/>
    <s v="Geislweg 14"/>
    <m/>
    <x v="16"/>
    <m/>
    <n v="5020"/>
    <x v="5"/>
    <x v="1"/>
    <s v="Pipps"/>
    <s v="Georg"/>
    <x v="0"/>
  </r>
  <r>
    <n v="10131"/>
    <n v="21"/>
    <n v="41.71"/>
    <n v="7"/>
    <n v="875.91"/>
    <d v="2003-06-16T00:00:00"/>
    <x v="0"/>
    <n v="2"/>
    <x v="9"/>
    <x v="9"/>
    <x v="0"/>
    <x v="4"/>
    <n v="49"/>
    <x v="107"/>
    <x v="88"/>
    <n v="2035554407"/>
    <s v="2440 Pompton St."/>
    <m/>
    <x v="63"/>
    <s v="CT"/>
    <n v="97561"/>
    <x v="0"/>
    <x v="0"/>
    <s v="Lewis"/>
    <s v="Dan"/>
    <x v="0"/>
  </r>
  <r>
    <n v="10143"/>
    <n v="37"/>
    <n v="50.65"/>
    <n v="10"/>
    <n v="1874.05"/>
    <d v="2003-08-10T00:00:00"/>
    <x v="0"/>
    <n v="3"/>
    <x v="3"/>
    <x v="3"/>
    <x v="0"/>
    <x v="4"/>
    <n v="49"/>
    <x v="107"/>
    <x v="50"/>
    <n v="5085559555"/>
    <s v="4575 Hillside Dr."/>
    <m/>
    <x v="18"/>
    <s v="MA"/>
    <n v="50553"/>
    <x v="0"/>
    <x v="0"/>
    <s v="Tam"/>
    <s v="Wing C"/>
    <x v="0"/>
  </r>
  <r>
    <n v="10155"/>
    <n v="34"/>
    <n v="49.16"/>
    <n v="8"/>
    <n v="1671.44"/>
    <d v="2003-10-06T00:00:00"/>
    <x v="0"/>
    <n v="4"/>
    <x v="4"/>
    <x v="4"/>
    <x v="0"/>
    <x v="4"/>
    <n v="49"/>
    <x v="107"/>
    <x v="16"/>
    <s v="90-224 8555"/>
    <s v="Keskuskatu 45"/>
    <m/>
    <x v="13"/>
    <m/>
    <n v="21240"/>
    <x v="4"/>
    <x v="1"/>
    <s v="Karttunen"/>
    <s v="Matti"/>
    <x v="0"/>
  </r>
  <r>
    <n v="10167"/>
    <n v="40"/>
    <n v="41.71"/>
    <n v="4"/>
    <n v="1668.4"/>
    <d v="2003-10-23T00:00:00"/>
    <x v="3"/>
    <n v="4"/>
    <x v="4"/>
    <x v="4"/>
    <x v="0"/>
    <x v="4"/>
    <n v="49"/>
    <x v="107"/>
    <x v="37"/>
    <s v="0695-34 6555"/>
    <s v="?kergatan 24"/>
    <m/>
    <x v="31"/>
    <m/>
    <s v="S-844 67"/>
    <x v="8"/>
    <x v="1"/>
    <s v="Larsson"/>
    <s v="Maria"/>
    <x v="0"/>
  </r>
  <r>
    <n v="10178"/>
    <n v="45"/>
    <n v="51.15"/>
    <n v="7"/>
    <n v="2301.75"/>
    <d v="2003-11-08T00:00:00"/>
    <x v="0"/>
    <n v="4"/>
    <x v="5"/>
    <x v="5"/>
    <x v="0"/>
    <x v="4"/>
    <n v="49"/>
    <x v="107"/>
    <x v="51"/>
    <s v="61.77.6555"/>
    <s v="1 rue Alsace-Lorraine"/>
    <m/>
    <x v="42"/>
    <m/>
    <n v="31000"/>
    <x v="1"/>
    <x v="1"/>
    <s v="Roulet"/>
    <s v="Annette"/>
    <x v="0"/>
  </r>
  <r>
    <n v="10186"/>
    <n v="28"/>
    <n v="52.14"/>
    <n v="4"/>
    <n v="1459.92"/>
    <d v="2003-11-14T00:00:00"/>
    <x v="0"/>
    <n v="4"/>
    <x v="5"/>
    <x v="5"/>
    <x v="0"/>
    <x v="4"/>
    <n v="49"/>
    <x v="107"/>
    <x v="52"/>
    <s v="(171) 555-7555"/>
    <s v="120 Hanover Sq."/>
    <m/>
    <x v="41"/>
    <m/>
    <s v="WA1 1DP"/>
    <x v="6"/>
    <x v="1"/>
    <s v="Hardy"/>
    <s v="Thomas"/>
    <x v="0"/>
  </r>
  <r>
    <n v="10197"/>
    <n v="29"/>
    <n v="41.71"/>
    <n v="1"/>
    <n v="1209.5899999999999"/>
    <d v="2003-11-26T00:00:00"/>
    <x v="0"/>
    <n v="4"/>
    <x v="5"/>
    <x v="5"/>
    <x v="0"/>
    <x v="4"/>
    <n v="49"/>
    <x v="107"/>
    <x v="53"/>
    <s v="(93) 203 4555"/>
    <s v="Rambla de Catalu¤a, 23"/>
    <m/>
    <x v="43"/>
    <m/>
    <n v="8022"/>
    <x v="7"/>
    <x v="1"/>
    <s v="Saavedra"/>
    <s v="Eduardo"/>
    <x v="0"/>
  </r>
  <r>
    <n v="10209"/>
    <n v="48"/>
    <n v="44.69"/>
    <n v="3"/>
    <n v="2145.12"/>
    <d v="2004-01-09T00:00:00"/>
    <x v="0"/>
    <n v="1"/>
    <x v="7"/>
    <x v="7"/>
    <x v="1"/>
    <x v="4"/>
    <n v="49"/>
    <x v="107"/>
    <x v="54"/>
    <n v="2155554369"/>
    <s v="6047 Douglas Av."/>
    <m/>
    <x v="44"/>
    <s v="CA"/>
    <m/>
    <x v="0"/>
    <x v="0"/>
    <s v="Chandler"/>
    <s v="Michael"/>
    <x v="0"/>
  </r>
  <r>
    <n v="10222"/>
    <n v="31"/>
    <n v="45.69"/>
    <n v="7"/>
    <n v="1416.39"/>
    <d v="2004-02-19T00:00:00"/>
    <x v="0"/>
    <n v="1"/>
    <x v="0"/>
    <x v="0"/>
    <x v="1"/>
    <x v="4"/>
    <n v="49"/>
    <x v="107"/>
    <x v="55"/>
    <n v="7605558146"/>
    <s v="361 Furth Circle"/>
    <m/>
    <x v="45"/>
    <s v="CA"/>
    <n v="91217"/>
    <x v="0"/>
    <x v="0"/>
    <s v="Thompson"/>
    <s v="Valarie"/>
    <x v="0"/>
  </r>
  <r>
    <n v="10249"/>
    <n v="32"/>
    <n v="57.61"/>
    <n v="3"/>
    <n v="1843.52"/>
    <d v="2004-05-08T00:00:00"/>
    <x v="0"/>
    <n v="2"/>
    <x v="1"/>
    <x v="1"/>
    <x v="1"/>
    <x v="4"/>
    <n v="49"/>
    <x v="107"/>
    <x v="33"/>
    <n v="6175555555"/>
    <s v="4658 Baden Av."/>
    <m/>
    <x v="12"/>
    <s v="MA"/>
    <n v="51247"/>
    <x v="0"/>
    <x v="0"/>
    <s v="Tseng"/>
    <s v="Kyung"/>
    <x v="0"/>
  </r>
  <r>
    <n v="10262"/>
    <n v="21"/>
    <n v="57.11"/>
    <n v="12"/>
    <n v="1199.31"/>
    <d v="2004-06-24T00:00:00"/>
    <x v="3"/>
    <n v="2"/>
    <x v="9"/>
    <x v="9"/>
    <x v="1"/>
    <x v="4"/>
    <n v="49"/>
    <x v="107"/>
    <x v="23"/>
    <s v="(91) 555 94 44"/>
    <s v="C/ Moralzarzal, 86"/>
    <m/>
    <x v="20"/>
    <m/>
    <n v="28034"/>
    <x v="7"/>
    <x v="1"/>
    <s v="Freyre"/>
    <s v="Diego"/>
    <x v="0"/>
  </r>
  <r>
    <n v="10274"/>
    <n v="32"/>
    <n v="58.6"/>
    <n v="4"/>
    <n v="1875.2"/>
    <d v="2004-07-21T00:00:00"/>
    <x v="0"/>
    <n v="3"/>
    <x v="2"/>
    <x v="2"/>
    <x v="1"/>
    <x v="4"/>
    <n v="49"/>
    <x v="107"/>
    <x v="41"/>
    <n v="6175558555"/>
    <s v="7825 Douglas Av."/>
    <m/>
    <x v="35"/>
    <s v="MA"/>
    <n v="58339"/>
    <x v="0"/>
    <x v="0"/>
    <s v="Nelson"/>
    <s v="Allen"/>
    <x v="0"/>
  </r>
  <r>
    <n v="10283"/>
    <n v="43"/>
    <n v="57.61"/>
    <n v="1"/>
    <n v="2477.23"/>
    <d v="2004-08-20T00:00:00"/>
    <x v="0"/>
    <n v="3"/>
    <x v="3"/>
    <x v="3"/>
    <x v="1"/>
    <x v="4"/>
    <n v="49"/>
    <x v="107"/>
    <x v="57"/>
    <s v="(604) 555-4555"/>
    <s v="23 Tsawassen Blvd."/>
    <m/>
    <x v="47"/>
    <s v="BC"/>
    <s v="T2F 8M4"/>
    <x v="10"/>
    <x v="0"/>
    <s v="Lincoln"/>
    <s v="Elizabeth"/>
    <x v="0"/>
  </r>
  <r>
    <n v="10296"/>
    <n v="21"/>
    <n v="45.19"/>
    <n v="10"/>
    <n v="948.99"/>
    <d v="2004-09-15T00:00:00"/>
    <x v="0"/>
    <n v="3"/>
    <x v="10"/>
    <x v="10"/>
    <x v="1"/>
    <x v="4"/>
    <n v="49"/>
    <x v="107"/>
    <x v="89"/>
    <s v="+49 89 61 08 9555"/>
    <s v="Hansastr. 15"/>
    <m/>
    <x v="71"/>
    <m/>
    <n v="80686"/>
    <x v="16"/>
    <x v="1"/>
    <s v="Donnermeyer"/>
    <s v="Michael"/>
    <x v="0"/>
  </r>
  <r>
    <n v="10307"/>
    <n v="34"/>
    <n v="53.63"/>
    <n v="4"/>
    <n v="1823.42"/>
    <d v="2004-10-14T00:00:00"/>
    <x v="0"/>
    <n v="4"/>
    <x v="4"/>
    <x v="4"/>
    <x v="1"/>
    <x v="4"/>
    <n v="49"/>
    <x v="107"/>
    <x v="29"/>
    <n v="2155554695"/>
    <s v="782 First Street"/>
    <m/>
    <x v="24"/>
    <s v="PA"/>
    <n v="71270"/>
    <x v="0"/>
    <x v="0"/>
    <s v="Cervantes"/>
    <s v="Francisca"/>
    <x v="0"/>
  </r>
  <r>
    <n v="10316"/>
    <n v="34"/>
    <n v="43.7"/>
    <n v="12"/>
    <n v="1485.8"/>
    <d v="2004-11-01T00:00:00"/>
    <x v="0"/>
    <n v="4"/>
    <x v="5"/>
    <x v="5"/>
    <x v="1"/>
    <x v="4"/>
    <n v="49"/>
    <x v="107"/>
    <x v="59"/>
    <s v="(198) 555-8888"/>
    <s v="Garden House Crowther Way"/>
    <m/>
    <x v="49"/>
    <s v="Isle of Wight"/>
    <s v="PO31 7PJ"/>
    <x v="6"/>
    <x v="1"/>
    <s v="Bennett"/>
    <s v="Helen"/>
    <x v="0"/>
  </r>
  <r>
    <n v="10329"/>
    <n v="44"/>
    <n v="86.13"/>
    <n v="8"/>
    <n v="3789.72"/>
    <d v="2004-11-15T00:00:00"/>
    <x v="0"/>
    <n v="4"/>
    <x v="5"/>
    <x v="5"/>
    <x v="1"/>
    <x v="4"/>
    <n v="49"/>
    <x v="107"/>
    <x v="0"/>
    <n v="2125557818"/>
    <s v="897 Long Airport Avenue"/>
    <m/>
    <x v="0"/>
    <s v="NY"/>
    <n v="10022"/>
    <x v="0"/>
    <x v="0"/>
    <s v="Yu"/>
    <s v="Kwai"/>
    <x v="1"/>
  </r>
  <r>
    <n v="10339"/>
    <n v="27"/>
    <n v="76.31"/>
    <n v="6"/>
    <n v="2060.37"/>
    <d v="2004-11-23T00:00:00"/>
    <x v="0"/>
    <n v="4"/>
    <x v="5"/>
    <x v="5"/>
    <x v="1"/>
    <x v="4"/>
    <n v="49"/>
    <x v="107"/>
    <x v="35"/>
    <s v="+81 3 3584 0555"/>
    <s v="2-2-8 Roppongi"/>
    <m/>
    <x v="29"/>
    <s v="Tokyo"/>
    <s v="106-0032"/>
    <x v="11"/>
    <x v="3"/>
    <s v="Shimamura"/>
    <s v="Akiko"/>
    <x v="0"/>
  </r>
  <r>
    <n v="10352"/>
    <n v="49"/>
    <n v="52.64"/>
    <n v="4"/>
    <n v="2579.36"/>
    <d v="2004-12-03T00:00:00"/>
    <x v="0"/>
    <n v="4"/>
    <x v="6"/>
    <x v="6"/>
    <x v="1"/>
    <x v="4"/>
    <n v="49"/>
    <x v="107"/>
    <x v="91"/>
    <n v="6175558428"/>
    <s v="16780 Pompton St."/>
    <m/>
    <x v="35"/>
    <s v="MA"/>
    <n v="58339"/>
    <x v="0"/>
    <x v="0"/>
    <s v="Taylor"/>
    <s v="Leslie"/>
    <x v="0"/>
  </r>
  <r>
    <n v="10361"/>
    <n v="23"/>
    <n v="95.2"/>
    <n v="12"/>
    <n v="2189.6"/>
    <d v="2004-12-17T00:00:00"/>
    <x v="0"/>
    <n v="4"/>
    <x v="6"/>
    <x v="6"/>
    <x v="1"/>
    <x v="4"/>
    <n v="49"/>
    <x v="107"/>
    <x v="20"/>
    <s v="+61 2 9495 8555"/>
    <s v="Monitor Money Building, 815 Pacific Hwy"/>
    <s v="Level 6"/>
    <x v="17"/>
    <s v="NSW"/>
    <n v="2067"/>
    <x v="3"/>
    <x v="2"/>
    <s v="Huxley"/>
    <s v="Adrian"/>
    <x v="0"/>
  </r>
  <r>
    <n v="10373"/>
    <n v="25"/>
    <n v="64.97"/>
    <n v="9"/>
    <n v="1624.25"/>
    <d v="2005-01-31T00:00:00"/>
    <x v="0"/>
    <n v="1"/>
    <x v="7"/>
    <x v="7"/>
    <x v="2"/>
    <x v="4"/>
    <n v="49"/>
    <x v="107"/>
    <x v="60"/>
    <s v="981-443655"/>
    <s v="Torikatu 38"/>
    <m/>
    <x v="50"/>
    <m/>
    <n v="90110"/>
    <x v="4"/>
    <x v="1"/>
    <s v="Koskitalo"/>
    <s v="Pirkko"/>
    <x v="0"/>
  </r>
  <r>
    <n v="10386"/>
    <n v="50"/>
    <n v="87.15"/>
    <n v="16"/>
    <n v="4357.5"/>
    <d v="2005-03-01T00:00:00"/>
    <x v="5"/>
    <n v="1"/>
    <x v="11"/>
    <x v="11"/>
    <x v="2"/>
    <x v="4"/>
    <n v="49"/>
    <x v="107"/>
    <x v="23"/>
    <s v="(91) 555 94 44"/>
    <s v="C/ Moralzarzal, 86"/>
    <m/>
    <x v="20"/>
    <m/>
    <n v="28034"/>
    <x v="7"/>
    <x v="1"/>
    <s v="Freyre"/>
    <s v="Diego"/>
    <x v="1"/>
  </r>
  <r>
    <n v="10398"/>
    <n v="34"/>
    <n v="40.22"/>
    <n v="1"/>
    <n v="1367.48"/>
    <d v="2005-03-30T00:00:00"/>
    <x v="0"/>
    <n v="1"/>
    <x v="11"/>
    <x v="11"/>
    <x v="2"/>
    <x v="4"/>
    <n v="49"/>
    <x v="107"/>
    <x v="1"/>
    <s v="26.47.1555"/>
    <s v="59 rue de l'Abbaye"/>
    <m/>
    <x v="1"/>
    <m/>
    <n v="51100"/>
    <x v="1"/>
    <x v="1"/>
    <s v="Henriot"/>
    <s v="Paul"/>
    <x v="0"/>
  </r>
  <r>
    <n v="10400"/>
    <n v="20"/>
    <n v="56.12"/>
    <n v="4"/>
    <n v="1122.4000000000001"/>
    <d v="2005-04-01T00:00:00"/>
    <x v="0"/>
    <n v="2"/>
    <x v="8"/>
    <x v="8"/>
    <x v="2"/>
    <x v="4"/>
    <n v="49"/>
    <x v="107"/>
    <x v="61"/>
    <n v="4085553659"/>
    <s v="3086 Ingle Ln."/>
    <m/>
    <x v="51"/>
    <s v="CA"/>
    <n v="94217"/>
    <x v="0"/>
    <x v="0"/>
    <s v="Frick"/>
    <s v="Sue"/>
    <x v="0"/>
  </r>
  <r>
    <n v="10415"/>
    <n v="42"/>
    <n v="57.61"/>
    <n v="3"/>
    <n v="2419.62"/>
    <d v="2005-05-09T00:00:00"/>
    <x v="1"/>
    <n v="2"/>
    <x v="1"/>
    <x v="1"/>
    <x v="2"/>
    <x v="4"/>
    <n v="49"/>
    <x v="107"/>
    <x v="87"/>
    <s v="61-9-3844-6555"/>
    <s v="7 Allen Street"/>
    <m/>
    <x v="70"/>
    <s v="Victoria"/>
    <n v="3150"/>
    <x v="3"/>
    <x v="2"/>
    <s v="Connery"/>
    <s v="Sean"/>
    <x v="0"/>
  </r>
  <r>
    <n v="10105"/>
    <n v="25"/>
    <n v="56.78"/>
    <n v="8"/>
    <n v="1419.5"/>
    <d v="2003-02-11T00:00:00"/>
    <x v="0"/>
    <n v="1"/>
    <x v="0"/>
    <x v="0"/>
    <x v="0"/>
    <x v="5"/>
    <n v="54"/>
    <x v="108"/>
    <x v="48"/>
    <s v="31 12 3555"/>
    <s v="Vinb'ltet 34"/>
    <m/>
    <x v="40"/>
    <m/>
    <n v="1734"/>
    <x v="13"/>
    <x v="1"/>
    <s v="Petersen"/>
    <s v="Jytte"/>
    <x v="0"/>
  </r>
  <r>
    <n v="10117"/>
    <n v="50"/>
    <n v="43.68"/>
    <n v="2"/>
    <n v="2184"/>
    <d v="2003-04-16T00:00:00"/>
    <x v="0"/>
    <n v="2"/>
    <x v="8"/>
    <x v="8"/>
    <x v="0"/>
    <x v="5"/>
    <n v="54"/>
    <x v="108"/>
    <x v="26"/>
    <s v="+65 221 7555"/>
    <s v="Bronz Sok., Bronz Apt. 3/6 Tesvikiye"/>
    <m/>
    <x v="22"/>
    <m/>
    <n v="79903"/>
    <x v="9"/>
    <x v="3"/>
    <s v="Natividad"/>
    <s v="Eric"/>
    <x v="0"/>
  </r>
  <r>
    <n v="10129"/>
    <n v="32"/>
    <n v="64.97"/>
    <n v="8"/>
    <n v="2079.04"/>
    <d v="2003-06-12T00:00:00"/>
    <x v="0"/>
    <n v="2"/>
    <x v="9"/>
    <x v="9"/>
    <x v="0"/>
    <x v="5"/>
    <n v="54"/>
    <x v="108"/>
    <x v="49"/>
    <s v="(171) 555-0297"/>
    <s v="35 King George"/>
    <m/>
    <x v="41"/>
    <m/>
    <s v="WX3 6FW"/>
    <x v="6"/>
    <x v="1"/>
    <s v="Brown"/>
    <s v="Ann"/>
    <x v="0"/>
  </r>
  <r>
    <n v="10142"/>
    <n v="39"/>
    <n v="44.23"/>
    <n v="5"/>
    <n v="1724.97"/>
    <d v="2003-08-08T00:00:00"/>
    <x v="0"/>
    <n v="3"/>
    <x v="3"/>
    <x v="3"/>
    <x v="0"/>
    <x v="5"/>
    <n v="54"/>
    <x v="108"/>
    <x v="39"/>
    <n v="4155551450"/>
    <s v="5677 Strong St."/>
    <m/>
    <x v="33"/>
    <s v="CA"/>
    <n v="97562"/>
    <x v="0"/>
    <x v="0"/>
    <s v="Nelson"/>
    <s v="Valarie"/>
    <x v="0"/>
  </r>
  <r>
    <n v="10153"/>
    <n v="50"/>
    <n v="60.06"/>
    <n v="4"/>
    <n v="3003"/>
    <d v="2003-09-28T00:00:00"/>
    <x v="0"/>
    <n v="3"/>
    <x v="10"/>
    <x v="10"/>
    <x v="0"/>
    <x v="5"/>
    <n v="54"/>
    <x v="108"/>
    <x v="23"/>
    <s v="(91) 555 94 44"/>
    <s v="C/ Moralzarzal, 86"/>
    <m/>
    <x v="20"/>
    <m/>
    <n v="28034"/>
    <x v="7"/>
    <x v="1"/>
    <s v="Freyre"/>
    <s v="Diego"/>
    <x v="1"/>
  </r>
  <r>
    <n v="10167"/>
    <n v="38"/>
    <n v="48.59"/>
    <n v="15"/>
    <n v="1846.42"/>
    <d v="2003-10-23T00:00:00"/>
    <x v="3"/>
    <n v="4"/>
    <x v="4"/>
    <x v="4"/>
    <x v="0"/>
    <x v="5"/>
    <n v="54"/>
    <x v="108"/>
    <x v="37"/>
    <s v="0695-34 6555"/>
    <s v="?kergatan 24"/>
    <m/>
    <x v="31"/>
    <m/>
    <s v="S-844 67"/>
    <x v="8"/>
    <x v="1"/>
    <s v="Larsson"/>
    <s v="Maria"/>
    <x v="0"/>
  </r>
  <r>
    <n v="10177"/>
    <n v="40"/>
    <n v="50.23"/>
    <n v="6"/>
    <n v="2009.2"/>
    <d v="2003-11-07T00:00:00"/>
    <x v="0"/>
    <n v="4"/>
    <x v="5"/>
    <x v="5"/>
    <x v="0"/>
    <x v="5"/>
    <n v="54"/>
    <x v="108"/>
    <x v="76"/>
    <s v="+34 913 728 555"/>
    <s v="Merchants House, 27-30 Merchant's Quay"/>
    <m/>
    <x v="20"/>
    <m/>
    <n v="28023"/>
    <x v="7"/>
    <x v="1"/>
    <s v="Fernandez"/>
    <s v="Jesus"/>
    <x v="0"/>
  </r>
  <r>
    <n v="10185"/>
    <n v="28"/>
    <n v="64.430000000000007"/>
    <n v="6"/>
    <n v="1804.04"/>
    <d v="2003-11-14T00:00:00"/>
    <x v="0"/>
    <n v="4"/>
    <x v="5"/>
    <x v="5"/>
    <x v="0"/>
    <x v="5"/>
    <n v="54"/>
    <x v="108"/>
    <x v="50"/>
    <n v="5085559555"/>
    <s v="4575 Hillside Dr."/>
    <m/>
    <x v="18"/>
    <s v="MA"/>
    <n v="50553"/>
    <x v="0"/>
    <x v="0"/>
    <s v="Tam"/>
    <s v="Wing C"/>
    <x v="0"/>
  </r>
  <r>
    <n v="10197"/>
    <n v="42"/>
    <n v="50.23"/>
    <n v="12"/>
    <n v="2109.66"/>
    <d v="2003-11-26T00:00:00"/>
    <x v="0"/>
    <n v="4"/>
    <x v="5"/>
    <x v="5"/>
    <x v="0"/>
    <x v="5"/>
    <n v="54"/>
    <x v="108"/>
    <x v="53"/>
    <s v="(93) 203 4555"/>
    <s v="Rambla de Catalu¤a, 23"/>
    <m/>
    <x v="43"/>
    <m/>
    <n v="8022"/>
    <x v="7"/>
    <x v="1"/>
    <s v="Saavedra"/>
    <s v="Eduardo"/>
    <x v="0"/>
  </r>
  <r>
    <n v="10208"/>
    <n v="42"/>
    <n v="63.88"/>
    <n v="6"/>
    <n v="2682.96"/>
    <d v="2004-01-02T00:00:00"/>
    <x v="0"/>
    <n v="1"/>
    <x v="7"/>
    <x v="7"/>
    <x v="1"/>
    <x v="5"/>
    <n v="54"/>
    <x v="108"/>
    <x v="30"/>
    <s v="78.32.5555"/>
    <s v="2, rue du Commerce"/>
    <m/>
    <x v="25"/>
    <m/>
    <n v="69004"/>
    <x v="1"/>
    <x v="1"/>
    <s v="Saveley"/>
    <s v="Mary"/>
    <x v="0"/>
  </r>
  <r>
    <n v="10222"/>
    <n v="36"/>
    <n v="63.34"/>
    <n v="18"/>
    <n v="2280.2399999999998"/>
    <d v="2004-02-19T00:00:00"/>
    <x v="0"/>
    <n v="1"/>
    <x v="0"/>
    <x v="0"/>
    <x v="1"/>
    <x v="5"/>
    <n v="54"/>
    <x v="108"/>
    <x v="55"/>
    <n v="7605558146"/>
    <s v="361 Furth Circle"/>
    <m/>
    <x v="45"/>
    <s v="CA"/>
    <n v="91217"/>
    <x v="0"/>
    <x v="0"/>
    <s v="Thompson"/>
    <s v="Valarie"/>
    <x v="0"/>
  </r>
  <r>
    <n v="10232"/>
    <n v="24"/>
    <n v="49.69"/>
    <n v="3"/>
    <n v="1192.56"/>
    <d v="2004-03-20T00:00:00"/>
    <x v="0"/>
    <n v="1"/>
    <x v="11"/>
    <x v="11"/>
    <x v="1"/>
    <x v="5"/>
    <n v="54"/>
    <x v="108"/>
    <x v="59"/>
    <s v="(198) 555-8888"/>
    <s v="Garden House Crowther Way"/>
    <m/>
    <x v="49"/>
    <s v="Isle of Wight"/>
    <s v="PO31 7PJ"/>
    <x v="6"/>
    <x v="1"/>
    <s v="Bennett"/>
    <s v="Helen"/>
    <x v="0"/>
  </r>
  <r>
    <n v="10248"/>
    <n v="23"/>
    <n v="65.52"/>
    <n v="9"/>
    <n v="1506.96"/>
    <d v="2004-05-07T00:00:00"/>
    <x v="3"/>
    <n v="2"/>
    <x v="1"/>
    <x v="1"/>
    <x v="1"/>
    <x v="5"/>
    <n v="54"/>
    <x v="108"/>
    <x v="0"/>
    <n v="2125557818"/>
    <s v="897 Long Airport Avenue"/>
    <m/>
    <x v="0"/>
    <s v="NY"/>
    <n v="10022"/>
    <x v="0"/>
    <x v="0"/>
    <s v="Yu"/>
    <s v="Kwai"/>
    <x v="0"/>
  </r>
  <r>
    <n v="10261"/>
    <n v="29"/>
    <n v="50.78"/>
    <n v="7"/>
    <n v="1472.62"/>
    <d v="2004-06-17T00:00:00"/>
    <x v="0"/>
    <n v="2"/>
    <x v="9"/>
    <x v="9"/>
    <x v="1"/>
    <x v="5"/>
    <n v="54"/>
    <x v="108"/>
    <x v="43"/>
    <s v="(514) 555-8054"/>
    <s v="43 rue St. Laurent"/>
    <m/>
    <x v="37"/>
    <s v="Quebec"/>
    <s v="H1J 1C3"/>
    <x v="10"/>
    <x v="0"/>
    <s v="Fresnisre"/>
    <s v="Jean"/>
    <x v="0"/>
  </r>
  <r>
    <n v="10273"/>
    <n v="37"/>
    <n v="45.86"/>
    <n v="10"/>
    <n v="1696.82"/>
    <d v="2004-07-21T00:00:00"/>
    <x v="0"/>
    <n v="3"/>
    <x v="2"/>
    <x v="2"/>
    <x v="1"/>
    <x v="5"/>
    <n v="54"/>
    <x v="108"/>
    <x v="56"/>
    <s v="(02) 5554 67"/>
    <s v="Rue Joseph-Bens 532"/>
    <m/>
    <x v="46"/>
    <m/>
    <s v="B-1180"/>
    <x v="14"/>
    <x v="1"/>
    <s v="Dewey"/>
    <s v="Catherine"/>
    <x v="0"/>
  </r>
  <r>
    <n v="10283"/>
    <n v="33"/>
    <n v="51.32"/>
    <n v="12"/>
    <n v="1693.56"/>
    <d v="2004-08-20T00:00:00"/>
    <x v="0"/>
    <n v="3"/>
    <x v="3"/>
    <x v="3"/>
    <x v="1"/>
    <x v="5"/>
    <n v="54"/>
    <x v="108"/>
    <x v="57"/>
    <s v="(604) 555-4555"/>
    <s v="23 Tsawassen Blvd."/>
    <m/>
    <x v="47"/>
    <s v="BC"/>
    <s v="T2F 8M4"/>
    <x v="10"/>
    <x v="0"/>
    <s v="Lincoln"/>
    <s v="Elizabeth"/>
    <x v="0"/>
  </r>
  <r>
    <n v="10293"/>
    <n v="32"/>
    <n v="60.06"/>
    <n v="1"/>
    <n v="1921.92"/>
    <d v="2004-09-09T00:00:00"/>
    <x v="0"/>
    <n v="3"/>
    <x v="10"/>
    <x v="10"/>
    <x v="1"/>
    <x v="5"/>
    <n v="54"/>
    <x v="108"/>
    <x v="36"/>
    <s v="011-4988555"/>
    <s v="Via Monte Bianco 34"/>
    <m/>
    <x v="30"/>
    <m/>
    <n v="10100"/>
    <x v="12"/>
    <x v="1"/>
    <s v="Accorti"/>
    <s v="Paolo"/>
    <x v="0"/>
  </r>
  <r>
    <n v="10306"/>
    <n v="35"/>
    <n v="59.51"/>
    <n v="6"/>
    <n v="2082.85"/>
    <d v="2004-10-14T00:00:00"/>
    <x v="0"/>
    <n v="4"/>
    <x v="4"/>
    <x v="4"/>
    <x v="1"/>
    <x v="5"/>
    <n v="54"/>
    <x v="108"/>
    <x v="77"/>
    <s v="(171) 555-1555"/>
    <s v="Fauntleroy Circus"/>
    <m/>
    <x v="61"/>
    <m/>
    <s v="EC2 5NT"/>
    <x v="6"/>
    <x v="1"/>
    <s v="Ashworth"/>
    <s v="Victoria"/>
    <x v="0"/>
  </r>
  <r>
    <n v="10315"/>
    <n v="40"/>
    <n v="55.69"/>
    <n v="5"/>
    <n v="2227.6"/>
    <d v="2004-10-29T00:00:00"/>
    <x v="0"/>
    <n v="4"/>
    <x v="4"/>
    <x v="4"/>
    <x v="1"/>
    <x v="5"/>
    <n v="54"/>
    <x v="108"/>
    <x v="14"/>
    <s v="40.67.8555"/>
    <s v="67, rue des Cinquante Otages"/>
    <m/>
    <x v="11"/>
    <m/>
    <n v="44000"/>
    <x v="1"/>
    <x v="1"/>
    <s v="Labrune"/>
    <s v="Janine"/>
    <x v="0"/>
  </r>
  <r>
    <n v="10327"/>
    <n v="37"/>
    <n v="86.74"/>
    <n v="4"/>
    <n v="3209.38"/>
    <d v="2004-11-10T00:00:00"/>
    <x v="5"/>
    <n v="4"/>
    <x v="5"/>
    <x v="5"/>
    <x v="1"/>
    <x v="5"/>
    <n v="54"/>
    <x v="108"/>
    <x v="48"/>
    <s v="31 12 3555"/>
    <s v="Vinb'ltet 34"/>
    <m/>
    <x v="40"/>
    <m/>
    <n v="1734"/>
    <x v="13"/>
    <x v="1"/>
    <s v="Petersen"/>
    <s v="Jytte"/>
    <x v="1"/>
  </r>
  <r>
    <n v="10337"/>
    <n v="42"/>
    <n v="97.16"/>
    <n v="5"/>
    <n v="4080.72"/>
    <d v="2004-11-21T00:00:00"/>
    <x v="0"/>
    <n v="4"/>
    <x v="5"/>
    <x v="5"/>
    <x v="1"/>
    <x v="5"/>
    <n v="54"/>
    <x v="108"/>
    <x v="27"/>
    <n v="2125558493"/>
    <s v="5905 Pompton St."/>
    <s v="Suite 750"/>
    <x v="0"/>
    <s v="NY"/>
    <n v="10022"/>
    <x v="0"/>
    <x v="0"/>
    <s v="Hernandez"/>
    <s v="Maria"/>
    <x v="1"/>
  </r>
  <r>
    <n v="10350"/>
    <n v="20"/>
    <n v="100"/>
    <n v="15"/>
    <n v="2244.4"/>
    <d v="2004-12-02T00:00:00"/>
    <x v="0"/>
    <n v="4"/>
    <x v="6"/>
    <x v="6"/>
    <x v="1"/>
    <x v="5"/>
    <n v="54"/>
    <x v="108"/>
    <x v="23"/>
    <s v="(91) 555 94 44"/>
    <s v="C/ Moralzarzal, 86"/>
    <m/>
    <x v="20"/>
    <m/>
    <n v="28034"/>
    <x v="7"/>
    <x v="1"/>
    <s v="Freyre"/>
    <s v="Diego"/>
    <x v="0"/>
  </r>
  <r>
    <n v="10373"/>
    <n v="29"/>
    <n v="100"/>
    <n v="1"/>
    <n v="3978.51"/>
    <d v="2005-01-31T00:00:00"/>
    <x v="0"/>
    <n v="1"/>
    <x v="7"/>
    <x v="7"/>
    <x v="2"/>
    <x v="5"/>
    <n v="54"/>
    <x v="108"/>
    <x v="60"/>
    <s v="981-443655"/>
    <s v="Torikatu 38"/>
    <m/>
    <x v="50"/>
    <m/>
    <n v="90110"/>
    <x v="4"/>
    <x v="1"/>
    <s v="Koskitalo"/>
    <s v="Pirkko"/>
    <x v="1"/>
  </r>
  <r>
    <n v="10386"/>
    <n v="43"/>
    <n v="100"/>
    <n v="4"/>
    <n v="5417.57"/>
    <d v="2005-03-01T00:00:00"/>
    <x v="5"/>
    <n v="1"/>
    <x v="11"/>
    <x v="11"/>
    <x v="2"/>
    <x v="5"/>
    <n v="54"/>
    <x v="108"/>
    <x v="23"/>
    <s v="(91) 555 94 44"/>
    <s v="C/ Moralzarzal, 86"/>
    <m/>
    <x v="20"/>
    <m/>
    <n v="28034"/>
    <x v="7"/>
    <x v="1"/>
    <s v="Freyre"/>
    <s v="Diego"/>
    <x v="1"/>
  </r>
  <r>
    <n v="10397"/>
    <n v="34"/>
    <n v="62.24"/>
    <n v="1"/>
    <n v="2116.16"/>
    <d v="2005-03-28T00:00:00"/>
    <x v="0"/>
    <n v="1"/>
    <x v="11"/>
    <x v="11"/>
    <x v="2"/>
    <x v="5"/>
    <n v="54"/>
    <x v="108"/>
    <x v="51"/>
    <s v="61.77.6555"/>
    <s v="1 rue Alsace-Lorraine"/>
    <m/>
    <x v="42"/>
    <m/>
    <n v="31000"/>
    <x v="1"/>
    <x v="1"/>
    <s v="Roulet"/>
    <s v="Annette"/>
    <x v="0"/>
  </r>
  <r>
    <n v="10414"/>
    <n v="47"/>
    <n v="65.52"/>
    <n v="9"/>
    <n v="3079.44"/>
    <d v="2005-05-06T00:00:00"/>
    <x v="4"/>
    <n v="2"/>
    <x v="1"/>
    <x v="1"/>
    <x v="2"/>
    <x v="5"/>
    <n v="54"/>
    <x v="108"/>
    <x v="58"/>
    <n v="6175559555"/>
    <s v="8616 Spinnaker Dr."/>
    <m/>
    <x v="48"/>
    <s v="MA"/>
    <n v="51003"/>
    <x v="0"/>
    <x v="0"/>
    <s v="Yoshido"/>
    <s v="Juri"/>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F34375-FB44-4B91-A010-8CB05A0E13B1}" name="PivotTable6"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8" rowHeaderCaption="Month">
  <location ref="A2:H15" firstHeaderRow="1" firstDataRow="2" firstDataCol="1"/>
  <pivotFields count="26">
    <pivotField showAll="0"/>
    <pivotField showAll="0"/>
    <pivotField showAll="0"/>
    <pivotField showAll="0"/>
    <pivotField dataField="1" showAll="0"/>
    <pivotField numFmtId="22" showAll="0"/>
    <pivotField showAll="0"/>
    <pivotField showAll="0"/>
    <pivotField showAll="0">
      <items count="13">
        <item x="7"/>
        <item x="0"/>
        <item x="11"/>
        <item x="8"/>
        <item x="1"/>
        <item x="9"/>
        <item x="2"/>
        <item x="3"/>
        <item x="10"/>
        <item x="4"/>
        <item x="5"/>
        <item x="6"/>
        <item t="default"/>
      </items>
    </pivotField>
    <pivotField axis="axisRow" showAll="0">
      <items count="13">
        <item x="7"/>
        <item x="0"/>
        <item x="11"/>
        <item x="8"/>
        <item x="1"/>
        <item x="9"/>
        <item x="2"/>
        <item x="3"/>
        <item x="10"/>
        <item x="4"/>
        <item x="5"/>
        <item x="6"/>
        <item t="default"/>
      </items>
    </pivotField>
    <pivotField showAll="0"/>
    <pivotField axis="axisCol" showAll="0">
      <items count="8">
        <item x="1"/>
        <item x="0"/>
        <item x="4"/>
        <item x="5"/>
        <item x="6"/>
        <item x="2"/>
        <item x="3"/>
        <item t="default"/>
      </items>
    </pivotField>
    <pivotField showAll="0"/>
    <pivotField showAll="0"/>
    <pivotField showAll="0"/>
    <pivotField showAll="0"/>
    <pivotField showAll="0"/>
    <pivotField showAll="0"/>
    <pivotField showAll="0">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pivotField>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items count="4">
        <item x="2"/>
        <item x="1"/>
        <item x="0"/>
        <item t="default"/>
      </items>
    </pivotField>
  </pivotFields>
  <rowFields count="1">
    <field x="9"/>
  </rowFields>
  <rowItems count="12">
    <i>
      <x/>
    </i>
    <i>
      <x v="1"/>
    </i>
    <i>
      <x v="2"/>
    </i>
    <i>
      <x v="3"/>
    </i>
    <i>
      <x v="4"/>
    </i>
    <i>
      <x v="5"/>
    </i>
    <i>
      <x v="6"/>
    </i>
    <i>
      <x v="7"/>
    </i>
    <i>
      <x v="8"/>
    </i>
    <i>
      <x v="9"/>
    </i>
    <i>
      <x v="10"/>
    </i>
    <i>
      <x v="11"/>
    </i>
  </rowItems>
  <colFields count="1">
    <field x="11"/>
  </colFields>
  <colItems count="7">
    <i>
      <x/>
    </i>
    <i>
      <x v="1"/>
    </i>
    <i>
      <x v="2"/>
    </i>
    <i>
      <x v="3"/>
    </i>
    <i>
      <x v="4"/>
    </i>
    <i>
      <x v="5"/>
    </i>
    <i>
      <x v="6"/>
    </i>
  </colItems>
  <dataFields count="1">
    <dataField name="Sum of SALES" fld="4" baseField="0" baseItem="0" numFmtId="164"/>
  </dataFields>
  <formats count="1">
    <format dxfId="49">
      <pivotArea outline="0" collapsedLevelsAreSubtotals="1" fieldPosition="0"/>
    </format>
  </formats>
  <chartFormats count="16">
    <chartFormat chart="2" format="0" series="1">
      <pivotArea type="data" outline="0" fieldPosition="0">
        <references count="2">
          <reference field="4294967294" count="1" selected="0">
            <x v="0"/>
          </reference>
          <reference field="11" count="1" selected="0">
            <x v="0"/>
          </reference>
        </references>
      </pivotArea>
    </chartFormat>
    <chartFormat chart="2" format="1" series="1">
      <pivotArea type="data" outline="0" fieldPosition="0">
        <references count="2">
          <reference field="4294967294" count="1" selected="0">
            <x v="0"/>
          </reference>
          <reference field="11" count="1" selected="0">
            <x v="1"/>
          </reference>
        </references>
      </pivotArea>
    </chartFormat>
    <chartFormat chart="2" format="2" series="1">
      <pivotArea type="data" outline="0" fieldPosition="0">
        <references count="2">
          <reference field="4294967294" count="1" selected="0">
            <x v="0"/>
          </reference>
          <reference field="11" count="1" selected="0">
            <x v="2"/>
          </reference>
        </references>
      </pivotArea>
    </chartFormat>
    <chartFormat chart="2" format="3" series="1">
      <pivotArea type="data" outline="0" fieldPosition="0">
        <references count="2">
          <reference field="4294967294" count="1" selected="0">
            <x v="0"/>
          </reference>
          <reference field="11" count="1" selected="0">
            <x v="3"/>
          </reference>
        </references>
      </pivotArea>
    </chartFormat>
    <chartFormat chart="2" format="4" series="1">
      <pivotArea type="data" outline="0" fieldPosition="0">
        <references count="2">
          <reference field="4294967294" count="1" selected="0">
            <x v="0"/>
          </reference>
          <reference field="11" count="1" selected="0">
            <x v="4"/>
          </reference>
        </references>
      </pivotArea>
    </chartFormat>
    <chartFormat chart="2" format="5" series="1">
      <pivotArea type="data" outline="0" fieldPosition="0">
        <references count="2">
          <reference field="4294967294" count="1" selected="0">
            <x v="0"/>
          </reference>
          <reference field="11" count="1" selected="0">
            <x v="5"/>
          </reference>
        </references>
      </pivotArea>
    </chartFormat>
    <chartFormat chart="2" format="6" series="1">
      <pivotArea type="data" outline="0" fieldPosition="0">
        <references count="2">
          <reference field="4294967294" count="1" selected="0">
            <x v="0"/>
          </reference>
          <reference field="11" count="1" selected="0">
            <x v="6"/>
          </reference>
        </references>
      </pivotArea>
    </chartFormat>
    <chartFormat chart="2" format="7" series="1">
      <pivotArea type="data" outline="0" fieldPosition="0">
        <references count="1">
          <reference field="4294967294" count="1" selected="0">
            <x v="0"/>
          </reference>
        </references>
      </pivotArea>
    </chartFormat>
    <chartFormat chart="7" format="15" series="1">
      <pivotArea type="data" outline="0" fieldPosition="0">
        <references count="2">
          <reference field="4294967294" count="1" selected="0">
            <x v="0"/>
          </reference>
          <reference field="11" count="1" selected="0">
            <x v="0"/>
          </reference>
        </references>
      </pivotArea>
    </chartFormat>
    <chartFormat chart="7" format="16" series="1">
      <pivotArea type="data" outline="0" fieldPosition="0">
        <references count="2">
          <reference field="4294967294" count="1" selected="0">
            <x v="0"/>
          </reference>
          <reference field="11" count="1" selected="0">
            <x v="1"/>
          </reference>
        </references>
      </pivotArea>
    </chartFormat>
    <chartFormat chart="7" format="17" series="1">
      <pivotArea type="data" outline="0" fieldPosition="0">
        <references count="2">
          <reference field="4294967294" count="1" selected="0">
            <x v="0"/>
          </reference>
          <reference field="11" count="1" selected="0">
            <x v="2"/>
          </reference>
        </references>
      </pivotArea>
    </chartFormat>
    <chartFormat chart="7" format="18" series="1">
      <pivotArea type="data" outline="0" fieldPosition="0">
        <references count="2">
          <reference field="4294967294" count="1" selected="0">
            <x v="0"/>
          </reference>
          <reference field="11" count="1" selected="0">
            <x v="3"/>
          </reference>
        </references>
      </pivotArea>
    </chartFormat>
    <chartFormat chart="7" format="19" series="1">
      <pivotArea type="data" outline="0" fieldPosition="0">
        <references count="2">
          <reference field="4294967294" count="1" selected="0">
            <x v="0"/>
          </reference>
          <reference field="11" count="1" selected="0">
            <x v="4"/>
          </reference>
        </references>
      </pivotArea>
    </chartFormat>
    <chartFormat chart="7" format="20" series="1">
      <pivotArea type="data" outline="0" fieldPosition="0">
        <references count="2">
          <reference field="4294967294" count="1" selected="0">
            <x v="0"/>
          </reference>
          <reference field="11" count="1" selected="0">
            <x v="5"/>
          </reference>
        </references>
      </pivotArea>
    </chartFormat>
    <chartFormat chart="7" format="21" series="1">
      <pivotArea type="data" outline="0" fieldPosition="0">
        <references count="2">
          <reference field="4294967294" count="1" selected="0">
            <x v="0"/>
          </reference>
          <reference field="11" count="1" selected="0">
            <x v="6"/>
          </reference>
        </references>
      </pivotArea>
    </chartFormat>
    <chartFormat chart="7" format="2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A483B5-89B1-4770-850B-659C86A619FB}"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27:B40" firstHeaderRow="1" firstDataRow="1" firstDataCol="1"/>
  <pivotFields count="26">
    <pivotField showAll="0"/>
    <pivotField showAll="0"/>
    <pivotField showAll="0"/>
    <pivotField showAll="0"/>
    <pivotField dataField="1" showAll="0"/>
    <pivotField numFmtId="22" showAll="0"/>
    <pivotField showAll="0"/>
    <pivotField showAll="0"/>
    <pivotField showAll="0"/>
    <pivotField axis="axisRow" showAll="0">
      <items count="13">
        <item x="7"/>
        <item x="0"/>
        <item x="11"/>
        <item x="8"/>
        <item x="1"/>
        <item x="9"/>
        <item x="2"/>
        <item x="3"/>
        <item x="10"/>
        <item x="4"/>
        <item x="5"/>
        <item x="6"/>
        <item t="default"/>
      </items>
    </pivotField>
    <pivotField showAll="0"/>
    <pivotField showAll="0">
      <items count="8">
        <item x="1"/>
        <item x="0"/>
        <item x="4"/>
        <item x="5"/>
        <item x="6"/>
        <item x="2"/>
        <item x="3"/>
        <item t="default"/>
      </items>
    </pivotField>
    <pivotField showAll="0"/>
    <pivotField showAll="0"/>
    <pivotField showAll="0"/>
    <pivotField showAll="0"/>
    <pivotField showAll="0"/>
    <pivotField showAll="0"/>
    <pivotField showAll="0">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pivotField>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items count="4">
        <item x="2"/>
        <item x="1"/>
        <item x="0"/>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760D50-F633-4AB1-9ACC-76B6557BAF54}"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T2:U10" firstHeaderRow="1" firstDataRow="1" firstDataCol="1"/>
  <pivotFields count="26">
    <pivotField showAll="0"/>
    <pivotField showAll="0"/>
    <pivotField showAll="0"/>
    <pivotField showAll="0"/>
    <pivotField dataField="1" showAll="0"/>
    <pivotField numFmtId="22" showAll="0"/>
    <pivotField showAll="0"/>
    <pivotField showAll="0"/>
    <pivotField showAll="0"/>
    <pivotField showAll="0"/>
    <pivotField showAll="0"/>
    <pivotField axis="axisRow" showAll="0">
      <items count="8">
        <item x="1"/>
        <item x="0"/>
        <item x="4"/>
        <item x="5"/>
        <item x="6"/>
        <item x="2"/>
        <item x="3"/>
        <item t="default"/>
      </items>
    </pivotField>
    <pivotField showAll="0"/>
    <pivotField showAll="0"/>
    <pivotField showAll="0"/>
    <pivotField showAll="0"/>
    <pivotField showAll="0"/>
    <pivotField showAll="0"/>
    <pivotField showAll="0">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pivotField>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items count="4">
        <item x="2"/>
        <item x="1"/>
        <item x="0"/>
        <item t="default"/>
      </items>
    </pivotField>
  </pivotFields>
  <rowFields count="1">
    <field x="11"/>
  </rowFields>
  <rowItems count="8">
    <i>
      <x/>
    </i>
    <i>
      <x v="1"/>
    </i>
    <i>
      <x v="2"/>
    </i>
    <i>
      <x v="3"/>
    </i>
    <i>
      <x v="4"/>
    </i>
    <i>
      <x v="5"/>
    </i>
    <i>
      <x v="6"/>
    </i>
    <i t="grand">
      <x/>
    </i>
  </rowItems>
  <colItems count="1">
    <i/>
  </colItems>
  <dataFields count="1">
    <dataField name="Sum of SALES" fld="4" showDataAs="percentOfTotal" baseField="0" baseItem="0" numFmtId="1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0" format="5">
      <pivotArea type="data" outline="0" fieldPosition="0">
        <references count="2">
          <reference field="4294967294" count="1" selected="0">
            <x v="0"/>
          </reference>
          <reference field="11" count="1" selected="0">
            <x v="4"/>
          </reference>
        </references>
      </pivotArea>
    </chartFormat>
    <chartFormat chart="0" format="6">
      <pivotArea type="data" outline="0" fieldPosition="0">
        <references count="2">
          <reference field="4294967294" count="1" selected="0">
            <x v="0"/>
          </reference>
          <reference field="11" count="1" selected="0">
            <x v="5"/>
          </reference>
        </references>
      </pivotArea>
    </chartFormat>
    <chartFormat chart="0" format="7">
      <pivotArea type="data" outline="0" fieldPosition="0">
        <references count="2">
          <reference field="4294967294" count="1" selected="0">
            <x v="0"/>
          </reference>
          <reference field="11" count="1" selected="0">
            <x v="6"/>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11" count="1" selected="0">
            <x v="0"/>
          </reference>
        </references>
      </pivotArea>
    </chartFormat>
    <chartFormat chart="2" format="18">
      <pivotArea type="data" outline="0" fieldPosition="0">
        <references count="2">
          <reference field="4294967294" count="1" selected="0">
            <x v="0"/>
          </reference>
          <reference field="11" count="1" selected="0">
            <x v="1"/>
          </reference>
        </references>
      </pivotArea>
    </chartFormat>
    <chartFormat chart="2" format="19">
      <pivotArea type="data" outline="0" fieldPosition="0">
        <references count="2">
          <reference field="4294967294" count="1" selected="0">
            <x v="0"/>
          </reference>
          <reference field="11" count="1" selected="0">
            <x v="2"/>
          </reference>
        </references>
      </pivotArea>
    </chartFormat>
    <chartFormat chart="2" format="20">
      <pivotArea type="data" outline="0" fieldPosition="0">
        <references count="2">
          <reference field="4294967294" count="1" selected="0">
            <x v="0"/>
          </reference>
          <reference field="11" count="1" selected="0">
            <x v="3"/>
          </reference>
        </references>
      </pivotArea>
    </chartFormat>
    <chartFormat chart="2" format="21">
      <pivotArea type="data" outline="0" fieldPosition="0">
        <references count="2">
          <reference field="4294967294" count="1" selected="0">
            <x v="0"/>
          </reference>
          <reference field="11" count="1" selected="0">
            <x v="4"/>
          </reference>
        </references>
      </pivotArea>
    </chartFormat>
    <chartFormat chart="2" format="22">
      <pivotArea type="data" outline="0" fieldPosition="0">
        <references count="2">
          <reference field="4294967294" count="1" selected="0">
            <x v="0"/>
          </reference>
          <reference field="11" count="1" selected="0">
            <x v="5"/>
          </reference>
        </references>
      </pivotArea>
    </chartFormat>
    <chartFormat chart="2" format="23">
      <pivotArea type="data" outline="0" fieldPosition="0">
        <references count="2">
          <reference field="4294967294" count="1" selected="0">
            <x v="0"/>
          </reference>
          <reference field="1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F6B08D-0E42-4847-B442-643D040D3063}" name="PivotTable11"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5">
  <location ref="W4:X16" firstHeaderRow="1" firstDataRow="1" firstDataCol="1"/>
  <pivotFields count="26">
    <pivotField showAll="0"/>
    <pivotField dataField="1" showAll="0"/>
    <pivotField showAll="0"/>
    <pivotField showAll="0"/>
    <pivotField showAll="0"/>
    <pivotField numFmtId="22" showAll="0"/>
    <pivotField showAll="0"/>
    <pivotField showAll="0"/>
    <pivotField showAll="0"/>
    <pivotField axis="axisRow" showAll="0">
      <items count="13">
        <item x="7"/>
        <item x="0"/>
        <item x="11"/>
        <item x="8"/>
        <item x="1"/>
        <item x="9"/>
        <item x="2"/>
        <item x="3"/>
        <item x="10"/>
        <item x="4"/>
        <item x="5"/>
        <item x="6"/>
        <item t="default"/>
      </items>
    </pivotField>
    <pivotField showAll="0"/>
    <pivotField showAll="0">
      <items count="8">
        <item x="1"/>
        <item x="0"/>
        <item x="4"/>
        <item x="5"/>
        <item x="6"/>
        <item x="2"/>
        <item x="3"/>
        <item t="default"/>
      </items>
    </pivotField>
    <pivotField showAll="0"/>
    <pivotField showAll="0">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axis="axisRow" showAll="0" measureFilter="1" sortType="descending">
      <items count="93">
        <item x="32"/>
        <item x="24"/>
        <item x="11"/>
        <item x="69"/>
        <item x="22"/>
        <item x="3"/>
        <item x="16"/>
        <item x="68"/>
        <item x="35"/>
        <item x="61"/>
        <item x="12"/>
        <item x="5"/>
        <item x="34"/>
        <item x="73"/>
        <item x="49"/>
        <item x="20"/>
        <item x="84"/>
        <item x="82"/>
        <item x="37"/>
        <item x="30"/>
        <item x="19"/>
        <item x="90"/>
        <item x="57"/>
        <item x="86"/>
        <item x="1"/>
        <item x="43"/>
        <item x="56"/>
        <item x="60"/>
        <item x="44"/>
        <item x="71"/>
        <item x="40"/>
        <item x="85"/>
        <item x="74"/>
        <item x="45"/>
        <item x="8"/>
        <item x="39"/>
        <item x="50"/>
        <item x="47"/>
        <item x="83"/>
        <item x="63"/>
        <item x="79"/>
        <item x="54"/>
        <item x="15"/>
        <item x="67"/>
        <item x="2"/>
        <item x="70"/>
        <item x="0"/>
        <item x="14"/>
        <item x="62"/>
        <item x="81"/>
        <item x="7"/>
        <item x="78"/>
        <item x="65"/>
        <item x="59"/>
        <item x="58"/>
        <item x="88"/>
        <item x="13"/>
        <item x="21"/>
        <item x="23"/>
        <item x="53"/>
        <item x="26"/>
        <item x="52"/>
        <item x="64"/>
        <item x="18"/>
        <item x="48"/>
        <item x="6"/>
        <item x="66"/>
        <item x="25"/>
        <item x="4"/>
        <item x="41"/>
        <item x="55"/>
        <item x="75"/>
        <item x="27"/>
        <item x="29"/>
        <item x="31"/>
        <item x="33"/>
        <item x="76"/>
        <item x="80"/>
        <item x="72"/>
        <item x="89"/>
        <item x="17"/>
        <item x="77"/>
        <item x="91"/>
        <item x="9"/>
        <item x="38"/>
        <item x="28"/>
        <item x="10"/>
        <item x="87"/>
        <item x="46"/>
        <item x="42"/>
        <item x="36"/>
        <item x="5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pivotFields>
  <rowFields count="2">
    <field x="14"/>
    <field x="9"/>
  </rowFields>
  <rowItems count="12">
    <i>
      <x v="58"/>
    </i>
    <i r="1">
      <x/>
    </i>
    <i r="1">
      <x v="1"/>
    </i>
    <i r="1">
      <x v="2"/>
    </i>
    <i r="1">
      <x v="3"/>
    </i>
    <i r="1">
      <x v="4"/>
    </i>
    <i r="1">
      <x v="5"/>
    </i>
    <i r="1">
      <x v="7"/>
    </i>
    <i r="1">
      <x v="8"/>
    </i>
    <i r="1">
      <x v="9"/>
    </i>
    <i r="1">
      <x v="10"/>
    </i>
    <i r="1">
      <x v="11"/>
    </i>
  </rowItems>
  <colItems count="1">
    <i/>
  </colItems>
  <dataFields count="1">
    <dataField name="Sum of QUANTITYORDERED" fld="1" baseField="0" baseItem="0" numFmtId="1"/>
  </dataFields>
  <formats count="1">
    <format dxfId="39">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5"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704E07-9FD0-4238-A487-0C1B0747A578}" name="PivotTable10"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2">
  <location ref="S4:U5" firstHeaderRow="0" firstDataRow="1" firstDataCol="1"/>
  <pivotFields count="26">
    <pivotField showAll="0"/>
    <pivotField dataField="1" showAll="0"/>
    <pivotField showAll="0"/>
    <pivotField showAll="0"/>
    <pivotField dataField="1" showAll="0"/>
    <pivotField numFmtId="22" showAll="0"/>
    <pivotField showAll="0"/>
    <pivotField showAll="0"/>
    <pivotField showAll="0"/>
    <pivotField showAll="0">
      <items count="13">
        <item x="7"/>
        <item x="0"/>
        <item x="11"/>
        <item x="8"/>
        <item x="1"/>
        <item x="9"/>
        <item x="2"/>
        <item x="3"/>
        <item x="10"/>
        <item x="4"/>
        <item x="5"/>
        <item x="6"/>
        <item t="default"/>
      </items>
    </pivotField>
    <pivotField showAll="0"/>
    <pivotField showAll="0">
      <items count="8">
        <item x="1"/>
        <item x="0"/>
        <item x="4"/>
        <item x="5"/>
        <item x="6"/>
        <item x="2"/>
        <item x="3"/>
        <item t="default"/>
      </items>
    </pivotField>
    <pivotField showAll="0"/>
    <pivotField showAll="0">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axis="axisRow" showAll="0" measureFilter="1" sortType="descending">
      <items count="93">
        <item x="32"/>
        <item x="24"/>
        <item x="11"/>
        <item x="69"/>
        <item x="22"/>
        <item x="3"/>
        <item x="16"/>
        <item x="68"/>
        <item x="35"/>
        <item x="61"/>
        <item x="12"/>
        <item x="5"/>
        <item x="34"/>
        <item x="73"/>
        <item x="49"/>
        <item x="20"/>
        <item x="84"/>
        <item x="82"/>
        <item x="37"/>
        <item x="30"/>
        <item x="19"/>
        <item x="90"/>
        <item x="57"/>
        <item x="86"/>
        <item x="1"/>
        <item x="43"/>
        <item x="56"/>
        <item x="60"/>
        <item x="44"/>
        <item x="71"/>
        <item x="40"/>
        <item x="85"/>
        <item x="74"/>
        <item x="45"/>
        <item x="8"/>
        <item x="39"/>
        <item x="50"/>
        <item x="47"/>
        <item x="83"/>
        <item x="63"/>
        <item x="79"/>
        <item x="54"/>
        <item x="15"/>
        <item x="67"/>
        <item x="2"/>
        <item x="70"/>
        <item x="0"/>
        <item x="14"/>
        <item x="62"/>
        <item x="81"/>
        <item x="7"/>
        <item x="78"/>
        <item x="65"/>
        <item x="59"/>
        <item x="58"/>
        <item x="88"/>
        <item x="13"/>
        <item x="21"/>
        <item x="23"/>
        <item x="53"/>
        <item x="26"/>
        <item x="52"/>
        <item x="64"/>
        <item x="18"/>
        <item x="48"/>
        <item x="6"/>
        <item x="66"/>
        <item x="25"/>
        <item x="4"/>
        <item x="41"/>
        <item x="55"/>
        <item x="75"/>
        <item x="27"/>
        <item x="29"/>
        <item x="31"/>
        <item x="33"/>
        <item x="76"/>
        <item x="80"/>
        <item x="72"/>
        <item x="89"/>
        <item x="17"/>
        <item x="77"/>
        <item x="91"/>
        <item x="9"/>
        <item x="38"/>
        <item x="28"/>
        <item x="10"/>
        <item x="87"/>
        <item x="46"/>
        <item x="42"/>
        <item x="36"/>
        <item x="5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measureFilter="1" sortType="descending">
      <items count="20">
        <item x="3"/>
        <item x="5"/>
        <item x="14"/>
        <item x="10"/>
        <item x="13"/>
        <item x="4"/>
        <item x="1"/>
        <item x="16"/>
        <item x="18"/>
        <item x="12"/>
        <item x="11"/>
        <item x="2"/>
        <item x="15"/>
        <item x="9"/>
        <item x="7"/>
        <item x="8"/>
        <item x="17"/>
        <item x="6"/>
        <item x="0"/>
        <item t="default"/>
      </items>
      <autoSortScope>
        <pivotArea dataOnly="0" outline="0" fieldPosition="0">
          <references count="1">
            <reference field="4294967294" count="1" selected="0">
              <x v="0"/>
            </reference>
          </references>
        </pivotArea>
      </autoSortScope>
    </pivotField>
    <pivotField showAll="0" measureFilter="1"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4"/>
  </rowFields>
  <rowItems count="1">
    <i>
      <x v="58"/>
    </i>
  </rowItems>
  <colFields count="1">
    <field x="-2"/>
  </colFields>
  <colItems count="2">
    <i>
      <x/>
    </i>
    <i i="1">
      <x v="1"/>
    </i>
  </colItems>
  <dataFields count="2">
    <dataField name="Sum of SALES" fld="4" baseField="0" baseItem="0" numFmtId="164"/>
    <dataField name="Sum of QUANTITYORDERED" fld="1" baseField="14" baseItem="58"/>
  </dataFields>
  <formats count="1">
    <format dxfId="4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22" type="count" evalOrder="-1" id="2" iMeasureFld="0">
      <autoFilter ref="A1">
        <filterColumn colId="0">
          <top10 val="1" filterVal="1"/>
        </filterColumn>
      </autoFilter>
    </filter>
    <filter fld="21" type="count" evalOrder="-1" id="3" iMeasureFld="0">
      <autoFilter ref="A1">
        <filterColumn colId="0">
          <top10 val="1" filterVal="1"/>
        </filterColumn>
      </autoFilter>
    </filter>
    <filter fld="14" type="count" evalOrder="-1" id="4"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5581AB-30F3-44AE-A5FA-FA9EB9F3E984}" name="PivotTable4"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4:B5" firstHeaderRow="1" firstDataRow="1" firstDataCol="1"/>
  <pivotFields count="26">
    <pivotField showAll="0"/>
    <pivotField dataField="1" showAll="0"/>
    <pivotField showAll="0"/>
    <pivotField showAll="0"/>
    <pivotField showAll="0"/>
    <pivotField numFmtId="22" showAll="0"/>
    <pivotField showAll="0"/>
    <pivotField showAll="0"/>
    <pivotField showAll="0"/>
    <pivotField showAll="0"/>
    <pivotField showAll="0"/>
    <pivotField showAll="0">
      <items count="8">
        <item x="1"/>
        <item x="0"/>
        <item x="4"/>
        <item x="5"/>
        <item x="6"/>
        <item x="2"/>
        <item x="3"/>
        <item t="default"/>
      </items>
    </pivotField>
    <pivotField showAll="0"/>
    <pivotField axis="axisRow" showAll="0" measureFilter="1" sortType="descending">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1">
    <i>
      <x v="39"/>
    </i>
  </rowItems>
  <colItems count="1">
    <i/>
  </colItems>
  <dataFields count="1">
    <dataField name="Sum of QUANTITYORDERED" fld="1" baseField="0" baseItem="0"/>
  </dataFields>
  <pivotTableStyleInfo name="PivotStyleLight16" showRowHeaders="1" showColHeaders="1" showRowStripes="0" showColStripes="0" showLastColumn="1"/>
  <filters count="1">
    <filter fld="1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C7939A-2F5C-4A9E-91AB-2FEBC1AD7A01}" name="PivotTable13"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G9:H15" firstHeaderRow="1" firstDataRow="1" firstDataCol="1"/>
  <pivotFields count="26">
    <pivotField showAll="0"/>
    <pivotField showAll="0"/>
    <pivotField showAll="0"/>
    <pivotField showAll="0"/>
    <pivotField dataField="1" showAll="0"/>
    <pivotField numFmtId="22" showAll="0"/>
    <pivotField showAll="0"/>
    <pivotField showAll="0"/>
    <pivotField showAll="0"/>
    <pivotField showAll="0"/>
    <pivotField axis="axisRow" showAll="0">
      <items count="4">
        <item x="0"/>
        <item x="1"/>
        <item x="2"/>
        <item t="default"/>
      </items>
    </pivotField>
    <pivotField showAll="0">
      <items count="8">
        <item x="1"/>
        <item x="0"/>
        <item x="4"/>
        <item x="5"/>
        <item x="6"/>
        <item x="2"/>
        <item x="3"/>
        <item t="default"/>
      </items>
    </pivotField>
    <pivotField showAll="0"/>
    <pivotField showAll="0" sortType="descending">
      <items count="110">
        <item h="1" x="108"/>
        <item h="1" x="107"/>
        <item h="1" x="106"/>
        <item h="1" x="105"/>
        <item h="1" x="104"/>
        <item h="1" x="103"/>
        <item h="1" x="102"/>
        <item h="1" x="101"/>
        <item h="1" x="100"/>
        <item h="1" x="99"/>
        <item h="1" x="98"/>
        <item h="1" x="97"/>
        <item h="1" x="96"/>
        <item h="1" x="95"/>
        <item h="1" x="94"/>
        <item h="1" x="93"/>
        <item h="1" x="92"/>
        <item h="1" x="91"/>
        <item h="1" x="90"/>
        <item h="1" x="89"/>
        <item h="1" x="88"/>
        <item h="1" x="87"/>
        <item h="1" x="86"/>
        <item h="1" x="85"/>
        <item h="1" x="84"/>
        <item h="1" x="83"/>
        <item h="1" x="82"/>
        <item h="1" x="81"/>
        <item h="1" x="80"/>
        <item h="1" x="79"/>
        <item h="1" x="78"/>
        <item h="1" x="77"/>
        <item h="1" x="76"/>
        <item h="1" x="75"/>
        <item h="1" x="74"/>
        <item h="1" x="73"/>
        <item h="1" x="72"/>
        <item h="1" x="71"/>
        <item h="1" x="70"/>
        <item h="1" x="69"/>
        <item h="1" x="68"/>
        <item h="1" x="67"/>
        <item h="1" x="66"/>
        <item h="1" x="65"/>
        <item h="1" x="64"/>
        <item h="1" x="63"/>
        <item h="1" x="62"/>
        <item h="1" x="61"/>
        <item h="1" x="60"/>
        <item h="1" x="59"/>
        <item h="1" x="58"/>
        <item h="1" x="57"/>
        <item h="1" x="56"/>
        <item h="1" x="55"/>
        <item h="1" x="54"/>
        <item h="1" x="53"/>
        <item h="1" x="52"/>
        <item h="1" x="51"/>
        <item h="1" x="50"/>
        <item h="1" x="49"/>
        <item h="1" x="48"/>
        <item h="1" x="47"/>
        <item h="1" x="46"/>
        <item h="1" x="45"/>
        <item h="1" x="44"/>
        <item h="1" x="43"/>
        <item h="1" x="42"/>
        <item h="1" x="41"/>
        <item h="1" x="40"/>
        <item x="39"/>
        <item h="1" x="38"/>
        <item h="1" x="37"/>
        <item h="1" x="36"/>
        <item h="1" x="35"/>
        <item h="1" x="34"/>
        <item h="1" x="33"/>
        <item h="1" x="32"/>
        <item h="1" x="31"/>
        <item h="1" x="30"/>
        <item h="1" x="29"/>
        <item h="1" x="28"/>
        <item h="1" x="27"/>
        <item h="1" x="26"/>
        <item h="1" x="25"/>
        <item h="1" x="24"/>
        <item h="1" x="23"/>
        <item h="1" x="22"/>
        <item h="1" x="21"/>
        <item h="1" x="20"/>
        <item h="1" x="19"/>
        <item h="1" x="18"/>
        <item h="1" x="17"/>
        <item h="1" x="16"/>
        <item h="1" x="15"/>
        <item h="1" x="14"/>
        <item h="1" x="13"/>
        <item h="1" x="12"/>
        <item h="1" x="11"/>
        <item h="1" x="10"/>
        <item h="1" x="9"/>
        <item h="1" x="8"/>
        <item h="1" x="7"/>
        <item h="1" x="6"/>
        <item h="1" x="5"/>
        <item h="1" x="4"/>
        <item h="1" x="3"/>
        <item h="1" x="2"/>
        <item h="1" x="1"/>
        <item h="1" x="0"/>
        <item t="default"/>
      </items>
    </pivotField>
    <pivotField showAll="0"/>
    <pivotField showAll="0"/>
    <pivotField showAll="0"/>
    <pivotField showAll="0"/>
    <pivotField showAll="0"/>
    <pivotField showAll="0"/>
    <pivotField showAll="0"/>
    <pivotField showAll="0"/>
    <pivotField axis="axisRow" showAll="0">
      <items count="5">
        <item h="1" x="2"/>
        <item x="1"/>
        <item h="1" x="3"/>
        <item h="1" x="0"/>
        <item t="default"/>
      </items>
    </pivotField>
    <pivotField showAll="0"/>
    <pivotField showAll="0"/>
    <pivotField showAll="0"/>
  </pivotFields>
  <rowFields count="2">
    <field x="10"/>
    <field x="22"/>
  </rowFields>
  <rowItems count="6">
    <i>
      <x/>
    </i>
    <i r="1">
      <x v="1"/>
    </i>
    <i>
      <x v="1"/>
    </i>
    <i r="1">
      <x v="1"/>
    </i>
    <i>
      <x v="2"/>
    </i>
    <i r="1">
      <x v="1"/>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AAA124-AF8D-4952-8101-C62FE8D02287}" name="PivotTable8"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
  <location ref="M4:N5" firstHeaderRow="1" firstDataRow="1" firstDataCol="1"/>
  <pivotFields count="26">
    <pivotField showAll="0"/>
    <pivotField showAll="0"/>
    <pivotField showAll="0"/>
    <pivotField showAll="0"/>
    <pivotField dataField="1" showAll="0"/>
    <pivotField numFmtId="22" showAll="0"/>
    <pivotField showAll="0"/>
    <pivotField showAll="0"/>
    <pivotField showAll="0"/>
    <pivotField showAll="0">
      <items count="13">
        <item x="7"/>
        <item x="0"/>
        <item x="11"/>
        <item x="8"/>
        <item x="1"/>
        <item x="9"/>
        <item x="2"/>
        <item x="3"/>
        <item x="10"/>
        <item x="4"/>
        <item x="5"/>
        <item x="6"/>
        <item t="default"/>
      </items>
    </pivotField>
    <pivotField showAll="0"/>
    <pivotField showAll="0">
      <items count="8">
        <item x="1"/>
        <item x="0"/>
        <item x="4"/>
        <item x="5"/>
        <item x="6"/>
        <item x="2"/>
        <item x="3"/>
        <item t="default"/>
      </items>
    </pivotField>
    <pivotField showAll="0"/>
    <pivotField showAll="0">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showAll="0"/>
    <pivotField showAll="0"/>
    <pivotField showAll="0"/>
    <pivotField showAll="0"/>
    <pivotField showAll="0"/>
    <pivotField showAll="0"/>
    <pivotField showAll="0"/>
    <pivotField axis="axisRow" showAll="0" measureFilter="1" sortType="descending">
      <items count="20">
        <item x="3"/>
        <item x="5"/>
        <item x="14"/>
        <item x="10"/>
        <item x="13"/>
        <item x="4"/>
        <item x="1"/>
        <item x="16"/>
        <item x="18"/>
        <item x="12"/>
        <item x="11"/>
        <item x="2"/>
        <item x="15"/>
        <item x="9"/>
        <item x="7"/>
        <item x="8"/>
        <item x="17"/>
        <item x="6"/>
        <item x="0"/>
        <item t="default"/>
      </items>
      <autoSortScope>
        <pivotArea dataOnly="0" outline="0" fieldPosition="0">
          <references count="1">
            <reference field="4294967294" count="1" selected="0">
              <x v="0"/>
            </reference>
          </references>
        </pivotArea>
      </autoSortScope>
    </pivotField>
    <pivotField showAll="0" measureFilter="1"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1"/>
  </rowFields>
  <rowItems count="1">
    <i>
      <x v="18"/>
    </i>
  </rowItems>
  <colItems count="1">
    <i/>
  </colItems>
  <dataFields count="1">
    <dataField name="Sum of SALES" fld="4" baseField="0" baseItem="0" numFmtId="164"/>
  </dataFields>
  <formats count="1">
    <format dxfId="4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2" type="count" evalOrder="-1" id="2" iMeasureFld="0">
      <autoFilter ref="A1">
        <filterColumn colId="0">
          <top10 val="1" filterVal="1"/>
        </filterColumn>
      </autoFilter>
    </filter>
    <filter fld="21"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63FB27-644E-4A81-8FD4-EAABDE2DAA52}" name="PivotTable9"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4">
  <location ref="P4:Q17" firstHeaderRow="1" firstDataRow="1" firstDataCol="1"/>
  <pivotFields count="26">
    <pivotField showAll="0"/>
    <pivotField showAll="0"/>
    <pivotField showAll="0"/>
    <pivotField showAll="0"/>
    <pivotField dataField="1" showAll="0"/>
    <pivotField numFmtId="22" showAll="0"/>
    <pivotField showAll="0"/>
    <pivotField showAll="0"/>
    <pivotField showAll="0"/>
    <pivotField axis="axisRow" showAll="0">
      <items count="13">
        <item x="7"/>
        <item x="0"/>
        <item x="11"/>
        <item x="8"/>
        <item x="1"/>
        <item x="9"/>
        <item x="2"/>
        <item x="3"/>
        <item x="10"/>
        <item x="4"/>
        <item x="5"/>
        <item x="6"/>
        <item t="default"/>
      </items>
    </pivotField>
    <pivotField showAll="0"/>
    <pivotField showAll="0">
      <items count="8">
        <item x="1"/>
        <item x="0"/>
        <item x="4"/>
        <item x="5"/>
        <item x="6"/>
        <item x="2"/>
        <item x="3"/>
        <item t="default"/>
      </items>
    </pivotField>
    <pivotField showAll="0"/>
    <pivotField showAll="0">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showAll="0"/>
    <pivotField showAll="0"/>
    <pivotField showAll="0"/>
    <pivotField showAll="0"/>
    <pivotField showAll="0"/>
    <pivotField showAll="0"/>
    <pivotField showAll="0"/>
    <pivotField axis="axisRow" showAll="0" measureFilter="1" sortType="descending">
      <items count="20">
        <item x="3"/>
        <item x="5"/>
        <item x="14"/>
        <item x="10"/>
        <item x="13"/>
        <item x="4"/>
        <item x="1"/>
        <item x="16"/>
        <item x="18"/>
        <item x="12"/>
        <item x="11"/>
        <item x="2"/>
        <item x="15"/>
        <item x="9"/>
        <item x="7"/>
        <item x="8"/>
        <item x="17"/>
        <item x="6"/>
        <item x="0"/>
        <item t="default"/>
      </items>
      <autoSortScope>
        <pivotArea dataOnly="0" outline="0" fieldPosition="0">
          <references count="1">
            <reference field="4294967294" count="1" selected="0">
              <x v="0"/>
            </reference>
          </references>
        </pivotArea>
      </autoSortScope>
    </pivotField>
    <pivotField showAll="0" measureFilter="1"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2">
    <field x="21"/>
    <field x="9"/>
  </rowFields>
  <rowItems count="13">
    <i>
      <x v="18"/>
    </i>
    <i r="1">
      <x/>
    </i>
    <i r="1">
      <x v="1"/>
    </i>
    <i r="1">
      <x v="2"/>
    </i>
    <i r="1">
      <x v="3"/>
    </i>
    <i r="1">
      <x v="4"/>
    </i>
    <i r="1">
      <x v="5"/>
    </i>
    <i r="1">
      <x v="6"/>
    </i>
    <i r="1">
      <x v="7"/>
    </i>
    <i r="1">
      <x v="8"/>
    </i>
    <i r="1">
      <x v="9"/>
    </i>
    <i r="1">
      <x v="10"/>
    </i>
    <i r="1">
      <x v="11"/>
    </i>
  </rowItems>
  <colItems count="1">
    <i/>
  </colItems>
  <dataFields count="1">
    <dataField name="Sum of SALES" fld="4" baseField="0" baseItem="0" numFmtId="164"/>
  </dataFields>
  <formats count="1">
    <format dxfId="4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2" type="count" evalOrder="-1" id="2" iMeasureFld="0">
      <autoFilter ref="A1">
        <filterColumn colId="0">
          <top10 val="1" filterVal="1"/>
        </filterColumn>
      </autoFilter>
    </filter>
    <filter fld="21"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B51351-8DD7-4772-BD9C-DEE3C6AB53D2}" name="PivotTable7"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J4:K17" firstHeaderRow="1" firstDataRow="1" firstDataCol="1"/>
  <pivotFields count="26">
    <pivotField showAll="0"/>
    <pivotField showAll="0"/>
    <pivotField showAll="0"/>
    <pivotField showAll="0"/>
    <pivotField dataField="1" showAll="0"/>
    <pivotField numFmtId="22" showAll="0"/>
    <pivotField showAll="0"/>
    <pivotField showAll="0"/>
    <pivotField showAll="0"/>
    <pivotField axis="axisRow" showAll="0">
      <items count="13">
        <item x="7"/>
        <item x="0"/>
        <item x="11"/>
        <item x="8"/>
        <item x="1"/>
        <item x="9"/>
        <item x="2"/>
        <item x="3"/>
        <item x="10"/>
        <item x="4"/>
        <item x="5"/>
        <item x="6"/>
        <item t="default"/>
      </items>
    </pivotField>
    <pivotField showAll="0"/>
    <pivotField showAll="0">
      <items count="8">
        <item x="1"/>
        <item x="0"/>
        <item x="4"/>
        <item x="5"/>
        <item x="6"/>
        <item x="2"/>
        <item x="3"/>
        <item t="default"/>
      </items>
    </pivotField>
    <pivotField showAll="0"/>
    <pivotField showAll="0">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showAll="0"/>
    <pivotField showAll="0"/>
    <pivotField showAll="0"/>
    <pivotField showAll="0"/>
    <pivotField showAll="0"/>
    <pivotField showAll="0"/>
    <pivotField showAll="0"/>
    <pivotField showAll="0"/>
    <pivotField axis="axisRow" showAll="0" measureFilter="1"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2">
    <field x="22"/>
    <field x="9"/>
  </rowFields>
  <rowItems count="13">
    <i>
      <x v="1"/>
    </i>
    <i r="1">
      <x/>
    </i>
    <i r="1">
      <x v="1"/>
    </i>
    <i r="1">
      <x v="2"/>
    </i>
    <i r="1">
      <x v="3"/>
    </i>
    <i r="1">
      <x v="4"/>
    </i>
    <i r="1">
      <x v="5"/>
    </i>
    <i r="1">
      <x v="6"/>
    </i>
    <i r="1">
      <x v="7"/>
    </i>
    <i r="1">
      <x v="8"/>
    </i>
    <i r="1">
      <x v="9"/>
    </i>
    <i r="1">
      <x v="10"/>
    </i>
    <i r="1">
      <x v="11"/>
    </i>
  </rowItems>
  <colItems count="1">
    <i/>
  </colItems>
  <dataFields count="1">
    <dataField name="Sum of SALES" fld="4" baseField="0" baseItem="0" numFmtId="164"/>
  </dataFields>
  <formats count="1">
    <format dxfId="4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2"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FA6E38B-ACCC-4D5B-AB0B-794C2B50DA72}" name="PivotTable15"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2">
  <location ref="S9:U15" firstHeaderRow="0" firstDataRow="1" firstDataCol="1"/>
  <pivotFields count="26">
    <pivotField showAll="0"/>
    <pivotField dataField="1" showAll="0"/>
    <pivotField showAll="0"/>
    <pivotField showAll="0"/>
    <pivotField dataField="1" showAll="0"/>
    <pivotField numFmtId="22" showAll="0"/>
    <pivotField showAll="0"/>
    <pivotField showAll="0"/>
    <pivotField showAll="0"/>
    <pivotField showAll="0">
      <items count="13">
        <item x="7"/>
        <item x="0"/>
        <item x="11"/>
        <item x="8"/>
        <item x="1"/>
        <item x="9"/>
        <item x="2"/>
        <item x="3"/>
        <item x="10"/>
        <item x="4"/>
        <item x="5"/>
        <item x="6"/>
        <item t="default"/>
      </items>
    </pivotField>
    <pivotField axis="axisRow" showAll="0">
      <items count="4">
        <item x="0"/>
        <item x="1"/>
        <item x="2"/>
        <item t="default"/>
      </items>
    </pivotField>
    <pivotField showAll="0">
      <items count="8">
        <item x="1"/>
        <item x="0"/>
        <item x="4"/>
        <item x="5"/>
        <item x="6"/>
        <item x="2"/>
        <item x="3"/>
        <item t="default"/>
      </items>
    </pivotField>
    <pivotField showAll="0"/>
    <pivotField showAll="0">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axis="axisRow" showAll="0" measureFilter="1" sortType="descending">
      <items count="93">
        <item x="32"/>
        <item x="24"/>
        <item x="11"/>
        <item x="69"/>
        <item x="22"/>
        <item x="3"/>
        <item x="16"/>
        <item x="68"/>
        <item x="35"/>
        <item x="61"/>
        <item x="12"/>
        <item x="5"/>
        <item x="34"/>
        <item x="73"/>
        <item x="49"/>
        <item x="20"/>
        <item x="84"/>
        <item x="82"/>
        <item x="37"/>
        <item x="30"/>
        <item x="19"/>
        <item x="90"/>
        <item x="57"/>
        <item x="86"/>
        <item x="1"/>
        <item x="43"/>
        <item x="56"/>
        <item x="60"/>
        <item x="44"/>
        <item x="71"/>
        <item x="40"/>
        <item x="85"/>
        <item x="74"/>
        <item x="45"/>
        <item x="8"/>
        <item x="39"/>
        <item x="50"/>
        <item x="47"/>
        <item x="83"/>
        <item x="63"/>
        <item x="79"/>
        <item x="54"/>
        <item x="15"/>
        <item x="67"/>
        <item x="2"/>
        <item x="70"/>
        <item x="0"/>
        <item x="14"/>
        <item x="62"/>
        <item x="81"/>
        <item x="7"/>
        <item x="78"/>
        <item x="65"/>
        <item x="59"/>
        <item x="58"/>
        <item x="88"/>
        <item x="13"/>
        <item x="21"/>
        <item x="23"/>
        <item x="53"/>
        <item x="26"/>
        <item x="52"/>
        <item x="64"/>
        <item x="18"/>
        <item x="48"/>
        <item x="6"/>
        <item x="66"/>
        <item x="25"/>
        <item x="4"/>
        <item x="41"/>
        <item x="55"/>
        <item x="75"/>
        <item x="27"/>
        <item x="29"/>
        <item x="31"/>
        <item x="33"/>
        <item x="76"/>
        <item x="80"/>
        <item x="72"/>
        <item x="89"/>
        <item x="17"/>
        <item x="77"/>
        <item x="91"/>
        <item x="9"/>
        <item x="38"/>
        <item x="28"/>
        <item x="10"/>
        <item x="87"/>
        <item x="46"/>
        <item x="42"/>
        <item x="36"/>
        <item x="5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measureFilter="1" sortType="descending">
      <items count="20">
        <item x="3"/>
        <item x="5"/>
        <item x="14"/>
        <item x="10"/>
        <item x="13"/>
        <item x="4"/>
        <item x="1"/>
        <item x="16"/>
        <item x="18"/>
        <item x="12"/>
        <item x="11"/>
        <item x="2"/>
        <item x="15"/>
        <item x="9"/>
        <item x="7"/>
        <item x="8"/>
        <item x="17"/>
        <item x="6"/>
        <item x="0"/>
        <item t="default"/>
      </items>
      <autoSortScope>
        <pivotArea dataOnly="0" outline="0" fieldPosition="0">
          <references count="1">
            <reference field="4294967294" count="1" selected="0">
              <x v="0"/>
            </reference>
          </references>
        </pivotArea>
      </autoSortScope>
    </pivotField>
    <pivotField showAll="0" measureFilter="1"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2">
    <field x="10"/>
    <field x="14"/>
  </rowFields>
  <rowItems count="6">
    <i>
      <x/>
    </i>
    <i r="1">
      <x v="58"/>
    </i>
    <i>
      <x v="1"/>
    </i>
    <i r="1">
      <x v="58"/>
    </i>
    <i>
      <x v="2"/>
    </i>
    <i r="1">
      <x v="58"/>
    </i>
  </rowItems>
  <colFields count="1">
    <field x="-2"/>
  </colFields>
  <colItems count="2">
    <i>
      <x/>
    </i>
    <i i="1">
      <x v="1"/>
    </i>
  </colItems>
  <dataFields count="2">
    <dataField name="Sum of SALES" fld="4" baseField="0" baseItem="0" numFmtId="164"/>
    <dataField name="Sum of QUANTITYORDERED" fld="1" baseField="14" baseItem="58"/>
  </dataFields>
  <formats count="1">
    <format dxfId="4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22" type="count" evalOrder="-1" id="2" iMeasureFld="0">
      <autoFilter ref="A1">
        <filterColumn colId="0">
          <top10 val="1" filterVal="1"/>
        </filterColumn>
      </autoFilter>
    </filter>
    <filter fld="21" type="count" evalOrder="-1" id="3" iMeasureFld="0">
      <autoFilter ref="A1">
        <filterColumn colId="0">
          <top10 val="1" filterVal="1"/>
        </filterColumn>
      </autoFilter>
    </filter>
    <filter fld="14" type="count" evalOrder="-1" id="4"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E70DE55-9EEB-4023-831F-C2454ADE20BF}" name="PivotTable14"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
  <location ref="M8:N14" firstHeaderRow="1" firstDataRow="1" firstDataCol="1"/>
  <pivotFields count="26">
    <pivotField showAll="0"/>
    <pivotField showAll="0"/>
    <pivotField showAll="0"/>
    <pivotField showAll="0"/>
    <pivotField dataField="1" showAll="0"/>
    <pivotField numFmtId="22" showAll="0"/>
    <pivotField showAll="0"/>
    <pivotField showAll="0"/>
    <pivotField showAll="0"/>
    <pivotField showAll="0">
      <items count="13">
        <item x="7"/>
        <item x="0"/>
        <item x="11"/>
        <item x="8"/>
        <item x="1"/>
        <item x="9"/>
        <item x="2"/>
        <item x="3"/>
        <item x="10"/>
        <item x="4"/>
        <item x="5"/>
        <item x="6"/>
        <item t="default"/>
      </items>
    </pivotField>
    <pivotField axis="axisRow" showAll="0">
      <items count="4">
        <item x="0"/>
        <item x="1"/>
        <item x="2"/>
        <item t="default"/>
      </items>
    </pivotField>
    <pivotField showAll="0">
      <items count="8">
        <item x="1"/>
        <item x="0"/>
        <item x="4"/>
        <item x="5"/>
        <item x="6"/>
        <item x="2"/>
        <item x="3"/>
        <item t="default"/>
      </items>
    </pivotField>
    <pivotField showAll="0"/>
    <pivotField showAll="0">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showAll="0"/>
    <pivotField showAll="0"/>
    <pivotField showAll="0"/>
    <pivotField showAll="0"/>
    <pivotField showAll="0"/>
    <pivotField showAll="0"/>
    <pivotField showAll="0"/>
    <pivotField axis="axisRow" showAll="0" measureFilter="1" sortType="descending">
      <items count="20">
        <item x="3"/>
        <item x="5"/>
        <item x="14"/>
        <item x="10"/>
        <item x="13"/>
        <item x="4"/>
        <item x="1"/>
        <item x="16"/>
        <item x="18"/>
        <item x="12"/>
        <item x="11"/>
        <item x="2"/>
        <item x="15"/>
        <item x="9"/>
        <item x="7"/>
        <item x="8"/>
        <item x="17"/>
        <item x="6"/>
        <item x="0"/>
        <item t="default"/>
      </items>
      <autoSortScope>
        <pivotArea dataOnly="0" outline="0" fieldPosition="0">
          <references count="1">
            <reference field="4294967294" count="1" selected="0">
              <x v="0"/>
            </reference>
          </references>
        </pivotArea>
      </autoSortScope>
    </pivotField>
    <pivotField showAll="0" measureFilter="1"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2">
    <field x="10"/>
    <field x="21"/>
  </rowFields>
  <rowItems count="6">
    <i>
      <x/>
    </i>
    <i r="1">
      <x v="18"/>
    </i>
    <i>
      <x v="1"/>
    </i>
    <i r="1">
      <x v="18"/>
    </i>
    <i>
      <x v="2"/>
    </i>
    <i r="1">
      <x v="18"/>
    </i>
  </rowItems>
  <colItems count="1">
    <i/>
  </colItems>
  <dataFields count="1">
    <dataField name="Sum of SALES" fld="4" baseField="0" baseItem="0" numFmtId="164"/>
  </dataFields>
  <formats count="1">
    <format dxfId="4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2" type="count" evalOrder="-1" id="2" iMeasureFld="0">
      <autoFilter ref="A1">
        <filterColumn colId="0">
          <top10 val="1" filterVal="1"/>
        </filterColumn>
      </autoFilter>
    </filter>
    <filter fld="21"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8A47D34-170E-4A9E-A22E-A4CBEC3EBEE1}" name="PivotTable12"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8:B14" firstHeaderRow="1" firstDataRow="1" firstDataCol="1"/>
  <pivotFields count="26">
    <pivotField showAll="0"/>
    <pivotField showAll="0"/>
    <pivotField showAll="0"/>
    <pivotField showAll="0"/>
    <pivotField dataField="1" showAll="0"/>
    <pivotField numFmtId="22" showAll="0"/>
    <pivotField showAll="0"/>
    <pivotField showAll="0"/>
    <pivotField showAll="0"/>
    <pivotField showAll="0"/>
    <pivotField axis="axisRow" showAll="0">
      <items count="4">
        <item x="0"/>
        <item x="1"/>
        <item x="2"/>
        <item t="default"/>
      </items>
    </pivotField>
    <pivotField showAll="0">
      <items count="8">
        <item x="1"/>
        <item x="0"/>
        <item x="4"/>
        <item x="5"/>
        <item x="6"/>
        <item x="2"/>
        <item x="3"/>
        <item t="default"/>
      </items>
    </pivotField>
    <pivotField showAll="0"/>
    <pivotField axis="axisRow" showAll="0" sortType="descending">
      <items count="110">
        <item h="1" x="108"/>
        <item h="1" x="107"/>
        <item h="1" x="106"/>
        <item h="1" x="105"/>
        <item h="1" x="104"/>
        <item h="1" x="103"/>
        <item h="1" x="102"/>
        <item h="1" x="101"/>
        <item h="1" x="100"/>
        <item h="1" x="99"/>
        <item h="1" x="98"/>
        <item h="1" x="97"/>
        <item h="1" x="96"/>
        <item h="1" x="95"/>
        <item h="1" x="94"/>
        <item h="1" x="93"/>
        <item h="1" x="92"/>
        <item h="1" x="91"/>
        <item h="1" x="90"/>
        <item h="1" x="89"/>
        <item h="1" x="88"/>
        <item h="1" x="87"/>
        <item h="1" x="86"/>
        <item h="1" x="85"/>
        <item h="1" x="84"/>
        <item h="1" x="83"/>
        <item h="1" x="82"/>
        <item h="1" x="81"/>
        <item h="1" x="80"/>
        <item h="1" x="79"/>
        <item h="1" x="78"/>
        <item h="1" x="77"/>
        <item h="1" x="76"/>
        <item h="1" x="75"/>
        <item h="1" x="74"/>
        <item h="1" x="73"/>
        <item h="1" x="72"/>
        <item h="1" x="71"/>
        <item h="1" x="70"/>
        <item h="1" x="69"/>
        <item h="1" x="68"/>
        <item h="1" x="67"/>
        <item h="1" x="66"/>
        <item h="1" x="65"/>
        <item h="1" x="64"/>
        <item h="1" x="63"/>
        <item h="1" x="62"/>
        <item h="1" x="61"/>
        <item h="1" x="60"/>
        <item h="1" x="59"/>
        <item h="1" x="58"/>
        <item h="1" x="57"/>
        <item h="1" x="56"/>
        <item h="1" x="55"/>
        <item h="1" x="54"/>
        <item h="1" x="53"/>
        <item h="1" x="52"/>
        <item h="1" x="51"/>
        <item h="1" x="50"/>
        <item h="1" x="49"/>
        <item h="1" x="48"/>
        <item h="1" x="47"/>
        <item h="1" x="46"/>
        <item h="1" x="45"/>
        <item h="1" x="44"/>
        <item h="1" x="43"/>
        <item h="1" x="42"/>
        <item h="1" x="41"/>
        <item h="1" x="40"/>
        <item x="39"/>
        <item h="1" x="38"/>
        <item h="1" x="37"/>
        <item h="1" x="36"/>
        <item h="1" x="35"/>
        <item h="1" x="34"/>
        <item h="1" x="33"/>
        <item h="1" x="32"/>
        <item h="1" x="31"/>
        <item h="1" x="30"/>
        <item h="1" x="29"/>
        <item h="1" x="28"/>
        <item h="1" x="27"/>
        <item h="1" x="26"/>
        <item h="1" x="25"/>
        <item h="1" x="24"/>
        <item h="1" x="23"/>
        <item h="1" x="22"/>
        <item h="1" x="21"/>
        <item h="1" x="20"/>
        <item h="1" x="19"/>
        <item h="1" x="18"/>
        <item h="1" x="17"/>
        <item h="1" x="16"/>
        <item h="1" x="15"/>
        <item h="1" x="14"/>
        <item h="1" x="13"/>
        <item h="1" x="12"/>
        <item h="1" x="11"/>
        <item h="1" x="10"/>
        <item h="1" x="9"/>
        <item h="1" x="8"/>
        <item h="1" x="7"/>
        <item h="1" x="6"/>
        <item h="1" x="5"/>
        <item h="1" x="4"/>
        <item h="1" x="3"/>
        <item h="1" x="2"/>
        <item h="1"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10"/>
    <field x="13"/>
  </rowFields>
  <rowItems count="6">
    <i>
      <x/>
    </i>
    <i r="1">
      <x v="69"/>
    </i>
    <i>
      <x v="1"/>
    </i>
    <i r="1">
      <x v="69"/>
    </i>
    <i>
      <x v="2"/>
    </i>
    <i r="1">
      <x v="69"/>
    </i>
  </rowItems>
  <colItems count="1">
    <i/>
  </colItems>
  <dataFields count="1">
    <dataField name="Sum of SALES" fld="4" baseField="0" baseItem="0" numFmtId="164"/>
  </dataFields>
  <formats count="1">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ED62BC8-4F1F-401E-9D5C-1D9459C23F17}" name="PivotTable6"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G4:H5" firstHeaderRow="1" firstDataRow="1" firstDataCol="1"/>
  <pivotFields count="26">
    <pivotField showAll="0"/>
    <pivotField showAll="0"/>
    <pivotField showAll="0"/>
    <pivotField showAll="0"/>
    <pivotField dataField="1" showAll="0"/>
    <pivotField numFmtId="22" showAll="0"/>
    <pivotField showAll="0"/>
    <pivotField showAll="0"/>
    <pivotField showAll="0"/>
    <pivotField showAll="0"/>
    <pivotField showAll="0"/>
    <pivotField showAll="0">
      <items count="8">
        <item x="1"/>
        <item x="0"/>
        <item x="4"/>
        <item x="5"/>
        <item x="6"/>
        <item x="2"/>
        <item x="3"/>
        <item t="default"/>
      </items>
    </pivotField>
    <pivotField showAll="0"/>
    <pivotField showAll="0">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showAll="0"/>
    <pivotField showAll="0"/>
    <pivotField showAll="0"/>
    <pivotField showAll="0"/>
    <pivotField showAll="0"/>
    <pivotField showAll="0"/>
    <pivotField showAll="0"/>
    <pivotField showAll="0"/>
    <pivotField axis="axisRow" showAll="0" measureFilter="1"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2"/>
  </rowFields>
  <rowItems count="1">
    <i>
      <x v="1"/>
    </i>
  </rowItems>
  <colItems count="1">
    <i/>
  </colItems>
  <dataFields count="1">
    <dataField name="Sum of SALES" fld="4" baseField="0" baseItem="0" numFmtId="164"/>
  </dataFields>
  <formats count="1">
    <format dxfId="47">
      <pivotArea outline="0" collapsedLevelsAreSubtotals="1" fieldPosition="0"/>
    </format>
  </formats>
  <pivotTableStyleInfo name="PivotStyleLight16" showRowHeaders="1" showColHeaders="1" showRowStripes="0" showColStripes="0" showLastColumn="1"/>
  <filters count="1">
    <filter fld="22"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7B54067-D076-40FC-AE07-B14FB2D25E52}" name="PivotTable5"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D4:E17" firstHeaderRow="1" firstDataRow="1" firstDataCol="1"/>
  <pivotFields count="26">
    <pivotField showAll="0"/>
    <pivotField showAll="0"/>
    <pivotField showAll="0"/>
    <pivotField showAll="0"/>
    <pivotField dataField="1" showAll="0"/>
    <pivotField numFmtId="22" showAll="0"/>
    <pivotField showAll="0"/>
    <pivotField showAll="0"/>
    <pivotField showAll="0"/>
    <pivotField axis="axisRow" showAll="0">
      <items count="13">
        <item x="7"/>
        <item x="0"/>
        <item x="11"/>
        <item x="8"/>
        <item x="1"/>
        <item x="9"/>
        <item x="2"/>
        <item x="3"/>
        <item x="10"/>
        <item x="4"/>
        <item x="5"/>
        <item x="6"/>
        <item t="default"/>
      </items>
    </pivotField>
    <pivotField showAll="0"/>
    <pivotField showAll="0">
      <items count="8">
        <item x="1"/>
        <item x="0"/>
        <item x="4"/>
        <item x="5"/>
        <item x="6"/>
        <item x="2"/>
        <item x="3"/>
        <item t="default"/>
      </items>
    </pivotField>
    <pivotField showAll="0"/>
    <pivotField axis="axisRow" showAll="0">
      <items count="110">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13"/>
    <field x="9"/>
  </rowFields>
  <rowItems count="13">
    <i>
      <x v="39"/>
    </i>
    <i r="1">
      <x/>
    </i>
    <i r="1">
      <x v="1"/>
    </i>
    <i r="1">
      <x v="2"/>
    </i>
    <i r="1">
      <x v="3"/>
    </i>
    <i r="1">
      <x v="4"/>
    </i>
    <i r="1">
      <x v="5"/>
    </i>
    <i r="1">
      <x v="6"/>
    </i>
    <i r="1">
      <x v="7"/>
    </i>
    <i r="1">
      <x v="8"/>
    </i>
    <i r="1">
      <x v="9"/>
    </i>
    <i r="1">
      <x v="10"/>
    </i>
    <i r="1">
      <x v="11"/>
    </i>
  </rowItems>
  <colItems count="1">
    <i/>
  </colItems>
  <dataFields count="1">
    <dataField name="Sum of SALES" fld="4" baseField="0" baseItem="0" numFmtId="164"/>
  </dataFields>
  <formats count="1">
    <format dxfId="4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3C50E74-8000-428D-BA1D-04470673CE53}"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C13" firstHeaderRow="0" firstDataRow="1" firstDataCol="1"/>
  <pivotFields count="26">
    <pivotField showAll="0"/>
    <pivotField dataField="1" showAll="0"/>
    <pivotField showAll="0"/>
    <pivotField showAll="0"/>
    <pivotField dataField="1" showAll="0"/>
    <pivotField numFmtId="22" showAll="0"/>
    <pivotField showAll="0"/>
    <pivotField showAll="0"/>
    <pivotField showAll="0"/>
    <pivotField showAll="0"/>
    <pivotField showAll="0"/>
    <pivotField showAll="0">
      <items count="8">
        <item x="1"/>
        <item x="0"/>
        <item x="4"/>
        <item x="5"/>
        <item x="6"/>
        <item x="2"/>
        <item x="3"/>
        <item t="default"/>
      </items>
    </pivotField>
    <pivotField showAll="0"/>
    <pivotField showAll="0"/>
    <pivotField axis="axisRow" showAll="0" measureFilter="1" sortType="descending">
      <items count="93">
        <item x="51"/>
        <item x="36"/>
        <item x="42"/>
        <item x="46"/>
        <item x="87"/>
        <item x="10"/>
        <item x="28"/>
        <item x="38"/>
        <item x="9"/>
        <item x="91"/>
        <item x="77"/>
        <item x="17"/>
        <item x="89"/>
        <item x="72"/>
        <item x="80"/>
        <item x="76"/>
        <item x="33"/>
        <item x="31"/>
        <item x="29"/>
        <item x="27"/>
        <item x="75"/>
        <item x="55"/>
        <item x="41"/>
        <item x="4"/>
        <item x="25"/>
        <item x="66"/>
        <item x="6"/>
        <item x="48"/>
        <item x="18"/>
        <item x="64"/>
        <item x="52"/>
        <item x="26"/>
        <item x="53"/>
        <item x="23"/>
        <item x="21"/>
        <item x="13"/>
        <item x="88"/>
        <item x="58"/>
        <item x="59"/>
        <item x="65"/>
        <item x="78"/>
        <item x="7"/>
        <item x="81"/>
        <item x="62"/>
        <item x="14"/>
        <item x="0"/>
        <item x="70"/>
        <item x="2"/>
        <item x="67"/>
        <item x="15"/>
        <item x="54"/>
        <item x="79"/>
        <item x="63"/>
        <item x="83"/>
        <item x="47"/>
        <item x="50"/>
        <item x="39"/>
        <item x="8"/>
        <item x="45"/>
        <item x="74"/>
        <item x="85"/>
        <item x="40"/>
        <item x="71"/>
        <item x="44"/>
        <item x="60"/>
        <item x="56"/>
        <item x="43"/>
        <item x="1"/>
        <item x="86"/>
        <item x="57"/>
        <item x="90"/>
        <item x="19"/>
        <item x="30"/>
        <item x="37"/>
        <item x="82"/>
        <item x="84"/>
        <item x="20"/>
        <item x="49"/>
        <item x="73"/>
        <item x="34"/>
        <item x="5"/>
        <item x="12"/>
        <item x="61"/>
        <item x="35"/>
        <item x="68"/>
        <item x="16"/>
        <item x="3"/>
        <item x="22"/>
        <item x="69"/>
        <item x="11"/>
        <item x="24"/>
        <item x="32"/>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pivotField>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items count="4">
        <item x="2"/>
        <item x="1"/>
        <item x="0"/>
        <item t="default"/>
      </items>
    </pivotField>
  </pivotFields>
  <rowFields count="1">
    <field x="14"/>
  </rowFields>
  <rowItems count="11">
    <i>
      <x v="33"/>
    </i>
    <i>
      <x v="56"/>
    </i>
    <i>
      <x v="5"/>
    </i>
    <i>
      <x v="59"/>
    </i>
    <i>
      <x v="44"/>
    </i>
    <i>
      <x v="45"/>
    </i>
    <i>
      <x v="82"/>
    </i>
    <i>
      <x v="10"/>
    </i>
    <i>
      <x v="76"/>
    </i>
    <i>
      <x v="68"/>
    </i>
    <i t="grand">
      <x/>
    </i>
  </rowItems>
  <colFields count="1">
    <field x="-2"/>
  </colFields>
  <colItems count="2">
    <i>
      <x/>
    </i>
    <i i="1">
      <x v="1"/>
    </i>
  </colItems>
  <dataFields count="2">
    <dataField name="Sum of QUANTITYORDERED" fld="1" baseField="0" baseItem="0"/>
    <dataField name="Sum of SALES" fld="4" baseField="0" baseItem="0" numFmtId="164"/>
  </dataFields>
  <formats count="1">
    <format dxfId="38">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05439E2-F6F5-41D4-93D4-E868DDF76DCE}" name="PivotTable2"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1" rowHeaderCaption="Products">
  <location ref="A3:B23" firstHeaderRow="1" firstDataRow="1" firstDataCol="1"/>
  <pivotFields count="26">
    <pivotField showAll="0"/>
    <pivotField showAll="0"/>
    <pivotField showAll="0"/>
    <pivotField showAll="0"/>
    <pivotField dataField="1" showAll="0"/>
    <pivotField numFmtId="22" showAll="0"/>
    <pivotField showAll="0"/>
    <pivotField showAll="0"/>
    <pivotField showAll="0"/>
    <pivotField showAll="0"/>
    <pivotField showAll="0"/>
    <pivotField axis="axisRow" showAll="0" sortType="descending">
      <items count="8">
        <item x="1"/>
        <item x="0"/>
        <item x="4"/>
        <item x="5"/>
        <item x="6"/>
        <item x="2"/>
        <item x="3"/>
        <item t="default"/>
      </items>
      <autoSortScope>
        <pivotArea dataOnly="0" outline="0" fieldPosition="0">
          <references count="1">
            <reference field="4294967294" count="1" selected="0">
              <x v="0"/>
            </reference>
          </references>
        </pivotArea>
      </autoSortScope>
    </pivotField>
    <pivotField showAll="0"/>
    <pivotField axis="axisRow" showAll="0" measureFilter="1" sortType="ascending">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pivotField>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items count="4">
        <item x="2"/>
        <item x="1"/>
        <item x="0"/>
        <item t="default"/>
      </items>
    </pivotField>
  </pivotFields>
  <rowFields count="2">
    <field x="13"/>
    <field x="11"/>
  </rowFields>
  <rowItems count="20">
    <i>
      <x v="6"/>
    </i>
    <i r="1">
      <x/>
    </i>
    <i>
      <x v="21"/>
    </i>
    <i r="1">
      <x v="2"/>
    </i>
    <i>
      <x v="9"/>
    </i>
    <i r="1">
      <x v="1"/>
    </i>
    <i>
      <x v="76"/>
    </i>
    <i r="1">
      <x/>
    </i>
    <i>
      <x v="12"/>
    </i>
    <i r="1">
      <x/>
    </i>
    <i>
      <x v="25"/>
    </i>
    <i r="1">
      <x/>
    </i>
    <i>
      <x v="7"/>
    </i>
    <i r="1">
      <x/>
    </i>
    <i>
      <x v="3"/>
    </i>
    <i r="1">
      <x v="1"/>
    </i>
    <i>
      <x v="1"/>
    </i>
    <i r="1">
      <x/>
    </i>
    <i>
      <x v="39"/>
    </i>
    <i r="1">
      <x/>
    </i>
  </rowItems>
  <colItems count="1">
    <i/>
  </colItems>
  <dataFields count="1">
    <dataField name="Revenue" fld="4" baseField="0" baseItem="0" numFmtId="164"/>
  </dataFields>
  <formats count="1">
    <format dxfId="37">
      <pivotArea outline="0" collapsedLevelsAreSubtotals="1" fieldPosition="0"/>
    </format>
  </formats>
  <chartFormats count="2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3" count="1" selected="0">
            <x v="39"/>
          </reference>
        </references>
      </pivotArea>
    </chartFormat>
    <chartFormat chart="10" format="4">
      <pivotArea type="data" outline="0" fieldPosition="0">
        <references count="2">
          <reference field="4294967294" count="1" selected="0">
            <x v="0"/>
          </reference>
          <reference field="13" count="1" selected="0">
            <x v="1"/>
          </reference>
        </references>
      </pivotArea>
    </chartFormat>
    <chartFormat chart="10" format="5">
      <pivotArea type="data" outline="0" fieldPosition="0">
        <references count="2">
          <reference field="4294967294" count="1" selected="0">
            <x v="0"/>
          </reference>
          <reference field="13" count="1" selected="0">
            <x v="3"/>
          </reference>
        </references>
      </pivotArea>
    </chartFormat>
    <chartFormat chart="10" format="6">
      <pivotArea type="data" outline="0" fieldPosition="0">
        <references count="2">
          <reference field="4294967294" count="1" selected="0">
            <x v="0"/>
          </reference>
          <reference field="13" count="1" selected="0">
            <x v="7"/>
          </reference>
        </references>
      </pivotArea>
    </chartFormat>
    <chartFormat chart="10" format="7">
      <pivotArea type="data" outline="0" fieldPosition="0">
        <references count="2">
          <reference field="4294967294" count="1" selected="0">
            <x v="0"/>
          </reference>
          <reference field="13" count="1" selected="0">
            <x v="25"/>
          </reference>
        </references>
      </pivotArea>
    </chartFormat>
    <chartFormat chart="10" format="8">
      <pivotArea type="data" outline="0" fieldPosition="0">
        <references count="2">
          <reference field="4294967294" count="1" selected="0">
            <x v="0"/>
          </reference>
          <reference field="13" count="1" selected="0">
            <x v="12"/>
          </reference>
        </references>
      </pivotArea>
    </chartFormat>
    <chartFormat chart="10" format="9">
      <pivotArea type="data" outline="0" fieldPosition="0">
        <references count="2">
          <reference field="4294967294" count="1" selected="0">
            <x v="0"/>
          </reference>
          <reference field="13" count="1" selected="0">
            <x v="76"/>
          </reference>
        </references>
      </pivotArea>
    </chartFormat>
    <chartFormat chart="10" format="10">
      <pivotArea type="data" outline="0" fieldPosition="0">
        <references count="2">
          <reference field="4294967294" count="1" selected="0">
            <x v="0"/>
          </reference>
          <reference field="13" count="1" selected="0">
            <x v="9"/>
          </reference>
        </references>
      </pivotArea>
    </chartFormat>
    <chartFormat chart="10" format="11">
      <pivotArea type="data" outline="0" fieldPosition="0">
        <references count="2">
          <reference field="4294967294" count="1" selected="0">
            <x v="0"/>
          </reference>
          <reference field="13" count="1" selected="0">
            <x v="21"/>
          </reference>
        </references>
      </pivotArea>
    </chartFormat>
    <chartFormat chart="10" format="12">
      <pivotArea type="data" outline="0" fieldPosition="0">
        <references count="2">
          <reference field="4294967294" count="1" selected="0">
            <x v="0"/>
          </reference>
          <reference field="13" count="1" selected="0">
            <x v="6"/>
          </reference>
        </references>
      </pivotArea>
    </chartFormat>
    <chartFormat chart="10" format="13">
      <pivotArea type="data" outline="0" fieldPosition="0">
        <references count="3">
          <reference field="4294967294" count="1" selected="0">
            <x v="0"/>
          </reference>
          <reference field="11" count="1" selected="0">
            <x v="0"/>
          </reference>
          <reference field="13" count="1" selected="0">
            <x v="6"/>
          </reference>
        </references>
      </pivotArea>
    </chartFormat>
    <chartFormat chart="10" format="14">
      <pivotArea type="data" outline="0" fieldPosition="0">
        <references count="3">
          <reference field="4294967294" count="1" selected="0">
            <x v="0"/>
          </reference>
          <reference field="11" count="1" selected="0">
            <x v="2"/>
          </reference>
          <reference field="13" count="1" selected="0">
            <x v="21"/>
          </reference>
        </references>
      </pivotArea>
    </chartFormat>
    <chartFormat chart="10" format="15">
      <pivotArea type="data" outline="0" fieldPosition="0">
        <references count="3">
          <reference field="4294967294" count="1" selected="0">
            <x v="0"/>
          </reference>
          <reference field="11" count="1" selected="0">
            <x v="1"/>
          </reference>
          <reference field="13" count="1" selected="0">
            <x v="9"/>
          </reference>
        </references>
      </pivotArea>
    </chartFormat>
    <chartFormat chart="10" format="16">
      <pivotArea type="data" outline="0" fieldPosition="0">
        <references count="3">
          <reference field="4294967294" count="1" selected="0">
            <x v="0"/>
          </reference>
          <reference field="11" count="1" selected="0">
            <x v="0"/>
          </reference>
          <reference field="13" count="1" selected="0">
            <x v="76"/>
          </reference>
        </references>
      </pivotArea>
    </chartFormat>
    <chartFormat chart="10" format="17">
      <pivotArea type="data" outline="0" fieldPosition="0">
        <references count="3">
          <reference field="4294967294" count="1" selected="0">
            <x v="0"/>
          </reference>
          <reference field="11" count="1" selected="0">
            <x v="0"/>
          </reference>
          <reference field="13" count="1" selected="0">
            <x v="12"/>
          </reference>
        </references>
      </pivotArea>
    </chartFormat>
    <chartFormat chart="10" format="18">
      <pivotArea type="data" outline="0" fieldPosition="0">
        <references count="3">
          <reference field="4294967294" count="1" selected="0">
            <x v="0"/>
          </reference>
          <reference field="11" count="1" selected="0">
            <x v="0"/>
          </reference>
          <reference field="13" count="1" selected="0">
            <x v="25"/>
          </reference>
        </references>
      </pivotArea>
    </chartFormat>
    <chartFormat chart="10" format="19">
      <pivotArea type="data" outline="0" fieldPosition="0">
        <references count="3">
          <reference field="4294967294" count="1" selected="0">
            <x v="0"/>
          </reference>
          <reference field="11" count="1" selected="0">
            <x v="0"/>
          </reference>
          <reference field="13" count="1" selected="0">
            <x v="7"/>
          </reference>
        </references>
      </pivotArea>
    </chartFormat>
    <chartFormat chart="10" format="20">
      <pivotArea type="data" outline="0" fieldPosition="0">
        <references count="3">
          <reference field="4294967294" count="1" selected="0">
            <x v="0"/>
          </reference>
          <reference field="11" count="1" selected="0">
            <x v="1"/>
          </reference>
          <reference field="13" count="1" selected="0">
            <x v="3"/>
          </reference>
        </references>
      </pivotArea>
    </chartFormat>
    <chartFormat chart="10" format="21">
      <pivotArea type="data" outline="0" fieldPosition="0">
        <references count="3">
          <reference field="4294967294" count="1" selected="0">
            <x v="0"/>
          </reference>
          <reference field="11" count="1" selected="0">
            <x v="0"/>
          </reference>
          <reference field="13" count="1" selected="0">
            <x v="1"/>
          </reference>
        </references>
      </pivotArea>
    </chartFormat>
    <chartFormat chart="10" format="22">
      <pivotArea type="data" outline="0" fieldPosition="0">
        <references count="3">
          <reference field="4294967294" count="1" selected="0">
            <x v="0"/>
          </reference>
          <reference field="11" count="1" selected="0">
            <x v="0"/>
          </reference>
          <reference field="13" count="1" selected="0">
            <x v="39"/>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DBC8C38-675F-4264-959D-A8EC2CBE6203}" name="PivotTable3"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3" rowHeaderCaption="Products">
  <location ref="A3:B8" firstHeaderRow="1" firstDataRow="1" firstDataCol="1"/>
  <pivotFields count="26">
    <pivotField showAll="0"/>
    <pivotField dataField="1" showAll="0"/>
    <pivotField showAll="0"/>
    <pivotField showAll="0"/>
    <pivotField showAll="0"/>
    <pivotField numFmtId="22" showAll="0"/>
    <pivotField showAll="0"/>
    <pivotField showAll="0"/>
    <pivotField showAll="0"/>
    <pivotField showAll="0"/>
    <pivotField showAll="0"/>
    <pivotField axis="axisRow" showAll="0" measureFilter="1" sortType="descending">
      <items count="8">
        <item x="1"/>
        <item x="0"/>
        <item x="4"/>
        <item x="5"/>
        <item x="6"/>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pivotField>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items count="4">
        <item x="2"/>
        <item x="1"/>
        <item x="0"/>
        <item t="default"/>
      </items>
    </pivotField>
  </pivotFields>
  <rowFields count="1">
    <field x="11"/>
  </rowFields>
  <rowItems count="5">
    <i>
      <x/>
    </i>
    <i>
      <x v="6"/>
    </i>
    <i>
      <x v="1"/>
    </i>
    <i>
      <x v="5"/>
    </i>
    <i>
      <x v="2"/>
    </i>
  </rowItems>
  <colItems count="1">
    <i/>
  </colItems>
  <dataFields count="1">
    <dataField name="Sum of QUANTITYORDERED" fld="1" baseField="11" baseItem="0"/>
  </dataFields>
  <chartFormats count="22">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1" count="1" selected="0">
            <x v="0"/>
          </reference>
        </references>
      </pivotArea>
    </chartFormat>
    <chartFormat chart="10" format="2">
      <pivotArea type="data" outline="0" fieldPosition="0">
        <references count="2">
          <reference field="4294967294" count="1" selected="0">
            <x v="0"/>
          </reference>
          <reference field="11" count="1" selected="0">
            <x v="5"/>
          </reference>
        </references>
      </pivotArea>
    </chartFormat>
    <chartFormat chart="10" format="3">
      <pivotArea type="data" outline="0" fieldPosition="0">
        <references count="2">
          <reference field="4294967294" count="1" selected="0">
            <x v="0"/>
          </reference>
          <reference field="11" count="1" selected="0">
            <x v="2"/>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1" count="1" selected="0">
            <x v="0"/>
          </reference>
        </references>
      </pivotArea>
    </chartFormat>
    <chartFormat chart="11" format="6">
      <pivotArea type="data" outline="0" fieldPosition="0">
        <references count="2">
          <reference field="4294967294" count="1" selected="0">
            <x v="0"/>
          </reference>
          <reference field="11" count="1" selected="0">
            <x v="6"/>
          </reference>
        </references>
      </pivotArea>
    </chartFormat>
    <chartFormat chart="11" format="7">
      <pivotArea type="data" outline="0" fieldPosition="0">
        <references count="2">
          <reference field="4294967294" count="1" selected="0">
            <x v="0"/>
          </reference>
          <reference field="11" count="1" selected="0">
            <x v="1"/>
          </reference>
        </references>
      </pivotArea>
    </chartFormat>
    <chartFormat chart="11" format="8">
      <pivotArea type="data" outline="0" fieldPosition="0">
        <references count="2">
          <reference field="4294967294" count="1" selected="0">
            <x v="0"/>
          </reference>
          <reference field="11" count="1" selected="0">
            <x v="2"/>
          </reference>
        </references>
      </pivotArea>
    </chartFormat>
    <chartFormat chart="11" format="9">
      <pivotArea type="data" outline="0" fieldPosition="0">
        <references count="2">
          <reference field="4294967294" count="1" selected="0">
            <x v="0"/>
          </reference>
          <reference field="11" count="1" selected="0">
            <x v="5"/>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11" count="1" selected="0">
            <x v="0"/>
          </reference>
        </references>
      </pivotArea>
    </chartFormat>
    <chartFormat chart="12" format="12">
      <pivotArea type="data" outline="0" fieldPosition="0">
        <references count="2">
          <reference field="4294967294" count="1" selected="0">
            <x v="0"/>
          </reference>
          <reference field="11" count="1" selected="0">
            <x v="6"/>
          </reference>
        </references>
      </pivotArea>
    </chartFormat>
    <chartFormat chart="12" format="13">
      <pivotArea type="data" outline="0" fieldPosition="0">
        <references count="2">
          <reference field="4294967294" count="1" selected="0">
            <x v="0"/>
          </reference>
          <reference field="11" count="1" selected="0">
            <x v="1"/>
          </reference>
        </references>
      </pivotArea>
    </chartFormat>
    <chartFormat chart="12" format="14">
      <pivotArea type="data" outline="0" fieldPosition="0">
        <references count="2">
          <reference field="4294967294" count="1" selected="0">
            <x v="0"/>
          </reference>
          <reference field="11" count="1" selected="0">
            <x v="2"/>
          </reference>
        </references>
      </pivotArea>
    </chartFormat>
    <chartFormat chart="12" format="15">
      <pivotArea type="data" outline="0" fieldPosition="0">
        <references count="2">
          <reference field="4294967294" count="1" selected="0">
            <x v="0"/>
          </reference>
          <reference field="11" count="1" selected="0">
            <x v="5"/>
          </reference>
        </references>
      </pivotArea>
    </chartFormat>
    <chartFormat chart="10" format="4">
      <pivotArea type="data" outline="0" fieldPosition="0">
        <references count="2">
          <reference field="4294967294" count="1" selected="0">
            <x v="0"/>
          </reference>
          <reference field="11" count="1" selected="0">
            <x v="6"/>
          </reference>
        </references>
      </pivotArea>
    </chartFormat>
    <chartFormat chart="10" format="5">
      <pivotArea type="data" outline="0" fieldPosition="0">
        <references count="2">
          <reference field="4294967294" count="1" selected="0">
            <x v="0"/>
          </reference>
          <reference field="11" count="1" selected="0">
            <x v="1"/>
          </reference>
        </references>
      </pivotArea>
    </chartFormat>
    <chartFormat chart="12" format="16">
      <pivotArea type="data" outline="0" fieldPosition="0">
        <references count="2">
          <reference field="4294967294" count="1" selected="0">
            <x v="0"/>
          </reference>
          <reference field="11" count="1" selected="0">
            <x v="3"/>
          </reference>
        </references>
      </pivotArea>
    </chartFormat>
    <chartFormat chart="12" format="17">
      <pivotArea type="data" outline="0" fieldPosition="0">
        <references count="2">
          <reference field="4294967294" count="1" selected="0">
            <x v="0"/>
          </reference>
          <reference field="11" count="1" selected="0">
            <x v="4"/>
          </reference>
        </references>
      </pivotArea>
    </chartFormat>
    <chartFormat chart="10" format="6">
      <pivotArea type="data" outline="0" fieldPosition="0">
        <references count="2">
          <reference field="4294967294" count="1" selected="0">
            <x v="0"/>
          </reference>
          <reference field="11" count="1" selected="0">
            <x v="3"/>
          </reference>
        </references>
      </pivotArea>
    </chartFormat>
    <chartFormat chart="10" format="7">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17311BE-4885-47D1-89C4-257DC256BB73}"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O3:P23" firstHeaderRow="1" firstDataRow="1" firstDataCol="1"/>
  <pivotFields count="26">
    <pivotField showAll="0"/>
    <pivotField showAll="0"/>
    <pivotField showAll="0"/>
    <pivotField showAll="0"/>
    <pivotField showAll="0"/>
    <pivotField numFmtId="22" showAll="0"/>
    <pivotField axis="axisRow" dataField="1" showAll="0">
      <items count="7">
        <item x="3"/>
        <item x="1"/>
        <item x="2"/>
        <item x="4"/>
        <item x="5"/>
        <item x="0"/>
        <item t="default"/>
      </items>
    </pivotField>
    <pivotField showAll="0"/>
    <pivotField showAll="0"/>
    <pivotField showAll="0"/>
    <pivotField showAll="0"/>
    <pivotField showAll="0">
      <items count="8">
        <item x="1"/>
        <item x="0"/>
        <item x="4"/>
        <item x="5"/>
        <item x="6"/>
        <item x="2"/>
        <item x="3"/>
        <item t="default"/>
      </items>
    </pivotField>
    <pivotField showAll="0"/>
    <pivotField showAll="0"/>
    <pivotField showAll="0"/>
    <pivotField showAll="0"/>
    <pivotField showAll="0"/>
    <pivotField showAll="0"/>
    <pivotField showAll="0">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pivotField>
    <pivotField showAll="0"/>
    <pivotField showAll="0"/>
    <pivotField showAll="0">
      <items count="20">
        <item x="3"/>
        <item x="5"/>
        <item x="14"/>
        <item x="10"/>
        <item x="13"/>
        <item x="4"/>
        <item x="1"/>
        <item x="16"/>
        <item x="18"/>
        <item x="12"/>
        <item x="11"/>
        <item x="2"/>
        <item x="15"/>
        <item x="9"/>
        <item x="7"/>
        <item x="8"/>
        <item x="17"/>
        <item x="6"/>
        <item x="0"/>
        <item t="default"/>
      </items>
    </pivotField>
    <pivotField axis="axisRow" showAll="0">
      <items count="5">
        <item x="2"/>
        <item x="1"/>
        <item x="3"/>
        <item x="0"/>
        <item t="default"/>
      </items>
    </pivotField>
    <pivotField showAll="0"/>
    <pivotField showAll="0"/>
    <pivotField showAll="0">
      <items count="4">
        <item x="2"/>
        <item x="1"/>
        <item x="0"/>
        <item t="default"/>
      </items>
    </pivotField>
  </pivotFields>
  <rowFields count="2">
    <field x="22"/>
    <field x="6"/>
  </rowFields>
  <rowItems count="20">
    <i>
      <x/>
    </i>
    <i r="1">
      <x v="1"/>
    </i>
    <i r="1">
      <x v="2"/>
    </i>
    <i r="1">
      <x v="5"/>
    </i>
    <i>
      <x v="1"/>
    </i>
    <i r="1">
      <x/>
    </i>
    <i r="1">
      <x v="1"/>
    </i>
    <i r="1">
      <x v="2"/>
    </i>
    <i r="1">
      <x v="3"/>
    </i>
    <i r="1">
      <x v="4"/>
    </i>
    <i r="1">
      <x v="5"/>
    </i>
    <i>
      <x v="2"/>
    </i>
    <i r="1">
      <x v="5"/>
    </i>
    <i>
      <x v="3"/>
    </i>
    <i r="1">
      <x/>
    </i>
    <i r="1">
      <x v="2"/>
    </i>
    <i r="1">
      <x v="3"/>
    </i>
    <i r="1">
      <x v="4"/>
    </i>
    <i r="1">
      <x v="5"/>
    </i>
    <i t="grand">
      <x/>
    </i>
  </rowItems>
  <colItems count="1">
    <i/>
  </colItems>
  <dataFields count="1">
    <dataField name="Count of STATUS" fld="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516A5C3-F918-43EA-A41F-AD8114FB49A3}" name="PivotTable1"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3" rowHeaderCaption="Territory">
  <location ref="A2:C21" firstHeaderRow="0" firstDataRow="1" firstDataCol="1"/>
  <pivotFields count="26">
    <pivotField showAll="0"/>
    <pivotField showAll="0"/>
    <pivotField showAll="0"/>
    <pivotField showAll="0"/>
    <pivotField dataField="1" showAll="0"/>
    <pivotField numFmtId="22" showAll="0"/>
    <pivotField axis="axisRow" showAll="0">
      <items count="7">
        <item x="3"/>
        <item x="1"/>
        <item x="2"/>
        <item x="4"/>
        <item x="5"/>
        <item x="0"/>
        <item t="default"/>
      </items>
    </pivotField>
    <pivotField showAll="0"/>
    <pivotField showAll="0"/>
    <pivotField showAll="0"/>
    <pivotField showAll="0"/>
    <pivotField showAll="0">
      <items count="8">
        <item x="1"/>
        <item x="0"/>
        <item x="4"/>
        <item x="5"/>
        <item x="6"/>
        <item x="2"/>
        <item x="3"/>
        <item t="default"/>
      </items>
    </pivotField>
    <pivotField showAll="0"/>
    <pivotField showAll="0"/>
    <pivotField showAll="0"/>
    <pivotField showAll="0"/>
    <pivotField showAll="0"/>
    <pivotField showAll="0"/>
    <pivotField showAll="0">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pivotField>
    <pivotField showAll="0"/>
    <pivotField showAll="0"/>
    <pivotField showAll="0">
      <items count="20">
        <item x="3"/>
        <item x="5"/>
        <item x="14"/>
        <item x="10"/>
        <item x="13"/>
        <item x="4"/>
        <item x="1"/>
        <item x="16"/>
        <item x="18"/>
        <item x="12"/>
        <item x="11"/>
        <item x="2"/>
        <item x="15"/>
        <item x="9"/>
        <item x="7"/>
        <item x="8"/>
        <item x="17"/>
        <item x="6"/>
        <item x="0"/>
        <item t="default"/>
      </items>
    </pivotField>
    <pivotField axis="axisRow" showAll="0">
      <items count="5">
        <item x="2"/>
        <item x="1"/>
        <item x="3"/>
        <item x="0"/>
        <item t="default"/>
      </items>
    </pivotField>
    <pivotField showAll="0"/>
    <pivotField showAll="0"/>
    <pivotField dataField="1" showAll="0">
      <items count="4">
        <item x="2"/>
        <item x="1"/>
        <item x="0"/>
        <item t="default"/>
      </items>
    </pivotField>
  </pivotFields>
  <rowFields count="2">
    <field x="22"/>
    <field x="6"/>
  </rowFields>
  <rowItems count="19">
    <i>
      <x/>
    </i>
    <i r="1">
      <x v="1"/>
    </i>
    <i r="1">
      <x v="2"/>
    </i>
    <i r="1">
      <x v="5"/>
    </i>
    <i>
      <x v="1"/>
    </i>
    <i r="1">
      <x/>
    </i>
    <i r="1">
      <x v="1"/>
    </i>
    <i r="1">
      <x v="2"/>
    </i>
    <i r="1">
      <x v="3"/>
    </i>
    <i r="1">
      <x v="4"/>
    </i>
    <i r="1">
      <x v="5"/>
    </i>
    <i>
      <x v="2"/>
    </i>
    <i r="1">
      <x v="5"/>
    </i>
    <i>
      <x v="3"/>
    </i>
    <i r="1">
      <x/>
    </i>
    <i r="1">
      <x v="2"/>
    </i>
    <i r="1">
      <x v="3"/>
    </i>
    <i r="1">
      <x v="4"/>
    </i>
    <i r="1">
      <x v="5"/>
    </i>
  </rowItems>
  <colFields count="1">
    <field x="-2"/>
  </colFields>
  <colItems count="2">
    <i>
      <x/>
    </i>
    <i i="1">
      <x v="1"/>
    </i>
  </colItems>
  <dataFields count="2">
    <dataField name="Deal Size" fld="25" subtotal="count" baseField="0" baseItem="0"/>
    <dataField name="Sum of SALES" fld="4" baseField="0" baseItem="0" numFmtId="164"/>
  </dataFields>
  <formats count="8">
    <format dxfId="36">
      <pivotArea collapsedLevelsAreSubtotals="1" fieldPosition="0">
        <references count="1">
          <reference field="22" count="0"/>
        </references>
      </pivotArea>
    </format>
    <format dxfId="35">
      <pivotArea outline="0" collapsedLevelsAreSubtotals="1" fieldPosition="0">
        <references count="1">
          <reference field="4294967294" count="1" selected="0">
            <x v="0"/>
          </reference>
        </references>
      </pivotArea>
    </format>
    <format dxfId="34">
      <pivotArea type="all" dataOnly="0" outline="0" fieldPosition="0"/>
    </format>
    <format dxfId="33">
      <pivotArea outline="0" collapsedLevelsAreSubtotals="1" fieldPosition="0"/>
    </format>
    <format dxfId="32">
      <pivotArea field="22" type="button" dataOnly="0" labelOnly="1" outline="0" axis="axisRow" fieldPosition="0"/>
    </format>
    <format dxfId="31">
      <pivotArea dataOnly="0" labelOnly="1" fieldPosition="0">
        <references count="1">
          <reference field="22" count="0"/>
        </references>
      </pivotArea>
    </format>
    <format dxfId="30">
      <pivotArea dataOnly="0" labelOnly="1" outline="0" fieldPosition="0">
        <references count="1">
          <reference field="4294967294" count="2">
            <x v="0"/>
            <x v="1"/>
          </reference>
        </references>
      </pivotArea>
    </format>
    <format dxfId="29">
      <pivotArea outline="0" collapsedLevelsAreSubtotals="1" fieldPosition="0">
        <references count="1">
          <reference field="4294967294" count="1" selected="0">
            <x v="1"/>
          </reference>
        </references>
      </pivotArea>
    </format>
  </formats>
  <chartFormats count="32">
    <chartFormat chart="7" format="0" series="1">
      <pivotArea type="data" outline="0" fieldPosition="0">
        <references count="1">
          <reference field="4294967294" count="1" selected="0">
            <x v="1"/>
          </reference>
        </references>
      </pivotArea>
    </chartFormat>
    <chartFormat chart="7" format="1">
      <pivotArea type="data" outline="0" fieldPosition="0">
        <references count="2">
          <reference field="4294967294" count="1" selected="0">
            <x v="1"/>
          </reference>
          <reference field="22" count="1" selected="0">
            <x v="1"/>
          </reference>
        </references>
      </pivotArea>
    </chartFormat>
    <chartFormat chart="7" format="2">
      <pivotArea type="data" outline="0" fieldPosition="0">
        <references count="2">
          <reference field="4294967294" count="1" selected="0">
            <x v="1"/>
          </reference>
          <reference field="22" count="1" selected="0">
            <x v="3"/>
          </reference>
        </references>
      </pivotArea>
    </chartFormat>
    <chartFormat chart="7" format="3">
      <pivotArea type="data" outline="0" fieldPosition="0">
        <references count="2">
          <reference field="4294967294" count="1" selected="0">
            <x v="1"/>
          </reference>
          <reference field="22" count="1" selected="0">
            <x v="0"/>
          </reference>
        </references>
      </pivotArea>
    </chartFormat>
    <chartFormat chart="7" format="4">
      <pivotArea type="data" outline="0" fieldPosition="0">
        <references count="2">
          <reference field="4294967294" count="1" selected="0">
            <x v="1"/>
          </reference>
          <reference field="22" count="1" selected="0">
            <x v="2"/>
          </reference>
        </references>
      </pivotArea>
    </chartFormat>
    <chartFormat chart="7" format="7"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1"/>
          </reference>
        </references>
      </pivotArea>
    </chartFormat>
    <chartFormat chart="30" format="2">
      <pivotArea type="data" outline="0" fieldPosition="0">
        <references count="2">
          <reference field="4294967294" count="1" selected="0">
            <x v="0"/>
          </reference>
          <reference field="22" count="1" selected="0">
            <x v="1"/>
          </reference>
        </references>
      </pivotArea>
    </chartFormat>
    <chartFormat chart="32" format="12" series="1">
      <pivotArea type="data" outline="0" fieldPosition="0">
        <references count="1">
          <reference field="4294967294" count="1" selected="0">
            <x v="1"/>
          </reference>
        </references>
      </pivotArea>
    </chartFormat>
    <chartFormat chart="32" format="13" series="1">
      <pivotArea type="data" outline="0" fieldPosition="0">
        <references count="1">
          <reference field="4294967294" count="1" selected="0">
            <x v="0"/>
          </reference>
        </references>
      </pivotArea>
    </chartFormat>
    <chartFormat chart="30" format="10">
      <pivotArea type="data" outline="0" fieldPosition="0">
        <references count="3">
          <reference field="4294967294" count="1" selected="0">
            <x v="0"/>
          </reference>
          <reference field="6" count="1" selected="0">
            <x v="0"/>
          </reference>
          <reference field="22" count="1" selected="0">
            <x v="1"/>
          </reference>
        </references>
      </pivotArea>
    </chartFormat>
    <chartFormat chart="30" format="11">
      <pivotArea type="data" outline="0" fieldPosition="0">
        <references count="3">
          <reference field="4294967294" count="1" selected="0">
            <x v="0"/>
          </reference>
          <reference field="6" count="1" selected="0">
            <x v="1"/>
          </reference>
          <reference field="22" count="1" selected="0">
            <x v="1"/>
          </reference>
        </references>
      </pivotArea>
    </chartFormat>
    <chartFormat chart="30" format="12">
      <pivotArea type="data" outline="0" fieldPosition="0">
        <references count="3">
          <reference field="4294967294" count="1" selected="0">
            <x v="0"/>
          </reference>
          <reference field="6" count="1" selected="0">
            <x v="2"/>
          </reference>
          <reference field="22" count="1" selected="0">
            <x v="1"/>
          </reference>
        </references>
      </pivotArea>
    </chartFormat>
    <chartFormat chart="30" format="13">
      <pivotArea type="data" outline="0" fieldPosition="0">
        <references count="3">
          <reference field="4294967294" count="1" selected="0">
            <x v="0"/>
          </reference>
          <reference field="6" count="1" selected="0">
            <x v="3"/>
          </reference>
          <reference field="22" count="1" selected="0">
            <x v="1"/>
          </reference>
        </references>
      </pivotArea>
    </chartFormat>
    <chartFormat chart="30" format="14">
      <pivotArea type="data" outline="0" fieldPosition="0">
        <references count="3">
          <reference field="4294967294" count="1" selected="0">
            <x v="0"/>
          </reference>
          <reference field="6" count="1" selected="0">
            <x v="4"/>
          </reference>
          <reference field="22" count="1" selected="0">
            <x v="1"/>
          </reference>
        </references>
      </pivotArea>
    </chartFormat>
    <chartFormat chart="30" format="15">
      <pivotArea type="data" outline="0" fieldPosition="0">
        <references count="3">
          <reference field="4294967294" count="1" selected="0">
            <x v="0"/>
          </reference>
          <reference field="6" count="1" selected="0">
            <x v="5"/>
          </reference>
          <reference field="22" count="1" selected="0">
            <x v="1"/>
          </reference>
        </references>
      </pivotArea>
    </chartFormat>
    <chartFormat chart="7" format="23">
      <pivotArea type="data" outline="0" fieldPosition="0">
        <references count="3">
          <reference field="4294967294" count="1" selected="0">
            <x v="1"/>
          </reference>
          <reference field="6" count="1" selected="0">
            <x v="1"/>
          </reference>
          <reference field="22" count="1" selected="0">
            <x v="0"/>
          </reference>
        </references>
      </pivotArea>
    </chartFormat>
    <chartFormat chart="7" format="24">
      <pivotArea type="data" outline="0" fieldPosition="0">
        <references count="3">
          <reference field="4294967294" count="1" selected="0">
            <x v="1"/>
          </reference>
          <reference field="6" count="1" selected="0">
            <x v="2"/>
          </reference>
          <reference field="22" count="1" selected="0">
            <x v="0"/>
          </reference>
        </references>
      </pivotArea>
    </chartFormat>
    <chartFormat chart="7" format="25">
      <pivotArea type="data" outline="0" fieldPosition="0">
        <references count="3">
          <reference field="4294967294" count="1" selected="0">
            <x v="1"/>
          </reference>
          <reference field="6" count="1" selected="0">
            <x v="5"/>
          </reference>
          <reference field="22" count="1" selected="0">
            <x v="0"/>
          </reference>
        </references>
      </pivotArea>
    </chartFormat>
    <chartFormat chart="7" format="26">
      <pivotArea type="data" outline="0" fieldPosition="0">
        <references count="3">
          <reference field="4294967294" count="1" selected="0">
            <x v="1"/>
          </reference>
          <reference field="6" count="1" selected="0">
            <x v="0"/>
          </reference>
          <reference field="22" count="1" selected="0">
            <x v="1"/>
          </reference>
        </references>
      </pivotArea>
    </chartFormat>
    <chartFormat chart="7" format="27">
      <pivotArea type="data" outline="0" fieldPosition="0">
        <references count="3">
          <reference field="4294967294" count="1" selected="0">
            <x v="1"/>
          </reference>
          <reference field="6" count="1" selected="0">
            <x v="1"/>
          </reference>
          <reference field="22" count="1" selected="0">
            <x v="1"/>
          </reference>
        </references>
      </pivotArea>
    </chartFormat>
    <chartFormat chart="7" format="28">
      <pivotArea type="data" outline="0" fieldPosition="0">
        <references count="3">
          <reference field="4294967294" count="1" selected="0">
            <x v="1"/>
          </reference>
          <reference field="6" count="1" selected="0">
            <x v="2"/>
          </reference>
          <reference field="22" count="1" selected="0">
            <x v="1"/>
          </reference>
        </references>
      </pivotArea>
    </chartFormat>
    <chartFormat chart="7" format="29">
      <pivotArea type="data" outline="0" fieldPosition="0">
        <references count="3">
          <reference field="4294967294" count="1" selected="0">
            <x v="1"/>
          </reference>
          <reference field="6" count="1" selected="0">
            <x v="3"/>
          </reference>
          <reference field="22" count="1" selected="0">
            <x v="1"/>
          </reference>
        </references>
      </pivotArea>
    </chartFormat>
    <chartFormat chart="7" format="30">
      <pivotArea type="data" outline="0" fieldPosition="0">
        <references count="3">
          <reference field="4294967294" count="1" selected="0">
            <x v="1"/>
          </reference>
          <reference field="6" count="1" selected="0">
            <x v="4"/>
          </reference>
          <reference field="22" count="1" selected="0">
            <x v="1"/>
          </reference>
        </references>
      </pivotArea>
    </chartFormat>
    <chartFormat chart="7" format="31">
      <pivotArea type="data" outline="0" fieldPosition="0">
        <references count="3">
          <reference field="4294967294" count="1" selected="0">
            <x v="1"/>
          </reference>
          <reference field="6" count="1" selected="0">
            <x v="5"/>
          </reference>
          <reference field="22" count="1" selected="0">
            <x v="1"/>
          </reference>
        </references>
      </pivotArea>
    </chartFormat>
    <chartFormat chart="7" format="32">
      <pivotArea type="data" outline="0" fieldPosition="0">
        <references count="3">
          <reference field="4294967294" count="1" selected="0">
            <x v="1"/>
          </reference>
          <reference field="6" count="1" selected="0">
            <x v="5"/>
          </reference>
          <reference field="22" count="1" selected="0">
            <x v="2"/>
          </reference>
        </references>
      </pivotArea>
    </chartFormat>
    <chartFormat chart="7" format="33">
      <pivotArea type="data" outline="0" fieldPosition="0">
        <references count="3">
          <reference field="4294967294" count="1" selected="0">
            <x v="1"/>
          </reference>
          <reference field="6" count="1" selected="0">
            <x v="0"/>
          </reference>
          <reference field="22" count="1" selected="0">
            <x v="3"/>
          </reference>
        </references>
      </pivotArea>
    </chartFormat>
    <chartFormat chart="7" format="34">
      <pivotArea type="data" outline="0" fieldPosition="0">
        <references count="3">
          <reference field="4294967294" count="1" selected="0">
            <x v="1"/>
          </reference>
          <reference field="6" count="1" selected="0">
            <x v="2"/>
          </reference>
          <reference field="22" count="1" selected="0">
            <x v="3"/>
          </reference>
        </references>
      </pivotArea>
    </chartFormat>
    <chartFormat chart="7" format="35">
      <pivotArea type="data" outline="0" fieldPosition="0">
        <references count="3">
          <reference field="4294967294" count="1" selected="0">
            <x v="1"/>
          </reference>
          <reference field="6" count="1" selected="0">
            <x v="3"/>
          </reference>
          <reference field="22" count="1" selected="0">
            <x v="3"/>
          </reference>
        </references>
      </pivotArea>
    </chartFormat>
    <chartFormat chart="7" format="36">
      <pivotArea type="data" outline="0" fieldPosition="0">
        <references count="3">
          <reference field="4294967294" count="1" selected="0">
            <x v="1"/>
          </reference>
          <reference field="6" count="1" selected="0">
            <x v="4"/>
          </reference>
          <reference field="22" count="1" selected="0">
            <x v="3"/>
          </reference>
        </references>
      </pivotArea>
    </chartFormat>
    <chartFormat chart="7" format="37">
      <pivotArea type="data" outline="0" fieldPosition="0">
        <references count="3">
          <reference field="4294967294" count="1" selected="0">
            <x v="1"/>
          </reference>
          <reference field="6" count="1" selected="0">
            <x v="5"/>
          </reference>
          <reference field="2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A5E997E-04FF-4794-ABE2-A17EC09794F5}" name="PivotTable2"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2" rowHeaderCaption="Country">
  <location ref="A3:B13" firstHeaderRow="1" firstDataRow="1" firstDataCol="1"/>
  <pivotFields count="26">
    <pivotField showAll="0"/>
    <pivotField showAll="0"/>
    <pivotField showAll="0"/>
    <pivotField showAll="0"/>
    <pivotField dataField="1" showAll="0"/>
    <pivotField numFmtId="22" showAll="0"/>
    <pivotField showAll="0"/>
    <pivotField showAll="0"/>
    <pivotField showAll="0"/>
    <pivotField showAll="0"/>
    <pivotField showAll="0"/>
    <pivotField showAll="0">
      <items count="8">
        <item x="1"/>
        <item x="0"/>
        <item x="4"/>
        <item x="5"/>
        <item x="6"/>
        <item x="2"/>
        <item x="3"/>
        <item t="default"/>
      </items>
    </pivotField>
    <pivotField showAll="0"/>
    <pivotField showAll="0"/>
    <pivotField showAll="0"/>
    <pivotField showAll="0"/>
    <pivotField showAll="0"/>
    <pivotField showAll="0"/>
    <pivotField showAll="0">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pivotField>
    <pivotField showAll="0"/>
    <pivotField showAll="0"/>
    <pivotField axis="axisRow" showAll="0" measureFilter="1" sortType="descending">
      <items count="20">
        <item x="3"/>
        <item x="5"/>
        <item x="14"/>
        <item x="10"/>
        <item x="13"/>
        <item x="4"/>
        <item x="1"/>
        <item x="16"/>
        <item x="18"/>
        <item x="12"/>
        <item x="11"/>
        <item x="2"/>
        <item x="15"/>
        <item x="9"/>
        <item x="7"/>
        <item x="8"/>
        <item x="17"/>
        <item x="6"/>
        <item x="0"/>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pivotField showAll="0"/>
    <pivotField showAll="0">
      <items count="4">
        <item x="2"/>
        <item x="1"/>
        <item x="0"/>
        <item t="default"/>
      </items>
    </pivotField>
  </pivotFields>
  <rowFields count="1">
    <field x="21"/>
  </rowFields>
  <rowItems count="10">
    <i>
      <x v="18"/>
    </i>
    <i>
      <x v="14"/>
    </i>
    <i>
      <x v="6"/>
    </i>
    <i>
      <x/>
    </i>
    <i>
      <x v="17"/>
    </i>
    <i>
      <x v="9"/>
    </i>
    <i>
      <x v="5"/>
    </i>
    <i>
      <x v="11"/>
    </i>
    <i>
      <x v="13"/>
    </i>
    <i>
      <x v="4"/>
    </i>
  </rowItems>
  <colItems count="1">
    <i/>
  </colItems>
  <dataFields count="1">
    <dataField name="Highest Sales" fld="4" baseField="0" baseItem="0" numFmtId="164"/>
  </dataFields>
  <formats count="1">
    <format dxfId="26">
      <pivotArea outline="0" collapsedLevelsAreSubtotals="1" fieldPosition="0"/>
    </format>
  </format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F3EEF64-9106-46BF-A329-140E84ADFBD2}" name="PivotTable16"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3" rowHeaderCaption="Country">
  <location ref="P10:Q13" firstHeaderRow="1" firstDataRow="1" firstDataCol="1"/>
  <pivotFields count="26">
    <pivotField showAll="0"/>
    <pivotField showAll="0"/>
    <pivotField showAll="0"/>
    <pivotField showAll="0"/>
    <pivotField dataField="1" showAll="0"/>
    <pivotField numFmtId="22" showAll="0"/>
    <pivotField showAll="0"/>
    <pivotField showAll="0"/>
    <pivotField showAll="0"/>
    <pivotField showAll="0">
      <items count="13">
        <item x="7"/>
        <item x="0"/>
        <item x="11"/>
        <item x="8"/>
        <item x="1"/>
        <item x="9"/>
        <item x="2"/>
        <item x="3"/>
        <item x="10"/>
        <item x="4"/>
        <item x="5"/>
        <item x="6"/>
        <item t="default"/>
      </items>
    </pivotField>
    <pivotField axis="axisRow" showAll="0">
      <items count="4">
        <item x="0"/>
        <item x="1"/>
        <item x="2"/>
        <item t="default"/>
      </items>
    </pivotField>
    <pivotField showAll="0"/>
    <pivotField showAll="0"/>
    <pivotField showAll="0"/>
    <pivotField showAll="0">
      <items count="93">
        <item x="51"/>
        <item x="36"/>
        <item x="42"/>
        <item x="46"/>
        <item x="87"/>
        <item x="10"/>
        <item x="28"/>
        <item x="38"/>
        <item x="9"/>
        <item x="91"/>
        <item x="77"/>
        <item x="17"/>
        <item x="89"/>
        <item x="72"/>
        <item x="80"/>
        <item x="76"/>
        <item x="33"/>
        <item x="31"/>
        <item x="29"/>
        <item x="27"/>
        <item x="75"/>
        <item x="55"/>
        <item x="41"/>
        <item x="4"/>
        <item x="25"/>
        <item x="66"/>
        <item x="6"/>
        <item x="48"/>
        <item x="18"/>
        <item x="64"/>
        <item x="52"/>
        <item x="26"/>
        <item x="53"/>
        <item x="23"/>
        <item x="21"/>
        <item x="13"/>
        <item x="88"/>
        <item x="58"/>
        <item x="59"/>
        <item x="65"/>
        <item x="78"/>
        <item x="7"/>
        <item x="81"/>
        <item x="62"/>
        <item x="14"/>
        <item x="0"/>
        <item x="70"/>
        <item x="2"/>
        <item x="67"/>
        <item x="15"/>
        <item x="54"/>
        <item x="79"/>
        <item x="63"/>
        <item x="83"/>
        <item x="47"/>
        <item x="50"/>
        <item x="39"/>
        <item x="8"/>
        <item x="45"/>
        <item x="74"/>
        <item x="85"/>
        <item x="40"/>
        <item x="71"/>
        <item x="44"/>
        <item x="60"/>
        <item x="56"/>
        <item x="43"/>
        <item x="1"/>
        <item x="86"/>
        <item x="57"/>
        <item x="90"/>
        <item x="19"/>
        <item x="30"/>
        <item x="37"/>
        <item x="82"/>
        <item x="84"/>
        <item x="20"/>
        <item x="49"/>
        <item x="73"/>
        <item x="34"/>
        <item x="5"/>
        <item x="12"/>
        <item x="61"/>
        <item x="35"/>
        <item x="68"/>
        <item x="16"/>
        <item x="3"/>
        <item x="22"/>
        <item x="69"/>
        <item x="11"/>
        <item x="24"/>
        <item x="32"/>
        <item t="default"/>
      </items>
    </pivotField>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s>
  <rowFields count="1">
    <field x="10"/>
  </rowFields>
  <rowItems count="3">
    <i>
      <x/>
    </i>
    <i>
      <x v="1"/>
    </i>
    <i>
      <x v="2"/>
    </i>
  </rowItems>
  <colItems count="1">
    <i/>
  </colItems>
  <dataFields count="1">
    <dataField name="Sum of SALES" fld="4" baseField="0" baseItem="0"/>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FB96801-0683-43D9-A36B-2E85409D110C}" name="PivotTable3"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5" rowHeaderCaption="Country">
  <location ref="M3:N16" firstHeaderRow="1" firstDataRow="1" firstDataCol="1"/>
  <pivotFields count="26">
    <pivotField showAll="0"/>
    <pivotField showAll="0"/>
    <pivotField showAll="0"/>
    <pivotField showAll="0"/>
    <pivotField dataField="1" showAll="0"/>
    <pivotField numFmtId="22" showAll="0"/>
    <pivotField showAll="0"/>
    <pivotField showAll="0"/>
    <pivotField showAll="0"/>
    <pivotField axis="axisRow" showAll="0">
      <items count="13">
        <item x="7"/>
        <item x="0"/>
        <item x="11"/>
        <item x="8"/>
        <item x="1"/>
        <item x="9"/>
        <item x="2"/>
        <item x="3"/>
        <item x="10"/>
        <item x="4"/>
        <item x="5"/>
        <item x="6"/>
        <item t="default"/>
      </items>
    </pivotField>
    <pivotField axis="axisRow" showAll="0" measureFilter="1"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8">
        <item x="1"/>
        <item x="0"/>
        <item x="4"/>
        <item x="5"/>
        <item x="6"/>
        <item x="2"/>
        <item x="3"/>
        <item t="default"/>
      </items>
    </pivotField>
    <pivotField showAll="0"/>
    <pivotField showAll="0"/>
    <pivotField showAll="0" sortType="descending">
      <items count="93">
        <item x="51"/>
        <item x="36"/>
        <item x="42"/>
        <item x="46"/>
        <item x="87"/>
        <item x="10"/>
        <item x="28"/>
        <item x="38"/>
        <item x="9"/>
        <item x="91"/>
        <item x="77"/>
        <item x="17"/>
        <item x="89"/>
        <item x="72"/>
        <item x="80"/>
        <item x="76"/>
        <item x="33"/>
        <item x="31"/>
        <item x="29"/>
        <item x="27"/>
        <item x="75"/>
        <item x="55"/>
        <item x="41"/>
        <item x="4"/>
        <item x="25"/>
        <item x="66"/>
        <item x="6"/>
        <item x="48"/>
        <item x="18"/>
        <item x="64"/>
        <item x="52"/>
        <item x="26"/>
        <item x="53"/>
        <item x="23"/>
        <item x="21"/>
        <item x="13"/>
        <item x="88"/>
        <item x="58"/>
        <item x="59"/>
        <item x="65"/>
        <item x="78"/>
        <item x="7"/>
        <item x="81"/>
        <item x="62"/>
        <item x="14"/>
        <item x="0"/>
        <item x="70"/>
        <item x="2"/>
        <item x="67"/>
        <item x="15"/>
        <item x="54"/>
        <item x="79"/>
        <item x="63"/>
        <item x="83"/>
        <item x="47"/>
        <item x="50"/>
        <item x="39"/>
        <item x="8"/>
        <item x="45"/>
        <item x="74"/>
        <item x="85"/>
        <item x="40"/>
        <item x="71"/>
        <item x="44"/>
        <item x="60"/>
        <item x="56"/>
        <item x="43"/>
        <item x="1"/>
        <item x="86"/>
        <item x="57"/>
        <item x="90"/>
        <item x="19"/>
        <item x="30"/>
        <item x="37"/>
        <item x="82"/>
        <item x="84"/>
        <item x="20"/>
        <item x="49"/>
        <item x="73"/>
        <item x="34"/>
        <item x="5"/>
        <item x="12"/>
        <item x="61"/>
        <item x="35"/>
        <item x="68"/>
        <item x="16"/>
        <item x="3"/>
        <item x="22"/>
        <item x="69"/>
        <item x="11"/>
        <item x="24"/>
        <item x="3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pivotField>
    <pivotField showAll="0"/>
    <pivotField showAll="0"/>
    <pivotField showAll="0" measureFilter="1" sortType="descending">
      <items count="20">
        <item x="3"/>
        <item x="5"/>
        <item x="14"/>
        <item x="10"/>
        <item x="13"/>
        <item x="4"/>
        <item x="1"/>
        <item x="16"/>
        <item x="18"/>
        <item x="12"/>
        <item x="11"/>
        <item x="2"/>
        <item x="15"/>
        <item x="9"/>
        <item x="7"/>
        <item x="8"/>
        <item x="17"/>
        <item x="6"/>
        <item x="0"/>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pivotField showAll="0"/>
    <pivotField showAll="0">
      <items count="4">
        <item x="2"/>
        <item x="1"/>
        <item x="0"/>
        <item t="default"/>
      </items>
    </pivotField>
  </pivotFields>
  <rowFields count="2">
    <field x="10"/>
    <field x="9"/>
  </rowFields>
  <rowItems count="13">
    <i>
      <x v="1"/>
    </i>
    <i r="1">
      <x/>
    </i>
    <i r="1">
      <x v="1"/>
    </i>
    <i r="1">
      <x v="2"/>
    </i>
    <i r="1">
      <x v="3"/>
    </i>
    <i r="1">
      <x v="4"/>
    </i>
    <i r="1">
      <x v="5"/>
    </i>
    <i r="1">
      <x v="6"/>
    </i>
    <i r="1">
      <x v="7"/>
    </i>
    <i r="1">
      <x v="8"/>
    </i>
    <i r="1">
      <x v="9"/>
    </i>
    <i r="1">
      <x v="10"/>
    </i>
    <i r="1">
      <x v="11"/>
    </i>
  </rowItems>
  <colItems count="1">
    <i/>
  </colItems>
  <dataFields count="1">
    <dataField name="Highest Sales" fld="4" baseField="0" baseItem="0" numFmtId="164"/>
  </dataFields>
  <formats count="1">
    <format dxfId="28">
      <pivotArea outline="0" collapsedLevelsAreSubtotals="1" fieldPosition="0"/>
    </format>
  </formats>
  <chartFormats count="3">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1" type="count" evalOrder="-1" id="2" iMeasureFld="0">
      <autoFilter ref="A1">
        <filterColumn colId="0">
          <top10 val="10" filterVal="10"/>
        </filterColumn>
      </autoFilter>
    </filter>
    <filter fld="10"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28AD1F08-7B04-4660-BF94-D01115F8CF20}" sourceName="PRODUCTLINE">
  <pivotTables>
    <pivotTable tabId="15" name="PivotTable5"/>
    <pivotTable tabId="7" name="PivotTable2"/>
    <pivotTable tabId="7" name="PivotTable3"/>
    <pivotTable tabId="11" name="PivotTable1"/>
    <pivotTable tabId="11" name="PivotTable3"/>
    <pivotTable tabId="11" name="PivotTable6"/>
    <pivotTable tabId="5" name="PivotTable3"/>
    <pivotTable tabId="6" name="PivotTable1"/>
    <pivotTable tabId="6" name="PivotTable2"/>
    <pivotTable tabId="4" name="PivotTable2"/>
  </pivotTables>
  <data>
    <tabular pivotCacheId="298539536">
      <items count="7">
        <i x="1" s="1"/>
        <i x="0" s="1"/>
        <i x="4" s="1"/>
        <i x="5" s="1"/>
        <i x="6"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A223691-261F-4C66-BC9D-68DEE6E68262}" sourceName="CITY">
  <pivotTables>
    <pivotTable tabId="15" name="PivotTable5"/>
    <pivotTable tabId="7" name="PivotTable2"/>
    <pivotTable tabId="7" name="PivotTable3"/>
    <pivotTable tabId="11" name="PivotTable1"/>
    <pivotTable tabId="11" name="PivotTable3"/>
    <pivotTable tabId="11" name="PivotTable6"/>
    <pivotTable tabId="5" name="PivotTable3"/>
    <pivotTable tabId="6" name="PivotTable1"/>
    <pivotTable tabId="6" name="PivotTable2"/>
    <pivotTable tabId="4" name="PivotTable2"/>
  </pivotTables>
  <data>
    <tabular pivotCacheId="298539536">
      <items count="73">
        <i x="62" s="1"/>
        <i x="15" s="1"/>
        <i x="43" s="1"/>
        <i x="69" s="1"/>
        <i x="7" s="1"/>
        <i x="31" s="1"/>
        <i x="48" s="1"/>
        <i x="35" s="1"/>
        <i x="10" s="1"/>
        <i x="65" s="1"/>
        <i x="46" s="1"/>
        <i x="27" s="1"/>
        <i x="5" s="1"/>
        <i x="12" s="1"/>
        <i x="72" s="1"/>
        <i x="17" s="1"/>
        <i x="49" s="1"/>
        <i x="60" s="1"/>
        <i x="59" s="1"/>
        <i x="58" s="1"/>
        <i x="56" s="1"/>
        <i x="70" s="1"/>
        <i x="63" s="1"/>
        <i x="52" s="1"/>
        <i x="13" s="1"/>
        <i x="40" s="1"/>
        <i x="55" s="1"/>
        <i x="67" s="1"/>
        <i x="6" s="1"/>
        <i x="19" s="1"/>
        <i x="41" s="1"/>
        <i x="44" s="1"/>
        <i x="21" s="1"/>
        <i x="25" s="1"/>
        <i x="20" s="1"/>
        <i x="53" s="1"/>
        <i x="61" s="1"/>
        <i x="54" s="1"/>
        <i x="8" s="1"/>
        <i x="29" s="1"/>
        <i x="37" s="1"/>
        <i x="71" s="1"/>
        <i x="11" s="1"/>
        <i x="34" s="1"/>
        <i x="18" s="1"/>
        <i x="28" s="1"/>
        <i x="9" s="1"/>
        <i x="36" s="1"/>
        <i x="0" s="1"/>
        <i x="38" s="1"/>
        <i x="68" s="1"/>
        <i x="50" s="1"/>
        <i x="2" s="1"/>
        <i x="3" s="1"/>
        <i x="24" s="1"/>
        <i x="57" s="1"/>
        <i x="1" s="1"/>
        <i x="16" s="1"/>
        <i x="45" s="1"/>
        <i x="4" s="1"/>
        <i x="51" s="1"/>
        <i x="33" s="1"/>
        <i x="64" s="1"/>
        <i x="22" s="1"/>
        <i x="23" s="1"/>
        <i x="14" s="1"/>
        <i x="66" s="1"/>
        <i x="30" s="1"/>
        <i x="42" s="1"/>
        <i x="47" s="1"/>
        <i x="26" s="1"/>
        <i x="32" s="1"/>
        <i x="3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9C590C0-EDFC-457B-BF9A-89865BAE09E3}" sourceName="COUNTRY">
  <pivotTables>
    <pivotTable tabId="15" name="PivotTable5"/>
    <pivotTable tabId="7" name="PivotTable2"/>
    <pivotTable tabId="7" name="PivotTable3"/>
    <pivotTable tabId="11" name="PivotTable1"/>
    <pivotTable tabId="11" name="PivotTable3"/>
    <pivotTable tabId="11" name="PivotTable6"/>
    <pivotTable tabId="5" name="PivotTable3"/>
    <pivotTable tabId="6" name="PivotTable1"/>
    <pivotTable tabId="6" name="PivotTable2"/>
    <pivotTable tabId="4" name="PivotTable2"/>
  </pivotTables>
  <data>
    <tabular pivotCacheId="298539536">
      <items count="19">
        <i x="3" s="1"/>
        <i x="5" s="1"/>
        <i x="14" s="1"/>
        <i x="10" s="1"/>
        <i x="13" s="1"/>
        <i x="4" s="1"/>
        <i x="1" s="1"/>
        <i x="16" s="1"/>
        <i x="18" s="1"/>
        <i x="12" s="1"/>
        <i x="11" s="1"/>
        <i x="2" s="1"/>
        <i x="15" s="1"/>
        <i x="9" s="1"/>
        <i x="7" s="1"/>
        <i x="8" s="1"/>
        <i x="17" s="1"/>
        <i x="6"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9B773172-FF9D-4817-B8CA-A18A2DF28F17}" sourceName="TERRITORY">
  <pivotTables>
    <pivotTable tabId="15" name="PivotTable5"/>
    <pivotTable tabId="7" name="PivotTable2"/>
    <pivotTable tabId="7" name="PivotTable3"/>
    <pivotTable tabId="11" name="PivotTable1"/>
    <pivotTable tabId="11" name="PivotTable3"/>
    <pivotTable tabId="11" name="PivotTable6"/>
    <pivotTable tabId="5" name="PivotTable3"/>
    <pivotTable tabId="6" name="PivotTable1"/>
    <pivotTable tabId="6" name="PivotTable2"/>
    <pivotTable tabId="4" name="PivotTable2"/>
  </pivotTables>
  <data>
    <tabular pivotCacheId="298539536">
      <items count="4">
        <i x="2" s="1"/>
        <i x="1"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SIZE1" xr10:uid="{687A16AD-B2EA-4443-A132-2D1551E4885A}" sourceName="DEALSIZE">
  <pivotTables>
    <pivotTable tabId="15" name="PivotTable5"/>
    <pivotTable tabId="7" name="PivotTable2"/>
    <pivotTable tabId="7" name="PivotTable3"/>
    <pivotTable tabId="11" name="PivotTable1"/>
    <pivotTable tabId="11" name="PivotTable3"/>
    <pivotTable tabId="11" name="PivotTable6"/>
    <pivotTable tabId="5" name="PivotTable3"/>
    <pivotTable tabId="6" name="PivotTable1"/>
    <pivotTable tabId="6" name="PivotTable2"/>
    <pivotTable tabId="4" name="PivotTable2"/>
  </pivotTables>
  <data>
    <tabular pivotCacheId="29853953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LINE 1" xr10:uid="{575B7446-E9A3-45CD-8937-2843911F8EC2}" cache="Slicer_PRODUCTLINE" caption="PRODUCTLINE" style="AB" rowHeight="234950"/>
  <slicer name="CITY 1" xr10:uid="{D8CF493B-8576-4748-80C3-0494C330E3D9}" cache="Slicer_CITY" caption="CITY" style="AB" rowHeight="234950"/>
  <slicer name="COUNTRY 1" xr10:uid="{4EF151C2-1BC8-49B3-8E02-AC4E571616DE}" cache="Slicer_COUNTRY" caption="COUNTRY" startItem="10" style="AB" rowHeight="234950"/>
  <slicer name="TERRITORY 1" xr10:uid="{CAAF1AE3-4BFB-4F4D-B676-ECDCA15E161B}" cache="Slicer_TERRITORY" caption="TERRITORY" style="AB" rowHeight="234950"/>
  <slicer name="DEALSIZE 2" xr10:uid="{985DE482-5F9C-44ED-BAA2-C798B4A1E45D}" cache="Slicer_DEALSIZE1" caption="DEALSIZE" style="AB"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LINE" xr10:uid="{B5C10477-80F8-4F04-B59F-2892191AC009}" cache="Slicer_PRODUCTLINE" caption="PRODUCTLINE" rowHeight="234950"/>
  <slicer name="CITY" xr10:uid="{E7EF9D4E-4DC2-4298-A863-E3357877F9E2}" cache="Slicer_CITY" caption="CITY" rowHeight="234950"/>
  <slicer name="COUNTRY" xr10:uid="{B63CCFC4-5156-48E6-ABB2-AAE64B960370}" cache="Slicer_COUNTRY" caption="COUNTRY" rowHeight="234950"/>
  <slicer name="TERRITORY" xr10:uid="{2B2817B4-0CE2-462C-AE08-FCF94B3E98DC}" cache="Slicer_TERRITORY" caption="TERRITORY" rowHeight="234950"/>
  <slicer name="DEALSIZE 1" xr10:uid="{CDB5B94C-C556-47BF-B9DC-3EEB06C53E15}" cache="Slicer_DEALSIZE1" caption="DEALSIZ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ALSIZE" xr10:uid="{16200449-AF0E-4714-B91D-A3D04FC80391}" cache="Slicer_DEALSIZE1" caption="DEALSIZ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F72B74-FDF5-424D-A858-D6006B2E8ECB}" name="Table1" displayName="Table1" ref="A1:Z2824" totalsRowShown="0">
  <autoFilter ref="A1:Z2824" xr:uid="{00000000-0001-0000-0000-000000000000}"/>
  <tableColumns count="26">
    <tableColumn id="1" xr3:uid="{C81AB202-D2EB-4DB4-80EE-4385AF16162D}" name="ORDERNUMBER"/>
    <tableColumn id="2" xr3:uid="{F46322CC-D1AD-41CB-8C20-CEED746164DF}" name="QUANTITYORDERED"/>
    <tableColumn id="3" xr3:uid="{A857D3A7-FD6E-4EF9-9DDA-24720D09F1FA}" name="PRICEEACH"/>
    <tableColumn id="4" xr3:uid="{4F173481-E1C9-4178-90CD-EA4C34A8EDA3}" name="ORDERLINENUMBER"/>
    <tableColumn id="5" xr3:uid="{3D5C6F5A-5FC6-4922-98ED-D5A1121B825D}" name="SALES"/>
    <tableColumn id="6" xr3:uid="{9CA757C3-34B8-4E7A-8B57-0A291E3C71ED}" name="ORDERDATE" dataDxfId="51"/>
    <tableColumn id="7" xr3:uid="{A0D98FFE-A1B8-4340-9C4A-75E1FF15F9AE}" name="STATUS"/>
    <tableColumn id="8" xr3:uid="{F4556A1F-85F7-4C9B-B7D8-D23156E11E19}" name="QTR_ID"/>
    <tableColumn id="9" xr3:uid="{4842BD80-E28B-4979-AF5B-3A93F969F4ED}" name="MONTH_ID"/>
    <tableColumn id="26" xr3:uid="{8432BE47-A724-45E2-A4B7-1EEA32E85918}" name="Month" dataDxfId="50">
      <calculatedColumnFormula>TEXT(DATE(2012,Table1[[#This Row],[MONTH_ID]],10),"mmm")</calculatedColumnFormula>
    </tableColumn>
    <tableColumn id="10" xr3:uid="{8D69AE0C-B55F-49E7-ADB9-F0FFBCDBFFF0}" name="YEAR_ID"/>
    <tableColumn id="11" xr3:uid="{FA706F88-98D7-4DCC-84EF-C93F83B00A4E}" name="PRODUCTLINE"/>
    <tableColumn id="12" xr3:uid="{71513F43-8A24-4DAB-AF1D-B84E083683FB}" name="MSRP"/>
    <tableColumn id="13" xr3:uid="{2D7BAFB7-AD9D-4884-AE71-A3DA10A83A8D}" name="PRODUCTCODE"/>
    <tableColumn id="14" xr3:uid="{459A9869-F891-4A6F-8560-8C97EFE31E75}" name="CUSTOMERNAME"/>
    <tableColumn id="15" xr3:uid="{761E050F-1434-498B-92E8-FDFF9878BA11}" name="PHONE"/>
    <tableColumn id="16" xr3:uid="{32E88AE5-B473-4626-9896-21343682F0CF}" name="ADDRESSLINE1"/>
    <tableColumn id="17" xr3:uid="{3FE61BDA-4112-4970-87DB-85985A49F9D7}" name="ADDRESSLINE2"/>
    <tableColumn id="18" xr3:uid="{C9BFF432-A0F4-40A3-A410-F8C1B1162862}" name="CITY"/>
    <tableColumn id="19" xr3:uid="{0503FFDC-FE85-4D0D-A6B0-F8BC1F1FEA7D}" name="STATE"/>
    <tableColumn id="20" xr3:uid="{4BD047F4-3FAD-45B5-AC89-8EFF369A60FD}" name="POSTALCODE"/>
    <tableColumn id="21" xr3:uid="{6665F6D3-FB0B-4D85-850B-F9C683A9CF37}" name="COUNTRY"/>
    <tableColumn id="22" xr3:uid="{D53D3260-98AB-45BC-9B65-CC3DA734BF3A}" name="TERRITORY"/>
    <tableColumn id="23" xr3:uid="{90C70FAB-D44A-4853-927D-95D0A74BA219}" name="CONTACTLASTNAME"/>
    <tableColumn id="24" xr3:uid="{5E737C7B-7299-41D1-82E4-F305E1B0DB20}" name="CONTACTFIRSTNAME"/>
    <tableColumn id="25" xr3:uid="{4CE4AADD-9AB7-4859-868A-5BF0DA571B24}" name="DEALSIZ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07/relationships/slicer" Target="../slicers/slicer1.xml"/><Relationship Id="rId4" Type="http://schemas.openxmlformats.org/officeDocument/2006/relationships/image" Target="../media/image1.jpeg"/></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rinterSettings" Target="../printerSettings/printerSettings3.bin"/><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 Id="rId1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16.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1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ivotTable" Target="../pivotTables/pivotTable20.xml"/><Relationship Id="rId1" Type="http://schemas.openxmlformats.org/officeDocument/2006/relationships/pivotTable" Target="../pivotTables/pivotTable19.xml"/><Relationship Id="rId5" Type="http://schemas.microsoft.com/office/2007/relationships/slicer" Target="../slicers/slicer3.xml"/><Relationship Id="rId4"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23.xml"/><Relationship Id="rId2" Type="http://schemas.openxmlformats.org/officeDocument/2006/relationships/pivotTable" Target="../pivotTables/pivotTable22.xml"/><Relationship Id="rId1" Type="http://schemas.openxmlformats.org/officeDocument/2006/relationships/pivotTable" Target="../pivotTables/pivotTable21.xml"/><Relationship Id="rId5" Type="http://schemas.openxmlformats.org/officeDocument/2006/relationships/drawing" Target="../drawings/drawing8.xml"/><Relationship Id="rId4"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B80E8-3F75-423B-B90A-B6C2771BA333}">
  <dimension ref="B3:F14"/>
  <sheetViews>
    <sheetView showGridLines="0" workbookViewId="0">
      <selection activeCell="B10" sqref="B10"/>
    </sheetView>
  </sheetViews>
  <sheetFormatPr defaultRowHeight="14.4" x14ac:dyDescent="0.3"/>
  <cols>
    <col min="2" max="2" width="65.44140625" bestFit="1" customWidth="1"/>
    <col min="6" max="6" width="46.6640625" bestFit="1" customWidth="1"/>
  </cols>
  <sheetData>
    <row r="3" spans="2:6" x14ac:dyDescent="0.3">
      <c r="B3" s="3" t="s">
        <v>0</v>
      </c>
      <c r="F3" s="3" t="s">
        <v>1</v>
      </c>
    </row>
    <row r="4" spans="2:6" x14ac:dyDescent="0.3">
      <c r="B4" s="4" t="s">
        <v>2</v>
      </c>
      <c r="F4" s="2" t="s">
        <v>3</v>
      </c>
    </row>
    <row r="5" spans="2:6" x14ac:dyDescent="0.3">
      <c r="B5" s="2" t="s">
        <v>4</v>
      </c>
      <c r="F5" s="2" t="s">
        <v>5</v>
      </c>
    </row>
    <row r="6" spans="2:6" x14ac:dyDescent="0.3">
      <c r="B6" s="2" t="s">
        <v>6</v>
      </c>
      <c r="F6" s="2" t="s">
        <v>7</v>
      </c>
    </row>
    <row r="7" spans="2:6" x14ac:dyDescent="0.3">
      <c r="B7" s="2" t="s">
        <v>8</v>
      </c>
    </row>
    <row r="8" spans="2:6" x14ac:dyDescent="0.3">
      <c r="B8" s="2" t="s">
        <v>9</v>
      </c>
    </row>
    <row r="9" spans="2:6" x14ac:dyDescent="0.3">
      <c r="B9" s="2" t="s">
        <v>10</v>
      </c>
    </row>
    <row r="10" spans="2:6" x14ac:dyDescent="0.3">
      <c r="B10" s="2" t="s">
        <v>11</v>
      </c>
    </row>
    <row r="13" spans="2:6" x14ac:dyDescent="0.3">
      <c r="B13" s="2" t="s">
        <v>12</v>
      </c>
    </row>
    <row r="14" spans="2:6" x14ac:dyDescent="0.3">
      <c r="B14" s="2"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824"/>
  <sheetViews>
    <sheetView topLeftCell="A2" workbookViewId="0">
      <selection activeCell="O10" sqref="O10"/>
    </sheetView>
  </sheetViews>
  <sheetFormatPr defaultRowHeight="14.4" x14ac:dyDescent="0.3"/>
  <cols>
    <col min="1" max="1" width="16.6640625" bestFit="1" customWidth="1"/>
    <col min="2" max="2" width="20.109375" bestFit="1" customWidth="1"/>
    <col min="3" max="3" width="12.44140625" bestFit="1" customWidth="1"/>
    <col min="4" max="4" width="20.5546875" bestFit="1" customWidth="1"/>
    <col min="5" max="5" width="8" bestFit="1" customWidth="1"/>
    <col min="6" max="6" width="15.44140625" bestFit="1" customWidth="1"/>
    <col min="7" max="8" width="9.44140625" bestFit="1" customWidth="1"/>
    <col min="9" max="9" width="12.5546875" bestFit="1" customWidth="1"/>
    <col min="10" max="10" width="10.21875" bestFit="1" customWidth="1"/>
    <col min="11" max="11" width="15.109375" bestFit="1" customWidth="1"/>
    <col min="12" max="12" width="7.88671875" bestFit="1" customWidth="1"/>
    <col min="13" max="13" width="16.109375" bestFit="1" customWidth="1"/>
    <col min="14" max="14" width="29.33203125" bestFit="1" customWidth="1"/>
    <col min="15" max="15" width="15.88671875" bestFit="1" customWidth="1"/>
    <col min="16" max="16" width="38.44140625" bestFit="1" customWidth="1"/>
    <col min="17" max="17" width="15.5546875" bestFit="1" customWidth="1"/>
    <col min="18" max="18" width="13.21875" bestFit="1" customWidth="1"/>
    <col min="19" max="19" width="11.21875" bestFit="1" customWidth="1"/>
    <col min="20" max="20" width="14.109375" bestFit="1" customWidth="1"/>
    <col min="21" max="21" width="11.44140625" bestFit="1" customWidth="1"/>
    <col min="22" max="22" width="12.44140625" bestFit="1" customWidth="1"/>
    <col min="23" max="23" width="20.44140625" bestFit="1" customWidth="1"/>
    <col min="24" max="24" width="21" bestFit="1" customWidth="1"/>
    <col min="25" max="25" width="10.77734375" bestFit="1" customWidth="1"/>
  </cols>
  <sheetData>
    <row r="1" spans="1:26" x14ac:dyDescent="0.3">
      <c r="A1" t="s">
        <v>14</v>
      </c>
      <c r="B1" t="s">
        <v>15</v>
      </c>
      <c r="C1" t="s">
        <v>16</v>
      </c>
      <c r="D1" t="s">
        <v>17</v>
      </c>
      <c r="E1" t="s">
        <v>18</v>
      </c>
      <c r="F1" t="s">
        <v>19</v>
      </c>
      <c r="G1" t="s">
        <v>20</v>
      </c>
      <c r="H1" t="s">
        <v>21</v>
      </c>
      <c r="I1" t="s">
        <v>22</v>
      </c>
      <c r="J1" t="s">
        <v>690</v>
      </c>
      <c r="K1" t="s">
        <v>23</v>
      </c>
      <c r="L1" t="s">
        <v>24</v>
      </c>
      <c r="M1" t="s">
        <v>25</v>
      </c>
      <c r="N1" t="s">
        <v>26</v>
      </c>
      <c r="O1" t="s">
        <v>27</v>
      </c>
      <c r="P1" t="s">
        <v>28</v>
      </c>
      <c r="Q1" t="s">
        <v>29</v>
      </c>
      <c r="R1" t="s">
        <v>30</v>
      </c>
      <c r="S1" t="s">
        <v>31</v>
      </c>
      <c r="T1" t="s">
        <v>32</v>
      </c>
      <c r="U1" t="s">
        <v>33</v>
      </c>
      <c r="V1" t="s">
        <v>34</v>
      </c>
      <c r="W1" t="s">
        <v>35</v>
      </c>
      <c r="X1" t="s">
        <v>36</v>
      </c>
      <c r="Y1" t="s">
        <v>37</v>
      </c>
      <c r="Z1" t="s">
        <v>38</v>
      </c>
    </row>
    <row r="2" spans="1:26" x14ac:dyDescent="0.3">
      <c r="A2">
        <v>10107</v>
      </c>
      <c r="B2">
        <v>30</v>
      </c>
      <c r="C2">
        <v>95.7</v>
      </c>
      <c r="D2">
        <v>2</v>
      </c>
      <c r="E2">
        <v>2871</v>
      </c>
      <c r="F2" s="1">
        <v>37676</v>
      </c>
      <c r="G2" t="s">
        <v>39</v>
      </c>
      <c r="H2">
        <v>1</v>
      </c>
      <c r="I2">
        <v>2</v>
      </c>
      <c r="J2" t="str">
        <f>TEXT(DATE(2012,Table1[[#This Row],[MONTH_ID]],10),"mmm")</f>
        <v>Feb</v>
      </c>
      <c r="K2">
        <v>2003</v>
      </c>
      <c r="L2" t="s">
        <v>40</v>
      </c>
      <c r="M2">
        <v>95</v>
      </c>
      <c r="N2" t="s">
        <v>41</v>
      </c>
      <c r="O2" t="s">
        <v>42</v>
      </c>
      <c r="P2">
        <v>2125557818</v>
      </c>
      <c r="Q2" t="s">
        <v>43</v>
      </c>
      <c r="S2" t="s">
        <v>44</v>
      </c>
      <c r="T2" t="s">
        <v>45</v>
      </c>
      <c r="U2">
        <v>10022</v>
      </c>
      <c r="V2" t="s">
        <v>46</v>
      </c>
      <c r="W2" t="s">
        <v>47</v>
      </c>
      <c r="X2" t="s">
        <v>48</v>
      </c>
      <c r="Y2" t="s">
        <v>49</v>
      </c>
      <c r="Z2" t="s">
        <v>50</v>
      </c>
    </row>
    <row r="3" spans="1:26" x14ac:dyDescent="0.3">
      <c r="A3">
        <v>10121</v>
      </c>
      <c r="B3">
        <v>34</v>
      </c>
      <c r="C3">
        <v>81.349999999999994</v>
      </c>
      <c r="D3">
        <v>5</v>
      </c>
      <c r="E3">
        <v>2765.9</v>
      </c>
      <c r="F3" s="1">
        <v>37748</v>
      </c>
      <c r="G3" t="s">
        <v>39</v>
      </c>
      <c r="H3">
        <v>2</v>
      </c>
      <c r="I3">
        <v>5</v>
      </c>
      <c r="J3" t="str">
        <f>TEXT(DATE(2012,Table1[[#This Row],[MONTH_ID]],10),"mmm")</f>
        <v>May</v>
      </c>
      <c r="K3">
        <v>2003</v>
      </c>
      <c r="L3" t="s">
        <v>40</v>
      </c>
      <c r="M3">
        <v>95</v>
      </c>
      <c r="N3" t="s">
        <v>41</v>
      </c>
      <c r="O3" t="s">
        <v>51</v>
      </c>
      <c r="P3" t="s">
        <v>52</v>
      </c>
      <c r="Q3" t="s">
        <v>53</v>
      </c>
      <c r="S3" t="s">
        <v>54</v>
      </c>
      <c r="U3">
        <v>51100</v>
      </c>
      <c r="V3" t="s">
        <v>55</v>
      </c>
      <c r="W3" t="s">
        <v>56</v>
      </c>
      <c r="X3" t="s">
        <v>57</v>
      </c>
      <c r="Y3" t="s">
        <v>58</v>
      </c>
      <c r="Z3" t="s">
        <v>50</v>
      </c>
    </row>
    <row r="4" spans="1:26" x14ac:dyDescent="0.3">
      <c r="A4">
        <v>10134</v>
      </c>
      <c r="B4">
        <v>41</v>
      </c>
      <c r="C4">
        <v>94.74</v>
      </c>
      <c r="D4">
        <v>2</v>
      </c>
      <c r="E4">
        <v>3884.34</v>
      </c>
      <c r="F4" s="1">
        <v>37803</v>
      </c>
      <c r="G4" t="s">
        <v>39</v>
      </c>
      <c r="H4">
        <v>3</v>
      </c>
      <c r="I4">
        <v>7</v>
      </c>
      <c r="J4" t="str">
        <f>TEXT(DATE(2012,Table1[[#This Row],[MONTH_ID]],10),"mmm")</f>
        <v>Jul</v>
      </c>
      <c r="K4">
        <v>2003</v>
      </c>
      <c r="L4" t="s">
        <v>40</v>
      </c>
      <c r="M4">
        <v>95</v>
      </c>
      <c r="N4" t="s">
        <v>41</v>
      </c>
      <c r="O4" t="s">
        <v>59</v>
      </c>
      <c r="P4" t="s">
        <v>60</v>
      </c>
      <c r="Q4" t="s">
        <v>61</v>
      </c>
      <c r="S4" t="s">
        <v>62</v>
      </c>
      <c r="U4">
        <v>75508</v>
      </c>
      <c r="V4" t="s">
        <v>55</v>
      </c>
      <c r="W4" t="s">
        <v>56</v>
      </c>
      <c r="X4" t="s">
        <v>63</v>
      </c>
      <c r="Y4" t="s">
        <v>64</v>
      </c>
      <c r="Z4" t="s">
        <v>65</v>
      </c>
    </row>
    <row r="5" spans="1:26" x14ac:dyDescent="0.3">
      <c r="A5">
        <v>10145</v>
      </c>
      <c r="B5">
        <v>45</v>
      </c>
      <c r="C5">
        <v>83.26</v>
      </c>
      <c r="D5">
        <v>6</v>
      </c>
      <c r="E5">
        <v>3746.7</v>
      </c>
      <c r="F5" s="1">
        <v>37858</v>
      </c>
      <c r="G5" t="s">
        <v>39</v>
      </c>
      <c r="H5">
        <v>3</v>
      </c>
      <c r="I5">
        <v>8</v>
      </c>
      <c r="J5" t="str">
        <f>TEXT(DATE(2012,Table1[[#This Row],[MONTH_ID]],10),"mmm")</f>
        <v>Aug</v>
      </c>
      <c r="K5">
        <v>2003</v>
      </c>
      <c r="L5" t="s">
        <v>40</v>
      </c>
      <c r="M5">
        <v>95</v>
      </c>
      <c r="N5" t="s">
        <v>41</v>
      </c>
      <c r="O5" t="s">
        <v>66</v>
      </c>
      <c r="P5">
        <v>6265557265</v>
      </c>
      <c r="Q5" t="s">
        <v>67</v>
      </c>
      <c r="S5" t="s">
        <v>68</v>
      </c>
      <c r="T5" t="s">
        <v>69</v>
      </c>
      <c r="U5">
        <v>90003</v>
      </c>
      <c r="V5" t="s">
        <v>46</v>
      </c>
      <c r="W5" t="s">
        <v>47</v>
      </c>
      <c r="X5" t="s">
        <v>70</v>
      </c>
      <c r="Y5" t="s">
        <v>71</v>
      </c>
      <c r="Z5" t="s">
        <v>65</v>
      </c>
    </row>
    <row r="6" spans="1:26" x14ac:dyDescent="0.3">
      <c r="A6">
        <v>10159</v>
      </c>
      <c r="B6">
        <v>49</v>
      </c>
      <c r="C6">
        <v>100</v>
      </c>
      <c r="D6">
        <v>14</v>
      </c>
      <c r="E6">
        <v>5205.2700000000004</v>
      </c>
      <c r="F6" s="1">
        <v>37904</v>
      </c>
      <c r="G6" t="s">
        <v>39</v>
      </c>
      <c r="H6">
        <v>4</v>
      </c>
      <c r="I6">
        <v>10</v>
      </c>
      <c r="J6" t="str">
        <f>TEXT(DATE(2012,Table1[[#This Row],[MONTH_ID]],10),"mmm")</f>
        <v>Oct</v>
      </c>
      <c r="K6">
        <v>2003</v>
      </c>
      <c r="L6" t="s">
        <v>40</v>
      </c>
      <c r="M6">
        <v>95</v>
      </c>
      <c r="N6" t="s">
        <v>41</v>
      </c>
      <c r="O6" t="s">
        <v>72</v>
      </c>
      <c r="P6">
        <v>6505551386</v>
      </c>
      <c r="Q6" t="s">
        <v>73</v>
      </c>
      <c r="S6" t="s">
        <v>74</v>
      </c>
      <c r="T6" t="s">
        <v>69</v>
      </c>
      <c r="V6" t="s">
        <v>46</v>
      </c>
      <c r="W6" t="s">
        <v>47</v>
      </c>
      <c r="X6" t="s">
        <v>75</v>
      </c>
      <c r="Y6" t="s">
        <v>71</v>
      </c>
      <c r="Z6" t="s">
        <v>65</v>
      </c>
    </row>
    <row r="7" spans="1:26" x14ac:dyDescent="0.3">
      <c r="A7">
        <v>10168</v>
      </c>
      <c r="B7">
        <v>36</v>
      </c>
      <c r="C7">
        <v>96.66</v>
      </c>
      <c r="D7">
        <v>1</v>
      </c>
      <c r="E7">
        <v>3479.76</v>
      </c>
      <c r="F7" s="1">
        <v>37922</v>
      </c>
      <c r="G7" t="s">
        <v>39</v>
      </c>
      <c r="H7">
        <v>4</v>
      </c>
      <c r="I7">
        <v>10</v>
      </c>
      <c r="J7" t="str">
        <f>TEXT(DATE(2012,Table1[[#This Row],[MONTH_ID]],10),"mmm")</f>
        <v>Oct</v>
      </c>
      <c r="K7">
        <v>2003</v>
      </c>
      <c r="L7" t="s">
        <v>40</v>
      </c>
      <c r="M7">
        <v>95</v>
      </c>
      <c r="N7" t="s">
        <v>41</v>
      </c>
      <c r="O7" t="s">
        <v>76</v>
      </c>
      <c r="P7">
        <v>6505556809</v>
      </c>
      <c r="Q7" t="s">
        <v>77</v>
      </c>
      <c r="S7" t="s">
        <v>78</v>
      </c>
      <c r="T7" t="s">
        <v>69</v>
      </c>
      <c r="U7">
        <v>94217</v>
      </c>
      <c r="V7" t="s">
        <v>46</v>
      </c>
      <c r="W7" t="s">
        <v>47</v>
      </c>
      <c r="X7" t="s">
        <v>79</v>
      </c>
      <c r="Y7" t="s">
        <v>80</v>
      </c>
      <c r="Z7" t="s">
        <v>65</v>
      </c>
    </row>
    <row r="8" spans="1:26" x14ac:dyDescent="0.3">
      <c r="A8">
        <v>10180</v>
      </c>
      <c r="B8">
        <v>29</v>
      </c>
      <c r="C8">
        <v>86.13</v>
      </c>
      <c r="D8">
        <v>9</v>
      </c>
      <c r="E8">
        <v>2497.77</v>
      </c>
      <c r="F8" s="1">
        <v>37936</v>
      </c>
      <c r="G8" t="s">
        <v>39</v>
      </c>
      <c r="H8">
        <v>4</v>
      </c>
      <c r="I8">
        <v>11</v>
      </c>
      <c r="J8" t="str">
        <f>TEXT(DATE(2012,Table1[[#This Row],[MONTH_ID]],10),"mmm")</f>
        <v>Nov</v>
      </c>
      <c r="K8">
        <v>2003</v>
      </c>
      <c r="L8" t="s">
        <v>40</v>
      </c>
      <c r="M8">
        <v>95</v>
      </c>
      <c r="N8" t="s">
        <v>41</v>
      </c>
      <c r="O8" t="s">
        <v>81</v>
      </c>
      <c r="P8" t="s">
        <v>82</v>
      </c>
      <c r="Q8" t="s">
        <v>83</v>
      </c>
      <c r="S8" t="s">
        <v>84</v>
      </c>
      <c r="U8">
        <v>59000</v>
      </c>
      <c r="V8" t="s">
        <v>55</v>
      </c>
      <c r="W8" t="s">
        <v>56</v>
      </c>
      <c r="X8" t="s">
        <v>85</v>
      </c>
      <c r="Y8" t="s">
        <v>86</v>
      </c>
      <c r="Z8" t="s">
        <v>50</v>
      </c>
    </row>
    <row r="9" spans="1:26" x14ac:dyDescent="0.3">
      <c r="A9">
        <v>10188</v>
      </c>
      <c r="B9">
        <v>48</v>
      </c>
      <c r="C9">
        <v>100</v>
      </c>
      <c r="D9">
        <v>1</v>
      </c>
      <c r="E9">
        <v>5512.32</v>
      </c>
      <c r="F9" s="1">
        <v>37943</v>
      </c>
      <c r="G9" t="s">
        <v>39</v>
      </c>
      <c r="H9">
        <v>4</v>
      </c>
      <c r="I9">
        <v>11</v>
      </c>
      <c r="J9" t="str">
        <f>TEXT(DATE(2012,Table1[[#This Row],[MONTH_ID]],10),"mmm")</f>
        <v>Nov</v>
      </c>
      <c r="K9">
        <v>2003</v>
      </c>
      <c r="L9" t="s">
        <v>40</v>
      </c>
      <c r="M9">
        <v>95</v>
      </c>
      <c r="N9" t="s">
        <v>41</v>
      </c>
      <c r="O9" t="s">
        <v>87</v>
      </c>
      <c r="P9" t="s">
        <v>88</v>
      </c>
      <c r="Q9" t="s">
        <v>89</v>
      </c>
      <c r="S9" t="s">
        <v>90</v>
      </c>
      <c r="U9" t="s">
        <v>91</v>
      </c>
      <c r="V9" t="s">
        <v>92</v>
      </c>
      <c r="W9" t="s">
        <v>56</v>
      </c>
      <c r="X9" t="s">
        <v>93</v>
      </c>
      <c r="Y9" t="s">
        <v>94</v>
      </c>
      <c r="Z9" t="s">
        <v>65</v>
      </c>
    </row>
    <row r="10" spans="1:26" x14ac:dyDescent="0.3">
      <c r="A10">
        <v>10201</v>
      </c>
      <c r="B10">
        <v>22</v>
      </c>
      <c r="C10">
        <v>98.57</v>
      </c>
      <c r="D10">
        <v>2</v>
      </c>
      <c r="E10">
        <v>2168.54</v>
      </c>
      <c r="F10" s="1">
        <v>37956</v>
      </c>
      <c r="G10" t="s">
        <v>39</v>
      </c>
      <c r="H10">
        <v>4</v>
      </c>
      <c r="I10">
        <v>12</v>
      </c>
      <c r="J10" t="str">
        <f>TEXT(DATE(2012,Table1[[#This Row],[MONTH_ID]],10),"mmm")</f>
        <v>Dec</v>
      </c>
      <c r="K10">
        <v>2003</v>
      </c>
      <c r="L10" t="s">
        <v>40</v>
      </c>
      <c r="M10">
        <v>95</v>
      </c>
      <c r="N10" t="s">
        <v>41</v>
      </c>
      <c r="O10" t="s">
        <v>95</v>
      </c>
      <c r="P10">
        <v>6505555787</v>
      </c>
      <c r="Q10" t="s">
        <v>96</v>
      </c>
      <c r="S10" t="s">
        <v>74</v>
      </c>
      <c r="T10" t="s">
        <v>69</v>
      </c>
      <c r="V10" t="s">
        <v>46</v>
      </c>
      <c r="W10" t="s">
        <v>47</v>
      </c>
      <c r="X10" t="s">
        <v>97</v>
      </c>
      <c r="Y10" t="s">
        <v>71</v>
      </c>
      <c r="Z10" t="s">
        <v>50</v>
      </c>
    </row>
    <row r="11" spans="1:26" x14ac:dyDescent="0.3">
      <c r="A11">
        <v>10211</v>
      </c>
      <c r="B11">
        <v>41</v>
      </c>
      <c r="C11">
        <v>100</v>
      </c>
      <c r="D11">
        <v>14</v>
      </c>
      <c r="E11">
        <v>4708.4399999999996</v>
      </c>
      <c r="F11" s="1">
        <v>38001</v>
      </c>
      <c r="G11" t="s">
        <v>39</v>
      </c>
      <c r="H11">
        <v>1</v>
      </c>
      <c r="I11">
        <v>1</v>
      </c>
      <c r="J11" t="str">
        <f>TEXT(DATE(2012,Table1[[#This Row],[MONTH_ID]],10),"mmm")</f>
        <v>Jan</v>
      </c>
      <c r="K11">
        <v>2004</v>
      </c>
      <c r="L11" t="s">
        <v>40</v>
      </c>
      <c r="M11">
        <v>95</v>
      </c>
      <c r="N11" t="s">
        <v>41</v>
      </c>
      <c r="O11" t="s">
        <v>98</v>
      </c>
      <c r="P11" t="s">
        <v>99</v>
      </c>
      <c r="Q11" t="s">
        <v>100</v>
      </c>
      <c r="S11" t="s">
        <v>62</v>
      </c>
      <c r="U11">
        <v>75016</v>
      </c>
      <c r="V11" t="s">
        <v>55</v>
      </c>
      <c r="W11" t="s">
        <v>56</v>
      </c>
      <c r="X11" t="s">
        <v>101</v>
      </c>
      <c r="Y11" t="s">
        <v>102</v>
      </c>
      <c r="Z11" t="s">
        <v>65</v>
      </c>
    </row>
    <row r="12" spans="1:26" x14ac:dyDescent="0.3">
      <c r="A12">
        <v>10223</v>
      </c>
      <c r="B12">
        <v>37</v>
      </c>
      <c r="C12">
        <v>100</v>
      </c>
      <c r="D12">
        <v>1</v>
      </c>
      <c r="E12">
        <v>3965.66</v>
      </c>
      <c r="F12" s="1">
        <v>38037</v>
      </c>
      <c r="G12" t="s">
        <v>39</v>
      </c>
      <c r="H12">
        <v>1</v>
      </c>
      <c r="I12">
        <v>2</v>
      </c>
      <c r="J12" t="str">
        <f>TEXT(DATE(2012,Table1[[#This Row],[MONTH_ID]],10),"mmm")</f>
        <v>Feb</v>
      </c>
      <c r="K12">
        <v>2004</v>
      </c>
      <c r="L12" t="s">
        <v>40</v>
      </c>
      <c r="M12">
        <v>95</v>
      </c>
      <c r="N12" t="s">
        <v>41</v>
      </c>
      <c r="O12" t="s">
        <v>103</v>
      </c>
      <c r="P12" t="s">
        <v>104</v>
      </c>
      <c r="Q12" t="s">
        <v>105</v>
      </c>
      <c r="R12" t="s">
        <v>106</v>
      </c>
      <c r="S12" t="s">
        <v>107</v>
      </c>
      <c r="T12" t="s">
        <v>108</v>
      </c>
      <c r="U12">
        <v>3004</v>
      </c>
      <c r="V12" t="s">
        <v>109</v>
      </c>
      <c r="W12" t="s">
        <v>110</v>
      </c>
      <c r="X12" t="s">
        <v>111</v>
      </c>
      <c r="Y12" t="s">
        <v>112</v>
      </c>
      <c r="Z12" t="s">
        <v>65</v>
      </c>
    </row>
    <row r="13" spans="1:26" x14ac:dyDescent="0.3">
      <c r="A13">
        <v>10237</v>
      </c>
      <c r="B13">
        <v>23</v>
      </c>
      <c r="C13">
        <v>100</v>
      </c>
      <c r="D13">
        <v>7</v>
      </c>
      <c r="E13">
        <v>2333.12</v>
      </c>
      <c r="F13" s="1">
        <v>38082</v>
      </c>
      <c r="G13" t="s">
        <v>39</v>
      </c>
      <c r="H13">
        <v>2</v>
      </c>
      <c r="I13">
        <v>4</v>
      </c>
      <c r="J13" t="str">
        <f>TEXT(DATE(2012,Table1[[#This Row],[MONTH_ID]],10),"mmm")</f>
        <v>Apr</v>
      </c>
      <c r="K13">
        <v>2004</v>
      </c>
      <c r="L13" t="s">
        <v>40</v>
      </c>
      <c r="M13">
        <v>95</v>
      </c>
      <c r="N13" t="s">
        <v>41</v>
      </c>
      <c r="O13" t="s">
        <v>113</v>
      </c>
      <c r="P13">
        <v>2125551500</v>
      </c>
      <c r="Q13" t="s">
        <v>114</v>
      </c>
      <c r="R13" t="s">
        <v>115</v>
      </c>
      <c r="S13" t="s">
        <v>44</v>
      </c>
      <c r="T13" t="s">
        <v>45</v>
      </c>
      <c r="U13">
        <v>10022</v>
      </c>
      <c r="V13" t="s">
        <v>46</v>
      </c>
      <c r="W13" t="s">
        <v>47</v>
      </c>
      <c r="X13" t="s">
        <v>116</v>
      </c>
      <c r="Y13" t="s">
        <v>117</v>
      </c>
      <c r="Z13" t="s">
        <v>50</v>
      </c>
    </row>
    <row r="14" spans="1:26" x14ac:dyDescent="0.3">
      <c r="A14">
        <v>10251</v>
      </c>
      <c r="B14">
        <v>28</v>
      </c>
      <c r="C14">
        <v>100</v>
      </c>
      <c r="D14">
        <v>2</v>
      </c>
      <c r="E14">
        <v>3188.64</v>
      </c>
      <c r="F14" s="1">
        <v>38125</v>
      </c>
      <c r="G14" t="s">
        <v>39</v>
      </c>
      <c r="H14">
        <v>2</v>
      </c>
      <c r="I14">
        <v>5</v>
      </c>
      <c r="J14" t="str">
        <f>TEXT(DATE(2012,Table1[[#This Row],[MONTH_ID]],10),"mmm")</f>
        <v>May</v>
      </c>
      <c r="K14">
        <v>2004</v>
      </c>
      <c r="L14" t="s">
        <v>40</v>
      </c>
      <c r="M14">
        <v>95</v>
      </c>
      <c r="N14" t="s">
        <v>41</v>
      </c>
      <c r="O14" t="s">
        <v>118</v>
      </c>
      <c r="P14">
        <v>2015559350</v>
      </c>
      <c r="Q14" t="s">
        <v>119</v>
      </c>
      <c r="S14" t="s">
        <v>120</v>
      </c>
      <c r="T14" t="s">
        <v>121</v>
      </c>
      <c r="U14">
        <v>94019</v>
      </c>
      <c r="V14" t="s">
        <v>46</v>
      </c>
      <c r="W14" t="s">
        <v>47</v>
      </c>
      <c r="X14" t="s">
        <v>75</v>
      </c>
      <c r="Y14" t="s">
        <v>122</v>
      </c>
      <c r="Z14" t="s">
        <v>65</v>
      </c>
    </row>
    <row r="15" spans="1:26" x14ac:dyDescent="0.3">
      <c r="A15">
        <v>10263</v>
      </c>
      <c r="B15">
        <v>34</v>
      </c>
      <c r="C15">
        <v>100</v>
      </c>
      <c r="D15">
        <v>2</v>
      </c>
      <c r="E15">
        <v>3676.76</v>
      </c>
      <c r="F15" s="1">
        <v>38166</v>
      </c>
      <c r="G15" t="s">
        <v>39</v>
      </c>
      <c r="H15">
        <v>2</v>
      </c>
      <c r="I15">
        <v>6</v>
      </c>
      <c r="J15" t="str">
        <f>TEXT(DATE(2012,Table1[[#This Row],[MONTH_ID]],10),"mmm")</f>
        <v>Jun</v>
      </c>
      <c r="K15">
        <v>2004</v>
      </c>
      <c r="L15" t="s">
        <v>40</v>
      </c>
      <c r="M15">
        <v>95</v>
      </c>
      <c r="N15" t="s">
        <v>41</v>
      </c>
      <c r="O15" t="s">
        <v>123</v>
      </c>
      <c r="P15">
        <v>2035552570</v>
      </c>
      <c r="Q15" t="s">
        <v>124</v>
      </c>
      <c r="S15" t="s">
        <v>125</v>
      </c>
      <c r="T15" t="s">
        <v>126</v>
      </c>
      <c r="U15">
        <v>97562</v>
      </c>
      <c r="V15" t="s">
        <v>46</v>
      </c>
      <c r="W15" t="s">
        <v>47</v>
      </c>
      <c r="X15" t="s">
        <v>127</v>
      </c>
      <c r="Y15" t="s">
        <v>71</v>
      </c>
      <c r="Z15" t="s">
        <v>65</v>
      </c>
    </row>
    <row r="16" spans="1:26" x14ac:dyDescent="0.3">
      <c r="A16">
        <v>10275</v>
      </c>
      <c r="B16">
        <v>45</v>
      </c>
      <c r="C16">
        <v>92.83</v>
      </c>
      <c r="D16">
        <v>1</v>
      </c>
      <c r="E16">
        <v>4177.3500000000004</v>
      </c>
      <c r="F16" s="1">
        <v>38191</v>
      </c>
      <c r="G16" t="s">
        <v>39</v>
      </c>
      <c r="H16">
        <v>3</v>
      </c>
      <c r="I16">
        <v>7</v>
      </c>
      <c r="J16" t="str">
        <f>TEXT(DATE(2012,Table1[[#This Row],[MONTH_ID]],10),"mmm")</f>
        <v>Jul</v>
      </c>
      <c r="K16">
        <v>2004</v>
      </c>
      <c r="L16" t="s">
        <v>40</v>
      </c>
      <c r="M16">
        <v>95</v>
      </c>
      <c r="N16" t="s">
        <v>41</v>
      </c>
      <c r="O16" t="s">
        <v>128</v>
      </c>
      <c r="P16" t="s">
        <v>129</v>
      </c>
      <c r="Q16" t="s">
        <v>130</v>
      </c>
      <c r="S16" t="s">
        <v>131</v>
      </c>
      <c r="U16">
        <v>44000</v>
      </c>
      <c r="V16" t="s">
        <v>55</v>
      </c>
      <c r="W16" t="s">
        <v>56</v>
      </c>
      <c r="X16" t="s">
        <v>132</v>
      </c>
      <c r="Y16" t="s">
        <v>133</v>
      </c>
      <c r="Z16" t="s">
        <v>65</v>
      </c>
    </row>
    <row r="17" spans="1:26" x14ac:dyDescent="0.3">
      <c r="A17">
        <v>10285</v>
      </c>
      <c r="B17">
        <v>36</v>
      </c>
      <c r="C17">
        <v>100</v>
      </c>
      <c r="D17">
        <v>6</v>
      </c>
      <c r="E17">
        <v>4099.68</v>
      </c>
      <c r="F17" s="1">
        <v>38226</v>
      </c>
      <c r="G17" t="s">
        <v>39</v>
      </c>
      <c r="H17">
        <v>3</v>
      </c>
      <c r="I17">
        <v>8</v>
      </c>
      <c r="J17" t="str">
        <f>TEXT(DATE(2012,Table1[[#This Row],[MONTH_ID]],10),"mmm")</f>
        <v>Aug</v>
      </c>
      <c r="K17">
        <v>2004</v>
      </c>
      <c r="L17" t="s">
        <v>40</v>
      </c>
      <c r="M17">
        <v>95</v>
      </c>
      <c r="N17" t="s">
        <v>41</v>
      </c>
      <c r="O17" t="s">
        <v>134</v>
      </c>
      <c r="P17">
        <v>6175558555</v>
      </c>
      <c r="Q17" t="s">
        <v>135</v>
      </c>
      <c r="S17" t="s">
        <v>136</v>
      </c>
      <c r="T17" t="s">
        <v>137</v>
      </c>
      <c r="U17">
        <v>51247</v>
      </c>
      <c r="V17" t="s">
        <v>46</v>
      </c>
      <c r="W17" t="s">
        <v>47</v>
      </c>
      <c r="X17" t="s">
        <v>138</v>
      </c>
      <c r="Y17" t="s">
        <v>139</v>
      </c>
      <c r="Z17" t="s">
        <v>65</v>
      </c>
    </row>
    <row r="18" spans="1:26" x14ac:dyDescent="0.3">
      <c r="A18">
        <v>10299</v>
      </c>
      <c r="B18">
        <v>23</v>
      </c>
      <c r="C18">
        <v>100</v>
      </c>
      <c r="D18">
        <v>9</v>
      </c>
      <c r="E18">
        <v>2597.39</v>
      </c>
      <c r="F18" s="1">
        <v>38260</v>
      </c>
      <c r="G18" t="s">
        <v>39</v>
      </c>
      <c r="H18">
        <v>3</v>
      </c>
      <c r="I18">
        <v>9</v>
      </c>
      <c r="J18" t="str">
        <f>TEXT(DATE(2012,Table1[[#This Row],[MONTH_ID]],10),"mmm")</f>
        <v>Sep</v>
      </c>
      <c r="K18">
        <v>2004</v>
      </c>
      <c r="L18" t="s">
        <v>40</v>
      </c>
      <c r="M18">
        <v>95</v>
      </c>
      <c r="N18" t="s">
        <v>41</v>
      </c>
      <c r="O18" t="s">
        <v>140</v>
      </c>
      <c r="P18" t="s">
        <v>141</v>
      </c>
      <c r="Q18" t="s">
        <v>142</v>
      </c>
      <c r="S18" t="s">
        <v>143</v>
      </c>
      <c r="U18">
        <v>21240</v>
      </c>
      <c r="V18" t="s">
        <v>144</v>
      </c>
      <c r="W18" t="s">
        <v>56</v>
      </c>
      <c r="X18" t="s">
        <v>145</v>
      </c>
      <c r="Y18" t="s">
        <v>146</v>
      </c>
      <c r="Z18" t="s">
        <v>50</v>
      </c>
    </row>
    <row r="19" spans="1:26" x14ac:dyDescent="0.3">
      <c r="A19">
        <v>10309</v>
      </c>
      <c r="B19">
        <v>41</v>
      </c>
      <c r="C19">
        <v>100</v>
      </c>
      <c r="D19">
        <v>5</v>
      </c>
      <c r="E19">
        <v>4394.38</v>
      </c>
      <c r="F19" s="1">
        <v>38275</v>
      </c>
      <c r="G19" t="s">
        <v>39</v>
      </c>
      <c r="H19">
        <v>4</v>
      </c>
      <c r="I19">
        <v>10</v>
      </c>
      <c r="J19" t="str">
        <f>TEXT(DATE(2012,Table1[[#This Row],[MONTH_ID]],10),"mmm")</f>
        <v>Oct</v>
      </c>
      <c r="K19">
        <v>2004</v>
      </c>
      <c r="L19" t="s">
        <v>40</v>
      </c>
      <c r="M19">
        <v>95</v>
      </c>
      <c r="N19" t="s">
        <v>41</v>
      </c>
      <c r="O19" t="s">
        <v>147</v>
      </c>
      <c r="P19" t="s">
        <v>148</v>
      </c>
      <c r="Q19" t="s">
        <v>149</v>
      </c>
      <c r="S19" t="s">
        <v>150</v>
      </c>
      <c r="U19">
        <v>4110</v>
      </c>
      <c r="V19" t="s">
        <v>92</v>
      </c>
      <c r="W19" t="s">
        <v>56</v>
      </c>
      <c r="X19" t="s">
        <v>151</v>
      </c>
      <c r="Y19" t="s">
        <v>152</v>
      </c>
      <c r="Z19" t="s">
        <v>65</v>
      </c>
    </row>
    <row r="20" spans="1:26" x14ac:dyDescent="0.3">
      <c r="A20">
        <v>10318</v>
      </c>
      <c r="B20">
        <v>46</v>
      </c>
      <c r="C20">
        <v>94.74</v>
      </c>
      <c r="D20">
        <v>1</v>
      </c>
      <c r="E20">
        <v>4358.04</v>
      </c>
      <c r="F20" s="1">
        <v>38293</v>
      </c>
      <c r="G20" t="s">
        <v>39</v>
      </c>
      <c r="H20">
        <v>4</v>
      </c>
      <c r="I20">
        <v>11</v>
      </c>
      <c r="J20" t="str">
        <f>TEXT(DATE(2012,Table1[[#This Row],[MONTH_ID]],10),"mmm")</f>
        <v>Nov</v>
      </c>
      <c r="K20">
        <v>2004</v>
      </c>
      <c r="L20" t="s">
        <v>40</v>
      </c>
      <c r="M20">
        <v>95</v>
      </c>
      <c r="N20" t="s">
        <v>41</v>
      </c>
      <c r="O20" t="s">
        <v>153</v>
      </c>
      <c r="P20">
        <v>2155551555</v>
      </c>
      <c r="Q20" t="s">
        <v>154</v>
      </c>
      <c r="S20" t="s">
        <v>155</v>
      </c>
      <c r="T20" t="s">
        <v>156</v>
      </c>
      <c r="U20">
        <v>70267</v>
      </c>
      <c r="V20" t="s">
        <v>46</v>
      </c>
      <c r="W20" t="s">
        <v>47</v>
      </c>
      <c r="X20" t="s">
        <v>48</v>
      </c>
      <c r="Y20" t="s">
        <v>157</v>
      </c>
      <c r="Z20" t="s">
        <v>65</v>
      </c>
    </row>
    <row r="21" spans="1:26" x14ac:dyDescent="0.3">
      <c r="A21">
        <v>10329</v>
      </c>
      <c r="B21">
        <v>42</v>
      </c>
      <c r="C21">
        <v>100</v>
      </c>
      <c r="D21">
        <v>1</v>
      </c>
      <c r="E21">
        <v>4396.1400000000003</v>
      </c>
      <c r="F21" s="1">
        <v>38306</v>
      </c>
      <c r="G21" t="s">
        <v>39</v>
      </c>
      <c r="H21">
        <v>4</v>
      </c>
      <c r="I21">
        <v>11</v>
      </c>
      <c r="J21" t="str">
        <f>TEXT(DATE(2012,Table1[[#This Row],[MONTH_ID]],10),"mmm")</f>
        <v>Nov</v>
      </c>
      <c r="K21">
        <v>2004</v>
      </c>
      <c r="L21" t="s">
        <v>40</v>
      </c>
      <c r="M21">
        <v>95</v>
      </c>
      <c r="N21" t="s">
        <v>41</v>
      </c>
      <c r="O21" t="s">
        <v>42</v>
      </c>
      <c r="P21">
        <v>2125557818</v>
      </c>
      <c r="Q21" t="s">
        <v>43</v>
      </c>
      <c r="S21" t="s">
        <v>44</v>
      </c>
      <c r="T21" t="s">
        <v>45</v>
      </c>
      <c r="U21">
        <v>10022</v>
      </c>
      <c r="V21" t="s">
        <v>46</v>
      </c>
      <c r="W21" t="s">
        <v>47</v>
      </c>
      <c r="X21" t="s">
        <v>48</v>
      </c>
      <c r="Y21" t="s">
        <v>49</v>
      </c>
      <c r="Z21" t="s">
        <v>65</v>
      </c>
    </row>
    <row r="22" spans="1:26" x14ac:dyDescent="0.3">
      <c r="A22">
        <v>10341</v>
      </c>
      <c r="B22">
        <v>41</v>
      </c>
      <c r="C22">
        <v>100</v>
      </c>
      <c r="D22">
        <v>9</v>
      </c>
      <c r="E22">
        <v>7737.93</v>
      </c>
      <c r="F22" s="1">
        <v>38315</v>
      </c>
      <c r="G22" t="s">
        <v>39</v>
      </c>
      <c r="H22">
        <v>4</v>
      </c>
      <c r="I22">
        <v>11</v>
      </c>
      <c r="J22" t="str">
        <f>TEXT(DATE(2012,Table1[[#This Row],[MONTH_ID]],10),"mmm")</f>
        <v>Nov</v>
      </c>
      <c r="K22">
        <v>2004</v>
      </c>
      <c r="L22" t="s">
        <v>40</v>
      </c>
      <c r="M22">
        <v>95</v>
      </c>
      <c r="N22" t="s">
        <v>41</v>
      </c>
      <c r="O22" t="s">
        <v>158</v>
      </c>
      <c r="P22" t="s">
        <v>159</v>
      </c>
      <c r="Q22" t="s">
        <v>160</v>
      </c>
      <c r="S22" t="s">
        <v>161</v>
      </c>
      <c r="U22">
        <v>5020</v>
      </c>
      <c r="V22" t="s">
        <v>162</v>
      </c>
      <c r="W22" t="s">
        <v>56</v>
      </c>
      <c r="X22" t="s">
        <v>163</v>
      </c>
      <c r="Y22" t="s">
        <v>164</v>
      </c>
      <c r="Z22" t="s">
        <v>165</v>
      </c>
    </row>
    <row r="23" spans="1:26" x14ac:dyDescent="0.3">
      <c r="A23">
        <v>10361</v>
      </c>
      <c r="B23">
        <v>20</v>
      </c>
      <c r="C23">
        <v>72.55</v>
      </c>
      <c r="D23">
        <v>13</v>
      </c>
      <c r="E23">
        <v>1451</v>
      </c>
      <c r="F23" s="1">
        <v>38338</v>
      </c>
      <c r="G23" t="s">
        <v>39</v>
      </c>
      <c r="H23">
        <v>4</v>
      </c>
      <c r="I23">
        <v>12</v>
      </c>
      <c r="J23" t="str">
        <f>TEXT(DATE(2012,Table1[[#This Row],[MONTH_ID]],10),"mmm")</f>
        <v>Dec</v>
      </c>
      <c r="K23">
        <v>2004</v>
      </c>
      <c r="L23" t="s">
        <v>40</v>
      </c>
      <c r="M23">
        <v>95</v>
      </c>
      <c r="N23" t="s">
        <v>41</v>
      </c>
      <c r="O23" t="s">
        <v>166</v>
      </c>
      <c r="P23" t="s">
        <v>167</v>
      </c>
      <c r="Q23" t="s">
        <v>168</v>
      </c>
      <c r="R23" t="s">
        <v>169</v>
      </c>
      <c r="S23" t="s">
        <v>170</v>
      </c>
      <c r="T23" t="s">
        <v>171</v>
      </c>
      <c r="U23">
        <v>2067</v>
      </c>
      <c r="V23" t="s">
        <v>109</v>
      </c>
      <c r="W23" t="s">
        <v>110</v>
      </c>
      <c r="X23" t="s">
        <v>172</v>
      </c>
      <c r="Y23" t="s">
        <v>173</v>
      </c>
      <c r="Z23" t="s">
        <v>50</v>
      </c>
    </row>
    <row r="24" spans="1:26" x14ac:dyDescent="0.3">
      <c r="A24">
        <v>10375</v>
      </c>
      <c r="B24">
        <v>21</v>
      </c>
      <c r="C24">
        <v>34.909999999999997</v>
      </c>
      <c r="D24">
        <v>12</v>
      </c>
      <c r="E24">
        <v>733.11</v>
      </c>
      <c r="F24" s="1">
        <v>38386</v>
      </c>
      <c r="G24" t="s">
        <v>39</v>
      </c>
      <c r="H24">
        <v>1</v>
      </c>
      <c r="I24">
        <v>2</v>
      </c>
      <c r="J24" t="str">
        <f>TEXT(DATE(2012,Table1[[#This Row],[MONTH_ID]],10),"mmm")</f>
        <v>Feb</v>
      </c>
      <c r="K24">
        <v>2005</v>
      </c>
      <c r="L24" t="s">
        <v>40</v>
      </c>
      <c r="M24">
        <v>95</v>
      </c>
      <c r="N24" t="s">
        <v>41</v>
      </c>
      <c r="O24" t="s">
        <v>128</v>
      </c>
      <c r="P24" t="s">
        <v>129</v>
      </c>
      <c r="Q24" t="s">
        <v>130</v>
      </c>
      <c r="S24" t="s">
        <v>131</v>
      </c>
      <c r="U24">
        <v>44000</v>
      </c>
      <c r="V24" t="s">
        <v>55</v>
      </c>
      <c r="W24" t="s">
        <v>56</v>
      </c>
      <c r="X24" t="s">
        <v>132</v>
      </c>
      <c r="Y24" t="s">
        <v>133</v>
      </c>
      <c r="Z24" t="s">
        <v>50</v>
      </c>
    </row>
    <row r="25" spans="1:26" x14ac:dyDescent="0.3">
      <c r="A25">
        <v>10388</v>
      </c>
      <c r="B25">
        <v>42</v>
      </c>
      <c r="C25">
        <v>76.36</v>
      </c>
      <c r="D25">
        <v>4</v>
      </c>
      <c r="E25">
        <v>3207.12</v>
      </c>
      <c r="F25" s="1">
        <v>38414</v>
      </c>
      <c r="G25" t="s">
        <v>39</v>
      </c>
      <c r="H25">
        <v>1</v>
      </c>
      <c r="I25">
        <v>3</v>
      </c>
      <c r="J25" t="str">
        <f>TEXT(DATE(2012,Table1[[#This Row],[MONTH_ID]],10),"mmm")</f>
        <v>Mar</v>
      </c>
      <c r="K25">
        <v>2005</v>
      </c>
      <c r="L25" t="s">
        <v>40</v>
      </c>
      <c r="M25">
        <v>95</v>
      </c>
      <c r="N25" t="s">
        <v>41</v>
      </c>
      <c r="O25" t="s">
        <v>174</v>
      </c>
      <c r="P25">
        <v>5085552555</v>
      </c>
      <c r="Q25" t="s">
        <v>175</v>
      </c>
      <c r="S25" t="s">
        <v>176</v>
      </c>
      <c r="T25" t="s">
        <v>137</v>
      </c>
      <c r="U25">
        <v>50553</v>
      </c>
      <c r="V25" t="s">
        <v>46</v>
      </c>
      <c r="W25" t="s">
        <v>47</v>
      </c>
      <c r="X25" t="s">
        <v>177</v>
      </c>
      <c r="Y25" t="s">
        <v>178</v>
      </c>
      <c r="Z25" t="s">
        <v>65</v>
      </c>
    </row>
    <row r="26" spans="1:26" x14ac:dyDescent="0.3">
      <c r="A26">
        <v>10403</v>
      </c>
      <c r="B26">
        <v>24</v>
      </c>
      <c r="C26">
        <v>100</v>
      </c>
      <c r="D26">
        <v>7</v>
      </c>
      <c r="E26">
        <v>2434.56</v>
      </c>
      <c r="F26" s="1">
        <v>38450</v>
      </c>
      <c r="G26" t="s">
        <v>39</v>
      </c>
      <c r="H26">
        <v>2</v>
      </c>
      <c r="I26">
        <v>4</v>
      </c>
      <c r="J26" t="str">
        <f>TEXT(DATE(2012,Table1[[#This Row],[MONTH_ID]],10),"mmm")</f>
        <v>Apr</v>
      </c>
      <c r="K26">
        <v>2005</v>
      </c>
      <c r="L26" t="s">
        <v>40</v>
      </c>
      <c r="M26">
        <v>95</v>
      </c>
      <c r="N26" t="s">
        <v>41</v>
      </c>
      <c r="O26" t="s">
        <v>179</v>
      </c>
      <c r="P26" t="s">
        <v>180</v>
      </c>
      <c r="Q26" t="s">
        <v>181</v>
      </c>
      <c r="S26" t="s">
        <v>182</v>
      </c>
      <c r="U26" t="s">
        <v>183</v>
      </c>
      <c r="V26" t="s">
        <v>184</v>
      </c>
      <c r="W26" t="s">
        <v>56</v>
      </c>
      <c r="X26" t="s">
        <v>185</v>
      </c>
      <c r="Y26" t="s">
        <v>186</v>
      </c>
      <c r="Z26" t="s">
        <v>50</v>
      </c>
    </row>
    <row r="27" spans="1:26" x14ac:dyDescent="0.3">
      <c r="A27">
        <v>10417</v>
      </c>
      <c r="B27">
        <v>66</v>
      </c>
      <c r="C27">
        <v>100</v>
      </c>
      <c r="D27">
        <v>2</v>
      </c>
      <c r="E27">
        <v>7516.08</v>
      </c>
      <c r="F27" s="1">
        <v>38485</v>
      </c>
      <c r="G27" t="s">
        <v>187</v>
      </c>
      <c r="H27">
        <v>2</v>
      </c>
      <c r="I27">
        <v>5</v>
      </c>
      <c r="J27" t="str">
        <f>TEXT(DATE(2012,Table1[[#This Row],[MONTH_ID]],10),"mmm")</f>
        <v>May</v>
      </c>
      <c r="K27">
        <v>2005</v>
      </c>
      <c r="L27" t="s">
        <v>40</v>
      </c>
      <c r="M27">
        <v>95</v>
      </c>
      <c r="N27" t="s">
        <v>41</v>
      </c>
      <c r="O27" t="s">
        <v>188</v>
      </c>
      <c r="P27" t="s">
        <v>189</v>
      </c>
      <c r="Q27" t="s">
        <v>190</v>
      </c>
      <c r="S27" t="s">
        <v>191</v>
      </c>
      <c r="U27">
        <v>28034</v>
      </c>
      <c r="V27" t="s">
        <v>192</v>
      </c>
      <c r="W27" t="s">
        <v>56</v>
      </c>
      <c r="X27" t="s">
        <v>193</v>
      </c>
      <c r="Y27" t="s">
        <v>194</v>
      </c>
      <c r="Z27" t="s">
        <v>165</v>
      </c>
    </row>
    <row r="28" spans="1:26" x14ac:dyDescent="0.3">
      <c r="A28">
        <v>10103</v>
      </c>
      <c r="B28">
        <v>26</v>
      </c>
      <c r="C28">
        <v>100</v>
      </c>
      <c r="D28">
        <v>11</v>
      </c>
      <c r="E28">
        <v>5404.62</v>
      </c>
      <c r="F28" s="1">
        <v>37650</v>
      </c>
      <c r="G28" t="s">
        <v>39</v>
      </c>
      <c r="H28">
        <v>1</v>
      </c>
      <c r="I28">
        <v>1</v>
      </c>
      <c r="J28" t="str">
        <f>TEXT(DATE(2012,Table1[[#This Row],[MONTH_ID]],10),"mmm")</f>
        <v>Jan</v>
      </c>
      <c r="K28">
        <v>2003</v>
      </c>
      <c r="L28" t="s">
        <v>195</v>
      </c>
      <c r="M28">
        <v>214</v>
      </c>
      <c r="N28" t="s">
        <v>196</v>
      </c>
      <c r="O28" t="s">
        <v>147</v>
      </c>
      <c r="P28" t="s">
        <v>148</v>
      </c>
      <c r="Q28" t="s">
        <v>149</v>
      </c>
      <c r="S28" t="s">
        <v>150</v>
      </c>
      <c r="U28">
        <v>4110</v>
      </c>
      <c r="V28" t="s">
        <v>92</v>
      </c>
      <c r="W28" t="s">
        <v>56</v>
      </c>
      <c r="X28" t="s">
        <v>151</v>
      </c>
      <c r="Y28" t="s">
        <v>152</v>
      </c>
      <c r="Z28" t="s">
        <v>65</v>
      </c>
    </row>
    <row r="29" spans="1:26" x14ac:dyDescent="0.3">
      <c r="A29">
        <v>10112</v>
      </c>
      <c r="B29">
        <v>29</v>
      </c>
      <c r="C29">
        <v>100</v>
      </c>
      <c r="D29">
        <v>1</v>
      </c>
      <c r="E29">
        <v>7209.11</v>
      </c>
      <c r="F29" s="1">
        <v>37704</v>
      </c>
      <c r="G29" t="s">
        <v>39</v>
      </c>
      <c r="H29">
        <v>1</v>
      </c>
      <c r="I29">
        <v>3</v>
      </c>
      <c r="J29" t="str">
        <f>TEXT(DATE(2012,Table1[[#This Row],[MONTH_ID]],10),"mmm")</f>
        <v>Mar</v>
      </c>
      <c r="K29">
        <v>2003</v>
      </c>
      <c r="L29" t="s">
        <v>195</v>
      </c>
      <c r="M29">
        <v>214</v>
      </c>
      <c r="N29" t="s">
        <v>196</v>
      </c>
      <c r="O29" t="s">
        <v>197</v>
      </c>
      <c r="P29" t="s">
        <v>198</v>
      </c>
      <c r="Q29" t="s">
        <v>199</v>
      </c>
      <c r="S29" t="s">
        <v>200</v>
      </c>
      <c r="U29" t="s">
        <v>201</v>
      </c>
      <c r="V29" t="s">
        <v>202</v>
      </c>
      <c r="W29" t="s">
        <v>56</v>
      </c>
      <c r="X29" t="s">
        <v>203</v>
      </c>
      <c r="Y29" t="s">
        <v>204</v>
      </c>
      <c r="Z29" t="s">
        <v>165</v>
      </c>
    </row>
    <row r="30" spans="1:26" x14ac:dyDescent="0.3">
      <c r="A30">
        <v>10126</v>
      </c>
      <c r="B30">
        <v>38</v>
      </c>
      <c r="C30">
        <v>100</v>
      </c>
      <c r="D30">
        <v>11</v>
      </c>
      <c r="E30">
        <v>7329.06</v>
      </c>
      <c r="F30" s="1">
        <v>37769</v>
      </c>
      <c r="G30" t="s">
        <v>39</v>
      </c>
      <c r="H30">
        <v>2</v>
      </c>
      <c r="I30">
        <v>5</v>
      </c>
      <c r="J30" t="str">
        <f>TEXT(DATE(2012,Table1[[#This Row],[MONTH_ID]],10),"mmm")</f>
        <v>May</v>
      </c>
      <c r="K30">
        <v>2003</v>
      </c>
      <c r="L30" t="s">
        <v>195</v>
      </c>
      <c r="M30">
        <v>214</v>
      </c>
      <c r="N30" t="s">
        <v>196</v>
      </c>
      <c r="O30" t="s">
        <v>205</v>
      </c>
      <c r="P30" t="s">
        <v>206</v>
      </c>
      <c r="Q30" t="s">
        <v>207</v>
      </c>
      <c r="S30" t="s">
        <v>191</v>
      </c>
      <c r="U30">
        <v>28023</v>
      </c>
      <c r="V30" t="s">
        <v>192</v>
      </c>
      <c r="W30" t="s">
        <v>56</v>
      </c>
      <c r="X30" t="s">
        <v>208</v>
      </c>
      <c r="Y30" t="s">
        <v>209</v>
      </c>
      <c r="Z30" t="s">
        <v>165</v>
      </c>
    </row>
    <row r="31" spans="1:26" x14ac:dyDescent="0.3">
      <c r="A31">
        <v>10140</v>
      </c>
      <c r="B31">
        <v>37</v>
      </c>
      <c r="C31">
        <v>100</v>
      </c>
      <c r="D31">
        <v>11</v>
      </c>
      <c r="E31">
        <v>7374.1</v>
      </c>
      <c r="F31" s="1">
        <v>37826</v>
      </c>
      <c r="G31" t="s">
        <v>39</v>
      </c>
      <c r="H31">
        <v>3</v>
      </c>
      <c r="I31">
        <v>7</v>
      </c>
      <c r="J31" t="str">
        <f>TEXT(DATE(2012,Table1[[#This Row],[MONTH_ID]],10),"mmm")</f>
        <v>Jul</v>
      </c>
      <c r="K31">
        <v>2003</v>
      </c>
      <c r="L31" t="s">
        <v>195</v>
      </c>
      <c r="M31">
        <v>214</v>
      </c>
      <c r="N31" t="s">
        <v>196</v>
      </c>
      <c r="O31" t="s">
        <v>76</v>
      </c>
      <c r="P31">
        <v>6505556809</v>
      </c>
      <c r="Q31" t="s">
        <v>77</v>
      </c>
      <c r="S31" t="s">
        <v>78</v>
      </c>
      <c r="T31" t="s">
        <v>69</v>
      </c>
      <c r="U31">
        <v>94217</v>
      </c>
      <c r="V31" t="s">
        <v>46</v>
      </c>
      <c r="W31" t="s">
        <v>47</v>
      </c>
      <c r="X31" t="s">
        <v>79</v>
      </c>
      <c r="Y31" t="s">
        <v>80</v>
      </c>
      <c r="Z31" t="s">
        <v>165</v>
      </c>
    </row>
    <row r="32" spans="1:26" x14ac:dyDescent="0.3">
      <c r="A32">
        <v>10150</v>
      </c>
      <c r="B32">
        <v>45</v>
      </c>
      <c r="C32">
        <v>100</v>
      </c>
      <c r="D32">
        <v>8</v>
      </c>
      <c r="E32">
        <v>10993.5</v>
      </c>
      <c r="F32" s="1">
        <v>37883</v>
      </c>
      <c r="G32" t="s">
        <v>39</v>
      </c>
      <c r="H32">
        <v>3</v>
      </c>
      <c r="I32">
        <v>9</v>
      </c>
      <c r="J32" t="str">
        <f>TEXT(DATE(2012,Table1[[#This Row],[MONTH_ID]],10),"mmm")</f>
        <v>Sep</v>
      </c>
      <c r="K32">
        <v>2003</v>
      </c>
      <c r="L32" t="s">
        <v>195</v>
      </c>
      <c r="M32">
        <v>214</v>
      </c>
      <c r="N32" t="s">
        <v>196</v>
      </c>
      <c r="O32" t="s">
        <v>210</v>
      </c>
      <c r="P32" t="s">
        <v>211</v>
      </c>
      <c r="Q32" t="s">
        <v>212</v>
      </c>
      <c r="S32" t="s">
        <v>213</v>
      </c>
      <c r="U32">
        <v>79903</v>
      </c>
      <c r="V32" t="s">
        <v>213</v>
      </c>
      <c r="W32" t="s">
        <v>214</v>
      </c>
      <c r="X32" t="s">
        <v>215</v>
      </c>
      <c r="Y32" t="s">
        <v>216</v>
      </c>
      <c r="Z32" t="s">
        <v>165</v>
      </c>
    </row>
    <row r="33" spans="1:26" x14ac:dyDescent="0.3">
      <c r="A33">
        <v>10163</v>
      </c>
      <c r="B33">
        <v>21</v>
      </c>
      <c r="C33">
        <v>100</v>
      </c>
      <c r="D33">
        <v>1</v>
      </c>
      <c r="E33">
        <v>4860.24</v>
      </c>
      <c r="F33" s="1">
        <v>37914</v>
      </c>
      <c r="G33" t="s">
        <v>39</v>
      </c>
      <c r="H33">
        <v>4</v>
      </c>
      <c r="I33">
        <v>10</v>
      </c>
      <c r="J33" t="str">
        <f>TEXT(DATE(2012,Table1[[#This Row],[MONTH_ID]],10),"mmm")</f>
        <v>Oct</v>
      </c>
      <c r="K33">
        <v>2003</v>
      </c>
      <c r="L33" t="s">
        <v>195</v>
      </c>
      <c r="M33">
        <v>214</v>
      </c>
      <c r="N33" t="s">
        <v>196</v>
      </c>
      <c r="O33" t="s">
        <v>217</v>
      </c>
      <c r="P33">
        <v>2125558493</v>
      </c>
      <c r="Q33" t="s">
        <v>218</v>
      </c>
      <c r="R33" t="s">
        <v>219</v>
      </c>
      <c r="S33" t="s">
        <v>44</v>
      </c>
      <c r="T33" t="s">
        <v>45</v>
      </c>
      <c r="U33">
        <v>10022</v>
      </c>
      <c r="V33" t="s">
        <v>46</v>
      </c>
      <c r="W33" t="s">
        <v>47</v>
      </c>
      <c r="X33" t="s">
        <v>138</v>
      </c>
      <c r="Y33" t="s">
        <v>220</v>
      </c>
      <c r="Z33" t="s">
        <v>65</v>
      </c>
    </row>
    <row r="34" spans="1:26" x14ac:dyDescent="0.3">
      <c r="A34">
        <v>10174</v>
      </c>
      <c r="B34">
        <v>34</v>
      </c>
      <c r="C34">
        <v>100</v>
      </c>
      <c r="D34">
        <v>4</v>
      </c>
      <c r="E34">
        <v>8014.82</v>
      </c>
      <c r="F34" s="1">
        <v>37931</v>
      </c>
      <c r="G34" t="s">
        <v>39</v>
      </c>
      <c r="H34">
        <v>4</v>
      </c>
      <c r="I34">
        <v>11</v>
      </c>
      <c r="J34" t="str">
        <f>TEXT(DATE(2012,Table1[[#This Row],[MONTH_ID]],10),"mmm")</f>
        <v>Nov</v>
      </c>
      <c r="K34">
        <v>2003</v>
      </c>
      <c r="L34" t="s">
        <v>195</v>
      </c>
      <c r="M34">
        <v>214</v>
      </c>
      <c r="N34" t="s">
        <v>196</v>
      </c>
      <c r="O34" t="s">
        <v>221</v>
      </c>
      <c r="P34" t="s">
        <v>222</v>
      </c>
      <c r="Q34" t="s">
        <v>223</v>
      </c>
      <c r="S34" t="s">
        <v>224</v>
      </c>
      <c r="T34" t="s">
        <v>225</v>
      </c>
      <c r="U34">
        <v>4101</v>
      </c>
      <c r="V34" t="s">
        <v>109</v>
      </c>
      <c r="W34" t="s">
        <v>110</v>
      </c>
      <c r="X34" t="s">
        <v>226</v>
      </c>
      <c r="Y34" t="s">
        <v>227</v>
      </c>
      <c r="Z34" t="s">
        <v>165</v>
      </c>
    </row>
    <row r="35" spans="1:26" x14ac:dyDescent="0.3">
      <c r="A35">
        <v>10183</v>
      </c>
      <c r="B35">
        <v>23</v>
      </c>
      <c r="C35">
        <v>100</v>
      </c>
      <c r="D35">
        <v>8</v>
      </c>
      <c r="E35">
        <v>5372.57</v>
      </c>
      <c r="F35" s="1">
        <v>37938</v>
      </c>
      <c r="G35" t="s">
        <v>39</v>
      </c>
      <c r="H35">
        <v>4</v>
      </c>
      <c r="I35">
        <v>11</v>
      </c>
      <c r="J35" t="str">
        <f>TEXT(DATE(2012,Table1[[#This Row],[MONTH_ID]],10),"mmm")</f>
        <v>Nov</v>
      </c>
      <c r="K35">
        <v>2003</v>
      </c>
      <c r="L35" t="s">
        <v>195</v>
      </c>
      <c r="M35">
        <v>214</v>
      </c>
      <c r="N35" t="s">
        <v>196</v>
      </c>
      <c r="O35" t="s">
        <v>228</v>
      </c>
      <c r="P35">
        <v>2155554695</v>
      </c>
      <c r="Q35" t="s">
        <v>229</v>
      </c>
      <c r="S35" t="s">
        <v>230</v>
      </c>
      <c r="T35" t="s">
        <v>156</v>
      </c>
      <c r="U35">
        <v>71270</v>
      </c>
      <c r="V35" t="s">
        <v>46</v>
      </c>
      <c r="W35" t="s">
        <v>47</v>
      </c>
      <c r="X35" t="s">
        <v>231</v>
      </c>
      <c r="Y35" t="s">
        <v>232</v>
      </c>
      <c r="Z35" t="s">
        <v>65</v>
      </c>
    </row>
    <row r="36" spans="1:26" x14ac:dyDescent="0.3">
      <c r="A36">
        <v>10194</v>
      </c>
      <c r="B36">
        <v>42</v>
      </c>
      <c r="C36">
        <v>100</v>
      </c>
      <c r="D36">
        <v>11</v>
      </c>
      <c r="E36">
        <v>7290.36</v>
      </c>
      <c r="F36" s="1">
        <v>37950</v>
      </c>
      <c r="G36" t="s">
        <v>39</v>
      </c>
      <c r="H36">
        <v>4</v>
      </c>
      <c r="I36">
        <v>11</v>
      </c>
      <c r="J36" t="str">
        <f>TEXT(DATE(2012,Table1[[#This Row],[MONTH_ID]],10),"mmm")</f>
        <v>Nov</v>
      </c>
      <c r="K36">
        <v>2003</v>
      </c>
      <c r="L36" t="s">
        <v>195</v>
      </c>
      <c r="M36">
        <v>214</v>
      </c>
      <c r="N36" t="s">
        <v>196</v>
      </c>
      <c r="O36" t="s">
        <v>233</v>
      </c>
      <c r="P36" t="s">
        <v>234</v>
      </c>
      <c r="Q36" t="s">
        <v>235</v>
      </c>
      <c r="S36" t="s">
        <v>236</v>
      </c>
      <c r="U36">
        <v>69004</v>
      </c>
      <c r="V36" t="s">
        <v>55</v>
      </c>
      <c r="W36" t="s">
        <v>56</v>
      </c>
      <c r="X36" t="s">
        <v>237</v>
      </c>
      <c r="Y36" t="s">
        <v>238</v>
      </c>
      <c r="Z36" t="s">
        <v>165</v>
      </c>
    </row>
    <row r="37" spans="1:26" x14ac:dyDescent="0.3">
      <c r="A37">
        <v>10206</v>
      </c>
      <c r="B37">
        <v>47</v>
      </c>
      <c r="C37">
        <v>100</v>
      </c>
      <c r="D37">
        <v>6</v>
      </c>
      <c r="E37">
        <v>9064.89</v>
      </c>
      <c r="F37" s="1">
        <v>37960</v>
      </c>
      <c r="G37" t="s">
        <v>39</v>
      </c>
      <c r="H37">
        <v>4</v>
      </c>
      <c r="I37">
        <v>12</v>
      </c>
      <c r="J37" t="str">
        <f>TEXT(DATE(2012,Table1[[#This Row],[MONTH_ID]],10),"mmm")</f>
        <v>Dec</v>
      </c>
      <c r="K37">
        <v>2003</v>
      </c>
      <c r="L37" t="s">
        <v>195</v>
      </c>
      <c r="M37">
        <v>214</v>
      </c>
      <c r="N37" t="s">
        <v>196</v>
      </c>
      <c r="O37" t="s">
        <v>239</v>
      </c>
      <c r="P37" t="s">
        <v>240</v>
      </c>
      <c r="Q37" t="s">
        <v>241</v>
      </c>
      <c r="S37" t="s">
        <v>242</v>
      </c>
      <c r="T37" t="s">
        <v>243</v>
      </c>
      <c r="U37" t="s">
        <v>244</v>
      </c>
      <c r="V37" t="s">
        <v>245</v>
      </c>
      <c r="W37" t="s">
        <v>47</v>
      </c>
      <c r="X37" t="s">
        <v>246</v>
      </c>
      <c r="Y37" t="s">
        <v>247</v>
      </c>
      <c r="Z37" t="s">
        <v>165</v>
      </c>
    </row>
    <row r="38" spans="1:26" x14ac:dyDescent="0.3">
      <c r="A38">
        <v>10215</v>
      </c>
      <c r="B38">
        <v>35</v>
      </c>
      <c r="C38">
        <v>100</v>
      </c>
      <c r="D38">
        <v>3</v>
      </c>
      <c r="E38">
        <v>6075.3</v>
      </c>
      <c r="F38" s="1">
        <v>38015</v>
      </c>
      <c r="G38" t="s">
        <v>39</v>
      </c>
      <c r="H38">
        <v>1</v>
      </c>
      <c r="I38">
        <v>1</v>
      </c>
      <c r="J38" t="str">
        <f>TEXT(DATE(2012,Table1[[#This Row],[MONTH_ID]],10),"mmm")</f>
        <v>Jan</v>
      </c>
      <c r="K38">
        <v>2004</v>
      </c>
      <c r="L38" t="s">
        <v>195</v>
      </c>
      <c r="M38">
        <v>214</v>
      </c>
      <c r="N38" t="s">
        <v>196</v>
      </c>
      <c r="O38" t="s">
        <v>248</v>
      </c>
      <c r="P38">
        <v>3105553722</v>
      </c>
      <c r="Q38" t="s">
        <v>249</v>
      </c>
      <c r="S38" t="s">
        <v>250</v>
      </c>
      <c r="T38" t="s">
        <v>69</v>
      </c>
      <c r="U38">
        <v>94019</v>
      </c>
      <c r="V38" t="s">
        <v>46</v>
      </c>
      <c r="W38" t="s">
        <v>47</v>
      </c>
      <c r="X38" t="s">
        <v>251</v>
      </c>
      <c r="Y38" t="s">
        <v>252</v>
      </c>
      <c r="Z38" t="s">
        <v>65</v>
      </c>
    </row>
    <row r="39" spans="1:26" x14ac:dyDescent="0.3">
      <c r="A39">
        <v>10228</v>
      </c>
      <c r="B39">
        <v>29</v>
      </c>
      <c r="C39">
        <v>100</v>
      </c>
      <c r="D39">
        <v>2</v>
      </c>
      <c r="E39">
        <v>6463.23</v>
      </c>
      <c r="F39" s="1">
        <v>38056</v>
      </c>
      <c r="G39" t="s">
        <v>39</v>
      </c>
      <c r="H39">
        <v>1</v>
      </c>
      <c r="I39">
        <v>3</v>
      </c>
      <c r="J39" t="str">
        <f>TEXT(DATE(2012,Table1[[#This Row],[MONTH_ID]],10),"mmm")</f>
        <v>Mar</v>
      </c>
      <c r="K39">
        <v>2004</v>
      </c>
      <c r="L39" t="s">
        <v>195</v>
      </c>
      <c r="M39">
        <v>214</v>
      </c>
      <c r="N39" t="s">
        <v>196</v>
      </c>
      <c r="O39" t="s">
        <v>253</v>
      </c>
      <c r="P39">
        <v>6175555555</v>
      </c>
      <c r="Q39" t="s">
        <v>254</v>
      </c>
      <c r="S39" t="s">
        <v>136</v>
      </c>
      <c r="T39" t="s">
        <v>137</v>
      </c>
      <c r="U39">
        <v>51247</v>
      </c>
      <c r="V39" t="s">
        <v>46</v>
      </c>
      <c r="W39" t="s">
        <v>47</v>
      </c>
      <c r="X39" t="s">
        <v>255</v>
      </c>
      <c r="Y39" t="s">
        <v>157</v>
      </c>
      <c r="Z39" t="s">
        <v>65</v>
      </c>
    </row>
    <row r="40" spans="1:26" x14ac:dyDescent="0.3">
      <c r="A40">
        <v>10245</v>
      </c>
      <c r="B40">
        <v>34</v>
      </c>
      <c r="C40">
        <v>100</v>
      </c>
      <c r="D40">
        <v>9</v>
      </c>
      <c r="E40">
        <v>6120.34</v>
      </c>
      <c r="F40" s="1">
        <v>38111</v>
      </c>
      <c r="G40" t="s">
        <v>39</v>
      </c>
      <c r="H40">
        <v>2</v>
      </c>
      <c r="I40">
        <v>5</v>
      </c>
      <c r="J40" t="str">
        <f>TEXT(DATE(2012,Table1[[#This Row],[MONTH_ID]],10),"mmm")</f>
        <v>May</v>
      </c>
      <c r="K40">
        <v>2004</v>
      </c>
      <c r="L40" t="s">
        <v>195</v>
      </c>
      <c r="M40">
        <v>214</v>
      </c>
      <c r="N40" t="s">
        <v>196</v>
      </c>
      <c r="O40" t="s">
        <v>256</v>
      </c>
      <c r="P40">
        <v>2035559545</v>
      </c>
      <c r="Q40" t="s">
        <v>257</v>
      </c>
      <c r="S40" t="s">
        <v>258</v>
      </c>
      <c r="T40" t="s">
        <v>126</v>
      </c>
      <c r="U40">
        <v>97823</v>
      </c>
      <c r="V40" t="s">
        <v>46</v>
      </c>
      <c r="W40" t="s">
        <v>47</v>
      </c>
      <c r="X40" t="s">
        <v>97</v>
      </c>
      <c r="Y40" t="s">
        <v>259</v>
      </c>
      <c r="Z40" t="s">
        <v>65</v>
      </c>
    </row>
    <row r="41" spans="1:26" x14ac:dyDescent="0.3">
      <c r="A41">
        <v>10258</v>
      </c>
      <c r="B41">
        <v>32</v>
      </c>
      <c r="C41">
        <v>100</v>
      </c>
      <c r="D41">
        <v>6</v>
      </c>
      <c r="E41">
        <v>7680.64</v>
      </c>
      <c r="F41" s="1">
        <v>38153</v>
      </c>
      <c r="G41" t="s">
        <v>39</v>
      </c>
      <c r="H41">
        <v>2</v>
      </c>
      <c r="I41">
        <v>6</v>
      </c>
      <c r="J41" t="str">
        <f>TEXT(DATE(2012,Table1[[#This Row],[MONTH_ID]],10),"mmm")</f>
        <v>Jun</v>
      </c>
      <c r="K41">
        <v>2004</v>
      </c>
      <c r="L41" t="s">
        <v>195</v>
      </c>
      <c r="M41">
        <v>214</v>
      </c>
      <c r="N41" t="s">
        <v>196</v>
      </c>
      <c r="O41" t="s">
        <v>260</v>
      </c>
      <c r="P41" t="s">
        <v>261</v>
      </c>
      <c r="Q41" t="s">
        <v>262</v>
      </c>
      <c r="S41" t="s">
        <v>263</v>
      </c>
      <c r="T41" t="s">
        <v>264</v>
      </c>
      <c r="U41" t="s">
        <v>265</v>
      </c>
      <c r="V41" t="s">
        <v>214</v>
      </c>
      <c r="W41" t="s">
        <v>214</v>
      </c>
      <c r="X41" t="s">
        <v>266</v>
      </c>
      <c r="Y41" t="s">
        <v>267</v>
      </c>
      <c r="Z41" t="s">
        <v>165</v>
      </c>
    </row>
    <row r="42" spans="1:26" x14ac:dyDescent="0.3">
      <c r="A42">
        <v>10270</v>
      </c>
      <c r="B42">
        <v>21</v>
      </c>
      <c r="C42">
        <v>100</v>
      </c>
      <c r="D42">
        <v>9</v>
      </c>
      <c r="E42">
        <v>4905.3900000000003</v>
      </c>
      <c r="F42" s="1">
        <v>38187</v>
      </c>
      <c r="G42" t="s">
        <v>39</v>
      </c>
      <c r="H42">
        <v>3</v>
      </c>
      <c r="I42">
        <v>7</v>
      </c>
      <c r="J42" t="str">
        <f>TEXT(DATE(2012,Table1[[#This Row],[MONTH_ID]],10),"mmm")</f>
        <v>Jul</v>
      </c>
      <c r="K42">
        <v>2004</v>
      </c>
      <c r="L42" t="s">
        <v>195</v>
      </c>
      <c r="M42">
        <v>214</v>
      </c>
      <c r="N42" t="s">
        <v>196</v>
      </c>
      <c r="O42" t="s">
        <v>166</v>
      </c>
      <c r="P42" t="s">
        <v>167</v>
      </c>
      <c r="Q42" t="s">
        <v>168</v>
      </c>
      <c r="R42" t="s">
        <v>169</v>
      </c>
      <c r="S42" t="s">
        <v>170</v>
      </c>
      <c r="T42" t="s">
        <v>171</v>
      </c>
      <c r="U42">
        <v>2067</v>
      </c>
      <c r="V42" t="s">
        <v>109</v>
      </c>
      <c r="W42" t="s">
        <v>110</v>
      </c>
      <c r="X42" t="s">
        <v>172</v>
      </c>
      <c r="Y42" t="s">
        <v>173</v>
      </c>
      <c r="Z42" t="s">
        <v>65</v>
      </c>
    </row>
    <row r="43" spans="1:26" x14ac:dyDescent="0.3">
      <c r="A43">
        <v>10280</v>
      </c>
      <c r="B43">
        <v>34</v>
      </c>
      <c r="C43">
        <v>100</v>
      </c>
      <c r="D43">
        <v>2</v>
      </c>
      <c r="E43">
        <v>8014.82</v>
      </c>
      <c r="F43" s="1">
        <v>38216</v>
      </c>
      <c r="G43" t="s">
        <v>39</v>
      </c>
      <c r="H43">
        <v>3</v>
      </c>
      <c r="I43">
        <v>8</v>
      </c>
      <c r="J43" t="str">
        <f>TEXT(DATE(2012,Table1[[#This Row],[MONTH_ID]],10),"mmm")</f>
        <v>Aug</v>
      </c>
      <c r="K43">
        <v>2004</v>
      </c>
      <c r="L43" t="s">
        <v>195</v>
      </c>
      <c r="M43">
        <v>214</v>
      </c>
      <c r="N43" t="s">
        <v>196</v>
      </c>
      <c r="O43" t="s">
        <v>268</v>
      </c>
      <c r="P43" t="s">
        <v>269</v>
      </c>
      <c r="Q43" t="s">
        <v>270</v>
      </c>
      <c r="S43" t="s">
        <v>271</v>
      </c>
      <c r="U43">
        <v>10100</v>
      </c>
      <c r="V43" t="s">
        <v>272</v>
      </c>
      <c r="W43" t="s">
        <v>56</v>
      </c>
      <c r="X43" t="s">
        <v>273</v>
      </c>
      <c r="Y43" t="s">
        <v>274</v>
      </c>
      <c r="Z43" t="s">
        <v>165</v>
      </c>
    </row>
    <row r="44" spans="1:26" x14ac:dyDescent="0.3">
      <c r="A44">
        <v>10291</v>
      </c>
      <c r="B44">
        <v>37</v>
      </c>
      <c r="C44">
        <v>100</v>
      </c>
      <c r="D44">
        <v>11</v>
      </c>
      <c r="E44">
        <v>7136.19</v>
      </c>
      <c r="F44" s="1">
        <v>38238</v>
      </c>
      <c r="G44" t="s">
        <v>39</v>
      </c>
      <c r="H44">
        <v>3</v>
      </c>
      <c r="I44">
        <v>9</v>
      </c>
      <c r="J44" t="str">
        <f>TEXT(DATE(2012,Table1[[#This Row],[MONTH_ID]],10),"mmm")</f>
        <v>Sep</v>
      </c>
      <c r="K44">
        <v>2004</v>
      </c>
      <c r="L44" t="s">
        <v>195</v>
      </c>
      <c r="M44">
        <v>214</v>
      </c>
      <c r="N44" t="s">
        <v>196</v>
      </c>
      <c r="O44" t="s">
        <v>275</v>
      </c>
      <c r="P44" t="s">
        <v>276</v>
      </c>
      <c r="Q44" t="s">
        <v>277</v>
      </c>
      <c r="S44" t="s">
        <v>278</v>
      </c>
      <c r="U44" t="s">
        <v>279</v>
      </c>
      <c r="V44" t="s">
        <v>202</v>
      </c>
      <c r="W44" t="s">
        <v>56</v>
      </c>
      <c r="X44" t="s">
        <v>280</v>
      </c>
      <c r="Y44" t="s">
        <v>220</v>
      </c>
      <c r="Z44" t="s">
        <v>165</v>
      </c>
    </row>
    <row r="45" spans="1:26" x14ac:dyDescent="0.3">
      <c r="A45">
        <v>10304</v>
      </c>
      <c r="B45">
        <v>47</v>
      </c>
      <c r="C45">
        <v>100</v>
      </c>
      <c r="D45">
        <v>6</v>
      </c>
      <c r="E45">
        <v>10172.700000000001</v>
      </c>
      <c r="F45" s="1">
        <v>38271</v>
      </c>
      <c r="G45" t="s">
        <v>39</v>
      </c>
      <c r="H45">
        <v>4</v>
      </c>
      <c r="I45">
        <v>10</v>
      </c>
      <c r="J45" t="str">
        <f>TEXT(DATE(2012,Table1[[#This Row],[MONTH_ID]],10),"mmm")</f>
        <v>Oct</v>
      </c>
      <c r="K45">
        <v>2004</v>
      </c>
      <c r="L45" t="s">
        <v>195</v>
      </c>
      <c r="M45">
        <v>214</v>
      </c>
      <c r="N45" t="s">
        <v>196</v>
      </c>
      <c r="O45" t="s">
        <v>281</v>
      </c>
      <c r="P45" t="s">
        <v>282</v>
      </c>
      <c r="Q45" t="s">
        <v>283</v>
      </c>
      <c r="S45" t="s">
        <v>284</v>
      </c>
      <c r="U45">
        <v>78000</v>
      </c>
      <c r="V45" t="s">
        <v>55</v>
      </c>
      <c r="W45" t="s">
        <v>56</v>
      </c>
      <c r="X45" t="s">
        <v>285</v>
      </c>
      <c r="Y45" t="s">
        <v>64</v>
      </c>
      <c r="Z45" t="s">
        <v>165</v>
      </c>
    </row>
    <row r="46" spans="1:26" x14ac:dyDescent="0.3">
      <c r="A46">
        <v>10312</v>
      </c>
      <c r="B46">
        <v>48</v>
      </c>
      <c r="C46">
        <v>100</v>
      </c>
      <c r="D46">
        <v>3</v>
      </c>
      <c r="E46">
        <v>11623.7</v>
      </c>
      <c r="F46" s="1">
        <v>38281</v>
      </c>
      <c r="G46" t="s">
        <v>39</v>
      </c>
      <c r="H46">
        <v>4</v>
      </c>
      <c r="I46">
        <v>10</v>
      </c>
      <c r="J46" t="str">
        <f>TEXT(DATE(2012,Table1[[#This Row],[MONTH_ID]],10),"mmm")</f>
        <v>Oct</v>
      </c>
      <c r="K46">
        <v>2004</v>
      </c>
      <c r="L46" t="s">
        <v>195</v>
      </c>
      <c r="M46">
        <v>214</v>
      </c>
      <c r="N46" t="s">
        <v>196</v>
      </c>
      <c r="O46" t="s">
        <v>286</v>
      </c>
      <c r="P46">
        <v>4155551450</v>
      </c>
      <c r="Q46" t="s">
        <v>287</v>
      </c>
      <c r="S46" t="s">
        <v>288</v>
      </c>
      <c r="T46" t="s">
        <v>69</v>
      </c>
      <c r="U46">
        <v>97562</v>
      </c>
      <c r="V46" t="s">
        <v>46</v>
      </c>
      <c r="W46" t="s">
        <v>47</v>
      </c>
      <c r="X46" t="s">
        <v>289</v>
      </c>
      <c r="Y46" t="s">
        <v>290</v>
      </c>
      <c r="Z46" t="s">
        <v>165</v>
      </c>
    </row>
    <row r="47" spans="1:26" x14ac:dyDescent="0.3">
      <c r="A47">
        <v>10322</v>
      </c>
      <c r="B47">
        <v>40</v>
      </c>
      <c r="C47">
        <v>100</v>
      </c>
      <c r="D47">
        <v>1</v>
      </c>
      <c r="E47">
        <v>6000.4</v>
      </c>
      <c r="F47" s="1">
        <v>38295</v>
      </c>
      <c r="G47" t="s">
        <v>39</v>
      </c>
      <c r="H47">
        <v>4</v>
      </c>
      <c r="I47">
        <v>11</v>
      </c>
      <c r="J47" t="str">
        <f>TEXT(DATE(2012,Table1[[#This Row],[MONTH_ID]],10),"mmm")</f>
        <v>Nov</v>
      </c>
      <c r="K47">
        <v>2004</v>
      </c>
      <c r="L47" t="s">
        <v>195</v>
      </c>
      <c r="M47">
        <v>214</v>
      </c>
      <c r="N47" t="s">
        <v>196</v>
      </c>
      <c r="O47" t="s">
        <v>291</v>
      </c>
      <c r="P47">
        <v>6035558647</v>
      </c>
      <c r="Q47" t="s">
        <v>292</v>
      </c>
      <c r="S47" t="s">
        <v>293</v>
      </c>
      <c r="T47" t="s">
        <v>294</v>
      </c>
      <c r="U47">
        <v>62005</v>
      </c>
      <c r="V47" t="s">
        <v>46</v>
      </c>
      <c r="W47" t="s">
        <v>47</v>
      </c>
      <c r="X47" t="s">
        <v>70</v>
      </c>
      <c r="Y47" t="s">
        <v>290</v>
      </c>
      <c r="Z47" t="s">
        <v>65</v>
      </c>
    </row>
    <row r="48" spans="1:26" x14ac:dyDescent="0.3">
      <c r="A48">
        <v>10333</v>
      </c>
      <c r="B48">
        <v>26</v>
      </c>
      <c r="C48">
        <v>100</v>
      </c>
      <c r="D48">
        <v>3</v>
      </c>
      <c r="E48">
        <v>3003</v>
      </c>
      <c r="F48" s="1">
        <v>38309</v>
      </c>
      <c r="G48" t="s">
        <v>39</v>
      </c>
      <c r="H48">
        <v>4</v>
      </c>
      <c r="I48">
        <v>11</v>
      </c>
      <c r="J48" t="str">
        <f>TEXT(DATE(2012,Table1[[#This Row],[MONTH_ID]],10),"mmm")</f>
        <v>Nov</v>
      </c>
      <c r="K48">
        <v>2004</v>
      </c>
      <c r="L48" t="s">
        <v>195</v>
      </c>
      <c r="M48">
        <v>214</v>
      </c>
      <c r="N48" t="s">
        <v>196</v>
      </c>
      <c r="O48" t="s">
        <v>95</v>
      </c>
      <c r="P48">
        <v>6505555787</v>
      </c>
      <c r="Q48" t="s">
        <v>96</v>
      </c>
      <c r="S48" t="s">
        <v>74</v>
      </c>
      <c r="T48" t="s">
        <v>69</v>
      </c>
      <c r="V48" t="s">
        <v>46</v>
      </c>
      <c r="W48" t="s">
        <v>47</v>
      </c>
      <c r="X48" t="s">
        <v>97</v>
      </c>
      <c r="Y48" t="s">
        <v>71</v>
      </c>
      <c r="Z48" t="s">
        <v>65</v>
      </c>
    </row>
    <row r="49" spans="1:26" x14ac:dyDescent="0.3">
      <c r="A49">
        <v>10347</v>
      </c>
      <c r="B49">
        <v>30</v>
      </c>
      <c r="C49">
        <v>100</v>
      </c>
      <c r="D49">
        <v>1</v>
      </c>
      <c r="E49">
        <v>3944.7</v>
      </c>
      <c r="F49" s="1">
        <v>38320</v>
      </c>
      <c r="G49" t="s">
        <v>39</v>
      </c>
      <c r="H49">
        <v>4</v>
      </c>
      <c r="I49">
        <v>11</v>
      </c>
      <c r="J49" t="str">
        <f>TEXT(DATE(2012,Table1[[#This Row],[MONTH_ID]],10),"mmm")</f>
        <v>Nov</v>
      </c>
      <c r="K49">
        <v>2004</v>
      </c>
      <c r="L49" t="s">
        <v>195</v>
      </c>
      <c r="M49">
        <v>214</v>
      </c>
      <c r="N49" t="s">
        <v>196</v>
      </c>
      <c r="O49" t="s">
        <v>103</v>
      </c>
      <c r="P49" t="s">
        <v>104</v>
      </c>
      <c r="Q49" t="s">
        <v>105</v>
      </c>
      <c r="R49" t="s">
        <v>106</v>
      </c>
      <c r="S49" t="s">
        <v>107</v>
      </c>
      <c r="T49" t="s">
        <v>108</v>
      </c>
      <c r="U49">
        <v>3004</v>
      </c>
      <c r="V49" t="s">
        <v>109</v>
      </c>
      <c r="W49" t="s">
        <v>110</v>
      </c>
      <c r="X49" t="s">
        <v>111</v>
      </c>
      <c r="Y49" t="s">
        <v>112</v>
      </c>
      <c r="Z49" t="s">
        <v>65</v>
      </c>
    </row>
    <row r="50" spans="1:26" x14ac:dyDescent="0.3">
      <c r="A50">
        <v>10357</v>
      </c>
      <c r="B50">
        <v>32</v>
      </c>
      <c r="C50">
        <v>100</v>
      </c>
      <c r="D50">
        <v>10</v>
      </c>
      <c r="E50">
        <v>5691.84</v>
      </c>
      <c r="F50" s="1">
        <v>38331</v>
      </c>
      <c r="G50" t="s">
        <v>39</v>
      </c>
      <c r="H50">
        <v>4</v>
      </c>
      <c r="I50">
        <v>12</v>
      </c>
      <c r="J50" t="str">
        <f>TEXT(DATE(2012,Table1[[#This Row],[MONTH_ID]],10),"mmm")</f>
        <v>Dec</v>
      </c>
      <c r="K50">
        <v>2004</v>
      </c>
      <c r="L50" t="s">
        <v>195</v>
      </c>
      <c r="M50">
        <v>214</v>
      </c>
      <c r="N50" t="s">
        <v>196</v>
      </c>
      <c r="O50" t="s">
        <v>286</v>
      </c>
      <c r="P50">
        <v>4155551450</v>
      </c>
      <c r="Q50" t="s">
        <v>287</v>
      </c>
      <c r="S50" t="s">
        <v>288</v>
      </c>
      <c r="T50" t="s">
        <v>69</v>
      </c>
      <c r="U50">
        <v>97562</v>
      </c>
      <c r="V50" t="s">
        <v>46</v>
      </c>
      <c r="W50" t="s">
        <v>47</v>
      </c>
      <c r="X50" t="s">
        <v>289</v>
      </c>
      <c r="Y50" t="s">
        <v>290</v>
      </c>
      <c r="Z50" t="s">
        <v>65</v>
      </c>
    </row>
    <row r="51" spans="1:26" x14ac:dyDescent="0.3">
      <c r="A51">
        <v>10369</v>
      </c>
      <c r="B51">
        <v>41</v>
      </c>
      <c r="C51">
        <v>100</v>
      </c>
      <c r="D51">
        <v>2</v>
      </c>
      <c r="E51">
        <v>4514.92</v>
      </c>
      <c r="F51" s="1">
        <v>38372</v>
      </c>
      <c r="G51" t="s">
        <v>39</v>
      </c>
      <c r="H51">
        <v>1</v>
      </c>
      <c r="I51">
        <v>1</v>
      </c>
      <c r="J51" t="str">
        <f>TEXT(DATE(2012,Table1[[#This Row],[MONTH_ID]],10),"mmm")</f>
        <v>Jan</v>
      </c>
      <c r="K51">
        <v>2005</v>
      </c>
      <c r="L51" t="s">
        <v>195</v>
      </c>
      <c r="M51">
        <v>214</v>
      </c>
      <c r="N51" t="s">
        <v>196</v>
      </c>
      <c r="O51" t="s">
        <v>295</v>
      </c>
      <c r="P51">
        <v>6175558555</v>
      </c>
      <c r="Q51" t="s">
        <v>296</v>
      </c>
      <c r="S51" t="s">
        <v>297</v>
      </c>
      <c r="T51" t="s">
        <v>137</v>
      </c>
      <c r="U51">
        <v>58339</v>
      </c>
      <c r="V51" t="s">
        <v>46</v>
      </c>
      <c r="W51" t="s">
        <v>47</v>
      </c>
      <c r="X51" t="s">
        <v>289</v>
      </c>
      <c r="Y51" t="s">
        <v>298</v>
      </c>
      <c r="Z51" t="s">
        <v>65</v>
      </c>
    </row>
    <row r="52" spans="1:26" x14ac:dyDescent="0.3">
      <c r="A52">
        <v>10381</v>
      </c>
      <c r="B52">
        <v>36</v>
      </c>
      <c r="C52">
        <v>100</v>
      </c>
      <c r="D52">
        <v>3</v>
      </c>
      <c r="E52">
        <v>8254.7999999999993</v>
      </c>
      <c r="F52" s="1">
        <v>38400</v>
      </c>
      <c r="G52" t="s">
        <v>39</v>
      </c>
      <c r="H52">
        <v>1</v>
      </c>
      <c r="I52">
        <v>2</v>
      </c>
      <c r="J52" t="str">
        <f>TEXT(DATE(2012,Table1[[#This Row],[MONTH_ID]],10),"mmm")</f>
        <v>Feb</v>
      </c>
      <c r="K52">
        <v>2005</v>
      </c>
      <c r="L52" t="s">
        <v>195</v>
      </c>
      <c r="M52">
        <v>214</v>
      </c>
      <c r="N52" t="s">
        <v>196</v>
      </c>
      <c r="O52" t="s">
        <v>72</v>
      </c>
      <c r="P52">
        <v>6505551386</v>
      </c>
      <c r="Q52" t="s">
        <v>73</v>
      </c>
      <c r="S52" t="s">
        <v>74</v>
      </c>
      <c r="T52" t="s">
        <v>69</v>
      </c>
      <c r="V52" t="s">
        <v>46</v>
      </c>
      <c r="W52" t="s">
        <v>47</v>
      </c>
      <c r="X52" t="s">
        <v>75</v>
      </c>
      <c r="Y52" t="s">
        <v>71</v>
      </c>
      <c r="Z52" t="s">
        <v>165</v>
      </c>
    </row>
    <row r="53" spans="1:26" x14ac:dyDescent="0.3">
      <c r="A53">
        <v>10391</v>
      </c>
      <c r="B53">
        <v>24</v>
      </c>
      <c r="C53">
        <v>100</v>
      </c>
      <c r="D53">
        <v>4</v>
      </c>
      <c r="E53">
        <v>2416.56</v>
      </c>
      <c r="F53" s="1">
        <v>38420</v>
      </c>
      <c r="G53" t="s">
        <v>39</v>
      </c>
      <c r="H53">
        <v>1</v>
      </c>
      <c r="I53">
        <v>3</v>
      </c>
      <c r="J53" t="str">
        <f>TEXT(DATE(2012,Table1[[#This Row],[MONTH_ID]],10),"mmm")</f>
        <v>Mar</v>
      </c>
      <c r="K53">
        <v>2005</v>
      </c>
      <c r="L53" t="s">
        <v>195</v>
      </c>
      <c r="M53">
        <v>214</v>
      </c>
      <c r="N53" t="s">
        <v>196</v>
      </c>
      <c r="O53" t="s">
        <v>299</v>
      </c>
      <c r="P53" t="s">
        <v>300</v>
      </c>
      <c r="Q53" t="s">
        <v>301</v>
      </c>
      <c r="R53" t="s">
        <v>302</v>
      </c>
      <c r="S53" t="s">
        <v>303</v>
      </c>
      <c r="T53" t="s">
        <v>171</v>
      </c>
      <c r="U53">
        <v>2060</v>
      </c>
      <c r="V53" t="s">
        <v>109</v>
      </c>
      <c r="W53" t="s">
        <v>110</v>
      </c>
      <c r="X53" t="s">
        <v>304</v>
      </c>
      <c r="Y53" t="s">
        <v>305</v>
      </c>
      <c r="Z53" t="s">
        <v>50</v>
      </c>
    </row>
    <row r="54" spans="1:26" x14ac:dyDescent="0.3">
      <c r="A54">
        <v>10411</v>
      </c>
      <c r="B54">
        <v>23</v>
      </c>
      <c r="C54">
        <v>100</v>
      </c>
      <c r="D54">
        <v>9</v>
      </c>
      <c r="E54">
        <v>4140.2299999999996</v>
      </c>
      <c r="F54" s="1">
        <v>38473</v>
      </c>
      <c r="G54" t="s">
        <v>39</v>
      </c>
      <c r="H54">
        <v>2</v>
      </c>
      <c r="I54">
        <v>5</v>
      </c>
      <c r="J54" t="str">
        <f>TEXT(DATE(2012,Table1[[#This Row],[MONTH_ID]],10),"mmm")</f>
        <v>May</v>
      </c>
      <c r="K54">
        <v>2005</v>
      </c>
      <c r="L54" t="s">
        <v>195</v>
      </c>
      <c r="M54">
        <v>214</v>
      </c>
      <c r="N54" t="s">
        <v>196</v>
      </c>
      <c r="O54" t="s">
        <v>306</v>
      </c>
      <c r="P54" t="s">
        <v>307</v>
      </c>
      <c r="Q54" t="s">
        <v>308</v>
      </c>
      <c r="S54" t="s">
        <v>309</v>
      </c>
      <c r="T54" t="s">
        <v>310</v>
      </c>
      <c r="U54" t="s">
        <v>311</v>
      </c>
      <c r="V54" t="s">
        <v>245</v>
      </c>
      <c r="W54" t="s">
        <v>47</v>
      </c>
      <c r="X54" t="s">
        <v>312</v>
      </c>
      <c r="Y54" t="s">
        <v>313</v>
      </c>
      <c r="Z54" t="s">
        <v>65</v>
      </c>
    </row>
    <row r="55" spans="1:26" x14ac:dyDescent="0.3">
      <c r="A55">
        <v>10424</v>
      </c>
      <c r="B55">
        <v>50</v>
      </c>
      <c r="C55">
        <v>100</v>
      </c>
      <c r="D55">
        <v>6</v>
      </c>
      <c r="E55">
        <v>12001</v>
      </c>
      <c r="F55" s="1">
        <v>38503</v>
      </c>
      <c r="G55" t="s">
        <v>314</v>
      </c>
      <c r="H55">
        <v>2</v>
      </c>
      <c r="I55">
        <v>5</v>
      </c>
      <c r="J55" t="str">
        <f>TEXT(DATE(2012,Table1[[#This Row],[MONTH_ID]],10),"mmm")</f>
        <v>May</v>
      </c>
      <c r="K55">
        <v>2005</v>
      </c>
      <c r="L55" t="s">
        <v>195</v>
      </c>
      <c r="M55">
        <v>214</v>
      </c>
      <c r="N55" t="s">
        <v>196</v>
      </c>
      <c r="O55" t="s">
        <v>188</v>
      </c>
      <c r="P55" t="s">
        <v>189</v>
      </c>
      <c r="Q55" t="s">
        <v>190</v>
      </c>
      <c r="S55" t="s">
        <v>191</v>
      </c>
      <c r="U55">
        <v>28034</v>
      </c>
      <c r="V55" t="s">
        <v>192</v>
      </c>
      <c r="W55" t="s">
        <v>56</v>
      </c>
      <c r="X55" t="s">
        <v>193</v>
      </c>
      <c r="Y55" t="s">
        <v>194</v>
      </c>
      <c r="Z55" t="s">
        <v>165</v>
      </c>
    </row>
    <row r="56" spans="1:26" x14ac:dyDescent="0.3">
      <c r="A56">
        <v>10107</v>
      </c>
      <c r="B56">
        <v>39</v>
      </c>
      <c r="C56">
        <v>99.91</v>
      </c>
      <c r="D56">
        <v>5</v>
      </c>
      <c r="E56">
        <v>3896.49</v>
      </c>
      <c r="F56" s="1">
        <v>37676</v>
      </c>
      <c r="G56" t="s">
        <v>39</v>
      </c>
      <c r="H56">
        <v>1</v>
      </c>
      <c r="I56">
        <v>2</v>
      </c>
      <c r="J56" t="str">
        <f>TEXT(DATE(2012,Table1[[#This Row],[MONTH_ID]],10),"mmm")</f>
        <v>Feb</v>
      </c>
      <c r="K56">
        <v>2003</v>
      </c>
      <c r="L56" t="s">
        <v>40</v>
      </c>
      <c r="M56">
        <v>118</v>
      </c>
      <c r="N56" t="s">
        <v>315</v>
      </c>
      <c r="O56" t="s">
        <v>42</v>
      </c>
      <c r="P56">
        <v>2125557818</v>
      </c>
      <c r="Q56" t="s">
        <v>43</v>
      </c>
      <c r="S56" t="s">
        <v>44</v>
      </c>
      <c r="T56" t="s">
        <v>45</v>
      </c>
      <c r="U56">
        <v>10022</v>
      </c>
      <c r="V56" t="s">
        <v>46</v>
      </c>
      <c r="W56" t="s">
        <v>47</v>
      </c>
      <c r="X56" t="s">
        <v>48</v>
      </c>
      <c r="Y56" t="s">
        <v>49</v>
      </c>
      <c r="Z56" t="s">
        <v>65</v>
      </c>
    </row>
    <row r="57" spans="1:26" x14ac:dyDescent="0.3">
      <c r="A57">
        <v>10120</v>
      </c>
      <c r="B57">
        <v>29</v>
      </c>
      <c r="C57">
        <v>96.34</v>
      </c>
      <c r="D57">
        <v>3</v>
      </c>
      <c r="E57">
        <v>2793.86</v>
      </c>
      <c r="F57" s="1">
        <v>37740</v>
      </c>
      <c r="G57" t="s">
        <v>39</v>
      </c>
      <c r="H57">
        <v>2</v>
      </c>
      <c r="I57">
        <v>4</v>
      </c>
      <c r="J57" t="str">
        <f>TEXT(DATE(2012,Table1[[#This Row],[MONTH_ID]],10),"mmm")</f>
        <v>Apr</v>
      </c>
      <c r="K57">
        <v>2003</v>
      </c>
      <c r="L57" t="s">
        <v>40</v>
      </c>
      <c r="M57">
        <v>118</v>
      </c>
      <c r="N57" t="s">
        <v>315</v>
      </c>
      <c r="O57" t="s">
        <v>103</v>
      </c>
      <c r="P57" t="s">
        <v>104</v>
      </c>
      <c r="Q57" t="s">
        <v>105</v>
      </c>
      <c r="R57" t="s">
        <v>106</v>
      </c>
      <c r="S57" t="s">
        <v>107</v>
      </c>
      <c r="T57" t="s">
        <v>108</v>
      </c>
      <c r="U57">
        <v>3004</v>
      </c>
      <c r="V57" t="s">
        <v>109</v>
      </c>
      <c r="W57" t="s">
        <v>110</v>
      </c>
      <c r="X57" t="s">
        <v>111</v>
      </c>
      <c r="Y57" t="s">
        <v>112</v>
      </c>
      <c r="Z57" t="s">
        <v>50</v>
      </c>
    </row>
    <row r="58" spans="1:26" x14ac:dyDescent="0.3">
      <c r="A58">
        <v>10134</v>
      </c>
      <c r="B58">
        <v>27</v>
      </c>
      <c r="C58">
        <v>100</v>
      </c>
      <c r="D58">
        <v>5</v>
      </c>
      <c r="E58">
        <v>3307.77</v>
      </c>
      <c r="F58" s="1">
        <v>37803</v>
      </c>
      <c r="G58" t="s">
        <v>39</v>
      </c>
      <c r="H58">
        <v>3</v>
      </c>
      <c r="I58">
        <v>7</v>
      </c>
      <c r="J58" t="str">
        <f>TEXT(DATE(2012,Table1[[#This Row],[MONTH_ID]],10),"mmm")</f>
        <v>Jul</v>
      </c>
      <c r="K58">
        <v>2003</v>
      </c>
      <c r="L58" t="s">
        <v>40</v>
      </c>
      <c r="M58">
        <v>118</v>
      </c>
      <c r="N58" t="s">
        <v>315</v>
      </c>
      <c r="O58" t="s">
        <v>59</v>
      </c>
      <c r="P58" t="s">
        <v>60</v>
      </c>
      <c r="Q58" t="s">
        <v>61</v>
      </c>
      <c r="S58" t="s">
        <v>62</v>
      </c>
      <c r="U58">
        <v>75508</v>
      </c>
      <c r="V58" t="s">
        <v>55</v>
      </c>
      <c r="W58" t="s">
        <v>56</v>
      </c>
      <c r="X58" t="s">
        <v>63</v>
      </c>
      <c r="Y58" t="s">
        <v>64</v>
      </c>
      <c r="Z58" t="s">
        <v>65</v>
      </c>
    </row>
    <row r="59" spans="1:26" x14ac:dyDescent="0.3">
      <c r="A59">
        <v>10145</v>
      </c>
      <c r="B59">
        <v>37</v>
      </c>
      <c r="C59">
        <v>100</v>
      </c>
      <c r="D59">
        <v>9</v>
      </c>
      <c r="E59">
        <v>5192.95</v>
      </c>
      <c r="F59" s="1">
        <v>37858</v>
      </c>
      <c r="G59" t="s">
        <v>39</v>
      </c>
      <c r="H59">
        <v>3</v>
      </c>
      <c r="I59">
        <v>8</v>
      </c>
      <c r="J59" t="str">
        <f>TEXT(DATE(2012,Table1[[#This Row],[MONTH_ID]],10),"mmm")</f>
        <v>Aug</v>
      </c>
      <c r="K59">
        <v>2003</v>
      </c>
      <c r="L59" t="s">
        <v>40</v>
      </c>
      <c r="M59">
        <v>118</v>
      </c>
      <c r="N59" t="s">
        <v>315</v>
      </c>
      <c r="O59" t="s">
        <v>66</v>
      </c>
      <c r="P59">
        <v>6265557265</v>
      </c>
      <c r="Q59" t="s">
        <v>67</v>
      </c>
      <c r="S59" t="s">
        <v>68</v>
      </c>
      <c r="T59" t="s">
        <v>69</v>
      </c>
      <c r="U59">
        <v>90003</v>
      </c>
      <c r="V59" t="s">
        <v>46</v>
      </c>
      <c r="W59" t="s">
        <v>47</v>
      </c>
      <c r="X59" t="s">
        <v>70</v>
      </c>
      <c r="Y59" t="s">
        <v>71</v>
      </c>
      <c r="Z59" t="s">
        <v>65</v>
      </c>
    </row>
    <row r="60" spans="1:26" x14ac:dyDescent="0.3">
      <c r="A60">
        <v>10159</v>
      </c>
      <c r="B60">
        <v>37</v>
      </c>
      <c r="C60">
        <v>100</v>
      </c>
      <c r="D60">
        <v>17</v>
      </c>
      <c r="E60">
        <v>5016.83</v>
      </c>
      <c r="F60" s="1">
        <v>37904</v>
      </c>
      <c r="G60" t="s">
        <v>39</v>
      </c>
      <c r="H60">
        <v>4</v>
      </c>
      <c r="I60">
        <v>10</v>
      </c>
      <c r="J60" t="str">
        <f>TEXT(DATE(2012,Table1[[#This Row],[MONTH_ID]],10),"mmm")</f>
        <v>Oct</v>
      </c>
      <c r="K60">
        <v>2003</v>
      </c>
      <c r="L60" t="s">
        <v>40</v>
      </c>
      <c r="M60">
        <v>118</v>
      </c>
      <c r="N60" t="s">
        <v>315</v>
      </c>
      <c r="O60" t="s">
        <v>72</v>
      </c>
      <c r="P60">
        <v>6505551386</v>
      </c>
      <c r="Q60" t="s">
        <v>73</v>
      </c>
      <c r="S60" t="s">
        <v>74</v>
      </c>
      <c r="T60" t="s">
        <v>69</v>
      </c>
      <c r="V60" t="s">
        <v>46</v>
      </c>
      <c r="W60" t="s">
        <v>47</v>
      </c>
      <c r="X60" t="s">
        <v>75</v>
      </c>
      <c r="Y60" t="s">
        <v>71</v>
      </c>
      <c r="Z60" t="s">
        <v>65</v>
      </c>
    </row>
    <row r="61" spans="1:26" x14ac:dyDescent="0.3">
      <c r="A61">
        <v>10168</v>
      </c>
      <c r="B61">
        <v>27</v>
      </c>
      <c r="C61">
        <v>100</v>
      </c>
      <c r="D61">
        <v>4</v>
      </c>
      <c r="E61">
        <v>3660.93</v>
      </c>
      <c r="F61" s="1">
        <v>37922</v>
      </c>
      <c r="G61" t="s">
        <v>39</v>
      </c>
      <c r="H61">
        <v>4</v>
      </c>
      <c r="I61">
        <v>10</v>
      </c>
      <c r="J61" t="str">
        <f>TEXT(DATE(2012,Table1[[#This Row],[MONTH_ID]],10),"mmm")</f>
        <v>Oct</v>
      </c>
      <c r="K61">
        <v>2003</v>
      </c>
      <c r="L61" t="s">
        <v>40</v>
      </c>
      <c r="M61">
        <v>118</v>
      </c>
      <c r="N61" t="s">
        <v>315</v>
      </c>
      <c r="O61" t="s">
        <v>76</v>
      </c>
      <c r="P61">
        <v>6505556809</v>
      </c>
      <c r="Q61" t="s">
        <v>77</v>
      </c>
      <c r="S61" t="s">
        <v>78</v>
      </c>
      <c r="T61" t="s">
        <v>69</v>
      </c>
      <c r="U61">
        <v>94217</v>
      </c>
      <c r="V61" t="s">
        <v>46</v>
      </c>
      <c r="W61" t="s">
        <v>47</v>
      </c>
      <c r="X61" t="s">
        <v>79</v>
      </c>
      <c r="Y61" t="s">
        <v>80</v>
      </c>
      <c r="Z61" t="s">
        <v>65</v>
      </c>
    </row>
    <row r="62" spans="1:26" x14ac:dyDescent="0.3">
      <c r="A62">
        <v>10180</v>
      </c>
      <c r="B62">
        <v>42</v>
      </c>
      <c r="C62">
        <v>100</v>
      </c>
      <c r="D62">
        <v>12</v>
      </c>
      <c r="E62">
        <v>4695.6000000000004</v>
      </c>
      <c r="F62" s="1">
        <v>37936</v>
      </c>
      <c r="G62" t="s">
        <v>39</v>
      </c>
      <c r="H62">
        <v>4</v>
      </c>
      <c r="I62">
        <v>11</v>
      </c>
      <c r="J62" t="str">
        <f>TEXT(DATE(2012,Table1[[#This Row],[MONTH_ID]],10),"mmm")</f>
        <v>Nov</v>
      </c>
      <c r="K62">
        <v>2003</v>
      </c>
      <c r="L62" t="s">
        <v>40</v>
      </c>
      <c r="M62">
        <v>118</v>
      </c>
      <c r="N62" t="s">
        <v>315</v>
      </c>
      <c r="O62" t="s">
        <v>81</v>
      </c>
      <c r="P62" t="s">
        <v>82</v>
      </c>
      <c r="Q62" t="s">
        <v>83</v>
      </c>
      <c r="S62" t="s">
        <v>84</v>
      </c>
      <c r="U62">
        <v>59000</v>
      </c>
      <c r="V62" t="s">
        <v>55</v>
      </c>
      <c r="W62" t="s">
        <v>56</v>
      </c>
      <c r="X62" t="s">
        <v>85</v>
      </c>
      <c r="Y62" t="s">
        <v>86</v>
      </c>
      <c r="Z62" t="s">
        <v>65</v>
      </c>
    </row>
    <row r="63" spans="1:26" x14ac:dyDescent="0.3">
      <c r="A63">
        <v>10188</v>
      </c>
      <c r="B63">
        <v>38</v>
      </c>
      <c r="C63">
        <v>96.34</v>
      </c>
      <c r="D63">
        <v>4</v>
      </c>
      <c r="E63">
        <v>3660.92</v>
      </c>
      <c r="F63" s="1">
        <v>37943</v>
      </c>
      <c r="G63" t="s">
        <v>39</v>
      </c>
      <c r="H63">
        <v>4</v>
      </c>
      <c r="I63">
        <v>11</v>
      </c>
      <c r="J63" t="str">
        <f>TEXT(DATE(2012,Table1[[#This Row],[MONTH_ID]],10),"mmm")</f>
        <v>Nov</v>
      </c>
      <c r="K63">
        <v>2003</v>
      </c>
      <c r="L63" t="s">
        <v>40</v>
      </c>
      <c r="M63">
        <v>118</v>
      </c>
      <c r="N63" t="s">
        <v>315</v>
      </c>
      <c r="O63" t="s">
        <v>87</v>
      </c>
      <c r="P63" t="s">
        <v>88</v>
      </c>
      <c r="Q63" t="s">
        <v>89</v>
      </c>
      <c r="S63" t="s">
        <v>90</v>
      </c>
      <c r="U63" t="s">
        <v>91</v>
      </c>
      <c r="V63" t="s">
        <v>92</v>
      </c>
      <c r="W63" t="s">
        <v>56</v>
      </c>
      <c r="X63" t="s">
        <v>93</v>
      </c>
      <c r="Y63" t="s">
        <v>94</v>
      </c>
      <c r="Z63" t="s">
        <v>65</v>
      </c>
    </row>
    <row r="64" spans="1:26" x14ac:dyDescent="0.3">
      <c r="A64">
        <v>10201</v>
      </c>
      <c r="B64">
        <v>24</v>
      </c>
      <c r="C64">
        <v>100</v>
      </c>
      <c r="D64">
        <v>5</v>
      </c>
      <c r="E64">
        <v>3025.92</v>
      </c>
      <c r="F64" s="1">
        <v>37956</v>
      </c>
      <c r="G64" t="s">
        <v>39</v>
      </c>
      <c r="H64">
        <v>4</v>
      </c>
      <c r="I64">
        <v>12</v>
      </c>
      <c r="J64" t="str">
        <f>TEXT(DATE(2012,Table1[[#This Row],[MONTH_ID]],10),"mmm")</f>
        <v>Dec</v>
      </c>
      <c r="K64">
        <v>2003</v>
      </c>
      <c r="L64" t="s">
        <v>40</v>
      </c>
      <c r="M64">
        <v>118</v>
      </c>
      <c r="N64" t="s">
        <v>315</v>
      </c>
      <c r="O64" t="s">
        <v>95</v>
      </c>
      <c r="P64">
        <v>6505555787</v>
      </c>
      <c r="Q64" t="s">
        <v>96</v>
      </c>
      <c r="S64" t="s">
        <v>74</v>
      </c>
      <c r="T64" t="s">
        <v>69</v>
      </c>
      <c r="V64" t="s">
        <v>46</v>
      </c>
      <c r="W64" t="s">
        <v>47</v>
      </c>
      <c r="X64" t="s">
        <v>97</v>
      </c>
      <c r="Y64" t="s">
        <v>71</v>
      </c>
      <c r="Z64" t="s">
        <v>65</v>
      </c>
    </row>
    <row r="65" spans="1:26" x14ac:dyDescent="0.3">
      <c r="A65">
        <v>10210</v>
      </c>
      <c r="B65">
        <v>23</v>
      </c>
      <c r="C65">
        <v>100</v>
      </c>
      <c r="D65">
        <v>2</v>
      </c>
      <c r="E65">
        <v>3009.09</v>
      </c>
      <c r="F65" s="1">
        <v>37998</v>
      </c>
      <c r="G65" t="s">
        <v>39</v>
      </c>
      <c r="H65">
        <v>1</v>
      </c>
      <c r="I65">
        <v>1</v>
      </c>
      <c r="J65" t="str">
        <f>TEXT(DATE(2012,Table1[[#This Row],[MONTH_ID]],10),"mmm")</f>
        <v>Jan</v>
      </c>
      <c r="K65">
        <v>2004</v>
      </c>
      <c r="L65" t="s">
        <v>40</v>
      </c>
      <c r="M65">
        <v>118</v>
      </c>
      <c r="N65" t="s">
        <v>315</v>
      </c>
      <c r="O65" t="s">
        <v>316</v>
      </c>
      <c r="P65" t="s">
        <v>317</v>
      </c>
      <c r="Q65" t="s">
        <v>318</v>
      </c>
      <c r="S65" t="s">
        <v>319</v>
      </c>
      <c r="T65" t="s">
        <v>319</v>
      </c>
      <c r="U65" t="s">
        <v>320</v>
      </c>
      <c r="V65" t="s">
        <v>214</v>
      </c>
      <c r="W65" t="s">
        <v>214</v>
      </c>
      <c r="X65" t="s">
        <v>321</v>
      </c>
      <c r="Y65" t="s">
        <v>322</v>
      </c>
      <c r="Z65" t="s">
        <v>65</v>
      </c>
    </row>
    <row r="66" spans="1:26" x14ac:dyDescent="0.3">
      <c r="A66">
        <v>10223</v>
      </c>
      <c r="B66">
        <v>47</v>
      </c>
      <c r="C66">
        <v>100</v>
      </c>
      <c r="D66">
        <v>4</v>
      </c>
      <c r="E66">
        <v>5422.39</v>
      </c>
      <c r="F66" s="1">
        <v>38037</v>
      </c>
      <c r="G66" t="s">
        <v>39</v>
      </c>
      <c r="H66">
        <v>1</v>
      </c>
      <c r="I66">
        <v>2</v>
      </c>
      <c r="J66" t="str">
        <f>TEXT(DATE(2012,Table1[[#This Row],[MONTH_ID]],10),"mmm")</f>
        <v>Feb</v>
      </c>
      <c r="K66">
        <v>2004</v>
      </c>
      <c r="L66" t="s">
        <v>40</v>
      </c>
      <c r="M66">
        <v>118</v>
      </c>
      <c r="N66" t="s">
        <v>315</v>
      </c>
      <c r="O66" t="s">
        <v>103</v>
      </c>
      <c r="P66" t="s">
        <v>104</v>
      </c>
      <c r="Q66" t="s">
        <v>105</v>
      </c>
      <c r="R66" t="s">
        <v>106</v>
      </c>
      <c r="S66" t="s">
        <v>107</v>
      </c>
      <c r="T66" t="s">
        <v>108</v>
      </c>
      <c r="U66">
        <v>3004</v>
      </c>
      <c r="V66" t="s">
        <v>109</v>
      </c>
      <c r="W66" t="s">
        <v>110</v>
      </c>
      <c r="X66" t="s">
        <v>111</v>
      </c>
      <c r="Y66" t="s">
        <v>112</v>
      </c>
      <c r="Z66" t="s">
        <v>65</v>
      </c>
    </row>
    <row r="67" spans="1:26" x14ac:dyDescent="0.3">
      <c r="A67">
        <v>10236</v>
      </c>
      <c r="B67">
        <v>22</v>
      </c>
      <c r="C67">
        <v>100</v>
      </c>
      <c r="D67">
        <v>1</v>
      </c>
      <c r="E67">
        <v>2852.08</v>
      </c>
      <c r="F67" s="1">
        <v>38080</v>
      </c>
      <c r="G67" t="s">
        <v>39</v>
      </c>
      <c r="H67">
        <v>2</v>
      </c>
      <c r="I67">
        <v>4</v>
      </c>
      <c r="J67" t="str">
        <f>TEXT(DATE(2012,Table1[[#This Row],[MONTH_ID]],10),"mmm")</f>
        <v>Apr</v>
      </c>
      <c r="K67">
        <v>2004</v>
      </c>
      <c r="L67" t="s">
        <v>40</v>
      </c>
      <c r="M67">
        <v>118</v>
      </c>
      <c r="N67" t="s">
        <v>315</v>
      </c>
      <c r="O67" t="s">
        <v>323</v>
      </c>
      <c r="P67">
        <v>2155559857</v>
      </c>
      <c r="Q67" t="s">
        <v>324</v>
      </c>
      <c r="S67" t="s">
        <v>230</v>
      </c>
      <c r="T67" t="s">
        <v>156</v>
      </c>
      <c r="U67">
        <v>71270</v>
      </c>
      <c r="V67" t="s">
        <v>46</v>
      </c>
      <c r="W67" t="s">
        <v>47</v>
      </c>
      <c r="X67" t="s">
        <v>138</v>
      </c>
      <c r="Y67" t="s">
        <v>325</v>
      </c>
      <c r="Z67" t="s">
        <v>50</v>
      </c>
    </row>
    <row r="68" spans="1:26" x14ac:dyDescent="0.3">
      <c r="A68">
        <v>10251</v>
      </c>
      <c r="B68">
        <v>44</v>
      </c>
      <c r="C68">
        <v>100</v>
      </c>
      <c r="D68">
        <v>5</v>
      </c>
      <c r="E68">
        <v>5756.52</v>
      </c>
      <c r="F68" s="1">
        <v>38125</v>
      </c>
      <c r="G68" t="s">
        <v>39</v>
      </c>
      <c r="H68">
        <v>2</v>
      </c>
      <c r="I68">
        <v>5</v>
      </c>
      <c r="J68" t="str">
        <f>TEXT(DATE(2012,Table1[[#This Row],[MONTH_ID]],10),"mmm")</f>
        <v>May</v>
      </c>
      <c r="K68">
        <v>2004</v>
      </c>
      <c r="L68" t="s">
        <v>40</v>
      </c>
      <c r="M68">
        <v>118</v>
      </c>
      <c r="N68" t="s">
        <v>315</v>
      </c>
      <c r="O68" t="s">
        <v>118</v>
      </c>
      <c r="P68">
        <v>2015559350</v>
      </c>
      <c r="Q68" t="s">
        <v>119</v>
      </c>
      <c r="S68" t="s">
        <v>120</v>
      </c>
      <c r="T68" t="s">
        <v>121</v>
      </c>
      <c r="U68">
        <v>94019</v>
      </c>
      <c r="V68" t="s">
        <v>46</v>
      </c>
      <c r="W68" t="s">
        <v>47</v>
      </c>
      <c r="X68" t="s">
        <v>75</v>
      </c>
      <c r="Y68" t="s">
        <v>122</v>
      </c>
      <c r="Z68" t="s">
        <v>65</v>
      </c>
    </row>
    <row r="69" spans="1:26" x14ac:dyDescent="0.3">
      <c r="A69">
        <v>10263</v>
      </c>
      <c r="B69">
        <v>40</v>
      </c>
      <c r="C69">
        <v>100</v>
      </c>
      <c r="D69">
        <v>5</v>
      </c>
      <c r="E69">
        <v>4472</v>
      </c>
      <c r="F69" s="1">
        <v>38166</v>
      </c>
      <c r="G69" t="s">
        <v>39</v>
      </c>
      <c r="H69">
        <v>2</v>
      </c>
      <c r="I69">
        <v>6</v>
      </c>
      <c r="J69" t="str">
        <f>TEXT(DATE(2012,Table1[[#This Row],[MONTH_ID]],10),"mmm")</f>
        <v>Jun</v>
      </c>
      <c r="K69">
        <v>2004</v>
      </c>
      <c r="L69" t="s">
        <v>40</v>
      </c>
      <c r="M69">
        <v>118</v>
      </c>
      <c r="N69" t="s">
        <v>315</v>
      </c>
      <c r="O69" t="s">
        <v>123</v>
      </c>
      <c r="P69">
        <v>2035552570</v>
      </c>
      <c r="Q69" t="s">
        <v>124</v>
      </c>
      <c r="S69" t="s">
        <v>125</v>
      </c>
      <c r="T69" t="s">
        <v>126</v>
      </c>
      <c r="U69">
        <v>97562</v>
      </c>
      <c r="V69" t="s">
        <v>46</v>
      </c>
      <c r="W69" t="s">
        <v>47</v>
      </c>
      <c r="X69" t="s">
        <v>127</v>
      </c>
      <c r="Y69" t="s">
        <v>71</v>
      </c>
      <c r="Z69" t="s">
        <v>65</v>
      </c>
    </row>
    <row r="70" spans="1:26" x14ac:dyDescent="0.3">
      <c r="A70">
        <v>10275</v>
      </c>
      <c r="B70">
        <v>22</v>
      </c>
      <c r="C70">
        <v>100</v>
      </c>
      <c r="D70">
        <v>4</v>
      </c>
      <c r="E70">
        <v>2904.44</v>
      </c>
      <c r="F70" s="1">
        <v>38191</v>
      </c>
      <c r="G70" t="s">
        <v>39</v>
      </c>
      <c r="H70">
        <v>3</v>
      </c>
      <c r="I70">
        <v>7</v>
      </c>
      <c r="J70" t="str">
        <f>TEXT(DATE(2012,Table1[[#This Row],[MONTH_ID]],10),"mmm")</f>
        <v>Jul</v>
      </c>
      <c r="K70">
        <v>2004</v>
      </c>
      <c r="L70" t="s">
        <v>40</v>
      </c>
      <c r="M70">
        <v>118</v>
      </c>
      <c r="N70" t="s">
        <v>315</v>
      </c>
      <c r="O70" t="s">
        <v>128</v>
      </c>
      <c r="P70" t="s">
        <v>129</v>
      </c>
      <c r="Q70" t="s">
        <v>130</v>
      </c>
      <c r="S70" t="s">
        <v>131</v>
      </c>
      <c r="U70">
        <v>44000</v>
      </c>
      <c r="V70" t="s">
        <v>55</v>
      </c>
      <c r="W70" t="s">
        <v>56</v>
      </c>
      <c r="X70" t="s">
        <v>132</v>
      </c>
      <c r="Y70" t="s">
        <v>133</v>
      </c>
      <c r="Z70" t="s">
        <v>50</v>
      </c>
    </row>
    <row r="71" spans="1:26" x14ac:dyDescent="0.3">
      <c r="A71">
        <v>10285</v>
      </c>
      <c r="B71">
        <v>47</v>
      </c>
      <c r="C71">
        <v>100</v>
      </c>
      <c r="D71">
        <v>9</v>
      </c>
      <c r="E71">
        <v>6484.59</v>
      </c>
      <c r="F71" s="1">
        <v>38226</v>
      </c>
      <c r="G71" t="s">
        <v>39</v>
      </c>
      <c r="H71">
        <v>3</v>
      </c>
      <c r="I71">
        <v>8</v>
      </c>
      <c r="J71" t="str">
        <f>TEXT(DATE(2012,Table1[[#This Row],[MONTH_ID]],10),"mmm")</f>
        <v>Aug</v>
      </c>
      <c r="K71">
        <v>2004</v>
      </c>
      <c r="L71" t="s">
        <v>40</v>
      </c>
      <c r="M71">
        <v>118</v>
      </c>
      <c r="N71" t="s">
        <v>315</v>
      </c>
      <c r="O71" t="s">
        <v>134</v>
      </c>
      <c r="P71">
        <v>6175558555</v>
      </c>
      <c r="Q71" t="s">
        <v>135</v>
      </c>
      <c r="S71" t="s">
        <v>136</v>
      </c>
      <c r="T71" t="s">
        <v>137</v>
      </c>
      <c r="U71">
        <v>51247</v>
      </c>
      <c r="V71" t="s">
        <v>46</v>
      </c>
      <c r="W71" t="s">
        <v>47</v>
      </c>
      <c r="X71" t="s">
        <v>138</v>
      </c>
      <c r="Y71" t="s">
        <v>139</v>
      </c>
      <c r="Z71" t="s">
        <v>65</v>
      </c>
    </row>
    <row r="72" spans="1:26" x14ac:dyDescent="0.3">
      <c r="A72">
        <v>10298</v>
      </c>
      <c r="B72">
        <v>39</v>
      </c>
      <c r="C72">
        <v>96.34</v>
      </c>
      <c r="D72">
        <v>1</v>
      </c>
      <c r="E72">
        <v>3757.26</v>
      </c>
      <c r="F72" s="1">
        <v>38257</v>
      </c>
      <c r="G72" t="s">
        <v>39</v>
      </c>
      <c r="H72">
        <v>3</v>
      </c>
      <c r="I72">
        <v>9</v>
      </c>
      <c r="J72" t="str">
        <f>TEXT(DATE(2012,Table1[[#This Row],[MONTH_ID]],10),"mmm")</f>
        <v>Sep</v>
      </c>
      <c r="K72">
        <v>2004</v>
      </c>
      <c r="L72" t="s">
        <v>40</v>
      </c>
      <c r="M72">
        <v>118</v>
      </c>
      <c r="N72" t="s">
        <v>315</v>
      </c>
      <c r="O72" t="s">
        <v>326</v>
      </c>
      <c r="P72" t="s">
        <v>327</v>
      </c>
      <c r="Q72" t="s">
        <v>328</v>
      </c>
      <c r="S72" t="s">
        <v>131</v>
      </c>
      <c r="U72">
        <v>44000</v>
      </c>
      <c r="V72" t="s">
        <v>55</v>
      </c>
      <c r="W72" t="s">
        <v>56</v>
      </c>
      <c r="X72" t="s">
        <v>329</v>
      </c>
      <c r="Y72" t="s">
        <v>330</v>
      </c>
      <c r="Z72" t="s">
        <v>65</v>
      </c>
    </row>
    <row r="73" spans="1:26" x14ac:dyDescent="0.3">
      <c r="A73">
        <v>10308</v>
      </c>
      <c r="B73">
        <v>34</v>
      </c>
      <c r="C73">
        <v>100</v>
      </c>
      <c r="D73">
        <v>2</v>
      </c>
      <c r="E73">
        <v>4043.96</v>
      </c>
      <c r="F73" s="1">
        <v>38275</v>
      </c>
      <c r="G73" t="s">
        <v>39</v>
      </c>
      <c r="H73">
        <v>4</v>
      </c>
      <c r="I73">
        <v>10</v>
      </c>
      <c r="J73" t="str">
        <f>TEXT(DATE(2012,Table1[[#This Row],[MONTH_ID]],10),"mmm")</f>
        <v>Oct</v>
      </c>
      <c r="K73">
        <v>2004</v>
      </c>
      <c r="L73" t="s">
        <v>40</v>
      </c>
      <c r="M73">
        <v>118</v>
      </c>
      <c r="N73" t="s">
        <v>315</v>
      </c>
      <c r="O73" t="s">
        <v>331</v>
      </c>
      <c r="P73">
        <v>9145554562</v>
      </c>
      <c r="Q73" t="s">
        <v>332</v>
      </c>
      <c r="S73" t="s">
        <v>333</v>
      </c>
      <c r="T73" t="s">
        <v>45</v>
      </c>
      <c r="U73">
        <v>24067</v>
      </c>
      <c r="V73" t="s">
        <v>46</v>
      </c>
      <c r="W73" t="s">
        <v>47</v>
      </c>
      <c r="X73" t="s">
        <v>116</v>
      </c>
      <c r="Y73" t="s">
        <v>252</v>
      </c>
      <c r="Z73" t="s">
        <v>65</v>
      </c>
    </row>
    <row r="74" spans="1:26" x14ac:dyDescent="0.3">
      <c r="A74">
        <v>10318</v>
      </c>
      <c r="B74">
        <v>45</v>
      </c>
      <c r="C74">
        <v>100</v>
      </c>
      <c r="D74">
        <v>4</v>
      </c>
      <c r="E74">
        <v>5566.5</v>
      </c>
      <c r="F74" s="1">
        <v>38293</v>
      </c>
      <c r="G74" t="s">
        <v>39</v>
      </c>
      <c r="H74">
        <v>4</v>
      </c>
      <c r="I74">
        <v>11</v>
      </c>
      <c r="J74" t="str">
        <f>TEXT(DATE(2012,Table1[[#This Row],[MONTH_ID]],10),"mmm")</f>
        <v>Nov</v>
      </c>
      <c r="K74">
        <v>2004</v>
      </c>
      <c r="L74" t="s">
        <v>40</v>
      </c>
      <c r="M74">
        <v>118</v>
      </c>
      <c r="N74" t="s">
        <v>315</v>
      </c>
      <c r="O74" t="s">
        <v>153</v>
      </c>
      <c r="P74">
        <v>2155551555</v>
      </c>
      <c r="Q74" t="s">
        <v>154</v>
      </c>
      <c r="S74" t="s">
        <v>155</v>
      </c>
      <c r="T74" t="s">
        <v>156</v>
      </c>
      <c r="U74">
        <v>70267</v>
      </c>
      <c r="V74" t="s">
        <v>46</v>
      </c>
      <c r="W74" t="s">
        <v>47</v>
      </c>
      <c r="X74" t="s">
        <v>48</v>
      </c>
      <c r="Y74" t="s">
        <v>157</v>
      </c>
      <c r="Z74" t="s">
        <v>65</v>
      </c>
    </row>
    <row r="75" spans="1:26" x14ac:dyDescent="0.3">
      <c r="A75">
        <v>10329</v>
      </c>
      <c r="B75">
        <v>20</v>
      </c>
      <c r="C75">
        <v>100</v>
      </c>
      <c r="D75">
        <v>2</v>
      </c>
      <c r="E75">
        <v>3176</v>
      </c>
      <c r="F75" s="1">
        <v>38306</v>
      </c>
      <c r="G75" t="s">
        <v>39</v>
      </c>
      <c r="H75">
        <v>4</v>
      </c>
      <c r="I75">
        <v>11</v>
      </c>
      <c r="J75" t="str">
        <f>TEXT(DATE(2012,Table1[[#This Row],[MONTH_ID]],10),"mmm")</f>
        <v>Nov</v>
      </c>
      <c r="K75">
        <v>2004</v>
      </c>
      <c r="L75" t="s">
        <v>40</v>
      </c>
      <c r="M75">
        <v>118</v>
      </c>
      <c r="N75" t="s">
        <v>315</v>
      </c>
      <c r="O75" t="s">
        <v>42</v>
      </c>
      <c r="P75">
        <v>2125557818</v>
      </c>
      <c r="Q75" t="s">
        <v>43</v>
      </c>
      <c r="S75" t="s">
        <v>44</v>
      </c>
      <c r="T75" t="s">
        <v>45</v>
      </c>
      <c r="U75">
        <v>10022</v>
      </c>
      <c r="V75" t="s">
        <v>46</v>
      </c>
      <c r="W75" t="s">
        <v>47</v>
      </c>
      <c r="X75" t="s">
        <v>48</v>
      </c>
      <c r="Y75" t="s">
        <v>49</v>
      </c>
      <c r="Z75" t="s">
        <v>65</v>
      </c>
    </row>
    <row r="76" spans="1:26" x14ac:dyDescent="0.3">
      <c r="A76">
        <v>10339</v>
      </c>
      <c r="B76">
        <v>40</v>
      </c>
      <c r="C76">
        <v>68.92</v>
      </c>
      <c r="D76">
        <v>4</v>
      </c>
      <c r="E76">
        <v>2756.8</v>
      </c>
      <c r="F76" s="1">
        <v>38314</v>
      </c>
      <c r="G76" t="s">
        <v>39</v>
      </c>
      <c r="H76">
        <v>4</v>
      </c>
      <c r="I76">
        <v>11</v>
      </c>
      <c r="J76" t="str">
        <f>TEXT(DATE(2012,Table1[[#This Row],[MONTH_ID]],10),"mmm")</f>
        <v>Nov</v>
      </c>
      <c r="K76">
        <v>2004</v>
      </c>
      <c r="L76" t="s">
        <v>40</v>
      </c>
      <c r="M76">
        <v>118</v>
      </c>
      <c r="N76" t="s">
        <v>315</v>
      </c>
      <c r="O76" t="s">
        <v>260</v>
      </c>
      <c r="P76" t="s">
        <v>261</v>
      </c>
      <c r="Q76" t="s">
        <v>262</v>
      </c>
      <c r="S76" t="s">
        <v>263</v>
      </c>
      <c r="T76" t="s">
        <v>264</v>
      </c>
      <c r="U76" t="s">
        <v>265</v>
      </c>
      <c r="V76" t="s">
        <v>214</v>
      </c>
      <c r="W76" t="s">
        <v>214</v>
      </c>
      <c r="X76" t="s">
        <v>266</v>
      </c>
      <c r="Y76" t="s">
        <v>267</v>
      </c>
      <c r="Z76" t="s">
        <v>50</v>
      </c>
    </row>
    <row r="77" spans="1:26" x14ac:dyDescent="0.3">
      <c r="A77">
        <v>10361</v>
      </c>
      <c r="B77">
        <v>26</v>
      </c>
      <c r="C77">
        <v>51.15</v>
      </c>
      <c r="D77">
        <v>8</v>
      </c>
      <c r="E77">
        <v>1329.9</v>
      </c>
      <c r="F77" s="1">
        <v>38338</v>
      </c>
      <c r="G77" t="s">
        <v>39</v>
      </c>
      <c r="H77">
        <v>4</v>
      </c>
      <c r="I77">
        <v>12</v>
      </c>
      <c r="J77" t="str">
        <f>TEXT(DATE(2012,Table1[[#This Row],[MONTH_ID]],10),"mmm")</f>
        <v>Dec</v>
      </c>
      <c r="K77">
        <v>2004</v>
      </c>
      <c r="L77" t="s">
        <v>40</v>
      </c>
      <c r="M77">
        <v>118</v>
      </c>
      <c r="N77" t="s">
        <v>315</v>
      </c>
      <c r="O77" t="s">
        <v>166</v>
      </c>
      <c r="P77" t="s">
        <v>167</v>
      </c>
      <c r="Q77" t="s">
        <v>168</v>
      </c>
      <c r="R77" t="s">
        <v>169</v>
      </c>
      <c r="S77" t="s">
        <v>170</v>
      </c>
      <c r="T77" t="s">
        <v>171</v>
      </c>
      <c r="U77">
        <v>2067</v>
      </c>
      <c r="V77" t="s">
        <v>109</v>
      </c>
      <c r="W77" t="s">
        <v>110</v>
      </c>
      <c r="X77" t="s">
        <v>172</v>
      </c>
      <c r="Y77" t="s">
        <v>173</v>
      </c>
      <c r="Z77" t="s">
        <v>50</v>
      </c>
    </row>
    <row r="78" spans="1:26" x14ac:dyDescent="0.3">
      <c r="A78">
        <v>10374</v>
      </c>
      <c r="B78">
        <v>39</v>
      </c>
      <c r="C78">
        <v>100</v>
      </c>
      <c r="D78">
        <v>5</v>
      </c>
      <c r="E78">
        <v>5288.01</v>
      </c>
      <c r="F78" s="1">
        <v>38385</v>
      </c>
      <c r="G78" t="s">
        <v>39</v>
      </c>
      <c r="H78">
        <v>1</v>
      </c>
      <c r="I78">
        <v>2</v>
      </c>
      <c r="J78" t="str">
        <f>TEXT(DATE(2012,Table1[[#This Row],[MONTH_ID]],10),"mmm")</f>
        <v>Feb</v>
      </c>
      <c r="K78">
        <v>2005</v>
      </c>
      <c r="L78" t="s">
        <v>40</v>
      </c>
      <c r="M78">
        <v>118</v>
      </c>
      <c r="N78" t="s">
        <v>315</v>
      </c>
      <c r="O78" t="s">
        <v>221</v>
      </c>
      <c r="P78" t="s">
        <v>222</v>
      </c>
      <c r="Q78" t="s">
        <v>223</v>
      </c>
      <c r="S78" t="s">
        <v>224</v>
      </c>
      <c r="T78" t="s">
        <v>225</v>
      </c>
      <c r="U78">
        <v>4101</v>
      </c>
      <c r="V78" t="s">
        <v>109</v>
      </c>
      <c r="W78" t="s">
        <v>110</v>
      </c>
      <c r="X78" t="s">
        <v>226</v>
      </c>
      <c r="Y78" t="s">
        <v>227</v>
      </c>
      <c r="Z78" t="s">
        <v>65</v>
      </c>
    </row>
    <row r="79" spans="1:26" x14ac:dyDescent="0.3">
      <c r="A79">
        <v>10388</v>
      </c>
      <c r="B79">
        <v>50</v>
      </c>
      <c r="C79">
        <v>44.51</v>
      </c>
      <c r="D79">
        <v>5</v>
      </c>
      <c r="E79">
        <v>2225.5</v>
      </c>
      <c r="F79" s="1">
        <v>38414</v>
      </c>
      <c r="G79" t="s">
        <v>39</v>
      </c>
      <c r="H79">
        <v>1</v>
      </c>
      <c r="I79">
        <v>3</v>
      </c>
      <c r="J79" t="str">
        <f>TEXT(DATE(2012,Table1[[#This Row],[MONTH_ID]],10),"mmm")</f>
        <v>Mar</v>
      </c>
      <c r="K79">
        <v>2005</v>
      </c>
      <c r="L79" t="s">
        <v>40</v>
      </c>
      <c r="M79">
        <v>118</v>
      </c>
      <c r="N79" t="s">
        <v>315</v>
      </c>
      <c r="O79" t="s">
        <v>174</v>
      </c>
      <c r="P79">
        <v>5085552555</v>
      </c>
      <c r="Q79" t="s">
        <v>175</v>
      </c>
      <c r="S79" t="s">
        <v>176</v>
      </c>
      <c r="T79" t="s">
        <v>137</v>
      </c>
      <c r="U79">
        <v>50553</v>
      </c>
      <c r="V79" t="s">
        <v>46</v>
      </c>
      <c r="W79" t="s">
        <v>47</v>
      </c>
      <c r="X79" t="s">
        <v>177</v>
      </c>
      <c r="Y79" t="s">
        <v>178</v>
      </c>
      <c r="Z79" t="s">
        <v>50</v>
      </c>
    </row>
    <row r="80" spans="1:26" x14ac:dyDescent="0.3">
      <c r="A80">
        <v>10402</v>
      </c>
      <c r="B80">
        <v>45</v>
      </c>
      <c r="C80">
        <v>100</v>
      </c>
      <c r="D80">
        <v>1</v>
      </c>
      <c r="E80">
        <v>5833.8</v>
      </c>
      <c r="F80" s="1">
        <v>38449</v>
      </c>
      <c r="G80" t="s">
        <v>39</v>
      </c>
      <c r="H80">
        <v>2</v>
      </c>
      <c r="I80">
        <v>4</v>
      </c>
      <c r="J80" t="str">
        <f>TEXT(DATE(2012,Table1[[#This Row],[MONTH_ID]],10),"mmm")</f>
        <v>Apr</v>
      </c>
      <c r="K80">
        <v>2005</v>
      </c>
      <c r="L80" t="s">
        <v>40</v>
      </c>
      <c r="M80">
        <v>118</v>
      </c>
      <c r="N80" t="s">
        <v>315</v>
      </c>
      <c r="O80" t="s">
        <v>98</v>
      </c>
      <c r="P80" t="s">
        <v>99</v>
      </c>
      <c r="Q80" t="s">
        <v>100</v>
      </c>
      <c r="S80" t="s">
        <v>62</v>
      </c>
      <c r="U80">
        <v>75016</v>
      </c>
      <c r="V80" t="s">
        <v>55</v>
      </c>
      <c r="W80" t="s">
        <v>56</v>
      </c>
      <c r="X80" t="s">
        <v>101</v>
      </c>
      <c r="Y80" t="s">
        <v>102</v>
      </c>
      <c r="Z80" t="s">
        <v>65</v>
      </c>
    </row>
    <row r="81" spans="1:26" x14ac:dyDescent="0.3">
      <c r="A81">
        <v>10417</v>
      </c>
      <c r="B81">
        <v>45</v>
      </c>
      <c r="C81">
        <v>100</v>
      </c>
      <c r="D81">
        <v>5</v>
      </c>
      <c r="E81">
        <v>5887.35</v>
      </c>
      <c r="F81" s="1">
        <v>38485</v>
      </c>
      <c r="G81" t="s">
        <v>187</v>
      </c>
      <c r="H81">
        <v>2</v>
      </c>
      <c r="I81">
        <v>5</v>
      </c>
      <c r="J81" t="str">
        <f>TEXT(DATE(2012,Table1[[#This Row],[MONTH_ID]],10),"mmm")</f>
        <v>May</v>
      </c>
      <c r="K81">
        <v>2005</v>
      </c>
      <c r="L81" t="s">
        <v>40</v>
      </c>
      <c r="M81">
        <v>118</v>
      </c>
      <c r="N81" t="s">
        <v>315</v>
      </c>
      <c r="O81" t="s">
        <v>188</v>
      </c>
      <c r="P81" t="s">
        <v>189</v>
      </c>
      <c r="Q81" t="s">
        <v>190</v>
      </c>
      <c r="S81" t="s">
        <v>191</v>
      </c>
      <c r="U81">
        <v>28034</v>
      </c>
      <c r="V81" t="s">
        <v>192</v>
      </c>
      <c r="W81" t="s">
        <v>56</v>
      </c>
      <c r="X81" t="s">
        <v>193</v>
      </c>
      <c r="Y81" t="s">
        <v>194</v>
      </c>
      <c r="Z81" t="s">
        <v>65</v>
      </c>
    </row>
    <row r="82" spans="1:26" x14ac:dyDescent="0.3">
      <c r="A82">
        <v>10107</v>
      </c>
      <c r="B82">
        <v>27</v>
      </c>
      <c r="C82">
        <v>100</v>
      </c>
      <c r="D82">
        <v>4</v>
      </c>
      <c r="E82">
        <v>6065.55</v>
      </c>
      <c r="F82" s="1">
        <v>37676</v>
      </c>
      <c r="G82" t="s">
        <v>39</v>
      </c>
      <c r="H82">
        <v>1</v>
      </c>
      <c r="I82">
        <v>2</v>
      </c>
      <c r="J82" t="str">
        <f>TEXT(DATE(2012,Table1[[#This Row],[MONTH_ID]],10),"mmm")</f>
        <v>Feb</v>
      </c>
      <c r="K82">
        <v>2003</v>
      </c>
      <c r="L82" t="s">
        <v>40</v>
      </c>
      <c r="M82">
        <v>193</v>
      </c>
      <c r="N82" t="s">
        <v>334</v>
      </c>
      <c r="O82" t="s">
        <v>42</v>
      </c>
      <c r="P82">
        <v>2125557818</v>
      </c>
      <c r="Q82" t="s">
        <v>43</v>
      </c>
      <c r="S82" t="s">
        <v>44</v>
      </c>
      <c r="T82" t="s">
        <v>45</v>
      </c>
      <c r="U82">
        <v>10022</v>
      </c>
      <c r="V82" t="s">
        <v>46</v>
      </c>
      <c r="W82" t="s">
        <v>47</v>
      </c>
      <c r="X82" t="s">
        <v>48</v>
      </c>
      <c r="Y82" t="s">
        <v>49</v>
      </c>
      <c r="Z82" t="s">
        <v>65</v>
      </c>
    </row>
    <row r="83" spans="1:26" x14ac:dyDescent="0.3">
      <c r="A83">
        <v>10120</v>
      </c>
      <c r="B83">
        <v>46</v>
      </c>
      <c r="C83">
        <v>100</v>
      </c>
      <c r="D83">
        <v>2</v>
      </c>
      <c r="E83">
        <v>9264.86</v>
      </c>
      <c r="F83" s="1">
        <v>37740</v>
      </c>
      <c r="G83" t="s">
        <v>39</v>
      </c>
      <c r="H83">
        <v>2</v>
      </c>
      <c r="I83">
        <v>4</v>
      </c>
      <c r="J83" t="str">
        <f>TEXT(DATE(2012,Table1[[#This Row],[MONTH_ID]],10),"mmm")</f>
        <v>Apr</v>
      </c>
      <c r="K83">
        <v>2003</v>
      </c>
      <c r="L83" t="s">
        <v>40</v>
      </c>
      <c r="M83">
        <v>193</v>
      </c>
      <c r="N83" t="s">
        <v>334</v>
      </c>
      <c r="O83" t="s">
        <v>103</v>
      </c>
      <c r="P83" t="s">
        <v>104</v>
      </c>
      <c r="Q83" t="s">
        <v>105</v>
      </c>
      <c r="R83" t="s">
        <v>106</v>
      </c>
      <c r="S83" t="s">
        <v>107</v>
      </c>
      <c r="T83" t="s">
        <v>108</v>
      </c>
      <c r="U83">
        <v>3004</v>
      </c>
      <c r="V83" t="s">
        <v>109</v>
      </c>
      <c r="W83" t="s">
        <v>110</v>
      </c>
      <c r="X83" t="s">
        <v>111</v>
      </c>
      <c r="Y83" t="s">
        <v>112</v>
      </c>
      <c r="Z83" t="s">
        <v>165</v>
      </c>
    </row>
    <row r="84" spans="1:26" x14ac:dyDescent="0.3">
      <c r="A84">
        <v>10134</v>
      </c>
      <c r="B84">
        <v>31</v>
      </c>
      <c r="C84">
        <v>100</v>
      </c>
      <c r="D84">
        <v>4</v>
      </c>
      <c r="E84">
        <v>7023.98</v>
      </c>
      <c r="F84" s="1">
        <v>37803</v>
      </c>
      <c r="G84" t="s">
        <v>39</v>
      </c>
      <c r="H84">
        <v>3</v>
      </c>
      <c r="I84">
        <v>7</v>
      </c>
      <c r="J84" t="str">
        <f>TEXT(DATE(2012,Table1[[#This Row],[MONTH_ID]],10),"mmm")</f>
        <v>Jul</v>
      </c>
      <c r="K84">
        <v>2003</v>
      </c>
      <c r="L84" t="s">
        <v>40</v>
      </c>
      <c r="M84">
        <v>193</v>
      </c>
      <c r="N84" t="s">
        <v>334</v>
      </c>
      <c r="O84" t="s">
        <v>59</v>
      </c>
      <c r="P84" t="s">
        <v>60</v>
      </c>
      <c r="Q84" t="s">
        <v>61</v>
      </c>
      <c r="S84" t="s">
        <v>62</v>
      </c>
      <c r="U84">
        <v>75508</v>
      </c>
      <c r="V84" t="s">
        <v>55</v>
      </c>
      <c r="W84" t="s">
        <v>56</v>
      </c>
      <c r="X84" t="s">
        <v>63</v>
      </c>
      <c r="Y84" t="s">
        <v>64</v>
      </c>
      <c r="Z84" t="s">
        <v>165</v>
      </c>
    </row>
    <row r="85" spans="1:26" x14ac:dyDescent="0.3">
      <c r="A85">
        <v>10145</v>
      </c>
      <c r="B85">
        <v>33</v>
      </c>
      <c r="C85">
        <v>100</v>
      </c>
      <c r="D85">
        <v>8</v>
      </c>
      <c r="E85">
        <v>5176.38</v>
      </c>
      <c r="F85" s="1">
        <v>37858</v>
      </c>
      <c r="G85" t="s">
        <v>39</v>
      </c>
      <c r="H85">
        <v>3</v>
      </c>
      <c r="I85">
        <v>8</v>
      </c>
      <c r="J85" t="str">
        <f>TEXT(DATE(2012,Table1[[#This Row],[MONTH_ID]],10),"mmm")</f>
        <v>Aug</v>
      </c>
      <c r="K85">
        <v>2003</v>
      </c>
      <c r="L85" t="s">
        <v>40</v>
      </c>
      <c r="M85">
        <v>193</v>
      </c>
      <c r="N85" t="s">
        <v>334</v>
      </c>
      <c r="O85" t="s">
        <v>66</v>
      </c>
      <c r="P85">
        <v>6265557265</v>
      </c>
      <c r="Q85" t="s">
        <v>67</v>
      </c>
      <c r="S85" t="s">
        <v>68</v>
      </c>
      <c r="T85" t="s">
        <v>69</v>
      </c>
      <c r="U85">
        <v>90003</v>
      </c>
      <c r="V85" t="s">
        <v>46</v>
      </c>
      <c r="W85" t="s">
        <v>47</v>
      </c>
      <c r="X85" t="s">
        <v>70</v>
      </c>
      <c r="Y85" t="s">
        <v>71</v>
      </c>
      <c r="Z85" t="s">
        <v>65</v>
      </c>
    </row>
    <row r="86" spans="1:26" x14ac:dyDescent="0.3">
      <c r="A86">
        <v>10159</v>
      </c>
      <c r="B86">
        <v>22</v>
      </c>
      <c r="C86">
        <v>100</v>
      </c>
      <c r="D86">
        <v>16</v>
      </c>
      <c r="E86">
        <v>4132.7</v>
      </c>
      <c r="F86" s="1">
        <v>37904</v>
      </c>
      <c r="G86" t="s">
        <v>39</v>
      </c>
      <c r="H86">
        <v>4</v>
      </c>
      <c r="I86">
        <v>10</v>
      </c>
      <c r="J86" t="str">
        <f>TEXT(DATE(2012,Table1[[#This Row],[MONTH_ID]],10),"mmm")</f>
        <v>Oct</v>
      </c>
      <c r="K86">
        <v>2003</v>
      </c>
      <c r="L86" t="s">
        <v>40</v>
      </c>
      <c r="M86">
        <v>193</v>
      </c>
      <c r="N86" t="s">
        <v>334</v>
      </c>
      <c r="O86" t="s">
        <v>72</v>
      </c>
      <c r="P86">
        <v>6505551386</v>
      </c>
      <c r="Q86" t="s">
        <v>73</v>
      </c>
      <c r="S86" t="s">
        <v>74</v>
      </c>
      <c r="T86" t="s">
        <v>69</v>
      </c>
      <c r="V86" t="s">
        <v>46</v>
      </c>
      <c r="W86" t="s">
        <v>47</v>
      </c>
      <c r="X86" t="s">
        <v>75</v>
      </c>
      <c r="Y86" t="s">
        <v>71</v>
      </c>
      <c r="Z86" t="s">
        <v>65</v>
      </c>
    </row>
    <row r="87" spans="1:26" x14ac:dyDescent="0.3">
      <c r="A87">
        <v>10168</v>
      </c>
      <c r="B87">
        <v>20</v>
      </c>
      <c r="C87">
        <v>100</v>
      </c>
      <c r="D87">
        <v>3</v>
      </c>
      <c r="E87">
        <v>4183</v>
      </c>
      <c r="F87" s="1">
        <v>37922</v>
      </c>
      <c r="G87" t="s">
        <v>39</v>
      </c>
      <c r="H87">
        <v>4</v>
      </c>
      <c r="I87">
        <v>10</v>
      </c>
      <c r="J87" t="str">
        <f>TEXT(DATE(2012,Table1[[#This Row],[MONTH_ID]],10),"mmm")</f>
        <v>Oct</v>
      </c>
      <c r="K87">
        <v>2003</v>
      </c>
      <c r="L87" t="s">
        <v>40</v>
      </c>
      <c r="M87">
        <v>193</v>
      </c>
      <c r="N87" t="s">
        <v>334</v>
      </c>
      <c r="O87" t="s">
        <v>76</v>
      </c>
      <c r="P87">
        <v>6505556809</v>
      </c>
      <c r="Q87" t="s">
        <v>77</v>
      </c>
      <c r="S87" t="s">
        <v>78</v>
      </c>
      <c r="T87" t="s">
        <v>69</v>
      </c>
      <c r="U87">
        <v>94217</v>
      </c>
      <c r="V87" t="s">
        <v>46</v>
      </c>
      <c r="W87" t="s">
        <v>47</v>
      </c>
      <c r="X87" t="s">
        <v>79</v>
      </c>
      <c r="Y87" t="s">
        <v>80</v>
      </c>
      <c r="Z87" t="s">
        <v>65</v>
      </c>
    </row>
    <row r="88" spans="1:26" x14ac:dyDescent="0.3">
      <c r="A88">
        <v>10180</v>
      </c>
      <c r="B88">
        <v>41</v>
      </c>
      <c r="C88">
        <v>100</v>
      </c>
      <c r="D88">
        <v>11</v>
      </c>
      <c r="E88">
        <v>8892.9</v>
      </c>
      <c r="F88" s="1">
        <v>37936</v>
      </c>
      <c r="G88" t="s">
        <v>39</v>
      </c>
      <c r="H88">
        <v>4</v>
      </c>
      <c r="I88">
        <v>11</v>
      </c>
      <c r="J88" t="str">
        <f>TEXT(DATE(2012,Table1[[#This Row],[MONTH_ID]],10),"mmm")</f>
        <v>Nov</v>
      </c>
      <c r="K88">
        <v>2003</v>
      </c>
      <c r="L88" t="s">
        <v>40</v>
      </c>
      <c r="M88">
        <v>193</v>
      </c>
      <c r="N88" t="s">
        <v>334</v>
      </c>
      <c r="O88" t="s">
        <v>81</v>
      </c>
      <c r="P88" t="s">
        <v>82</v>
      </c>
      <c r="Q88" t="s">
        <v>83</v>
      </c>
      <c r="S88" t="s">
        <v>84</v>
      </c>
      <c r="U88">
        <v>59000</v>
      </c>
      <c r="V88" t="s">
        <v>55</v>
      </c>
      <c r="W88" t="s">
        <v>56</v>
      </c>
      <c r="X88" t="s">
        <v>85</v>
      </c>
      <c r="Y88" t="s">
        <v>86</v>
      </c>
      <c r="Z88" t="s">
        <v>165</v>
      </c>
    </row>
    <row r="89" spans="1:26" x14ac:dyDescent="0.3">
      <c r="A89">
        <v>10188</v>
      </c>
      <c r="B89">
        <v>45</v>
      </c>
      <c r="C89">
        <v>100</v>
      </c>
      <c r="D89">
        <v>3</v>
      </c>
      <c r="E89">
        <v>8714.7000000000007</v>
      </c>
      <c r="F89" s="1">
        <v>37943</v>
      </c>
      <c r="G89" t="s">
        <v>39</v>
      </c>
      <c r="H89">
        <v>4</v>
      </c>
      <c r="I89">
        <v>11</v>
      </c>
      <c r="J89" t="str">
        <f>TEXT(DATE(2012,Table1[[#This Row],[MONTH_ID]],10),"mmm")</f>
        <v>Nov</v>
      </c>
      <c r="K89">
        <v>2003</v>
      </c>
      <c r="L89" t="s">
        <v>40</v>
      </c>
      <c r="M89">
        <v>193</v>
      </c>
      <c r="N89" t="s">
        <v>334</v>
      </c>
      <c r="O89" t="s">
        <v>87</v>
      </c>
      <c r="P89" t="s">
        <v>88</v>
      </c>
      <c r="Q89" t="s">
        <v>89</v>
      </c>
      <c r="S89" t="s">
        <v>90</v>
      </c>
      <c r="U89" t="s">
        <v>91</v>
      </c>
      <c r="V89" t="s">
        <v>92</v>
      </c>
      <c r="W89" t="s">
        <v>56</v>
      </c>
      <c r="X89" t="s">
        <v>93</v>
      </c>
      <c r="Y89" t="s">
        <v>94</v>
      </c>
      <c r="Z89" t="s">
        <v>165</v>
      </c>
    </row>
    <row r="90" spans="1:26" x14ac:dyDescent="0.3">
      <c r="A90">
        <v>10201</v>
      </c>
      <c r="B90">
        <v>49</v>
      </c>
      <c r="C90">
        <v>100</v>
      </c>
      <c r="D90">
        <v>4</v>
      </c>
      <c r="E90">
        <v>8065.89</v>
      </c>
      <c r="F90" s="1">
        <v>37956</v>
      </c>
      <c r="G90" t="s">
        <v>39</v>
      </c>
      <c r="H90">
        <v>4</v>
      </c>
      <c r="I90">
        <v>12</v>
      </c>
      <c r="J90" t="str">
        <f>TEXT(DATE(2012,Table1[[#This Row],[MONTH_ID]],10),"mmm")</f>
        <v>Dec</v>
      </c>
      <c r="K90">
        <v>2003</v>
      </c>
      <c r="L90" t="s">
        <v>40</v>
      </c>
      <c r="M90">
        <v>193</v>
      </c>
      <c r="N90" t="s">
        <v>334</v>
      </c>
      <c r="O90" t="s">
        <v>95</v>
      </c>
      <c r="P90">
        <v>6505555787</v>
      </c>
      <c r="Q90" t="s">
        <v>96</v>
      </c>
      <c r="S90" t="s">
        <v>74</v>
      </c>
      <c r="T90" t="s">
        <v>69</v>
      </c>
      <c r="V90" t="s">
        <v>46</v>
      </c>
      <c r="W90" t="s">
        <v>47</v>
      </c>
      <c r="X90" t="s">
        <v>97</v>
      </c>
      <c r="Y90" t="s">
        <v>71</v>
      </c>
      <c r="Z90" t="s">
        <v>165</v>
      </c>
    </row>
    <row r="91" spans="1:26" x14ac:dyDescent="0.3">
      <c r="A91">
        <v>10210</v>
      </c>
      <c r="B91">
        <v>34</v>
      </c>
      <c r="C91">
        <v>100</v>
      </c>
      <c r="D91">
        <v>1</v>
      </c>
      <c r="E91">
        <v>6123.4</v>
      </c>
      <c r="F91" s="1">
        <v>37998</v>
      </c>
      <c r="G91" t="s">
        <v>39</v>
      </c>
      <c r="H91">
        <v>1</v>
      </c>
      <c r="I91">
        <v>1</v>
      </c>
      <c r="J91" t="str">
        <f>TEXT(DATE(2012,Table1[[#This Row],[MONTH_ID]],10),"mmm")</f>
        <v>Jan</v>
      </c>
      <c r="K91">
        <v>2004</v>
      </c>
      <c r="L91" t="s">
        <v>40</v>
      </c>
      <c r="M91">
        <v>193</v>
      </c>
      <c r="N91" t="s">
        <v>334</v>
      </c>
      <c r="O91" t="s">
        <v>316</v>
      </c>
      <c r="P91" t="s">
        <v>317</v>
      </c>
      <c r="Q91" t="s">
        <v>318</v>
      </c>
      <c r="S91" t="s">
        <v>319</v>
      </c>
      <c r="T91" t="s">
        <v>319</v>
      </c>
      <c r="U91" t="s">
        <v>320</v>
      </c>
      <c r="V91" t="s">
        <v>214</v>
      </c>
      <c r="W91" t="s">
        <v>214</v>
      </c>
      <c r="X91" t="s">
        <v>321</v>
      </c>
      <c r="Y91" t="s">
        <v>322</v>
      </c>
      <c r="Z91" t="s">
        <v>65</v>
      </c>
    </row>
    <row r="92" spans="1:26" x14ac:dyDescent="0.3">
      <c r="A92">
        <v>10223</v>
      </c>
      <c r="B92">
        <v>49</v>
      </c>
      <c r="C92">
        <v>100</v>
      </c>
      <c r="D92">
        <v>3</v>
      </c>
      <c r="E92">
        <v>9774.0300000000007</v>
      </c>
      <c r="F92" s="1">
        <v>38037</v>
      </c>
      <c r="G92" t="s">
        <v>39</v>
      </c>
      <c r="H92">
        <v>1</v>
      </c>
      <c r="I92">
        <v>2</v>
      </c>
      <c r="J92" t="str">
        <f>TEXT(DATE(2012,Table1[[#This Row],[MONTH_ID]],10),"mmm")</f>
        <v>Feb</v>
      </c>
      <c r="K92">
        <v>2004</v>
      </c>
      <c r="L92" t="s">
        <v>40</v>
      </c>
      <c r="M92">
        <v>193</v>
      </c>
      <c r="N92" t="s">
        <v>334</v>
      </c>
      <c r="O92" t="s">
        <v>103</v>
      </c>
      <c r="P92" t="s">
        <v>104</v>
      </c>
      <c r="Q92" t="s">
        <v>105</v>
      </c>
      <c r="R92" t="s">
        <v>106</v>
      </c>
      <c r="S92" t="s">
        <v>107</v>
      </c>
      <c r="T92" t="s">
        <v>108</v>
      </c>
      <c r="U92">
        <v>3004</v>
      </c>
      <c r="V92" t="s">
        <v>109</v>
      </c>
      <c r="W92" t="s">
        <v>110</v>
      </c>
      <c r="X92" t="s">
        <v>111</v>
      </c>
      <c r="Y92" t="s">
        <v>112</v>
      </c>
      <c r="Z92" t="s">
        <v>165</v>
      </c>
    </row>
    <row r="93" spans="1:26" x14ac:dyDescent="0.3">
      <c r="A93">
        <v>10237</v>
      </c>
      <c r="B93">
        <v>39</v>
      </c>
      <c r="C93">
        <v>100</v>
      </c>
      <c r="D93">
        <v>9</v>
      </c>
      <c r="E93">
        <v>7023.9</v>
      </c>
      <c r="F93" s="1">
        <v>38082</v>
      </c>
      <c r="G93" t="s">
        <v>39</v>
      </c>
      <c r="H93">
        <v>2</v>
      </c>
      <c r="I93">
        <v>4</v>
      </c>
      <c r="J93" t="str">
        <f>TEXT(DATE(2012,Table1[[#This Row],[MONTH_ID]],10),"mmm")</f>
        <v>Apr</v>
      </c>
      <c r="K93">
        <v>2004</v>
      </c>
      <c r="L93" t="s">
        <v>40</v>
      </c>
      <c r="M93">
        <v>193</v>
      </c>
      <c r="N93" t="s">
        <v>334</v>
      </c>
      <c r="O93" t="s">
        <v>113</v>
      </c>
      <c r="P93">
        <v>2125551500</v>
      </c>
      <c r="Q93" t="s">
        <v>114</v>
      </c>
      <c r="R93" t="s">
        <v>115</v>
      </c>
      <c r="S93" t="s">
        <v>44</v>
      </c>
      <c r="T93" t="s">
        <v>45</v>
      </c>
      <c r="U93">
        <v>10022</v>
      </c>
      <c r="V93" t="s">
        <v>46</v>
      </c>
      <c r="W93" t="s">
        <v>47</v>
      </c>
      <c r="X93" t="s">
        <v>116</v>
      </c>
      <c r="Y93" t="s">
        <v>117</v>
      </c>
      <c r="Z93" t="s">
        <v>165</v>
      </c>
    </row>
    <row r="94" spans="1:26" x14ac:dyDescent="0.3">
      <c r="A94">
        <v>10251</v>
      </c>
      <c r="B94">
        <v>43</v>
      </c>
      <c r="C94">
        <v>100</v>
      </c>
      <c r="D94">
        <v>4</v>
      </c>
      <c r="E94">
        <v>7078.23</v>
      </c>
      <c r="F94" s="1">
        <v>38125</v>
      </c>
      <c r="G94" t="s">
        <v>39</v>
      </c>
      <c r="H94">
        <v>2</v>
      </c>
      <c r="I94">
        <v>5</v>
      </c>
      <c r="J94" t="str">
        <f>TEXT(DATE(2012,Table1[[#This Row],[MONTH_ID]],10),"mmm")</f>
        <v>May</v>
      </c>
      <c r="K94">
        <v>2004</v>
      </c>
      <c r="L94" t="s">
        <v>40</v>
      </c>
      <c r="M94">
        <v>193</v>
      </c>
      <c r="N94" t="s">
        <v>334</v>
      </c>
      <c r="O94" t="s">
        <v>118</v>
      </c>
      <c r="P94">
        <v>2015559350</v>
      </c>
      <c r="Q94" t="s">
        <v>119</v>
      </c>
      <c r="S94" t="s">
        <v>120</v>
      </c>
      <c r="T94" t="s">
        <v>121</v>
      </c>
      <c r="U94">
        <v>94019</v>
      </c>
      <c r="V94" t="s">
        <v>46</v>
      </c>
      <c r="W94" t="s">
        <v>47</v>
      </c>
      <c r="X94" t="s">
        <v>75</v>
      </c>
      <c r="Y94" t="s">
        <v>122</v>
      </c>
      <c r="Z94" t="s">
        <v>165</v>
      </c>
    </row>
    <row r="95" spans="1:26" x14ac:dyDescent="0.3">
      <c r="A95">
        <v>10263</v>
      </c>
      <c r="B95">
        <v>41</v>
      </c>
      <c r="C95">
        <v>100</v>
      </c>
      <c r="D95">
        <v>4</v>
      </c>
      <c r="E95">
        <v>8336.94</v>
      </c>
      <c r="F95" s="1">
        <v>38166</v>
      </c>
      <c r="G95" t="s">
        <v>39</v>
      </c>
      <c r="H95">
        <v>2</v>
      </c>
      <c r="I95">
        <v>6</v>
      </c>
      <c r="J95" t="str">
        <f>TEXT(DATE(2012,Table1[[#This Row],[MONTH_ID]],10),"mmm")</f>
        <v>Jun</v>
      </c>
      <c r="K95">
        <v>2004</v>
      </c>
      <c r="L95" t="s">
        <v>40</v>
      </c>
      <c r="M95">
        <v>193</v>
      </c>
      <c r="N95" t="s">
        <v>334</v>
      </c>
      <c r="O95" t="s">
        <v>123</v>
      </c>
      <c r="P95">
        <v>2035552570</v>
      </c>
      <c r="Q95" t="s">
        <v>124</v>
      </c>
      <c r="S95" t="s">
        <v>125</v>
      </c>
      <c r="T95" t="s">
        <v>126</v>
      </c>
      <c r="U95">
        <v>97562</v>
      </c>
      <c r="V95" t="s">
        <v>46</v>
      </c>
      <c r="W95" t="s">
        <v>47</v>
      </c>
      <c r="X95" t="s">
        <v>127</v>
      </c>
      <c r="Y95" t="s">
        <v>71</v>
      </c>
      <c r="Z95" t="s">
        <v>165</v>
      </c>
    </row>
    <row r="96" spans="1:26" x14ac:dyDescent="0.3">
      <c r="A96">
        <v>10275</v>
      </c>
      <c r="B96">
        <v>36</v>
      </c>
      <c r="C96">
        <v>100</v>
      </c>
      <c r="D96">
        <v>3</v>
      </c>
      <c r="E96">
        <v>6901.92</v>
      </c>
      <c r="F96" s="1">
        <v>38191</v>
      </c>
      <c r="G96" t="s">
        <v>39</v>
      </c>
      <c r="H96">
        <v>3</v>
      </c>
      <c r="I96">
        <v>7</v>
      </c>
      <c r="J96" t="str">
        <f>TEXT(DATE(2012,Table1[[#This Row],[MONTH_ID]],10),"mmm")</f>
        <v>Jul</v>
      </c>
      <c r="K96">
        <v>2004</v>
      </c>
      <c r="L96" t="s">
        <v>40</v>
      </c>
      <c r="M96">
        <v>193</v>
      </c>
      <c r="N96" t="s">
        <v>334</v>
      </c>
      <c r="O96" t="s">
        <v>128</v>
      </c>
      <c r="P96" t="s">
        <v>129</v>
      </c>
      <c r="Q96" t="s">
        <v>130</v>
      </c>
      <c r="S96" t="s">
        <v>131</v>
      </c>
      <c r="U96">
        <v>44000</v>
      </c>
      <c r="V96" t="s">
        <v>55</v>
      </c>
      <c r="W96" t="s">
        <v>56</v>
      </c>
      <c r="X96" t="s">
        <v>132</v>
      </c>
      <c r="Y96" t="s">
        <v>133</v>
      </c>
      <c r="Z96" t="s">
        <v>65</v>
      </c>
    </row>
    <row r="97" spans="1:26" x14ac:dyDescent="0.3">
      <c r="A97">
        <v>10285</v>
      </c>
      <c r="B97">
        <v>27</v>
      </c>
      <c r="C97">
        <v>100</v>
      </c>
      <c r="D97">
        <v>8</v>
      </c>
      <c r="E97">
        <v>5438.07</v>
      </c>
      <c r="F97" s="1">
        <v>38226</v>
      </c>
      <c r="G97" t="s">
        <v>39</v>
      </c>
      <c r="H97">
        <v>3</v>
      </c>
      <c r="I97">
        <v>8</v>
      </c>
      <c r="J97" t="str">
        <f>TEXT(DATE(2012,Table1[[#This Row],[MONTH_ID]],10),"mmm")</f>
        <v>Aug</v>
      </c>
      <c r="K97">
        <v>2004</v>
      </c>
      <c r="L97" t="s">
        <v>40</v>
      </c>
      <c r="M97">
        <v>193</v>
      </c>
      <c r="N97" t="s">
        <v>334</v>
      </c>
      <c r="O97" t="s">
        <v>134</v>
      </c>
      <c r="P97">
        <v>6175558555</v>
      </c>
      <c r="Q97" t="s">
        <v>135</v>
      </c>
      <c r="S97" t="s">
        <v>136</v>
      </c>
      <c r="T97" t="s">
        <v>137</v>
      </c>
      <c r="U97">
        <v>51247</v>
      </c>
      <c r="V97" t="s">
        <v>46</v>
      </c>
      <c r="W97" t="s">
        <v>47</v>
      </c>
      <c r="X97" t="s">
        <v>138</v>
      </c>
      <c r="Y97" t="s">
        <v>139</v>
      </c>
      <c r="Z97" t="s">
        <v>65</v>
      </c>
    </row>
    <row r="98" spans="1:26" x14ac:dyDescent="0.3">
      <c r="A98">
        <v>10299</v>
      </c>
      <c r="B98">
        <v>29</v>
      </c>
      <c r="C98">
        <v>100</v>
      </c>
      <c r="D98">
        <v>11</v>
      </c>
      <c r="E98">
        <v>6683.34</v>
      </c>
      <c r="F98" s="1">
        <v>38260</v>
      </c>
      <c r="G98" t="s">
        <v>39</v>
      </c>
      <c r="H98">
        <v>3</v>
      </c>
      <c r="I98">
        <v>9</v>
      </c>
      <c r="J98" t="str">
        <f>TEXT(DATE(2012,Table1[[#This Row],[MONTH_ID]],10),"mmm")</f>
        <v>Sep</v>
      </c>
      <c r="K98">
        <v>2004</v>
      </c>
      <c r="L98" t="s">
        <v>40</v>
      </c>
      <c r="M98">
        <v>193</v>
      </c>
      <c r="N98" t="s">
        <v>334</v>
      </c>
      <c r="O98" t="s">
        <v>140</v>
      </c>
      <c r="P98" t="s">
        <v>141</v>
      </c>
      <c r="Q98" t="s">
        <v>142</v>
      </c>
      <c r="S98" t="s">
        <v>143</v>
      </c>
      <c r="U98">
        <v>21240</v>
      </c>
      <c r="V98" t="s">
        <v>144</v>
      </c>
      <c r="W98" t="s">
        <v>56</v>
      </c>
      <c r="X98" t="s">
        <v>145</v>
      </c>
      <c r="Y98" t="s">
        <v>146</v>
      </c>
      <c r="Z98" t="s">
        <v>65</v>
      </c>
    </row>
    <row r="99" spans="1:26" x14ac:dyDescent="0.3">
      <c r="A99">
        <v>10308</v>
      </c>
      <c r="B99">
        <v>20</v>
      </c>
      <c r="C99">
        <v>100</v>
      </c>
      <c r="D99">
        <v>1</v>
      </c>
      <c r="E99">
        <v>4570.3999999999996</v>
      </c>
      <c r="F99" s="1">
        <v>38275</v>
      </c>
      <c r="G99" t="s">
        <v>39</v>
      </c>
      <c r="H99">
        <v>4</v>
      </c>
      <c r="I99">
        <v>10</v>
      </c>
      <c r="J99" t="str">
        <f>TEXT(DATE(2012,Table1[[#This Row],[MONTH_ID]],10),"mmm")</f>
        <v>Oct</v>
      </c>
      <c r="K99">
        <v>2004</v>
      </c>
      <c r="L99" t="s">
        <v>40</v>
      </c>
      <c r="M99">
        <v>193</v>
      </c>
      <c r="N99" t="s">
        <v>334</v>
      </c>
      <c r="O99" t="s">
        <v>331</v>
      </c>
      <c r="P99">
        <v>9145554562</v>
      </c>
      <c r="Q99" t="s">
        <v>332</v>
      </c>
      <c r="S99" t="s">
        <v>333</v>
      </c>
      <c r="T99" t="s">
        <v>45</v>
      </c>
      <c r="U99">
        <v>24067</v>
      </c>
      <c r="V99" t="s">
        <v>46</v>
      </c>
      <c r="W99" t="s">
        <v>47</v>
      </c>
      <c r="X99" t="s">
        <v>116</v>
      </c>
      <c r="Y99" t="s">
        <v>252</v>
      </c>
      <c r="Z99" t="s">
        <v>65</v>
      </c>
    </row>
    <row r="100" spans="1:26" x14ac:dyDescent="0.3">
      <c r="A100">
        <v>10318</v>
      </c>
      <c r="B100">
        <v>37</v>
      </c>
      <c r="C100">
        <v>100</v>
      </c>
      <c r="D100">
        <v>3</v>
      </c>
      <c r="E100">
        <v>7667.14</v>
      </c>
      <c r="F100" s="1">
        <v>38293</v>
      </c>
      <c r="G100" t="s">
        <v>39</v>
      </c>
      <c r="H100">
        <v>4</v>
      </c>
      <c r="I100">
        <v>11</v>
      </c>
      <c r="J100" t="str">
        <f>TEXT(DATE(2012,Table1[[#This Row],[MONTH_ID]],10),"mmm")</f>
        <v>Nov</v>
      </c>
      <c r="K100">
        <v>2004</v>
      </c>
      <c r="L100" t="s">
        <v>40</v>
      </c>
      <c r="M100">
        <v>193</v>
      </c>
      <c r="N100" t="s">
        <v>334</v>
      </c>
      <c r="O100" t="s">
        <v>153</v>
      </c>
      <c r="P100">
        <v>2155551555</v>
      </c>
      <c r="Q100" t="s">
        <v>154</v>
      </c>
      <c r="S100" t="s">
        <v>155</v>
      </c>
      <c r="T100" t="s">
        <v>156</v>
      </c>
      <c r="U100">
        <v>70267</v>
      </c>
      <c r="V100" t="s">
        <v>46</v>
      </c>
      <c r="W100" t="s">
        <v>47</v>
      </c>
      <c r="X100" t="s">
        <v>48</v>
      </c>
      <c r="Y100" t="s">
        <v>157</v>
      </c>
      <c r="Z100" t="s">
        <v>165</v>
      </c>
    </row>
    <row r="101" spans="1:26" x14ac:dyDescent="0.3">
      <c r="A101">
        <v>10329</v>
      </c>
      <c r="B101">
        <v>26</v>
      </c>
      <c r="C101">
        <v>100</v>
      </c>
      <c r="D101">
        <v>3</v>
      </c>
      <c r="E101">
        <v>5868.2</v>
      </c>
      <c r="F101" s="1">
        <v>38306</v>
      </c>
      <c r="G101" t="s">
        <v>39</v>
      </c>
      <c r="H101">
        <v>4</v>
      </c>
      <c r="I101">
        <v>11</v>
      </c>
      <c r="J101" t="str">
        <f>TEXT(DATE(2012,Table1[[#This Row],[MONTH_ID]],10),"mmm")</f>
        <v>Nov</v>
      </c>
      <c r="K101">
        <v>2004</v>
      </c>
      <c r="L101" t="s">
        <v>40</v>
      </c>
      <c r="M101">
        <v>193</v>
      </c>
      <c r="N101" t="s">
        <v>334</v>
      </c>
      <c r="O101" t="s">
        <v>42</v>
      </c>
      <c r="P101">
        <v>2125557818</v>
      </c>
      <c r="Q101" t="s">
        <v>43</v>
      </c>
      <c r="S101" t="s">
        <v>44</v>
      </c>
      <c r="T101" t="s">
        <v>45</v>
      </c>
      <c r="U101">
        <v>10022</v>
      </c>
      <c r="V101" t="s">
        <v>46</v>
      </c>
      <c r="W101" t="s">
        <v>47</v>
      </c>
      <c r="X101" t="s">
        <v>48</v>
      </c>
      <c r="Y101" t="s">
        <v>49</v>
      </c>
      <c r="Z101" t="s">
        <v>65</v>
      </c>
    </row>
    <row r="102" spans="1:26" x14ac:dyDescent="0.3">
      <c r="A102">
        <v>10339</v>
      </c>
      <c r="B102">
        <v>39</v>
      </c>
      <c r="C102">
        <v>76.67</v>
      </c>
      <c r="D102">
        <v>3</v>
      </c>
      <c r="E102">
        <v>2990.13</v>
      </c>
      <c r="F102" s="1">
        <v>38314</v>
      </c>
      <c r="G102" t="s">
        <v>39</v>
      </c>
      <c r="H102">
        <v>4</v>
      </c>
      <c r="I102">
        <v>11</v>
      </c>
      <c r="J102" t="str">
        <f>TEXT(DATE(2012,Table1[[#This Row],[MONTH_ID]],10),"mmm")</f>
        <v>Nov</v>
      </c>
      <c r="K102">
        <v>2004</v>
      </c>
      <c r="L102" t="s">
        <v>40</v>
      </c>
      <c r="M102">
        <v>193</v>
      </c>
      <c r="N102" t="s">
        <v>334</v>
      </c>
      <c r="O102" t="s">
        <v>260</v>
      </c>
      <c r="P102" t="s">
        <v>261</v>
      </c>
      <c r="Q102" t="s">
        <v>262</v>
      </c>
      <c r="S102" t="s">
        <v>263</v>
      </c>
      <c r="T102" t="s">
        <v>264</v>
      </c>
      <c r="U102" t="s">
        <v>265</v>
      </c>
      <c r="V102" t="s">
        <v>214</v>
      </c>
      <c r="W102" t="s">
        <v>214</v>
      </c>
      <c r="X102" t="s">
        <v>266</v>
      </c>
      <c r="Y102" t="s">
        <v>267</v>
      </c>
      <c r="Z102" t="s">
        <v>50</v>
      </c>
    </row>
    <row r="103" spans="1:26" x14ac:dyDescent="0.3">
      <c r="A103">
        <v>10362</v>
      </c>
      <c r="B103">
        <v>22</v>
      </c>
      <c r="C103">
        <v>100</v>
      </c>
      <c r="D103">
        <v>4</v>
      </c>
      <c r="E103">
        <v>3664.1</v>
      </c>
      <c r="F103" s="1">
        <v>38357</v>
      </c>
      <c r="G103" t="s">
        <v>39</v>
      </c>
      <c r="H103">
        <v>1</v>
      </c>
      <c r="I103">
        <v>1</v>
      </c>
      <c r="J103" t="str">
        <f>TEXT(DATE(2012,Table1[[#This Row],[MONTH_ID]],10),"mmm")</f>
        <v>Jan</v>
      </c>
      <c r="K103">
        <v>2005</v>
      </c>
      <c r="L103" t="s">
        <v>40</v>
      </c>
      <c r="M103">
        <v>193</v>
      </c>
      <c r="N103" t="s">
        <v>334</v>
      </c>
      <c r="O103" t="s">
        <v>76</v>
      </c>
      <c r="P103">
        <v>6505556809</v>
      </c>
      <c r="Q103" t="s">
        <v>77</v>
      </c>
      <c r="S103" t="s">
        <v>78</v>
      </c>
      <c r="T103" t="s">
        <v>69</v>
      </c>
      <c r="U103">
        <v>94217</v>
      </c>
      <c r="V103" t="s">
        <v>46</v>
      </c>
      <c r="W103" t="s">
        <v>47</v>
      </c>
      <c r="X103" t="s">
        <v>79</v>
      </c>
      <c r="Y103" t="s">
        <v>80</v>
      </c>
      <c r="Z103" t="s">
        <v>65</v>
      </c>
    </row>
    <row r="104" spans="1:26" x14ac:dyDescent="0.3">
      <c r="A104">
        <v>10374</v>
      </c>
      <c r="B104">
        <v>22</v>
      </c>
      <c r="C104">
        <v>100</v>
      </c>
      <c r="D104">
        <v>1</v>
      </c>
      <c r="E104">
        <v>3834.38</v>
      </c>
      <c r="F104" s="1">
        <v>38385</v>
      </c>
      <c r="G104" t="s">
        <v>39</v>
      </c>
      <c r="H104">
        <v>1</v>
      </c>
      <c r="I104">
        <v>2</v>
      </c>
      <c r="J104" t="str">
        <f>TEXT(DATE(2012,Table1[[#This Row],[MONTH_ID]],10),"mmm")</f>
        <v>Feb</v>
      </c>
      <c r="K104">
        <v>2005</v>
      </c>
      <c r="L104" t="s">
        <v>40</v>
      </c>
      <c r="M104">
        <v>193</v>
      </c>
      <c r="N104" t="s">
        <v>334</v>
      </c>
      <c r="O104" t="s">
        <v>221</v>
      </c>
      <c r="P104" t="s">
        <v>222</v>
      </c>
      <c r="Q104" t="s">
        <v>223</v>
      </c>
      <c r="S104" t="s">
        <v>224</v>
      </c>
      <c r="T104" t="s">
        <v>225</v>
      </c>
      <c r="U104">
        <v>4101</v>
      </c>
      <c r="V104" t="s">
        <v>109</v>
      </c>
      <c r="W104" t="s">
        <v>110</v>
      </c>
      <c r="X104" t="s">
        <v>226</v>
      </c>
      <c r="Y104" t="s">
        <v>227</v>
      </c>
      <c r="Z104" t="s">
        <v>65</v>
      </c>
    </row>
    <row r="105" spans="1:26" x14ac:dyDescent="0.3">
      <c r="A105">
        <v>10388</v>
      </c>
      <c r="B105">
        <v>21</v>
      </c>
      <c r="C105">
        <v>86.77</v>
      </c>
      <c r="D105">
        <v>7</v>
      </c>
      <c r="E105">
        <v>1822.17</v>
      </c>
      <c r="F105" s="1">
        <v>38414</v>
      </c>
      <c r="G105" t="s">
        <v>39</v>
      </c>
      <c r="H105">
        <v>1</v>
      </c>
      <c r="I105">
        <v>3</v>
      </c>
      <c r="J105" t="str">
        <f>TEXT(DATE(2012,Table1[[#This Row],[MONTH_ID]],10),"mmm")</f>
        <v>Mar</v>
      </c>
      <c r="K105">
        <v>2005</v>
      </c>
      <c r="L105" t="s">
        <v>40</v>
      </c>
      <c r="M105">
        <v>193</v>
      </c>
      <c r="N105" t="s">
        <v>334</v>
      </c>
      <c r="O105" t="s">
        <v>174</v>
      </c>
      <c r="P105">
        <v>5085552555</v>
      </c>
      <c r="Q105" t="s">
        <v>175</v>
      </c>
      <c r="S105" t="s">
        <v>176</v>
      </c>
      <c r="T105" t="s">
        <v>137</v>
      </c>
      <c r="U105">
        <v>50553</v>
      </c>
      <c r="V105" t="s">
        <v>46</v>
      </c>
      <c r="W105" t="s">
        <v>47</v>
      </c>
      <c r="X105" t="s">
        <v>177</v>
      </c>
      <c r="Y105" t="s">
        <v>178</v>
      </c>
      <c r="Z105" t="s">
        <v>50</v>
      </c>
    </row>
    <row r="106" spans="1:26" x14ac:dyDescent="0.3">
      <c r="A106">
        <v>10403</v>
      </c>
      <c r="B106">
        <v>66</v>
      </c>
      <c r="C106">
        <v>100</v>
      </c>
      <c r="D106">
        <v>9</v>
      </c>
      <c r="E106">
        <v>11886.6</v>
      </c>
      <c r="F106" s="1">
        <v>38450</v>
      </c>
      <c r="G106" t="s">
        <v>39</v>
      </c>
      <c r="H106">
        <v>2</v>
      </c>
      <c r="I106">
        <v>4</v>
      </c>
      <c r="J106" t="str">
        <f>TEXT(DATE(2012,Table1[[#This Row],[MONTH_ID]],10),"mmm")</f>
        <v>Apr</v>
      </c>
      <c r="K106">
        <v>2005</v>
      </c>
      <c r="L106" t="s">
        <v>40</v>
      </c>
      <c r="M106">
        <v>193</v>
      </c>
      <c r="N106" t="s">
        <v>334</v>
      </c>
      <c r="O106" t="s">
        <v>179</v>
      </c>
      <c r="P106" t="s">
        <v>180</v>
      </c>
      <c r="Q106" t="s">
        <v>181</v>
      </c>
      <c r="S106" t="s">
        <v>182</v>
      </c>
      <c r="U106" t="s">
        <v>183</v>
      </c>
      <c r="V106" t="s">
        <v>184</v>
      </c>
      <c r="W106" t="s">
        <v>56</v>
      </c>
      <c r="X106" t="s">
        <v>185</v>
      </c>
      <c r="Y106" t="s">
        <v>186</v>
      </c>
      <c r="Z106" t="s">
        <v>165</v>
      </c>
    </row>
    <row r="107" spans="1:26" x14ac:dyDescent="0.3">
      <c r="A107">
        <v>10417</v>
      </c>
      <c r="B107">
        <v>56</v>
      </c>
      <c r="C107">
        <v>100</v>
      </c>
      <c r="D107">
        <v>4</v>
      </c>
      <c r="E107">
        <v>9218.16</v>
      </c>
      <c r="F107" s="1">
        <v>38485</v>
      </c>
      <c r="G107" t="s">
        <v>187</v>
      </c>
      <c r="H107">
        <v>2</v>
      </c>
      <c r="I107">
        <v>5</v>
      </c>
      <c r="J107" t="str">
        <f>TEXT(DATE(2012,Table1[[#This Row],[MONTH_ID]],10),"mmm")</f>
        <v>May</v>
      </c>
      <c r="K107">
        <v>2005</v>
      </c>
      <c r="L107" t="s">
        <v>40</v>
      </c>
      <c r="M107">
        <v>193</v>
      </c>
      <c r="N107" t="s">
        <v>334</v>
      </c>
      <c r="O107" t="s">
        <v>188</v>
      </c>
      <c r="P107" t="s">
        <v>189</v>
      </c>
      <c r="Q107" t="s">
        <v>190</v>
      </c>
      <c r="S107" t="s">
        <v>191</v>
      </c>
      <c r="U107">
        <v>28034</v>
      </c>
      <c r="V107" t="s">
        <v>192</v>
      </c>
      <c r="W107" t="s">
        <v>56</v>
      </c>
      <c r="X107" t="s">
        <v>193</v>
      </c>
      <c r="Y107" t="s">
        <v>194</v>
      </c>
      <c r="Z107" t="s">
        <v>165</v>
      </c>
    </row>
    <row r="108" spans="1:26" x14ac:dyDescent="0.3">
      <c r="A108">
        <v>10105</v>
      </c>
      <c r="B108">
        <v>50</v>
      </c>
      <c r="C108">
        <v>100</v>
      </c>
      <c r="D108">
        <v>2</v>
      </c>
      <c r="E108">
        <v>7208</v>
      </c>
      <c r="F108" s="1">
        <v>37663</v>
      </c>
      <c r="G108" t="s">
        <v>39</v>
      </c>
      <c r="H108">
        <v>1</v>
      </c>
      <c r="I108">
        <v>2</v>
      </c>
      <c r="J108" t="str">
        <f>TEXT(DATE(2012,Table1[[#This Row],[MONTH_ID]],10),"mmm")</f>
        <v>Feb</v>
      </c>
      <c r="K108">
        <v>2003</v>
      </c>
      <c r="L108" t="s">
        <v>195</v>
      </c>
      <c r="M108">
        <v>136</v>
      </c>
      <c r="N108" t="s">
        <v>335</v>
      </c>
      <c r="O108" t="s">
        <v>336</v>
      </c>
      <c r="P108" t="s">
        <v>337</v>
      </c>
      <c r="Q108" t="s">
        <v>338</v>
      </c>
      <c r="S108" t="s">
        <v>339</v>
      </c>
      <c r="U108">
        <v>1734</v>
      </c>
      <c r="V108" t="s">
        <v>340</v>
      </c>
      <c r="W108" t="s">
        <v>56</v>
      </c>
      <c r="X108" t="s">
        <v>341</v>
      </c>
      <c r="Y108" t="s">
        <v>342</v>
      </c>
      <c r="Z108" t="s">
        <v>165</v>
      </c>
    </row>
    <row r="109" spans="1:26" x14ac:dyDescent="0.3">
      <c r="A109">
        <v>10119</v>
      </c>
      <c r="B109">
        <v>46</v>
      </c>
      <c r="C109">
        <v>100</v>
      </c>
      <c r="D109">
        <v>11</v>
      </c>
      <c r="E109">
        <v>5004.8</v>
      </c>
      <c r="F109" s="1">
        <v>37739</v>
      </c>
      <c r="G109" t="s">
        <v>39</v>
      </c>
      <c r="H109">
        <v>2</v>
      </c>
      <c r="I109">
        <v>4</v>
      </c>
      <c r="J109" t="str">
        <f>TEXT(DATE(2012,Table1[[#This Row],[MONTH_ID]],10),"mmm")</f>
        <v>Apr</v>
      </c>
      <c r="K109">
        <v>2003</v>
      </c>
      <c r="L109" t="s">
        <v>195</v>
      </c>
      <c r="M109">
        <v>136</v>
      </c>
      <c r="N109" t="s">
        <v>335</v>
      </c>
      <c r="O109" t="s">
        <v>158</v>
      </c>
      <c r="P109" t="s">
        <v>159</v>
      </c>
      <c r="Q109" t="s">
        <v>160</v>
      </c>
      <c r="S109" t="s">
        <v>161</v>
      </c>
      <c r="U109">
        <v>5020</v>
      </c>
      <c r="V109" t="s">
        <v>162</v>
      </c>
      <c r="W109" t="s">
        <v>56</v>
      </c>
      <c r="X109" t="s">
        <v>163</v>
      </c>
      <c r="Y109" t="s">
        <v>164</v>
      </c>
      <c r="Z109" t="s">
        <v>65</v>
      </c>
    </row>
    <row r="110" spans="1:26" x14ac:dyDescent="0.3">
      <c r="A110">
        <v>10129</v>
      </c>
      <c r="B110">
        <v>33</v>
      </c>
      <c r="C110">
        <v>100</v>
      </c>
      <c r="D110">
        <v>2</v>
      </c>
      <c r="E110">
        <v>4398.24</v>
      </c>
      <c r="F110" s="1">
        <v>37784</v>
      </c>
      <c r="G110" t="s">
        <v>39</v>
      </c>
      <c r="H110">
        <v>2</v>
      </c>
      <c r="I110">
        <v>6</v>
      </c>
      <c r="J110" t="str">
        <f>TEXT(DATE(2012,Table1[[#This Row],[MONTH_ID]],10),"mmm")</f>
        <v>Jun</v>
      </c>
      <c r="K110">
        <v>2003</v>
      </c>
      <c r="L110" t="s">
        <v>195</v>
      </c>
      <c r="M110">
        <v>136</v>
      </c>
      <c r="N110" t="s">
        <v>335</v>
      </c>
      <c r="O110" t="s">
        <v>343</v>
      </c>
      <c r="P110" t="s">
        <v>344</v>
      </c>
      <c r="Q110" t="s">
        <v>345</v>
      </c>
      <c r="S110" t="s">
        <v>346</v>
      </c>
      <c r="U110" t="s">
        <v>347</v>
      </c>
      <c r="V110" t="s">
        <v>184</v>
      </c>
      <c r="W110" t="s">
        <v>56</v>
      </c>
      <c r="X110" t="s">
        <v>75</v>
      </c>
      <c r="Y110" t="s">
        <v>348</v>
      </c>
      <c r="Z110" t="s">
        <v>65</v>
      </c>
    </row>
    <row r="111" spans="1:26" x14ac:dyDescent="0.3">
      <c r="A111">
        <v>10143</v>
      </c>
      <c r="B111">
        <v>49</v>
      </c>
      <c r="C111">
        <v>100</v>
      </c>
      <c r="D111">
        <v>15</v>
      </c>
      <c r="E111">
        <v>5597.76</v>
      </c>
      <c r="F111" s="1">
        <v>37843</v>
      </c>
      <c r="G111" t="s">
        <v>39</v>
      </c>
      <c r="H111">
        <v>3</v>
      </c>
      <c r="I111">
        <v>8</v>
      </c>
      <c r="J111" t="str">
        <f>TEXT(DATE(2012,Table1[[#This Row],[MONTH_ID]],10),"mmm")</f>
        <v>Aug</v>
      </c>
      <c r="K111">
        <v>2003</v>
      </c>
      <c r="L111" t="s">
        <v>195</v>
      </c>
      <c r="M111">
        <v>136</v>
      </c>
      <c r="N111" t="s">
        <v>335</v>
      </c>
      <c r="O111" t="s">
        <v>349</v>
      </c>
      <c r="P111">
        <v>5085559555</v>
      </c>
      <c r="Q111" t="s">
        <v>350</v>
      </c>
      <c r="S111" t="s">
        <v>176</v>
      </c>
      <c r="T111" t="s">
        <v>137</v>
      </c>
      <c r="U111">
        <v>50553</v>
      </c>
      <c r="V111" t="s">
        <v>46</v>
      </c>
      <c r="W111" t="s">
        <v>47</v>
      </c>
      <c r="X111" t="s">
        <v>351</v>
      </c>
      <c r="Y111" t="s">
        <v>352</v>
      </c>
      <c r="Z111" t="s">
        <v>65</v>
      </c>
    </row>
    <row r="112" spans="1:26" x14ac:dyDescent="0.3">
      <c r="A112">
        <v>10155</v>
      </c>
      <c r="B112">
        <v>32</v>
      </c>
      <c r="C112">
        <v>100</v>
      </c>
      <c r="D112">
        <v>13</v>
      </c>
      <c r="E112">
        <v>4526.08</v>
      </c>
      <c r="F112" s="1">
        <v>37900</v>
      </c>
      <c r="G112" t="s">
        <v>39</v>
      </c>
      <c r="H112">
        <v>4</v>
      </c>
      <c r="I112">
        <v>10</v>
      </c>
      <c r="J112" t="str">
        <f>TEXT(DATE(2012,Table1[[#This Row],[MONTH_ID]],10),"mmm")</f>
        <v>Oct</v>
      </c>
      <c r="K112">
        <v>2003</v>
      </c>
      <c r="L112" t="s">
        <v>195</v>
      </c>
      <c r="M112">
        <v>136</v>
      </c>
      <c r="N112" t="s">
        <v>335</v>
      </c>
      <c r="O112" t="s">
        <v>140</v>
      </c>
      <c r="P112" t="s">
        <v>141</v>
      </c>
      <c r="Q112" t="s">
        <v>142</v>
      </c>
      <c r="S112" t="s">
        <v>143</v>
      </c>
      <c r="U112">
        <v>21240</v>
      </c>
      <c r="V112" t="s">
        <v>144</v>
      </c>
      <c r="W112" t="s">
        <v>56</v>
      </c>
      <c r="X112" t="s">
        <v>145</v>
      </c>
      <c r="Y112" t="s">
        <v>146</v>
      </c>
      <c r="Z112" t="s">
        <v>65</v>
      </c>
    </row>
    <row r="113" spans="1:26" x14ac:dyDescent="0.3">
      <c r="A113">
        <v>10167</v>
      </c>
      <c r="B113">
        <v>44</v>
      </c>
      <c r="C113">
        <v>100</v>
      </c>
      <c r="D113">
        <v>9</v>
      </c>
      <c r="E113">
        <v>5924.16</v>
      </c>
      <c r="F113" s="1">
        <v>37917</v>
      </c>
      <c r="G113" t="s">
        <v>353</v>
      </c>
      <c r="H113">
        <v>4</v>
      </c>
      <c r="I113">
        <v>10</v>
      </c>
      <c r="J113" t="str">
        <f>TEXT(DATE(2012,Table1[[#This Row],[MONTH_ID]],10),"mmm")</f>
        <v>Oct</v>
      </c>
      <c r="K113">
        <v>2003</v>
      </c>
      <c r="L113" t="s">
        <v>195</v>
      </c>
      <c r="M113">
        <v>136</v>
      </c>
      <c r="N113" t="s">
        <v>335</v>
      </c>
      <c r="O113" t="s">
        <v>275</v>
      </c>
      <c r="P113" t="s">
        <v>276</v>
      </c>
      <c r="Q113" t="s">
        <v>277</v>
      </c>
      <c r="S113" t="s">
        <v>278</v>
      </c>
      <c r="U113" t="s">
        <v>279</v>
      </c>
      <c r="V113" t="s">
        <v>202</v>
      </c>
      <c r="W113" t="s">
        <v>56</v>
      </c>
      <c r="X113" t="s">
        <v>280</v>
      </c>
      <c r="Y113" t="s">
        <v>220</v>
      </c>
      <c r="Z113" t="s">
        <v>65</v>
      </c>
    </row>
    <row r="114" spans="1:26" x14ac:dyDescent="0.3">
      <c r="A114">
        <v>10178</v>
      </c>
      <c r="B114">
        <v>24</v>
      </c>
      <c r="C114">
        <v>100</v>
      </c>
      <c r="D114">
        <v>12</v>
      </c>
      <c r="E114">
        <v>3492.48</v>
      </c>
      <c r="F114" s="1">
        <v>37933</v>
      </c>
      <c r="G114" t="s">
        <v>39</v>
      </c>
      <c r="H114">
        <v>4</v>
      </c>
      <c r="I114">
        <v>11</v>
      </c>
      <c r="J114" t="str">
        <f>TEXT(DATE(2012,Table1[[#This Row],[MONTH_ID]],10),"mmm")</f>
        <v>Nov</v>
      </c>
      <c r="K114">
        <v>2003</v>
      </c>
      <c r="L114" t="s">
        <v>195</v>
      </c>
      <c r="M114">
        <v>136</v>
      </c>
      <c r="N114" t="s">
        <v>335</v>
      </c>
      <c r="O114" t="s">
        <v>354</v>
      </c>
      <c r="P114" t="s">
        <v>355</v>
      </c>
      <c r="Q114" t="s">
        <v>356</v>
      </c>
      <c r="S114" t="s">
        <v>357</v>
      </c>
      <c r="U114">
        <v>31000</v>
      </c>
      <c r="V114" t="s">
        <v>55</v>
      </c>
      <c r="W114" t="s">
        <v>56</v>
      </c>
      <c r="X114" t="s">
        <v>358</v>
      </c>
      <c r="Y114" t="s">
        <v>359</v>
      </c>
      <c r="Z114" t="s">
        <v>65</v>
      </c>
    </row>
    <row r="115" spans="1:26" x14ac:dyDescent="0.3">
      <c r="A115">
        <v>10186</v>
      </c>
      <c r="B115">
        <v>26</v>
      </c>
      <c r="C115">
        <v>100</v>
      </c>
      <c r="D115">
        <v>9</v>
      </c>
      <c r="E115">
        <v>3854.24</v>
      </c>
      <c r="F115" s="1">
        <v>37939</v>
      </c>
      <c r="G115" t="s">
        <v>39</v>
      </c>
      <c r="H115">
        <v>4</v>
      </c>
      <c r="I115">
        <v>11</v>
      </c>
      <c r="J115" t="str">
        <f>TEXT(DATE(2012,Table1[[#This Row],[MONTH_ID]],10),"mmm")</f>
        <v>Nov</v>
      </c>
      <c r="K115">
        <v>2003</v>
      </c>
      <c r="L115" t="s">
        <v>195</v>
      </c>
      <c r="M115">
        <v>136</v>
      </c>
      <c r="N115" t="s">
        <v>335</v>
      </c>
      <c r="O115" t="s">
        <v>360</v>
      </c>
      <c r="P115" t="s">
        <v>361</v>
      </c>
      <c r="Q115" t="s">
        <v>362</v>
      </c>
      <c r="S115" t="s">
        <v>346</v>
      </c>
      <c r="U115" t="s">
        <v>363</v>
      </c>
      <c r="V115" t="s">
        <v>184</v>
      </c>
      <c r="W115" t="s">
        <v>56</v>
      </c>
      <c r="X115" t="s">
        <v>364</v>
      </c>
      <c r="Y115" t="s">
        <v>365</v>
      </c>
      <c r="Z115" t="s">
        <v>65</v>
      </c>
    </row>
    <row r="116" spans="1:26" x14ac:dyDescent="0.3">
      <c r="A116">
        <v>10197</v>
      </c>
      <c r="B116">
        <v>45</v>
      </c>
      <c r="C116">
        <v>100</v>
      </c>
      <c r="D116">
        <v>6</v>
      </c>
      <c r="E116">
        <v>5324.4</v>
      </c>
      <c r="F116" s="1">
        <v>37951</v>
      </c>
      <c r="G116" t="s">
        <v>39</v>
      </c>
      <c r="H116">
        <v>4</v>
      </c>
      <c r="I116">
        <v>11</v>
      </c>
      <c r="J116" t="str">
        <f>TEXT(DATE(2012,Table1[[#This Row],[MONTH_ID]],10),"mmm")</f>
        <v>Nov</v>
      </c>
      <c r="K116">
        <v>2003</v>
      </c>
      <c r="L116" t="s">
        <v>195</v>
      </c>
      <c r="M116">
        <v>136</v>
      </c>
      <c r="N116" t="s">
        <v>335</v>
      </c>
      <c r="O116" t="s">
        <v>366</v>
      </c>
      <c r="P116" t="s">
        <v>367</v>
      </c>
      <c r="Q116" t="s">
        <v>368</v>
      </c>
      <c r="S116" t="s">
        <v>369</v>
      </c>
      <c r="U116">
        <v>8022</v>
      </c>
      <c r="V116" t="s">
        <v>192</v>
      </c>
      <c r="W116" t="s">
        <v>56</v>
      </c>
      <c r="X116" t="s">
        <v>370</v>
      </c>
      <c r="Y116" t="s">
        <v>371</v>
      </c>
      <c r="Z116" t="s">
        <v>65</v>
      </c>
    </row>
    <row r="117" spans="1:26" x14ac:dyDescent="0.3">
      <c r="A117">
        <v>10209</v>
      </c>
      <c r="B117">
        <v>39</v>
      </c>
      <c r="C117">
        <v>100</v>
      </c>
      <c r="D117">
        <v>8</v>
      </c>
      <c r="E117">
        <v>5197.92</v>
      </c>
      <c r="F117" s="1">
        <v>37995</v>
      </c>
      <c r="G117" t="s">
        <v>39</v>
      </c>
      <c r="H117">
        <v>1</v>
      </c>
      <c r="I117">
        <v>1</v>
      </c>
      <c r="J117" t="str">
        <f>TEXT(DATE(2012,Table1[[#This Row],[MONTH_ID]],10),"mmm")</f>
        <v>Jan</v>
      </c>
      <c r="K117">
        <v>2004</v>
      </c>
      <c r="L117" t="s">
        <v>195</v>
      </c>
      <c r="M117">
        <v>136</v>
      </c>
      <c r="N117" t="s">
        <v>335</v>
      </c>
      <c r="O117" t="s">
        <v>372</v>
      </c>
      <c r="P117">
        <v>2155554369</v>
      </c>
      <c r="Q117" t="s">
        <v>373</v>
      </c>
      <c r="S117" t="s">
        <v>374</v>
      </c>
      <c r="T117" t="s">
        <v>69</v>
      </c>
      <c r="V117" t="s">
        <v>46</v>
      </c>
      <c r="W117" t="s">
        <v>47</v>
      </c>
      <c r="X117" t="s">
        <v>375</v>
      </c>
      <c r="Y117" t="s">
        <v>117</v>
      </c>
      <c r="Z117" t="s">
        <v>65</v>
      </c>
    </row>
    <row r="118" spans="1:26" x14ac:dyDescent="0.3">
      <c r="A118">
        <v>10222</v>
      </c>
      <c r="B118">
        <v>49</v>
      </c>
      <c r="C118">
        <v>100</v>
      </c>
      <c r="D118">
        <v>12</v>
      </c>
      <c r="E118">
        <v>5997.6</v>
      </c>
      <c r="F118" s="1">
        <v>38036</v>
      </c>
      <c r="G118" t="s">
        <v>39</v>
      </c>
      <c r="H118">
        <v>1</v>
      </c>
      <c r="I118">
        <v>2</v>
      </c>
      <c r="J118" t="str">
        <f>TEXT(DATE(2012,Table1[[#This Row],[MONTH_ID]],10),"mmm")</f>
        <v>Feb</v>
      </c>
      <c r="K118">
        <v>2004</v>
      </c>
      <c r="L118" t="s">
        <v>195</v>
      </c>
      <c r="M118">
        <v>136</v>
      </c>
      <c r="N118" t="s">
        <v>335</v>
      </c>
      <c r="O118" t="s">
        <v>376</v>
      </c>
      <c r="P118">
        <v>7605558146</v>
      </c>
      <c r="Q118" t="s">
        <v>377</v>
      </c>
      <c r="S118" t="s">
        <v>378</v>
      </c>
      <c r="T118" t="s">
        <v>69</v>
      </c>
      <c r="U118">
        <v>91217</v>
      </c>
      <c r="V118" t="s">
        <v>46</v>
      </c>
      <c r="W118" t="s">
        <v>47</v>
      </c>
      <c r="X118" t="s">
        <v>251</v>
      </c>
      <c r="Y118" t="s">
        <v>290</v>
      </c>
      <c r="Z118" t="s">
        <v>65</v>
      </c>
    </row>
    <row r="119" spans="1:26" x14ac:dyDescent="0.3">
      <c r="A119">
        <v>10248</v>
      </c>
      <c r="B119">
        <v>20</v>
      </c>
      <c r="C119">
        <v>100</v>
      </c>
      <c r="D119">
        <v>3</v>
      </c>
      <c r="E119">
        <v>2910.4</v>
      </c>
      <c r="F119" s="1">
        <v>38114</v>
      </c>
      <c r="G119" t="s">
        <v>353</v>
      </c>
      <c r="H119">
        <v>2</v>
      </c>
      <c r="I119">
        <v>5</v>
      </c>
      <c r="J119" t="str">
        <f>TEXT(DATE(2012,Table1[[#This Row],[MONTH_ID]],10),"mmm")</f>
        <v>May</v>
      </c>
      <c r="K119">
        <v>2004</v>
      </c>
      <c r="L119" t="s">
        <v>195</v>
      </c>
      <c r="M119">
        <v>136</v>
      </c>
      <c r="N119" t="s">
        <v>335</v>
      </c>
      <c r="O119" t="s">
        <v>42</v>
      </c>
      <c r="P119">
        <v>2125557818</v>
      </c>
      <c r="Q119" t="s">
        <v>43</v>
      </c>
      <c r="S119" t="s">
        <v>44</v>
      </c>
      <c r="T119" t="s">
        <v>45</v>
      </c>
      <c r="U119">
        <v>10022</v>
      </c>
      <c r="V119" t="s">
        <v>46</v>
      </c>
      <c r="W119" t="s">
        <v>47</v>
      </c>
      <c r="X119" t="s">
        <v>48</v>
      </c>
      <c r="Y119" t="s">
        <v>49</v>
      </c>
      <c r="Z119" t="s">
        <v>50</v>
      </c>
    </row>
    <row r="120" spans="1:26" x14ac:dyDescent="0.3">
      <c r="A120">
        <v>10261</v>
      </c>
      <c r="B120">
        <v>27</v>
      </c>
      <c r="C120">
        <v>100</v>
      </c>
      <c r="D120">
        <v>1</v>
      </c>
      <c r="E120">
        <v>3378.24</v>
      </c>
      <c r="F120" s="1">
        <v>38155</v>
      </c>
      <c r="G120" t="s">
        <v>39</v>
      </c>
      <c r="H120">
        <v>2</v>
      </c>
      <c r="I120">
        <v>6</v>
      </c>
      <c r="J120" t="str">
        <f>TEXT(DATE(2012,Table1[[#This Row],[MONTH_ID]],10),"mmm")</f>
        <v>Jun</v>
      </c>
      <c r="K120">
        <v>2004</v>
      </c>
      <c r="L120" t="s">
        <v>195</v>
      </c>
      <c r="M120">
        <v>136</v>
      </c>
      <c r="N120" t="s">
        <v>335</v>
      </c>
      <c r="O120" t="s">
        <v>306</v>
      </c>
      <c r="P120" t="s">
        <v>307</v>
      </c>
      <c r="Q120" t="s">
        <v>308</v>
      </c>
      <c r="S120" t="s">
        <v>309</v>
      </c>
      <c r="T120" t="s">
        <v>310</v>
      </c>
      <c r="U120" t="s">
        <v>311</v>
      </c>
      <c r="V120" t="s">
        <v>245</v>
      </c>
      <c r="W120" t="s">
        <v>47</v>
      </c>
      <c r="X120" t="s">
        <v>312</v>
      </c>
      <c r="Y120" t="s">
        <v>313</v>
      </c>
      <c r="Z120" t="s">
        <v>65</v>
      </c>
    </row>
    <row r="121" spans="1:26" x14ac:dyDescent="0.3">
      <c r="A121">
        <v>10273</v>
      </c>
      <c r="B121">
        <v>30</v>
      </c>
      <c r="C121">
        <v>100</v>
      </c>
      <c r="D121">
        <v>4</v>
      </c>
      <c r="E121">
        <v>3508.8</v>
      </c>
      <c r="F121" s="1">
        <v>38189</v>
      </c>
      <c r="G121" t="s">
        <v>39</v>
      </c>
      <c r="H121">
        <v>3</v>
      </c>
      <c r="I121">
        <v>7</v>
      </c>
      <c r="J121" t="str">
        <f>TEXT(DATE(2012,Table1[[#This Row],[MONTH_ID]],10),"mmm")</f>
        <v>Jul</v>
      </c>
      <c r="K121">
        <v>2004</v>
      </c>
      <c r="L121" t="s">
        <v>195</v>
      </c>
      <c r="M121">
        <v>136</v>
      </c>
      <c r="N121" t="s">
        <v>335</v>
      </c>
      <c r="O121" t="s">
        <v>379</v>
      </c>
      <c r="P121" t="s">
        <v>380</v>
      </c>
      <c r="Q121" t="s">
        <v>381</v>
      </c>
      <c r="S121" t="s">
        <v>382</v>
      </c>
      <c r="U121" t="s">
        <v>383</v>
      </c>
      <c r="V121" t="s">
        <v>384</v>
      </c>
      <c r="W121" t="s">
        <v>56</v>
      </c>
      <c r="X121" t="s">
        <v>385</v>
      </c>
      <c r="Y121" t="s">
        <v>386</v>
      </c>
      <c r="Z121" t="s">
        <v>65</v>
      </c>
    </row>
    <row r="122" spans="1:26" x14ac:dyDescent="0.3">
      <c r="A122">
        <v>10283</v>
      </c>
      <c r="B122">
        <v>25</v>
      </c>
      <c r="C122">
        <v>100</v>
      </c>
      <c r="D122">
        <v>6</v>
      </c>
      <c r="E122">
        <v>2992</v>
      </c>
      <c r="F122" s="1">
        <v>38219</v>
      </c>
      <c r="G122" t="s">
        <v>39</v>
      </c>
      <c r="H122">
        <v>3</v>
      </c>
      <c r="I122">
        <v>8</v>
      </c>
      <c r="J122" t="str">
        <f>TEXT(DATE(2012,Table1[[#This Row],[MONTH_ID]],10),"mmm")</f>
        <v>Aug</v>
      </c>
      <c r="K122">
        <v>2004</v>
      </c>
      <c r="L122" t="s">
        <v>195</v>
      </c>
      <c r="M122">
        <v>136</v>
      </c>
      <c r="N122" t="s">
        <v>335</v>
      </c>
      <c r="O122" t="s">
        <v>387</v>
      </c>
      <c r="P122" t="s">
        <v>388</v>
      </c>
      <c r="Q122" t="s">
        <v>389</v>
      </c>
      <c r="S122" t="s">
        <v>390</v>
      </c>
      <c r="T122" t="s">
        <v>243</v>
      </c>
      <c r="U122" t="s">
        <v>391</v>
      </c>
      <c r="V122" t="s">
        <v>245</v>
      </c>
      <c r="W122" t="s">
        <v>47</v>
      </c>
      <c r="X122" t="s">
        <v>392</v>
      </c>
      <c r="Y122" t="s">
        <v>186</v>
      </c>
      <c r="Z122" t="s">
        <v>50</v>
      </c>
    </row>
    <row r="123" spans="1:26" x14ac:dyDescent="0.3">
      <c r="A123">
        <v>10295</v>
      </c>
      <c r="B123">
        <v>24</v>
      </c>
      <c r="C123">
        <v>100</v>
      </c>
      <c r="D123">
        <v>1</v>
      </c>
      <c r="E123">
        <v>3427.2</v>
      </c>
      <c r="F123" s="1">
        <v>38240</v>
      </c>
      <c r="G123" t="s">
        <v>39</v>
      </c>
      <c r="H123">
        <v>3</v>
      </c>
      <c r="I123">
        <v>9</v>
      </c>
      <c r="J123" t="str">
        <f>TEXT(DATE(2012,Table1[[#This Row],[MONTH_ID]],10),"mmm")</f>
        <v>Sep</v>
      </c>
      <c r="K123">
        <v>2004</v>
      </c>
      <c r="L123" t="s">
        <v>195</v>
      </c>
      <c r="M123">
        <v>136</v>
      </c>
      <c r="N123" t="s">
        <v>335</v>
      </c>
      <c r="O123" t="s">
        <v>393</v>
      </c>
      <c r="P123">
        <v>6175559555</v>
      </c>
      <c r="Q123" t="s">
        <v>394</v>
      </c>
      <c r="S123" t="s">
        <v>395</v>
      </c>
      <c r="T123" t="s">
        <v>137</v>
      </c>
      <c r="U123">
        <v>51003</v>
      </c>
      <c r="V123" t="s">
        <v>46</v>
      </c>
      <c r="W123" t="s">
        <v>47</v>
      </c>
      <c r="X123" t="s">
        <v>396</v>
      </c>
      <c r="Y123" t="s">
        <v>80</v>
      </c>
      <c r="Z123" t="s">
        <v>65</v>
      </c>
    </row>
    <row r="124" spans="1:26" x14ac:dyDescent="0.3">
      <c r="A124">
        <v>10307</v>
      </c>
      <c r="B124">
        <v>22</v>
      </c>
      <c r="C124">
        <v>100</v>
      </c>
      <c r="D124">
        <v>9</v>
      </c>
      <c r="E124">
        <v>2692.8</v>
      </c>
      <c r="F124" s="1">
        <v>38274</v>
      </c>
      <c r="G124" t="s">
        <v>39</v>
      </c>
      <c r="H124">
        <v>4</v>
      </c>
      <c r="I124">
        <v>10</v>
      </c>
      <c r="J124" t="str">
        <f>TEXT(DATE(2012,Table1[[#This Row],[MONTH_ID]],10),"mmm")</f>
        <v>Oct</v>
      </c>
      <c r="K124">
        <v>2004</v>
      </c>
      <c r="L124" t="s">
        <v>195</v>
      </c>
      <c r="M124">
        <v>136</v>
      </c>
      <c r="N124" t="s">
        <v>335</v>
      </c>
      <c r="O124" t="s">
        <v>228</v>
      </c>
      <c r="P124">
        <v>2155554695</v>
      </c>
      <c r="Q124" t="s">
        <v>229</v>
      </c>
      <c r="S124" t="s">
        <v>230</v>
      </c>
      <c r="T124" t="s">
        <v>156</v>
      </c>
      <c r="U124">
        <v>71270</v>
      </c>
      <c r="V124" t="s">
        <v>46</v>
      </c>
      <c r="W124" t="s">
        <v>47</v>
      </c>
      <c r="X124" t="s">
        <v>231</v>
      </c>
      <c r="Y124" t="s">
        <v>232</v>
      </c>
      <c r="Z124" t="s">
        <v>50</v>
      </c>
    </row>
    <row r="125" spans="1:26" x14ac:dyDescent="0.3">
      <c r="A125">
        <v>10316</v>
      </c>
      <c r="B125">
        <v>33</v>
      </c>
      <c r="C125">
        <v>100</v>
      </c>
      <c r="D125">
        <v>17</v>
      </c>
      <c r="E125">
        <v>4128.96</v>
      </c>
      <c r="F125" s="1">
        <v>38292</v>
      </c>
      <c r="G125" t="s">
        <v>39</v>
      </c>
      <c r="H125">
        <v>4</v>
      </c>
      <c r="I125">
        <v>11</v>
      </c>
      <c r="J125" t="str">
        <f>TEXT(DATE(2012,Table1[[#This Row],[MONTH_ID]],10),"mmm")</f>
        <v>Nov</v>
      </c>
      <c r="K125">
        <v>2004</v>
      </c>
      <c r="L125" t="s">
        <v>195</v>
      </c>
      <c r="M125">
        <v>136</v>
      </c>
      <c r="N125" t="s">
        <v>335</v>
      </c>
      <c r="O125" t="s">
        <v>397</v>
      </c>
      <c r="P125" t="s">
        <v>398</v>
      </c>
      <c r="Q125" t="s">
        <v>399</v>
      </c>
      <c r="S125" t="s">
        <v>400</v>
      </c>
      <c r="T125" t="s">
        <v>401</v>
      </c>
      <c r="U125" t="s">
        <v>402</v>
      </c>
      <c r="V125" t="s">
        <v>184</v>
      </c>
      <c r="W125" t="s">
        <v>56</v>
      </c>
      <c r="X125" t="s">
        <v>403</v>
      </c>
      <c r="Y125" t="s">
        <v>404</v>
      </c>
      <c r="Z125" t="s">
        <v>65</v>
      </c>
    </row>
    <row r="126" spans="1:26" x14ac:dyDescent="0.3">
      <c r="A126">
        <v>10325</v>
      </c>
      <c r="B126">
        <v>47</v>
      </c>
      <c r="C126">
        <v>64.930000000000007</v>
      </c>
      <c r="D126">
        <v>6</v>
      </c>
      <c r="E126">
        <v>3051.71</v>
      </c>
      <c r="F126" s="1">
        <v>38296</v>
      </c>
      <c r="G126" t="s">
        <v>39</v>
      </c>
      <c r="H126">
        <v>4</v>
      </c>
      <c r="I126">
        <v>11</v>
      </c>
      <c r="J126" t="str">
        <f>TEXT(DATE(2012,Table1[[#This Row],[MONTH_ID]],10),"mmm")</f>
        <v>Nov</v>
      </c>
      <c r="K126">
        <v>2004</v>
      </c>
      <c r="L126" t="s">
        <v>195</v>
      </c>
      <c r="M126">
        <v>136</v>
      </c>
      <c r="N126" t="s">
        <v>335</v>
      </c>
      <c r="O126" t="s">
        <v>147</v>
      </c>
      <c r="P126" t="s">
        <v>148</v>
      </c>
      <c r="Q126" t="s">
        <v>149</v>
      </c>
      <c r="S126" t="s">
        <v>150</v>
      </c>
      <c r="U126">
        <v>4110</v>
      </c>
      <c r="V126" t="s">
        <v>92</v>
      </c>
      <c r="W126" t="s">
        <v>56</v>
      </c>
      <c r="X126" t="s">
        <v>151</v>
      </c>
      <c r="Y126" t="s">
        <v>152</v>
      </c>
      <c r="Z126" t="s">
        <v>65</v>
      </c>
    </row>
    <row r="127" spans="1:26" x14ac:dyDescent="0.3">
      <c r="A127">
        <v>10337</v>
      </c>
      <c r="B127">
        <v>25</v>
      </c>
      <c r="C127">
        <v>48.05</v>
      </c>
      <c r="D127">
        <v>8</v>
      </c>
      <c r="E127">
        <v>1201.25</v>
      </c>
      <c r="F127" s="1">
        <v>38312</v>
      </c>
      <c r="G127" t="s">
        <v>39</v>
      </c>
      <c r="H127">
        <v>4</v>
      </c>
      <c r="I127">
        <v>11</v>
      </c>
      <c r="J127" t="str">
        <f>TEXT(DATE(2012,Table1[[#This Row],[MONTH_ID]],10),"mmm")</f>
        <v>Nov</v>
      </c>
      <c r="K127">
        <v>2004</v>
      </c>
      <c r="L127" t="s">
        <v>195</v>
      </c>
      <c r="M127">
        <v>136</v>
      </c>
      <c r="N127" t="s">
        <v>335</v>
      </c>
      <c r="O127" t="s">
        <v>217</v>
      </c>
      <c r="P127">
        <v>2125558493</v>
      </c>
      <c r="Q127" t="s">
        <v>218</v>
      </c>
      <c r="R127" t="s">
        <v>219</v>
      </c>
      <c r="S127" t="s">
        <v>44</v>
      </c>
      <c r="T127" t="s">
        <v>45</v>
      </c>
      <c r="U127">
        <v>10022</v>
      </c>
      <c r="V127" t="s">
        <v>46</v>
      </c>
      <c r="W127" t="s">
        <v>47</v>
      </c>
      <c r="X127" t="s">
        <v>138</v>
      </c>
      <c r="Y127" t="s">
        <v>220</v>
      </c>
      <c r="Z127" t="s">
        <v>50</v>
      </c>
    </row>
    <row r="128" spans="1:26" x14ac:dyDescent="0.3">
      <c r="A128">
        <v>10350</v>
      </c>
      <c r="B128">
        <v>26</v>
      </c>
      <c r="C128">
        <v>75.47</v>
      </c>
      <c r="D128">
        <v>5</v>
      </c>
      <c r="E128">
        <v>1962.22</v>
      </c>
      <c r="F128" s="1">
        <v>38323</v>
      </c>
      <c r="G128" t="s">
        <v>39</v>
      </c>
      <c r="H128">
        <v>4</v>
      </c>
      <c r="I128">
        <v>12</v>
      </c>
      <c r="J128" t="str">
        <f>TEXT(DATE(2012,Table1[[#This Row],[MONTH_ID]],10),"mmm")</f>
        <v>Dec</v>
      </c>
      <c r="K128">
        <v>2004</v>
      </c>
      <c r="L128" t="s">
        <v>195</v>
      </c>
      <c r="M128">
        <v>136</v>
      </c>
      <c r="N128" t="s">
        <v>335</v>
      </c>
      <c r="O128" t="s">
        <v>188</v>
      </c>
      <c r="P128" t="s">
        <v>189</v>
      </c>
      <c r="Q128" t="s">
        <v>190</v>
      </c>
      <c r="S128" t="s">
        <v>191</v>
      </c>
      <c r="U128">
        <v>28034</v>
      </c>
      <c r="V128" t="s">
        <v>192</v>
      </c>
      <c r="W128" t="s">
        <v>56</v>
      </c>
      <c r="X128" t="s">
        <v>193</v>
      </c>
      <c r="Y128" t="s">
        <v>194</v>
      </c>
      <c r="Z128" t="s">
        <v>50</v>
      </c>
    </row>
    <row r="129" spans="1:26" x14ac:dyDescent="0.3">
      <c r="A129">
        <v>10359</v>
      </c>
      <c r="B129">
        <v>48</v>
      </c>
      <c r="C129">
        <v>54.68</v>
      </c>
      <c r="D129">
        <v>6</v>
      </c>
      <c r="E129">
        <v>2624.64</v>
      </c>
      <c r="F129" s="1">
        <v>38336</v>
      </c>
      <c r="G129" t="s">
        <v>39</v>
      </c>
      <c r="H129">
        <v>4</v>
      </c>
      <c r="I129">
        <v>12</v>
      </c>
      <c r="J129" t="str">
        <f>TEXT(DATE(2012,Table1[[#This Row],[MONTH_ID]],10),"mmm")</f>
        <v>Dec</v>
      </c>
      <c r="K129">
        <v>2004</v>
      </c>
      <c r="L129" t="s">
        <v>195</v>
      </c>
      <c r="M129">
        <v>136</v>
      </c>
      <c r="N129" t="s">
        <v>335</v>
      </c>
      <c r="O129" t="s">
        <v>51</v>
      </c>
      <c r="P129" t="s">
        <v>52</v>
      </c>
      <c r="Q129" t="s">
        <v>53</v>
      </c>
      <c r="S129" t="s">
        <v>54</v>
      </c>
      <c r="U129">
        <v>51100</v>
      </c>
      <c r="V129" t="s">
        <v>55</v>
      </c>
      <c r="W129" t="s">
        <v>56</v>
      </c>
      <c r="X129" t="s">
        <v>57</v>
      </c>
      <c r="Y129" t="s">
        <v>58</v>
      </c>
      <c r="Z129" t="s">
        <v>50</v>
      </c>
    </row>
    <row r="130" spans="1:26" x14ac:dyDescent="0.3">
      <c r="A130">
        <v>10373</v>
      </c>
      <c r="B130">
        <v>39</v>
      </c>
      <c r="C130">
        <v>100</v>
      </c>
      <c r="D130">
        <v>3</v>
      </c>
      <c r="E130">
        <v>4046.25</v>
      </c>
      <c r="F130" s="1">
        <v>38383</v>
      </c>
      <c r="G130" t="s">
        <v>39</v>
      </c>
      <c r="H130">
        <v>1</v>
      </c>
      <c r="I130">
        <v>1</v>
      </c>
      <c r="J130" t="str">
        <f>TEXT(DATE(2012,Table1[[#This Row],[MONTH_ID]],10),"mmm")</f>
        <v>Jan</v>
      </c>
      <c r="K130">
        <v>2005</v>
      </c>
      <c r="L130" t="s">
        <v>195</v>
      </c>
      <c r="M130">
        <v>136</v>
      </c>
      <c r="N130" t="s">
        <v>335</v>
      </c>
      <c r="O130" t="s">
        <v>405</v>
      </c>
      <c r="P130" t="s">
        <v>406</v>
      </c>
      <c r="Q130" t="s">
        <v>407</v>
      </c>
      <c r="S130" t="s">
        <v>408</v>
      </c>
      <c r="U130">
        <v>90110</v>
      </c>
      <c r="V130" t="s">
        <v>144</v>
      </c>
      <c r="W130" t="s">
        <v>56</v>
      </c>
      <c r="X130" t="s">
        <v>409</v>
      </c>
      <c r="Y130" t="s">
        <v>410</v>
      </c>
      <c r="Z130" t="s">
        <v>65</v>
      </c>
    </row>
    <row r="131" spans="1:26" x14ac:dyDescent="0.3">
      <c r="A131">
        <v>10384</v>
      </c>
      <c r="B131">
        <v>34</v>
      </c>
      <c r="C131">
        <v>100</v>
      </c>
      <c r="D131">
        <v>4</v>
      </c>
      <c r="E131">
        <v>4846.7</v>
      </c>
      <c r="F131" s="1">
        <v>38406</v>
      </c>
      <c r="G131" t="s">
        <v>39</v>
      </c>
      <c r="H131">
        <v>1</v>
      </c>
      <c r="I131">
        <v>2</v>
      </c>
      <c r="J131" t="str">
        <f>TEXT(DATE(2012,Table1[[#This Row],[MONTH_ID]],10),"mmm")</f>
        <v>Feb</v>
      </c>
      <c r="K131">
        <v>2005</v>
      </c>
      <c r="L131" t="s">
        <v>195</v>
      </c>
      <c r="M131">
        <v>136</v>
      </c>
      <c r="N131" t="s">
        <v>335</v>
      </c>
      <c r="O131" t="s">
        <v>72</v>
      </c>
      <c r="P131">
        <v>6505551386</v>
      </c>
      <c r="Q131" t="s">
        <v>73</v>
      </c>
      <c r="S131" t="s">
        <v>74</v>
      </c>
      <c r="T131" t="s">
        <v>69</v>
      </c>
      <c r="V131" t="s">
        <v>46</v>
      </c>
      <c r="W131" t="s">
        <v>47</v>
      </c>
      <c r="X131" t="s">
        <v>75</v>
      </c>
      <c r="Y131" t="s">
        <v>71</v>
      </c>
      <c r="Z131" t="s">
        <v>65</v>
      </c>
    </row>
    <row r="132" spans="1:26" x14ac:dyDescent="0.3">
      <c r="A132">
        <v>10395</v>
      </c>
      <c r="B132">
        <v>32</v>
      </c>
      <c r="C132">
        <v>100</v>
      </c>
      <c r="D132">
        <v>2</v>
      </c>
      <c r="E132">
        <v>3370.56</v>
      </c>
      <c r="F132" s="1">
        <v>38428</v>
      </c>
      <c r="G132" t="s">
        <v>39</v>
      </c>
      <c r="H132">
        <v>1</v>
      </c>
      <c r="I132">
        <v>3</v>
      </c>
      <c r="J132" t="str">
        <f>TEXT(DATE(2012,Table1[[#This Row],[MONTH_ID]],10),"mmm")</f>
        <v>Mar</v>
      </c>
      <c r="K132">
        <v>2005</v>
      </c>
      <c r="L132" t="s">
        <v>195</v>
      </c>
      <c r="M132">
        <v>136</v>
      </c>
      <c r="N132" t="s">
        <v>335</v>
      </c>
      <c r="O132" t="s">
        <v>59</v>
      </c>
      <c r="P132" t="s">
        <v>60</v>
      </c>
      <c r="Q132" t="s">
        <v>61</v>
      </c>
      <c r="S132" t="s">
        <v>62</v>
      </c>
      <c r="U132">
        <v>75508</v>
      </c>
      <c r="V132" t="s">
        <v>55</v>
      </c>
      <c r="W132" t="s">
        <v>56</v>
      </c>
      <c r="X132" t="s">
        <v>63</v>
      </c>
      <c r="Y132" t="s">
        <v>64</v>
      </c>
      <c r="Z132" t="s">
        <v>65</v>
      </c>
    </row>
    <row r="133" spans="1:26" x14ac:dyDescent="0.3">
      <c r="A133">
        <v>10400</v>
      </c>
      <c r="B133">
        <v>64</v>
      </c>
      <c r="C133">
        <v>100</v>
      </c>
      <c r="D133">
        <v>9</v>
      </c>
      <c r="E133">
        <v>9661.44</v>
      </c>
      <c r="F133" s="1">
        <v>38443</v>
      </c>
      <c r="G133" t="s">
        <v>39</v>
      </c>
      <c r="H133">
        <v>2</v>
      </c>
      <c r="I133">
        <v>4</v>
      </c>
      <c r="J133" t="str">
        <f>TEXT(DATE(2012,Table1[[#This Row],[MONTH_ID]],10),"mmm")</f>
        <v>Apr</v>
      </c>
      <c r="K133">
        <v>2005</v>
      </c>
      <c r="L133" t="s">
        <v>195</v>
      </c>
      <c r="M133">
        <v>136</v>
      </c>
      <c r="N133" t="s">
        <v>335</v>
      </c>
      <c r="O133" t="s">
        <v>411</v>
      </c>
      <c r="P133">
        <v>4085553659</v>
      </c>
      <c r="Q133" t="s">
        <v>412</v>
      </c>
      <c r="S133" t="s">
        <v>413</v>
      </c>
      <c r="T133" t="s">
        <v>69</v>
      </c>
      <c r="U133">
        <v>94217</v>
      </c>
      <c r="V133" t="s">
        <v>46</v>
      </c>
      <c r="W133" t="s">
        <v>47</v>
      </c>
      <c r="X133" t="s">
        <v>116</v>
      </c>
      <c r="Y133" t="s">
        <v>414</v>
      </c>
      <c r="Z133" t="s">
        <v>165</v>
      </c>
    </row>
    <row r="134" spans="1:26" x14ac:dyDescent="0.3">
      <c r="A134">
        <v>10414</v>
      </c>
      <c r="B134">
        <v>19</v>
      </c>
      <c r="C134">
        <v>100</v>
      </c>
      <c r="D134">
        <v>3</v>
      </c>
      <c r="E134">
        <v>2764.88</v>
      </c>
      <c r="F134" s="1">
        <v>38478</v>
      </c>
      <c r="G134" t="s">
        <v>415</v>
      </c>
      <c r="H134">
        <v>2</v>
      </c>
      <c r="I134">
        <v>5</v>
      </c>
      <c r="J134" t="str">
        <f>TEXT(DATE(2012,Table1[[#This Row],[MONTH_ID]],10),"mmm")</f>
        <v>May</v>
      </c>
      <c r="K134">
        <v>2005</v>
      </c>
      <c r="L134" t="s">
        <v>195</v>
      </c>
      <c r="M134">
        <v>136</v>
      </c>
      <c r="N134" t="s">
        <v>335</v>
      </c>
      <c r="O134" t="s">
        <v>393</v>
      </c>
      <c r="P134">
        <v>6175559555</v>
      </c>
      <c r="Q134" t="s">
        <v>394</v>
      </c>
      <c r="S134" t="s">
        <v>395</v>
      </c>
      <c r="T134" t="s">
        <v>137</v>
      </c>
      <c r="U134">
        <v>51003</v>
      </c>
      <c r="V134" t="s">
        <v>46</v>
      </c>
      <c r="W134" t="s">
        <v>47</v>
      </c>
      <c r="X134" t="s">
        <v>396</v>
      </c>
      <c r="Y134" t="s">
        <v>80</v>
      </c>
      <c r="Z134" t="s">
        <v>50</v>
      </c>
    </row>
    <row r="135" spans="1:26" x14ac:dyDescent="0.3">
      <c r="A135">
        <v>10103</v>
      </c>
      <c r="B135">
        <v>42</v>
      </c>
      <c r="C135">
        <v>100</v>
      </c>
      <c r="D135">
        <v>4</v>
      </c>
      <c r="E135">
        <v>5398.26</v>
      </c>
      <c r="F135" s="1">
        <v>37650</v>
      </c>
      <c r="G135" t="s">
        <v>39</v>
      </c>
      <c r="H135">
        <v>1</v>
      </c>
      <c r="I135">
        <v>1</v>
      </c>
      <c r="J135" t="str">
        <f>TEXT(DATE(2012,Table1[[#This Row],[MONTH_ID]],10),"mmm")</f>
        <v>Jan</v>
      </c>
      <c r="K135">
        <v>2003</v>
      </c>
      <c r="L135" t="s">
        <v>195</v>
      </c>
      <c r="M135">
        <v>147</v>
      </c>
      <c r="N135" t="s">
        <v>416</v>
      </c>
      <c r="O135" t="s">
        <v>147</v>
      </c>
      <c r="P135" t="s">
        <v>148</v>
      </c>
      <c r="Q135" t="s">
        <v>149</v>
      </c>
      <c r="S135" t="s">
        <v>150</v>
      </c>
      <c r="U135">
        <v>4110</v>
      </c>
      <c r="V135" t="s">
        <v>92</v>
      </c>
      <c r="W135" t="s">
        <v>56</v>
      </c>
      <c r="X135" t="s">
        <v>151</v>
      </c>
      <c r="Y135" t="s">
        <v>152</v>
      </c>
      <c r="Z135" t="s">
        <v>65</v>
      </c>
    </row>
    <row r="136" spans="1:26" x14ac:dyDescent="0.3">
      <c r="A136">
        <v>10114</v>
      </c>
      <c r="B136">
        <v>31</v>
      </c>
      <c r="C136">
        <v>100</v>
      </c>
      <c r="D136">
        <v>8</v>
      </c>
      <c r="E136">
        <v>4305.28</v>
      </c>
      <c r="F136" s="1">
        <v>37712</v>
      </c>
      <c r="G136" t="s">
        <v>39</v>
      </c>
      <c r="H136">
        <v>2</v>
      </c>
      <c r="I136">
        <v>4</v>
      </c>
      <c r="J136" t="str">
        <f>TEXT(DATE(2012,Table1[[#This Row],[MONTH_ID]],10),"mmm")</f>
        <v>Apr</v>
      </c>
      <c r="K136">
        <v>2003</v>
      </c>
      <c r="L136" t="s">
        <v>195</v>
      </c>
      <c r="M136">
        <v>147</v>
      </c>
      <c r="N136" t="s">
        <v>416</v>
      </c>
      <c r="O136" t="s">
        <v>417</v>
      </c>
      <c r="P136" t="s">
        <v>418</v>
      </c>
      <c r="Q136" t="s">
        <v>419</v>
      </c>
      <c r="S136" t="s">
        <v>62</v>
      </c>
      <c r="U136">
        <v>75012</v>
      </c>
      <c r="V136" t="s">
        <v>55</v>
      </c>
      <c r="W136" t="s">
        <v>56</v>
      </c>
      <c r="X136" t="s">
        <v>420</v>
      </c>
      <c r="Y136" t="s">
        <v>421</v>
      </c>
      <c r="Z136" t="s">
        <v>65</v>
      </c>
    </row>
    <row r="137" spans="1:26" x14ac:dyDescent="0.3">
      <c r="A137">
        <v>10126</v>
      </c>
      <c r="B137">
        <v>22</v>
      </c>
      <c r="C137">
        <v>100</v>
      </c>
      <c r="D137">
        <v>4</v>
      </c>
      <c r="E137">
        <v>3347.74</v>
      </c>
      <c r="F137" s="1">
        <v>37769</v>
      </c>
      <c r="G137" t="s">
        <v>39</v>
      </c>
      <c r="H137">
        <v>2</v>
      </c>
      <c r="I137">
        <v>5</v>
      </c>
      <c r="J137" t="str">
        <f>TEXT(DATE(2012,Table1[[#This Row],[MONTH_ID]],10),"mmm")</f>
        <v>May</v>
      </c>
      <c r="K137">
        <v>2003</v>
      </c>
      <c r="L137" t="s">
        <v>195</v>
      </c>
      <c r="M137">
        <v>147</v>
      </c>
      <c r="N137" t="s">
        <v>416</v>
      </c>
      <c r="O137" t="s">
        <v>205</v>
      </c>
      <c r="P137" t="s">
        <v>206</v>
      </c>
      <c r="Q137" t="s">
        <v>207</v>
      </c>
      <c r="S137" t="s">
        <v>191</v>
      </c>
      <c r="U137">
        <v>28023</v>
      </c>
      <c r="V137" t="s">
        <v>192</v>
      </c>
      <c r="W137" t="s">
        <v>56</v>
      </c>
      <c r="X137" t="s">
        <v>208</v>
      </c>
      <c r="Y137" t="s">
        <v>209</v>
      </c>
      <c r="Z137" t="s">
        <v>65</v>
      </c>
    </row>
    <row r="138" spans="1:26" x14ac:dyDescent="0.3">
      <c r="A138">
        <v>10140</v>
      </c>
      <c r="B138">
        <v>26</v>
      </c>
      <c r="C138">
        <v>100</v>
      </c>
      <c r="D138">
        <v>4</v>
      </c>
      <c r="E138">
        <v>3188.12</v>
      </c>
      <c r="F138" s="1">
        <v>37826</v>
      </c>
      <c r="G138" t="s">
        <v>39</v>
      </c>
      <c r="H138">
        <v>3</v>
      </c>
      <c r="I138">
        <v>7</v>
      </c>
      <c r="J138" t="str">
        <f>TEXT(DATE(2012,Table1[[#This Row],[MONTH_ID]],10),"mmm")</f>
        <v>Jul</v>
      </c>
      <c r="K138">
        <v>2003</v>
      </c>
      <c r="L138" t="s">
        <v>195</v>
      </c>
      <c r="M138">
        <v>147</v>
      </c>
      <c r="N138" t="s">
        <v>416</v>
      </c>
      <c r="O138" t="s">
        <v>76</v>
      </c>
      <c r="P138">
        <v>6505556809</v>
      </c>
      <c r="Q138" t="s">
        <v>77</v>
      </c>
      <c r="S138" t="s">
        <v>78</v>
      </c>
      <c r="T138" t="s">
        <v>69</v>
      </c>
      <c r="U138">
        <v>94217</v>
      </c>
      <c r="V138" t="s">
        <v>46</v>
      </c>
      <c r="W138" t="s">
        <v>47</v>
      </c>
      <c r="X138" t="s">
        <v>79</v>
      </c>
      <c r="Y138" t="s">
        <v>80</v>
      </c>
      <c r="Z138" t="s">
        <v>65</v>
      </c>
    </row>
    <row r="139" spans="1:26" x14ac:dyDescent="0.3">
      <c r="A139">
        <v>10150</v>
      </c>
      <c r="B139">
        <v>20</v>
      </c>
      <c r="C139">
        <v>100</v>
      </c>
      <c r="D139">
        <v>1</v>
      </c>
      <c r="E139">
        <v>3191.2</v>
      </c>
      <c r="F139" s="1">
        <v>37883</v>
      </c>
      <c r="G139" t="s">
        <v>39</v>
      </c>
      <c r="H139">
        <v>3</v>
      </c>
      <c r="I139">
        <v>9</v>
      </c>
      <c r="J139" t="str">
        <f>TEXT(DATE(2012,Table1[[#This Row],[MONTH_ID]],10),"mmm")</f>
        <v>Sep</v>
      </c>
      <c r="K139">
        <v>2003</v>
      </c>
      <c r="L139" t="s">
        <v>195</v>
      </c>
      <c r="M139">
        <v>147</v>
      </c>
      <c r="N139" t="s">
        <v>416</v>
      </c>
      <c r="O139" t="s">
        <v>210</v>
      </c>
      <c r="P139" t="s">
        <v>211</v>
      </c>
      <c r="Q139" t="s">
        <v>212</v>
      </c>
      <c r="S139" t="s">
        <v>213</v>
      </c>
      <c r="U139">
        <v>79903</v>
      </c>
      <c r="V139" t="s">
        <v>213</v>
      </c>
      <c r="W139" t="s">
        <v>214</v>
      </c>
      <c r="X139" t="s">
        <v>215</v>
      </c>
      <c r="Y139" t="s">
        <v>216</v>
      </c>
      <c r="Z139" t="s">
        <v>65</v>
      </c>
    </row>
    <row r="140" spans="1:26" x14ac:dyDescent="0.3">
      <c r="A140">
        <v>10164</v>
      </c>
      <c r="B140">
        <v>21</v>
      </c>
      <c r="C140">
        <v>100</v>
      </c>
      <c r="D140">
        <v>2</v>
      </c>
      <c r="E140">
        <v>3536.82</v>
      </c>
      <c r="F140" s="1">
        <v>37915</v>
      </c>
      <c r="G140" t="s">
        <v>422</v>
      </c>
      <c r="H140">
        <v>4</v>
      </c>
      <c r="I140">
        <v>10</v>
      </c>
      <c r="J140" t="str">
        <f>TEXT(DATE(2012,Table1[[#This Row],[MONTH_ID]],10),"mmm")</f>
        <v>Oct</v>
      </c>
      <c r="K140">
        <v>2003</v>
      </c>
      <c r="L140" t="s">
        <v>195</v>
      </c>
      <c r="M140">
        <v>147</v>
      </c>
      <c r="N140" t="s">
        <v>416</v>
      </c>
      <c r="O140" t="s">
        <v>423</v>
      </c>
      <c r="P140" t="s">
        <v>424</v>
      </c>
      <c r="Q140" t="s">
        <v>425</v>
      </c>
      <c r="S140" t="s">
        <v>426</v>
      </c>
      <c r="U140">
        <v>8010</v>
      </c>
      <c r="V140" t="s">
        <v>162</v>
      </c>
      <c r="W140" t="s">
        <v>56</v>
      </c>
      <c r="X140" t="s">
        <v>427</v>
      </c>
      <c r="Y140" t="s">
        <v>428</v>
      </c>
      <c r="Z140" t="s">
        <v>65</v>
      </c>
    </row>
    <row r="141" spans="1:26" x14ac:dyDescent="0.3">
      <c r="A141">
        <v>10175</v>
      </c>
      <c r="B141">
        <v>33</v>
      </c>
      <c r="C141">
        <v>100</v>
      </c>
      <c r="D141">
        <v>9</v>
      </c>
      <c r="E141">
        <v>5362.83</v>
      </c>
      <c r="F141" s="1">
        <v>37931</v>
      </c>
      <c r="G141" t="s">
        <v>39</v>
      </c>
      <c r="H141">
        <v>4</v>
      </c>
      <c r="I141">
        <v>11</v>
      </c>
      <c r="J141" t="str">
        <f>TEXT(DATE(2012,Table1[[#This Row],[MONTH_ID]],10),"mmm")</f>
        <v>Nov</v>
      </c>
      <c r="K141">
        <v>2003</v>
      </c>
      <c r="L141" t="s">
        <v>195</v>
      </c>
      <c r="M141">
        <v>147</v>
      </c>
      <c r="N141" t="s">
        <v>416</v>
      </c>
      <c r="O141" t="s">
        <v>343</v>
      </c>
      <c r="P141" t="s">
        <v>344</v>
      </c>
      <c r="Q141" t="s">
        <v>345</v>
      </c>
      <c r="S141" t="s">
        <v>346</v>
      </c>
      <c r="U141" t="s">
        <v>347</v>
      </c>
      <c r="V141" t="s">
        <v>184</v>
      </c>
      <c r="W141" t="s">
        <v>56</v>
      </c>
      <c r="X141" t="s">
        <v>75</v>
      </c>
      <c r="Y141" t="s">
        <v>348</v>
      </c>
      <c r="Z141" t="s">
        <v>65</v>
      </c>
    </row>
    <row r="142" spans="1:26" x14ac:dyDescent="0.3">
      <c r="A142">
        <v>10183</v>
      </c>
      <c r="B142">
        <v>28</v>
      </c>
      <c r="C142">
        <v>100</v>
      </c>
      <c r="D142">
        <v>1</v>
      </c>
      <c r="E142">
        <v>3433.36</v>
      </c>
      <c r="F142" s="1">
        <v>37938</v>
      </c>
      <c r="G142" t="s">
        <v>39</v>
      </c>
      <c r="H142">
        <v>4</v>
      </c>
      <c r="I142">
        <v>11</v>
      </c>
      <c r="J142" t="str">
        <f>TEXT(DATE(2012,Table1[[#This Row],[MONTH_ID]],10),"mmm")</f>
        <v>Nov</v>
      </c>
      <c r="K142">
        <v>2003</v>
      </c>
      <c r="L142" t="s">
        <v>195</v>
      </c>
      <c r="M142">
        <v>147</v>
      </c>
      <c r="N142" t="s">
        <v>416</v>
      </c>
      <c r="O142" t="s">
        <v>228</v>
      </c>
      <c r="P142">
        <v>2155554695</v>
      </c>
      <c r="Q142" t="s">
        <v>229</v>
      </c>
      <c r="S142" t="s">
        <v>230</v>
      </c>
      <c r="T142" t="s">
        <v>156</v>
      </c>
      <c r="U142">
        <v>71270</v>
      </c>
      <c r="V142" t="s">
        <v>46</v>
      </c>
      <c r="W142" t="s">
        <v>47</v>
      </c>
      <c r="X142" t="s">
        <v>231</v>
      </c>
      <c r="Y142" t="s">
        <v>232</v>
      </c>
      <c r="Z142" t="s">
        <v>65</v>
      </c>
    </row>
    <row r="143" spans="1:26" x14ac:dyDescent="0.3">
      <c r="A143">
        <v>10194</v>
      </c>
      <c r="B143">
        <v>26</v>
      </c>
      <c r="C143">
        <v>100</v>
      </c>
      <c r="D143">
        <v>4</v>
      </c>
      <c r="E143">
        <v>4263.74</v>
      </c>
      <c r="F143" s="1">
        <v>37950</v>
      </c>
      <c r="G143" t="s">
        <v>39</v>
      </c>
      <c r="H143">
        <v>4</v>
      </c>
      <c r="I143">
        <v>11</v>
      </c>
      <c r="J143" t="str">
        <f>TEXT(DATE(2012,Table1[[#This Row],[MONTH_ID]],10),"mmm")</f>
        <v>Nov</v>
      </c>
      <c r="K143">
        <v>2003</v>
      </c>
      <c r="L143" t="s">
        <v>195</v>
      </c>
      <c r="M143">
        <v>147</v>
      </c>
      <c r="N143" t="s">
        <v>416</v>
      </c>
      <c r="O143" t="s">
        <v>233</v>
      </c>
      <c r="P143" t="s">
        <v>234</v>
      </c>
      <c r="Q143" t="s">
        <v>235</v>
      </c>
      <c r="S143" t="s">
        <v>236</v>
      </c>
      <c r="U143">
        <v>69004</v>
      </c>
      <c r="V143" t="s">
        <v>55</v>
      </c>
      <c r="W143" t="s">
        <v>56</v>
      </c>
      <c r="X143" t="s">
        <v>237</v>
      </c>
      <c r="Y143" t="s">
        <v>238</v>
      </c>
      <c r="Z143" t="s">
        <v>65</v>
      </c>
    </row>
    <row r="144" spans="1:26" x14ac:dyDescent="0.3">
      <c r="A144">
        <v>10207</v>
      </c>
      <c r="B144">
        <v>31</v>
      </c>
      <c r="C144">
        <v>100</v>
      </c>
      <c r="D144">
        <v>15</v>
      </c>
      <c r="E144">
        <v>4076.19</v>
      </c>
      <c r="F144" s="1">
        <v>37964</v>
      </c>
      <c r="G144" t="s">
        <v>39</v>
      </c>
      <c r="H144">
        <v>4</v>
      </c>
      <c r="I144">
        <v>12</v>
      </c>
      <c r="J144" t="str">
        <f>TEXT(DATE(2012,Table1[[#This Row],[MONTH_ID]],10),"mmm")</f>
        <v>Dec</v>
      </c>
      <c r="K144">
        <v>2003</v>
      </c>
      <c r="L144" t="s">
        <v>195</v>
      </c>
      <c r="M144">
        <v>147</v>
      </c>
      <c r="N144" t="s">
        <v>416</v>
      </c>
      <c r="O144" t="s">
        <v>429</v>
      </c>
      <c r="P144">
        <v>6175552555</v>
      </c>
      <c r="Q144" t="s">
        <v>430</v>
      </c>
      <c r="S144" t="s">
        <v>395</v>
      </c>
      <c r="T144" t="s">
        <v>137</v>
      </c>
      <c r="U144">
        <v>51003</v>
      </c>
      <c r="V144" t="s">
        <v>46</v>
      </c>
      <c r="W144" t="s">
        <v>47</v>
      </c>
      <c r="X144" t="s">
        <v>431</v>
      </c>
      <c r="Y144" t="s">
        <v>290</v>
      </c>
      <c r="Z144" t="s">
        <v>65</v>
      </c>
    </row>
    <row r="145" spans="1:26" x14ac:dyDescent="0.3">
      <c r="A145">
        <v>10217</v>
      </c>
      <c r="B145">
        <v>48</v>
      </c>
      <c r="C145">
        <v>100</v>
      </c>
      <c r="D145">
        <v>4</v>
      </c>
      <c r="E145">
        <v>7020.48</v>
      </c>
      <c r="F145" s="1">
        <v>38021</v>
      </c>
      <c r="G145" t="s">
        <v>39</v>
      </c>
      <c r="H145">
        <v>1</v>
      </c>
      <c r="I145">
        <v>2</v>
      </c>
      <c r="J145" t="str">
        <f>TEXT(DATE(2012,Table1[[#This Row],[MONTH_ID]],10),"mmm")</f>
        <v>Feb</v>
      </c>
      <c r="K145">
        <v>2004</v>
      </c>
      <c r="L145" t="s">
        <v>195</v>
      </c>
      <c r="M145">
        <v>147</v>
      </c>
      <c r="N145" t="s">
        <v>416</v>
      </c>
      <c r="O145" t="s">
        <v>432</v>
      </c>
      <c r="P145" t="s">
        <v>433</v>
      </c>
      <c r="Q145" t="s">
        <v>434</v>
      </c>
      <c r="R145" t="s">
        <v>435</v>
      </c>
      <c r="S145" t="s">
        <v>213</v>
      </c>
      <c r="U145">
        <v>69045</v>
      </c>
      <c r="V145" t="s">
        <v>213</v>
      </c>
      <c r="W145" t="s">
        <v>110</v>
      </c>
      <c r="X145" t="s">
        <v>436</v>
      </c>
      <c r="Y145" t="s">
        <v>437</v>
      </c>
      <c r="Z145" t="s">
        <v>165</v>
      </c>
    </row>
    <row r="146" spans="1:26" x14ac:dyDescent="0.3">
      <c r="A146">
        <v>10229</v>
      </c>
      <c r="B146">
        <v>50</v>
      </c>
      <c r="C146">
        <v>100</v>
      </c>
      <c r="D146">
        <v>9</v>
      </c>
      <c r="E146">
        <v>6426.5</v>
      </c>
      <c r="F146" s="1">
        <v>38057</v>
      </c>
      <c r="G146" t="s">
        <v>39</v>
      </c>
      <c r="H146">
        <v>1</v>
      </c>
      <c r="I146">
        <v>3</v>
      </c>
      <c r="J146" t="str">
        <f>TEXT(DATE(2012,Table1[[#This Row],[MONTH_ID]],10),"mmm")</f>
        <v>Mar</v>
      </c>
      <c r="K146">
        <v>2004</v>
      </c>
      <c r="L146" t="s">
        <v>195</v>
      </c>
      <c r="M146">
        <v>147</v>
      </c>
      <c r="N146" t="s">
        <v>416</v>
      </c>
      <c r="O146" t="s">
        <v>286</v>
      </c>
      <c r="P146">
        <v>4155551450</v>
      </c>
      <c r="Q146" t="s">
        <v>287</v>
      </c>
      <c r="S146" t="s">
        <v>288</v>
      </c>
      <c r="T146" t="s">
        <v>69</v>
      </c>
      <c r="U146">
        <v>97562</v>
      </c>
      <c r="V146" t="s">
        <v>46</v>
      </c>
      <c r="W146" t="s">
        <v>47</v>
      </c>
      <c r="X146" t="s">
        <v>289</v>
      </c>
      <c r="Y146" t="s">
        <v>290</v>
      </c>
      <c r="Z146" t="s">
        <v>65</v>
      </c>
    </row>
    <row r="147" spans="1:26" x14ac:dyDescent="0.3">
      <c r="A147">
        <v>10245</v>
      </c>
      <c r="B147">
        <v>28</v>
      </c>
      <c r="C147">
        <v>100</v>
      </c>
      <c r="D147">
        <v>2</v>
      </c>
      <c r="E147">
        <v>4591.72</v>
      </c>
      <c r="F147" s="1">
        <v>38111</v>
      </c>
      <c r="G147" t="s">
        <v>39</v>
      </c>
      <c r="H147">
        <v>2</v>
      </c>
      <c r="I147">
        <v>5</v>
      </c>
      <c r="J147" t="str">
        <f>TEXT(DATE(2012,Table1[[#This Row],[MONTH_ID]],10),"mmm")</f>
        <v>May</v>
      </c>
      <c r="K147">
        <v>2004</v>
      </c>
      <c r="L147" t="s">
        <v>195</v>
      </c>
      <c r="M147">
        <v>147</v>
      </c>
      <c r="N147" t="s">
        <v>416</v>
      </c>
      <c r="O147" t="s">
        <v>256</v>
      </c>
      <c r="P147">
        <v>2035559545</v>
      </c>
      <c r="Q147" t="s">
        <v>257</v>
      </c>
      <c r="S147" t="s">
        <v>258</v>
      </c>
      <c r="T147" t="s">
        <v>126</v>
      </c>
      <c r="U147">
        <v>97823</v>
      </c>
      <c r="V147" t="s">
        <v>46</v>
      </c>
      <c r="W147" t="s">
        <v>47</v>
      </c>
      <c r="X147" t="s">
        <v>97</v>
      </c>
      <c r="Y147" t="s">
        <v>259</v>
      </c>
      <c r="Z147" t="s">
        <v>65</v>
      </c>
    </row>
    <row r="148" spans="1:26" x14ac:dyDescent="0.3">
      <c r="A148">
        <v>10259</v>
      </c>
      <c r="B148">
        <v>26</v>
      </c>
      <c r="C148">
        <v>100</v>
      </c>
      <c r="D148">
        <v>12</v>
      </c>
      <c r="E148">
        <v>4033.38</v>
      </c>
      <c r="F148" s="1">
        <v>38153</v>
      </c>
      <c r="G148" t="s">
        <v>39</v>
      </c>
      <c r="H148">
        <v>2</v>
      </c>
      <c r="I148">
        <v>6</v>
      </c>
      <c r="J148" t="str">
        <f>TEXT(DATE(2012,Table1[[#This Row],[MONTH_ID]],10),"mmm")</f>
        <v>Jun</v>
      </c>
      <c r="K148">
        <v>2004</v>
      </c>
      <c r="L148" t="s">
        <v>195</v>
      </c>
      <c r="M148">
        <v>147</v>
      </c>
      <c r="N148" t="s">
        <v>416</v>
      </c>
      <c r="O148" t="s">
        <v>432</v>
      </c>
      <c r="P148" t="s">
        <v>433</v>
      </c>
      <c r="Q148" t="s">
        <v>434</v>
      </c>
      <c r="R148" t="s">
        <v>435</v>
      </c>
      <c r="S148" t="s">
        <v>213</v>
      </c>
      <c r="U148">
        <v>69045</v>
      </c>
      <c r="V148" t="s">
        <v>213</v>
      </c>
      <c r="W148" t="s">
        <v>110</v>
      </c>
      <c r="X148" t="s">
        <v>436</v>
      </c>
      <c r="Y148" t="s">
        <v>437</v>
      </c>
      <c r="Z148" t="s">
        <v>65</v>
      </c>
    </row>
    <row r="149" spans="1:26" x14ac:dyDescent="0.3">
      <c r="A149">
        <v>10270</v>
      </c>
      <c r="B149">
        <v>32</v>
      </c>
      <c r="C149">
        <v>100</v>
      </c>
      <c r="D149">
        <v>2</v>
      </c>
      <c r="E149">
        <v>4302.08</v>
      </c>
      <c r="F149" s="1">
        <v>38187</v>
      </c>
      <c r="G149" t="s">
        <v>39</v>
      </c>
      <c r="H149">
        <v>3</v>
      </c>
      <c r="I149">
        <v>7</v>
      </c>
      <c r="J149" t="str">
        <f>TEXT(DATE(2012,Table1[[#This Row],[MONTH_ID]],10),"mmm")</f>
        <v>Jul</v>
      </c>
      <c r="K149">
        <v>2004</v>
      </c>
      <c r="L149" t="s">
        <v>195</v>
      </c>
      <c r="M149">
        <v>147</v>
      </c>
      <c r="N149" t="s">
        <v>416</v>
      </c>
      <c r="O149" t="s">
        <v>166</v>
      </c>
      <c r="P149" t="s">
        <v>167</v>
      </c>
      <c r="Q149" t="s">
        <v>168</v>
      </c>
      <c r="R149" t="s">
        <v>169</v>
      </c>
      <c r="S149" t="s">
        <v>170</v>
      </c>
      <c r="T149" t="s">
        <v>171</v>
      </c>
      <c r="U149">
        <v>2067</v>
      </c>
      <c r="V149" t="s">
        <v>109</v>
      </c>
      <c r="W149" t="s">
        <v>110</v>
      </c>
      <c r="X149" t="s">
        <v>172</v>
      </c>
      <c r="Y149" t="s">
        <v>173</v>
      </c>
      <c r="Z149" t="s">
        <v>65</v>
      </c>
    </row>
    <row r="150" spans="1:26" x14ac:dyDescent="0.3">
      <c r="A150">
        <v>10281</v>
      </c>
      <c r="B150">
        <v>44</v>
      </c>
      <c r="C150">
        <v>100</v>
      </c>
      <c r="D150">
        <v>9</v>
      </c>
      <c r="E150">
        <v>7020.64</v>
      </c>
      <c r="F150" s="1">
        <v>38218</v>
      </c>
      <c r="G150" t="s">
        <v>39</v>
      </c>
      <c r="H150">
        <v>3</v>
      </c>
      <c r="I150">
        <v>8</v>
      </c>
      <c r="J150" t="str">
        <f>TEXT(DATE(2012,Table1[[#This Row],[MONTH_ID]],10),"mmm")</f>
        <v>Aug</v>
      </c>
      <c r="K150">
        <v>2004</v>
      </c>
      <c r="L150" t="s">
        <v>195</v>
      </c>
      <c r="M150">
        <v>147</v>
      </c>
      <c r="N150" t="s">
        <v>416</v>
      </c>
      <c r="O150" t="s">
        <v>153</v>
      </c>
      <c r="P150">
        <v>2155551555</v>
      </c>
      <c r="Q150" t="s">
        <v>154</v>
      </c>
      <c r="S150" t="s">
        <v>155</v>
      </c>
      <c r="T150" t="s">
        <v>156</v>
      </c>
      <c r="U150">
        <v>70267</v>
      </c>
      <c r="V150" t="s">
        <v>46</v>
      </c>
      <c r="W150" t="s">
        <v>47</v>
      </c>
      <c r="X150" t="s">
        <v>48</v>
      </c>
      <c r="Y150" t="s">
        <v>157</v>
      </c>
      <c r="Z150" t="s">
        <v>165</v>
      </c>
    </row>
    <row r="151" spans="1:26" x14ac:dyDescent="0.3">
      <c r="A151">
        <v>10291</v>
      </c>
      <c r="B151">
        <v>30</v>
      </c>
      <c r="C151">
        <v>100</v>
      </c>
      <c r="D151">
        <v>4</v>
      </c>
      <c r="E151">
        <v>3855.9</v>
      </c>
      <c r="F151" s="1">
        <v>38238</v>
      </c>
      <c r="G151" t="s">
        <v>39</v>
      </c>
      <c r="H151">
        <v>3</v>
      </c>
      <c r="I151">
        <v>9</v>
      </c>
      <c r="J151" t="str">
        <f>TEXT(DATE(2012,Table1[[#This Row],[MONTH_ID]],10),"mmm")</f>
        <v>Sep</v>
      </c>
      <c r="K151">
        <v>2004</v>
      </c>
      <c r="L151" t="s">
        <v>195</v>
      </c>
      <c r="M151">
        <v>147</v>
      </c>
      <c r="N151" t="s">
        <v>416</v>
      </c>
      <c r="O151" t="s">
        <v>275</v>
      </c>
      <c r="P151" t="s">
        <v>276</v>
      </c>
      <c r="Q151" t="s">
        <v>277</v>
      </c>
      <c r="S151" t="s">
        <v>278</v>
      </c>
      <c r="U151" t="s">
        <v>279</v>
      </c>
      <c r="V151" t="s">
        <v>202</v>
      </c>
      <c r="W151" t="s">
        <v>56</v>
      </c>
      <c r="X151" t="s">
        <v>280</v>
      </c>
      <c r="Y151" t="s">
        <v>220</v>
      </c>
      <c r="Z151" t="s">
        <v>65</v>
      </c>
    </row>
    <row r="152" spans="1:26" x14ac:dyDescent="0.3">
      <c r="A152">
        <v>10305</v>
      </c>
      <c r="B152">
        <v>38</v>
      </c>
      <c r="C152">
        <v>100</v>
      </c>
      <c r="D152">
        <v>13</v>
      </c>
      <c r="E152">
        <v>6680.78</v>
      </c>
      <c r="F152" s="1">
        <v>38273</v>
      </c>
      <c r="G152" t="s">
        <v>39</v>
      </c>
      <c r="H152">
        <v>4</v>
      </c>
      <c r="I152">
        <v>10</v>
      </c>
      <c r="J152" t="str">
        <f>TEXT(DATE(2012,Table1[[#This Row],[MONTH_ID]],10),"mmm")</f>
        <v>Oct</v>
      </c>
      <c r="K152">
        <v>2004</v>
      </c>
      <c r="L152" t="s">
        <v>195</v>
      </c>
      <c r="M152">
        <v>147</v>
      </c>
      <c r="N152" t="s">
        <v>416</v>
      </c>
      <c r="O152" t="s">
        <v>134</v>
      </c>
      <c r="P152">
        <v>6175558555</v>
      </c>
      <c r="Q152" t="s">
        <v>135</v>
      </c>
      <c r="S152" t="s">
        <v>136</v>
      </c>
      <c r="T152" t="s">
        <v>137</v>
      </c>
      <c r="U152">
        <v>51247</v>
      </c>
      <c r="V152" t="s">
        <v>46</v>
      </c>
      <c r="W152" t="s">
        <v>47</v>
      </c>
      <c r="X152" t="s">
        <v>138</v>
      </c>
      <c r="Y152" t="s">
        <v>139</v>
      </c>
      <c r="Z152" t="s">
        <v>65</v>
      </c>
    </row>
    <row r="153" spans="1:26" x14ac:dyDescent="0.3">
      <c r="A153">
        <v>10313</v>
      </c>
      <c r="B153">
        <v>40</v>
      </c>
      <c r="C153">
        <v>100</v>
      </c>
      <c r="D153">
        <v>7</v>
      </c>
      <c r="E153">
        <v>6678</v>
      </c>
      <c r="F153" s="1">
        <v>38282</v>
      </c>
      <c r="G153" t="s">
        <v>39</v>
      </c>
      <c r="H153">
        <v>4</v>
      </c>
      <c r="I153">
        <v>10</v>
      </c>
      <c r="J153" t="str">
        <f>TEXT(DATE(2012,Table1[[#This Row],[MONTH_ID]],10),"mmm")</f>
        <v>Oct</v>
      </c>
      <c r="K153">
        <v>2004</v>
      </c>
      <c r="L153" t="s">
        <v>195</v>
      </c>
      <c r="M153">
        <v>147</v>
      </c>
      <c r="N153" t="s">
        <v>416</v>
      </c>
      <c r="O153" t="s">
        <v>239</v>
      </c>
      <c r="P153" t="s">
        <v>240</v>
      </c>
      <c r="Q153" t="s">
        <v>241</v>
      </c>
      <c r="S153" t="s">
        <v>242</v>
      </c>
      <c r="T153" t="s">
        <v>243</v>
      </c>
      <c r="U153" t="s">
        <v>244</v>
      </c>
      <c r="V153" t="s">
        <v>245</v>
      </c>
      <c r="W153" t="s">
        <v>47</v>
      </c>
      <c r="X153" t="s">
        <v>246</v>
      </c>
      <c r="Y153" t="s">
        <v>247</v>
      </c>
      <c r="Z153" t="s">
        <v>65</v>
      </c>
    </row>
    <row r="154" spans="1:26" x14ac:dyDescent="0.3">
      <c r="A154">
        <v>10322</v>
      </c>
      <c r="B154">
        <v>46</v>
      </c>
      <c r="C154">
        <v>61.99</v>
      </c>
      <c r="D154">
        <v>8</v>
      </c>
      <c r="E154">
        <v>2851.54</v>
      </c>
      <c r="F154" s="1">
        <v>38295</v>
      </c>
      <c r="G154" t="s">
        <v>39</v>
      </c>
      <c r="H154">
        <v>4</v>
      </c>
      <c r="I154">
        <v>11</v>
      </c>
      <c r="J154" t="str">
        <f>TEXT(DATE(2012,Table1[[#This Row],[MONTH_ID]],10),"mmm")</f>
        <v>Nov</v>
      </c>
      <c r="K154">
        <v>2004</v>
      </c>
      <c r="L154" t="s">
        <v>195</v>
      </c>
      <c r="M154">
        <v>147</v>
      </c>
      <c r="N154" t="s">
        <v>416</v>
      </c>
      <c r="O154" t="s">
        <v>291</v>
      </c>
      <c r="P154">
        <v>6035558647</v>
      </c>
      <c r="Q154" t="s">
        <v>292</v>
      </c>
      <c r="S154" t="s">
        <v>293</v>
      </c>
      <c r="T154" t="s">
        <v>294</v>
      </c>
      <c r="U154">
        <v>62005</v>
      </c>
      <c r="V154" t="s">
        <v>46</v>
      </c>
      <c r="W154" t="s">
        <v>47</v>
      </c>
      <c r="X154" t="s">
        <v>70</v>
      </c>
      <c r="Y154" t="s">
        <v>290</v>
      </c>
      <c r="Z154" t="s">
        <v>50</v>
      </c>
    </row>
    <row r="155" spans="1:26" x14ac:dyDescent="0.3">
      <c r="A155">
        <v>10334</v>
      </c>
      <c r="B155">
        <v>26</v>
      </c>
      <c r="C155">
        <v>100</v>
      </c>
      <c r="D155">
        <v>2</v>
      </c>
      <c r="E155">
        <v>3188.12</v>
      </c>
      <c r="F155" s="1">
        <v>38310</v>
      </c>
      <c r="G155" t="s">
        <v>415</v>
      </c>
      <c r="H155">
        <v>4</v>
      </c>
      <c r="I155">
        <v>11</v>
      </c>
      <c r="J155" t="str">
        <f>TEXT(DATE(2012,Table1[[#This Row],[MONTH_ID]],10),"mmm")</f>
        <v>Nov</v>
      </c>
      <c r="K155">
        <v>2004</v>
      </c>
      <c r="L155" t="s">
        <v>195</v>
      </c>
      <c r="M155">
        <v>147</v>
      </c>
      <c r="N155" t="s">
        <v>416</v>
      </c>
      <c r="O155" t="s">
        <v>197</v>
      </c>
      <c r="P155" t="s">
        <v>198</v>
      </c>
      <c r="Q155" t="s">
        <v>199</v>
      </c>
      <c r="S155" t="s">
        <v>200</v>
      </c>
      <c r="U155" t="s">
        <v>201</v>
      </c>
      <c r="V155" t="s">
        <v>202</v>
      </c>
      <c r="W155" t="s">
        <v>56</v>
      </c>
      <c r="X155" t="s">
        <v>203</v>
      </c>
      <c r="Y155" t="s">
        <v>204</v>
      </c>
      <c r="Z155" t="s">
        <v>65</v>
      </c>
    </row>
    <row r="156" spans="1:26" x14ac:dyDescent="0.3">
      <c r="A156">
        <v>10347</v>
      </c>
      <c r="B156">
        <v>27</v>
      </c>
      <c r="C156">
        <v>100</v>
      </c>
      <c r="D156">
        <v>2</v>
      </c>
      <c r="E156">
        <v>4428</v>
      </c>
      <c r="F156" s="1">
        <v>38320</v>
      </c>
      <c r="G156" t="s">
        <v>39</v>
      </c>
      <c r="H156">
        <v>4</v>
      </c>
      <c r="I156">
        <v>11</v>
      </c>
      <c r="J156" t="str">
        <f>TEXT(DATE(2012,Table1[[#This Row],[MONTH_ID]],10),"mmm")</f>
        <v>Nov</v>
      </c>
      <c r="K156">
        <v>2004</v>
      </c>
      <c r="L156" t="s">
        <v>195</v>
      </c>
      <c r="M156">
        <v>147</v>
      </c>
      <c r="N156" t="s">
        <v>416</v>
      </c>
      <c r="O156" t="s">
        <v>103</v>
      </c>
      <c r="P156" t="s">
        <v>104</v>
      </c>
      <c r="Q156" t="s">
        <v>105</v>
      </c>
      <c r="R156" t="s">
        <v>106</v>
      </c>
      <c r="S156" t="s">
        <v>107</v>
      </c>
      <c r="T156" t="s">
        <v>108</v>
      </c>
      <c r="U156">
        <v>3004</v>
      </c>
      <c r="V156" t="s">
        <v>109</v>
      </c>
      <c r="W156" t="s">
        <v>110</v>
      </c>
      <c r="X156" t="s">
        <v>111</v>
      </c>
      <c r="Y156" t="s">
        <v>112</v>
      </c>
      <c r="Z156" t="s">
        <v>65</v>
      </c>
    </row>
    <row r="157" spans="1:26" x14ac:dyDescent="0.3">
      <c r="A157">
        <v>10357</v>
      </c>
      <c r="B157">
        <v>43</v>
      </c>
      <c r="C157">
        <v>100</v>
      </c>
      <c r="D157">
        <v>9</v>
      </c>
      <c r="E157">
        <v>5780.92</v>
      </c>
      <c r="F157" s="1">
        <v>38331</v>
      </c>
      <c r="G157" t="s">
        <v>39</v>
      </c>
      <c r="H157">
        <v>4</v>
      </c>
      <c r="I157">
        <v>12</v>
      </c>
      <c r="J157" t="str">
        <f>TEXT(DATE(2012,Table1[[#This Row],[MONTH_ID]],10),"mmm")</f>
        <v>Dec</v>
      </c>
      <c r="K157">
        <v>2004</v>
      </c>
      <c r="L157" t="s">
        <v>195</v>
      </c>
      <c r="M157">
        <v>147</v>
      </c>
      <c r="N157" t="s">
        <v>416</v>
      </c>
      <c r="O157" t="s">
        <v>286</v>
      </c>
      <c r="P157">
        <v>4155551450</v>
      </c>
      <c r="Q157" t="s">
        <v>287</v>
      </c>
      <c r="S157" t="s">
        <v>288</v>
      </c>
      <c r="T157" t="s">
        <v>69</v>
      </c>
      <c r="U157">
        <v>97562</v>
      </c>
      <c r="V157" t="s">
        <v>46</v>
      </c>
      <c r="W157" t="s">
        <v>47</v>
      </c>
      <c r="X157" t="s">
        <v>289</v>
      </c>
      <c r="Y157" t="s">
        <v>290</v>
      </c>
      <c r="Z157" t="s">
        <v>65</v>
      </c>
    </row>
    <row r="158" spans="1:26" x14ac:dyDescent="0.3">
      <c r="A158">
        <v>10370</v>
      </c>
      <c r="B158">
        <v>35</v>
      </c>
      <c r="C158">
        <v>65.63</v>
      </c>
      <c r="D158">
        <v>4</v>
      </c>
      <c r="E158">
        <v>2297.0500000000002</v>
      </c>
      <c r="F158" s="1">
        <v>38372</v>
      </c>
      <c r="G158" t="s">
        <v>39</v>
      </c>
      <c r="H158">
        <v>1</v>
      </c>
      <c r="I158">
        <v>1</v>
      </c>
      <c r="J158" t="str">
        <f>TEXT(DATE(2012,Table1[[#This Row],[MONTH_ID]],10),"mmm")</f>
        <v>Jan</v>
      </c>
      <c r="K158">
        <v>2005</v>
      </c>
      <c r="L158" t="s">
        <v>195</v>
      </c>
      <c r="M158">
        <v>147</v>
      </c>
      <c r="N158" t="s">
        <v>416</v>
      </c>
      <c r="O158" t="s">
        <v>299</v>
      </c>
      <c r="P158" t="s">
        <v>300</v>
      </c>
      <c r="Q158" t="s">
        <v>301</v>
      </c>
      <c r="R158" t="s">
        <v>302</v>
      </c>
      <c r="S158" t="s">
        <v>303</v>
      </c>
      <c r="T158" t="s">
        <v>171</v>
      </c>
      <c r="U158">
        <v>2060</v>
      </c>
      <c r="V158" t="s">
        <v>109</v>
      </c>
      <c r="W158" t="s">
        <v>110</v>
      </c>
      <c r="X158" t="s">
        <v>304</v>
      </c>
      <c r="Y158" t="s">
        <v>305</v>
      </c>
      <c r="Z158" t="s">
        <v>50</v>
      </c>
    </row>
    <row r="159" spans="1:26" x14ac:dyDescent="0.3">
      <c r="A159">
        <v>10381</v>
      </c>
      <c r="B159">
        <v>37</v>
      </c>
      <c r="C159">
        <v>100</v>
      </c>
      <c r="D159">
        <v>6</v>
      </c>
      <c r="E159">
        <v>6231.54</v>
      </c>
      <c r="F159" s="1">
        <v>38400</v>
      </c>
      <c r="G159" t="s">
        <v>39</v>
      </c>
      <c r="H159">
        <v>1</v>
      </c>
      <c r="I159">
        <v>2</v>
      </c>
      <c r="J159" t="str">
        <f>TEXT(DATE(2012,Table1[[#This Row],[MONTH_ID]],10),"mmm")</f>
        <v>Feb</v>
      </c>
      <c r="K159">
        <v>2005</v>
      </c>
      <c r="L159" t="s">
        <v>195</v>
      </c>
      <c r="M159">
        <v>147</v>
      </c>
      <c r="N159" t="s">
        <v>416</v>
      </c>
      <c r="O159" t="s">
        <v>72</v>
      </c>
      <c r="P159">
        <v>6505551386</v>
      </c>
      <c r="Q159" t="s">
        <v>73</v>
      </c>
      <c r="S159" t="s">
        <v>74</v>
      </c>
      <c r="T159" t="s">
        <v>69</v>
      </c>
      <c r="V159" t="s">
        <v>46</v>
      </c>
      <c r="W159" t="s">
        <v>47</v>
      </c>
      <c r="X159" t="s">
        <v>75</v>
      </c>
      <c r="Y159" t="s">
        <v>71</v>
      </c>
      <c r="Z159" t="s">
        <v>65</v>
      </c>
    </row>
    <row r="160" spans="1:26" x14ac:dyDescent="0.3">
      <c r="A160">
        <v>10391</v>
      </c>
      <c r="B160">
        <v>37</v>
      </c>
      <c r="C160">
        <v>46.9</v>
      </c>
      <c r="D160">
        <v>7</v>
      </c>
      <c r="E160">
        <v>1735.3</v>
      </c>
      <c r="F160" s="1">
        <v>38420</v>
      </c>
      <c r="G160" t="s">
        <v>39</v>
      </c>
      <c r="H160">
        <v>1</v>
      </c>
      <c r="I160">
        <v>3</v>
      </c>
      <c r="J160" t="str">
        <f>TEXT(DATE(2012,Table1[[#This Row],[MONTH_ID]],10),"mmm")</f>
        <v>Mar</v>
      </c>
      <c r="K160">
        <v>2005</v>
      </c>
      <c r="L160" t="s">
        <v>195</v>
      </c>
      <c r="M160">
        <v>147</v>
      </c>
      <c r="N160" t="s">
        <v>416</v>
      </c>
      <c r="O160" t="s">
        <v>299</v>
      </c>
      <c r="P160" t="s">
        <v>300</v>
      </c>
      <c r="Q160" t="s">
        <v>301</v>
      </c>
      <c r="R160" t="s">
        <v>302</v>
      </c>
      <c r="S160" t="s">
        <v>303</v>
      </c>
      <c r="T160" t="s">
        <v>171</v>
      </c>
      <c r="U160">
        <v>2060</v>
      </c>
      <c r="V160" t="s">
        <v>109</v>
      </c>
      <c r="W160" t="s">
        <v>110</v>
      </c>
      <c r="X160" t="s">
        <v>304</v>
      </c>
      <c r="Y160" t="s">
        <v>305</v>
      </c>
      <c r="Z160" t="s">
        <v>50</v>
      </c>
    </row>
    <row r="161" spans="1:26" x14ac:dyDescent="0.3">
      <c r="A161">
        <v>10411</v>
      </c>
      <c r="B161">
        <v>27</v>
      </c>
      <c r="C161">
        <v>100</v>
      </c>
      <c r="D161">
        <v>2</v>
      </c>
      <c r="E161">
        <v>4427.7299999999996</v>
      </c>
      <c r="F161" s="1">
        <v>38473</v>
      </c>
      <c r="G161" t="s">
        <v>39</v>
      </c>
      <c r="H161">
        <v>2</v>
      </c>
      <c r="I161">
        <v>5</v>
      </c>
      <c r="J161" t="str">
        <f>TEXT(DATE(2012,Table1[[#This Row],[MONTH_ID]],10),"mmm")</f>
        <v>May</v>
      </c>
      <c r="K161">
        <v>2005</v>
      </c>
      <c r="L161" t="s">
        <v>195</v>
      </c>
      <c r="M161">
        <v>147</v>
      </c>
      <c r="N161" t="s">
        <v>416</v>
      </c>
      <c r="O161" t="s">
        <v>306</v>
      </c>
      <c r="P161" t="s">
        <v>307</v>
      </c>
      <c r="Q161" t="s">
        <v>308</v>
      </c>
      <c r="S161" t="s">
        <v>309</v>
      </c>
      <c r="T161" t="s">
        <v>310</v>
      </c>
      <c r="U161" t="s">
        <v>311</v>
      </c>
      <c r="V161" t="s">
        <v>245</v>
      </c>
      <c r="W161" t="s">
        <v>47</v>
      </c>
      <c r="X161" t="s">
        <v>312</v>
      </c>
      <c r="Y161" t="s">
        <v>313</v>
      </c>
      <c r="Z161" t="s">
        <v>65</v>
      </c>
    </row>
    <row r="162" spans="1:26" x14ac:dyDescent="0.3">
      <c r="A162">
        <v>10425</v>
      </c>
      <c r="B162">
        <v>38</v>
      </c>
      <c r="C162">
        <v>100</v>
      </c>
      <c r="D162">
        <v>12</v>
      </c>
      <c r="E162">
        <v>5894.94</v>
      </c>
      <c r="F162" s="1">
        <v>38503</v>
      </c>
      <c r="G162" t="s">
        <v>314</v>
      </c>
      <c r="H162">
        <v>2</v>
      </c>
      <c r="I162">
        <v>5</v>
      </c>
      <c r="J162" t="str">
        <f>TEXT(DATE(2012,Table1[[#This Row],[MONTH_ID]],10),"mmm")</f>
        <v>May</v>
      </c>
      <c r="K162">
        <v>2005</v>
      </c>
      <c r="L162" t="s">
        <v>195</v>
      </c>
      <c r="M162">
        <v>147</v>
      </c>
      <c r="N162" t="s">
        <v>416</v>
      </c>
      <c r="O162" t="s">
        <v>128</v>
      </c>
      <c r="P162" t="s">
        <v>129</v>
      </c>
      <c r="Q162" t="s">
        <v>130</v>
      </c>
      <c r="S162" t="s">
        <v>131</v>
      </c>
      <c r="U162">
        <v>44000</v>
      </c>
      <c r="V162" t="s">
        <v>55</v>
      </c>
      <c r="W162" t="s">
        <v>56</v>
      </c>
      <c r="X162" t="s">
        <v>132</v>
      </c>
      <c r="Y162" t="s">
        <v>133</v>
      </c>
      <c r="Z162" t="s">
        <v>65</v>
      </c>
    </row>
    <row r="163" spans="1:26" x14ac:dyDescent="0.3">
      <c r="A163">
        <v>10108</v>
      </c>
      <c r="B163">
        <v>33</v>
      </c>
      <c r="C163">
        <v>100</v>
      </c>
      <c r="D163">
        <v>6</v>
      </c>
      <c r="E163">
        <v>5265.15</v>
      </c>
      <c r="F163" s="1">
        <v>37683</v>
      </c>
      <c r="G163" t="s">
        <v>39</v>
      </c>
      <c r="H163">
        <v>1</v>
      </c>
      <c r="I163">
        <v>3</v>
      </c>
      <c r="J163" t="str">
        <f>TEXT(DATE(2012,Table1[[#This Row],[MONTH_ID]],10),"mmm")</f>
        <v>Mar</v>
      </c>
      <c r="K163">
        <v>2003</v>
      </c>
      <c r="L163" t="s">
        <v>195</v>
      </c>
      <c r="M163">
        <v>194</v>
      </c>
      <c r="N163" t="s">
        <v>438</v>
      </c>
      <c r="O163" t="s">
        <v>439</v>
      </c>
      <c r="P163" t="s">
        <v>440</v>
      </c>
      <c r="Q163" t="s">
        <v>441</v>
      </c>
      <c r="S163" t="s">
        <v>442</v>
      </c>
      <c r="U163" t="s">
        <v>443</v>
      </c>
      <c r="V163" t="s">
        <v>444</v>
      </c>
      <c r="W163" t="s">
        <v>214</v>
      </c>
      <c r="X163" t="s">
        <v>445</v>
      </c>
      <c r="Y163" t="s">
        <v>446</v>
      </c>
      <c r="Z163" t="s">
        <v>65</v>
      </c>
    </row>
    <row r="164" spans="1:26" x14ac:dyDescent="0.3">
      <c r="A164">
        <v>10122</v>
      </c>
      <c r="B164">
        <v>42</v>
      </c>
      <c r="C164">
        <v>100</v>
      </c>
      <c r="D164">
        <v>10</v>
      </c>
      <c r="E164">
        <v>7599.9</v>
      </c>
      <c r="F164" s="1">
        <v>37749</v>
      </c>
      <c r="G164" t="s">
        <v>39</v>
      </c>
      <c r="H164">
        <v>2</v>
      </c>
      <c r="I164">
        <v>5</v>
      </c>
      <c r="J164" t="str">
        <f>TEXT(DATE(2012,Table1[[#This Row],[MONTH_ID]],10),"mmm")</f>
        <v>May</v>
      </c>
      <c r="K164">
        <v>2003</v>
      </c>
      <c r="L164" t="s">
        <v>195</v>
      </c>
      <c r="M164">
        <v>194</v>
      </c>
      <c r="N164" t="s">
        <v>438</v>
      </c>
      <c r="O164" t="s">
        <v>447</v>
      </c>
      <c r="P164" t="s">
        <v>448</v>
      </c>
      <c r="Q164" t="s">
        <v>449</v>
      </c>
      <c r="S164" t="s">
        <v>450</v>
      </c>
      <c r="U164">
        <v>13008</v>
      </c>
      <c r="V164" t="s">
        <v>55</v>
      </c>
      <c r="W164" t="s">
        <v>56</v>
      </c>
      <c r="X164" t="s">
        <v>451</v>
      </c>
      <c r="Y164" t="s">
        <v>452</v>
      </c>
      <c r="Z164" t="s">
        <v>165</v>
      </c>
    </row>
    <row r="165" spans="1:26" x14ac:dyDescent="0.3">
      <c r="A165">
        <v>10135</v>
      </c>
      <c r="B165">
        <v>42</v>
      </c>
      <c r="C165">
        <v>100</v>
      </c>
      <c r="D165">
        <v>7</v>
      </c>
      <c r="E165">
        <v>8008.56</v>
      </c>
      <c r="F165" s="1">
        <v>37804</v>
      </c>
      <c r="G165" t="s">
        <v>39</v>
      </c>
      <c r="H165">
        <v>3</v>
      </c>
      <c r="I165">
        <v>7</v>
      </c>
      <c r="J165" t="str">
        <f>TEXT(DATE(2012,Table1[[#This Row],[MONTH_ID]],10),"mmm")</f>
        <v>Jul</v>
      </c>
      <c r="K165">
        <v>2003</v>
      </c>
      <c r="L165" t="s">
        <v>195</v>
      </c>
      <c r="M165">
        <v>194</v>
      </c>
      <c r="N165" t="s">
        <v>438</v>
      </c>
      <c r="O165" t="s">
        <v>286</v>
      </c>
      <c r="P165">
        <v>4155551450</v>
      </c>
      <c r="Q165" t="s">
        <v>287</v>
      </c>
      <c r="S165" t="s">
        <v>288</v>
      </c>
      <c r="T165" t="s">
        <v>69</v>
      </c>
      <c r="U165">
        <v>97562</v>
      </c>
      <c r="V165" t="s">
        <v>46</v>
      </c>
      <c r="W165" t="s">
        <v>47</v>
      </c>
      <c r="X165" t="s">
        <v>289</v>
      </c>
      <c r="Y165" t="s">
        <v>290</v>
      </c>
      <c r="Z165" t="s">
        <v>165</v>
      </c>
    </row>
    <row r="166" spans="1:26" x14ac:dyDescent="0.3">
      <c r="A166">
        <v>10147</v>
      </c>
      <c r="B166">
        <v>48</v>
      </c>
      <c r="C166">
        <v>100</v>
      </c>
      <c r="D166">
        <v>7</v>
      </c>
      <c r="E166">
        <v>9245.76</v>
      </c>
      <c r="F166" s="1">
        <v>37869</v>
      </c>
      <c r="G166" t="s">
        <v>39</v>
      </c>
      <c r="H166">
        <v>3</v>
      </c>
      <c r="I166">
        <v>9</v>
      </c>
      <c r="J166" t="str">
        <f>TEXT(DATE(2012,Table1[[#This Row],[MONTH_ID]],10),"mmm")</f>
        <v>Sep</v>
      </c>
      <c r="K166">
        <v>2003</v>
      </c>
      <c r="L166" t="s">
        <v>195</v>
      </c>
      <c r="M166">
        <v>194</v>
      </c>
      <c r="N166" t="s">
        <v>438</v>
      </c>
      <c r="O166" t="s">
        <v>295</v>
      </c>
      <c r="P166">
        <v>6175558555</v>
      </c>
      <c r="Q166" t="s">
        <v>296</v>
      </c>
      <c r="S166" t="s">
        <v>297</v>
      </c>
      <c r="T166" t="s">
        <v>137</v>
      </c>
      <c r="U166">
        <v>58339</v>
      </c>
      <c r="V166" t="s">
        <v>46</v>
      </c>
      <c r="W166" t="s">
        <v>47</v>
      </c>
      <c r="X166" t="s">
        <v>289</v>
      </c>
      <c r="Y166" t="s">
        <v>298</v>
      </c>
      <c r="Z166" t="s">
        <v>165</v>
      </c>
    </row>
    <row r="167" spans="1:26" x14ac:dyDescent="0.3">
      <c r="A167">
        <v>10159</v>
      </c>
      <c r="B167">
        <v>41</v>
      </c>
      <c r="C167">
        <v>100</v>
      </c>
      <c r="D167">
        <v>2</v>
      </c>
      <c r="E167">
        <v>8296.35</v>
      </c>
      <c r="F167" s="1">
        <v>37904</v>
      </c>
      <c r="G167" t="s">
        <v>39</v>
      </c>
      <c r="H167">
        <v>4</v>
      </c>
      <c r="I167">
        <v>10</v>
      </c>
      <c r="J167" t="str">
        <f>TEXT(DATE(2012,Table1[[#This Row],[MONTH_ID]],10),"mmm")</f>
        <v>Oct</v>
      </c>
      <c r="K167">
        <v>2003</v>
      </c>
      <c r="L167" t="s">
        <v>195</v>
      </c>
      <c r="M167">
        <v>194</v>
      </c>
      <c r="N167" t="s">
        <v>438</v>
      </c>
      <c r="O167" t="s">
        <v>72</v>
      </c>
      <c r="P167">
        <v>6505551386</v>
      </c>
      <c r="Q167" t="s">
        <v>73</v>
      </c>
      <c r="S167" t="s">
        <v>74</v>
      </c>
      <c r="T167" t="s">
        <v>69</v>
      </c>
      <c r="V167" t="s">
        <v>46</v>
      </c>
      <c r="W167" t="s">
        <v>47</v>
      </c>
      <c r="X167" t="s">
        <v>75</v>
      </c>
      <c r="Y167" t="s">
        <v>71</v>
      </c>
      <c r="Z167" t="s">
        <v>165</v>
      </c>
    </row>
    <row r="168" spans="1:26" x14ac:dyDescent="0.3">
      <c r="A168">
        <v>10169</v>
      </c>
      <c r="B168">
        <v>30</v>
      </c>
      <c r="C168">
        <v>100</v>
      </c>
      <c r="D168">
        <v>2</v>
      </c>
      <c r="E168">
        <v>5019.8999999999996</v>
      </c>
      <c r="F168" s="1">
        <v>37929</v>
      </c>
      <c r="G168" t="s">
        <v>39</v>
      </c>
      <c r="H168">
        <v>4</v>
      </c>
      <c r="I168">
        <v>11</v>
      </c>
      <c r="J168" t="str">
        <f>TEXT(DATE(2012,Table1[[#This Row],[MONTH_ID]],10),"mmm")</f>
        <v>Nov</v>
      </c>
      <c r="K168">
        <v>2003</v>
      </c>
      <c r="L168" t="s">
        <v>195</v>
      </c>
      <c r="M168">
        <v>194</v>
      </c>
      <c r="N168" t="s">
        <v>438</v>
      </c>
      <c r="O168" t="s">
        <v>299</v>
      </c>
      <c r="P168" t="s">
        <v>300</v>
      </c>
      <c r="Q168" t="s">
        <v>301</v>
      </c>
      <c r="R168" t="s">
        <v>302</v>
      </c>
      <c r="S168" t="s">
        <v>303</v>
      </c>
      <c r="T168" t="s">
        <v>171</v>
      </c>
      <c r="U168">
        <v>2060</v>
      </c>
      <c r="V168" t="s">
        <v>109</v>
      </c>
      <c r="W168" t="s">
        <v>110</v>
      </c>
      <c r="X168" t="s">
        <v>304</v>
      </c>
      <c r="Y168" t="s">
        <v>305</v>
      </c>
      <c r="Z168" t="s">
        <v>65</v>
      </c>
    </row>
    <row r="169" spans="1:26" x14ac:dyDescent="0.3">
      <c r="A169">
        <v>10181</v>
      </c>
      <c r="B169">
        <v>27</v>
      </c>
      <c r="C169">
        <v>100</v>
      </c>
      <c r="D169">
        <v>14</v>
      </c>
      <c r="E169">
        <v>5411.07</v>
      </c>
      <c r="F169" s="1">
        <v>37937</v>
      </c>
      <c r="G169" t="s">
        <v>39</v>
      </c>
      <c r="H169">
        <v>4</v>
      </c>
      <c r="I169">
        <v>11</v>
      </c>
      <c r="J169" t="str">
        <f>TEXT(DATE(2012,Table1[[#This Row],[MONTH_ID]],10),"mmm")</f>
        <v>Nov</v>
      </c>
      <c r="K169">
        <v>2003</v>
      </c>
      <c r="L169" t="s">
        <v>195</v>
      </c>
      <c r="M169">
        <v>194</v>
      </c>
      <c r="N169" t="s">
        <v>438</v>
      </c>
      <c r="O169" t="s">
        <v>87</v>
      </c>
      <c r="P169" t="s">
        <v>88</v>
      </c>
      <c r="Q169" t="s">
        <v>89</v>
      </c>
      <c r="S169" t="s">
        <v>90</v>
      </c>
      <c r="U169" t="s">
        <v>91</v>
      </c>
      <c r="V169" t="s">
        <v>92</v>
      </c>
      <c r="W169" t="s">
        <v>56</v>
      </c>
      <c r="X169" t="s">
        <v>93</v>
      </c>
      <c r="Y169" t="s">
        <v>94</v>
      </c>
      <c r="Z169" t="s">
        <v>65</v>
      </c>
    </row>
    <row r="170" spans="1:26" x14ac:dyDescent="0.3">
      <c r="A170">
        <v>10191</v>
      </c>
      <c r="B170">
        <v>21</v>
      </c>
      <c r="C170">
        <v>100</v>
      </c>
      <c r="D170">
        <v>3</v>
      </c>
      <c r="E170">
        <v>3840.9</v>
      </c>
      <c r="F170" s="1">
        <v>37945</v>
      </c>
      <c r="G170" t="s">
        <v>39</v>
      </c>
      <c r="H170">
        <v>4</v>
      </c>
      <c r="I170">
        <v>11</v>
      </c>
      <c r="J170" t="str">
        <f>TEXT(DATE(2012,Table1[[#This Row],[MONTH_ID]],10),"mmm")</f>
        <v>Nov</v>
      </c>
      <c r="K170">
        <v>2003</v>
      </c>
      <c r="L170" t="s">
        <v>195</v>
      </c>
      <c r="M170">
        <v>194</v>
      </c>
      <c r="N170" t="s">
        <v>438</v>
      </c>
      <c r="O170" t="s">
        <v>453</v>
      </c>
      <c r="P170" t="s">
        <v>454</v>
      </c>
      <c r="Q170" t="s">
        <v>455</v>
      </c>
      <c r="S170" t="s">
        <v>456</v>
      </c>
      <c r="U170">
        <v>50739</v>
      </c>
      <c r="V170" t="s">
        <v>457</v>
      </c>
      <c r="W170" t="s">
        <v>56</v>
      </c>
      <c r="X170" t="s">
        <v>458</v>
      </c>
      <c r="Y170" t="s">
        <v>459</v>
      </c>
      <c r="Z170" t="s">
        <v>65</v>
      </c>
    </row>
    <row r="171" spans="1:26" x14ac:dyDescent="0.3">
      <c r="A171">
        <v>10203</v>
      </c>
      <c r="B171">
        <v>20</v>
      </c>
      <c r="C171">
        <v>100</v>
      </c>
      <c r="D171">
        <v>8</v>
      </c>
      <c r="E171">
        <v>3930.4</v>
      </c>
      <c r="F171" s="1">
        <v>37957</v>
      </c>
      <c r="G171" t="s">
        <v>39</v>
      </c>
      <c r="H171">
        <v>4</v>
      </c>
      <c r="I171">
        <v>12</v>
      </c>
      <c r="J171" t="str">
        <f>TEXT(DATE(2012,Table1[[#This Row],[MONTH_ID]],10),"mmm")</f>
        <v>Dec</v>
      </c>
      <c r="K171">
        <v>2003</v>
      </c>
      <c r="L171" t="s">
        <v>195</v>
      </c>
      <c r="M171">
        <v>194</v>
      </c>
      <c r="N171" t="s">
        <v>438</v>
      </c>
      <c r="O171" t="s">
        <v>188</v>
      </c>
      <c r="P171" t="s">
        <v>189</v>
      </c>
      <c r="Q171" t="s">
        <v>190</v>
      </c>
      <c r="S171" t="s">
        <v>191</v>
      </c>
      <c r="U171">
        <v>28034</v>
      </c>
      <c r="V171" t="s">
        <v>192</v>
      </c>
      <c r="W171" t="s">
        <v>56</v>
      </c>
      <c r="X171" t="s">
        <v>193</v>
      </c>
      <c r="Y171" t="s">
        <v>194</v>
      </c>
      <c r="Z171" t="s">
        <v>65</v>
      </c>
    </row>
    <row r="172" spans="1:26" x14ac:dyDescent="0.3">
      <c r="A172">
        <v>10211</v>
      </c>
      <c r="B172">
        <v>41</v>
      </c>
      <c r="C172">
        <v>100</v>
      </c>
      <c r="D172">
        <v>2</v>
      </c>
      <c r="E172">
        <v>7498.9</v>
      </c>
      <c r="F172" s="1">
        <v>38001</v>
      </c>
      <c r="G172" t="s">
        <v>39</v>
      </c>
      <c r="H172">
        <v>1</v>
      </c>
      <c r="I172">
        <v>1</v>
      </c>
      <c r="J172" t="str">
        <f>TEXT(DATE(2012,Table1[[#This Row],[MONTH_ID]],10),"mmm")</f>
        <v>Jan</v>
      </c>
      <c r="K172">
        <v>2004</v>
      </c>
      <c r="L172" t="s">
        <v>195</v>
      </c>
      <c r="M172">
        <v>194</v>
      </c>
      <c r="N172" t="s">
        <v>438</v>
      </c>
      <c r="O172" t="s">
        <v>98</v>
      </c>
      <c r="P172" t="s">
        <v>99</v>
      </c>
      <c r="Q172" t="s">
        <v>100</v>
      </c>
      <c r="S172" t="s">
        <v>62</v>
      </c>
      <c r="U172">
        <v>75016</v>
      </c>
      <c r="V172" t="s">
        <v>55</v>
      </c>
      <c r="W172" t="s">
        <v>56</v>
      </c>
      <c r="X172" t="s">
        <v>101</v>
      </c>
      <c r="Y172" t="s">
        <v>102</v>
      </c>
      <c r="Z172" t="s">
        <v>165</v>
      </c>
    </row>
    <row r="173" spans="1:26" x14ac:dyDescent="0.3">
      <c r="A173">
        <v>10225</v>
      </c>
      <c r="B173">
        <v>27</v>
      </c>
      <c r="C173">
        <v>100</v>
      </c>
      <c r="D173">
        <v>9</v>
      </c>
      <c r="E173">
        <v>4517.91</v>
      </c>
      <c r="F173" s="1">
        <v>38039</v>
      </c>
      <c r="G173" t="s">
        <v>39</v>
      </c>
      <c r="H173">
        <v>1</v>
      </c>
      <c r="I173">
        <v>2</v>
      </c>
      <c r="J173" t="str">
        <f>TEXT(DATE(2012,Table1[[#This Row],[MONTH_ID]],10),"mmm")</f>
        <v>Feb</v>
      </c>
      <c r="K173">
        <v>2004</v>
      </c>
      <c r="L173" t="s">
        <v>195</v>
      </c>
      <c r="M173">
        <v>194</v>
      </c>
      <c r="N173" t="s">
        <v>438</v>
      </c>
      <c r="O173" t="s">
        <v>460</v>
      </c>
      <c r="P173" t="s">
        <v>461</v>
      </c>
      <c r="Q173" t="s">
        <v>462</v>
      </c>
      <c r="S173" t="s">
        <v>463</v>
      </c>
      <c r="U173">
        <v>1203</v>
      </c>
      <c r="V173" t="s">
        <v>464</v>
      </c>
      <c r="W173" t="s">
        <v>56</v>
      </c>
      <c r="X173" t="s">
        <v>465</v>
      </c>
      <c r="Y173" t="s">
        <v>117</v>
      </c>
      <c r="Z173" t="s">
        <v>65</v>
      </c>
    </row>
    <row r="174" spans="1:26" x14ac:dyDescent="0.3">
      <c r="A174">
        <v>10238</v>
      </c>
      <c r="B174">
        <v>28</v>
      </c>
      <c r="C174">
        <v>100</v>
      </c>
      <c r="D174">
        <v>3</v>
      </c>
      <c r="E174">
        <v>5774.72</v>
      </c>
      <c r="F174" s="1">
        <v>38086</v>
      </c>
      <c r="G174" t="s">
        <v>39</v>
      </c>
      <c r="H174">
        <v>2</v>
      </c>
      <c r="I174">
        <v>4</v>
      </c>
      <c r="J174" t="str">
        <f>TEXT(DATE(2012,Table1[[#This Row],[MONTH_ID]],10),"mmm")</f>
        <v>Apr</v>
      </c>
      <c r="K174">
        <v>2004</v>
      </c>
      <c r="L174" t="s">
        <v>195</v>
      </c>
      <c r="M174">
        <v>194</v>
      </c>
      <c r="N174" t="s">
        <v>438</v>
      </c>
      <c r="O174" t="s">
        <v>336</v>
      </c>
      <c r="P174" t="s">
        <v>337</v>
      </c>
      <c r="Q174" t="s">
        <v>338</v>
      </c>
      <c r="S174" t="s">
        <v>339</v>
      </c>
      <c r="U174">
        <v>1734</v>
      </c>
      <c r="V174" t="s">
        <v>340</v>
      </c>
      <c r="W174" t="s">
        <v>56</v>
      </c>
      <c r="X174" t="s">
        <v>341</v>
      </c>
      <c r="Y174" t="s">
        <v>342</v>
      </c>
      <c r="Z174" t="s">
        <v>65</v>
      </c>
    </row>
    <row r="175" spans="1:26" x14ac:dyDescent="0.3">
      <c r="A175">
        <v>10253</v>
      </c>
      <c r="B175">
        <v>24</v>
      </c>
      <c r="C175">
        <v>100</v>
      </c>
      <c r="D175">
        <v>13</v>
      </c>
      <c r="E175">
        <v>3922.56</v>
      </c>
      <c r="F175" s="1">
        <v>38139</v>
      </c>
      <c r="G175" t="s">
        <v>353</v>
      </c>
      <c r="H175">
        <v>2</v>
      </c>
      <c r="I175">
        <v>6</v>
      </c>
      <c r="J175" t="str">
        <f>TEXT(DATE(2012,Table1[[#This Row],[MONTH_ID]],10),"mmm")</f>
        <v>Jun</v>
      </c>
      <c r="K175">
        <v>2004</v>
      </c>
      <c r="L175" t="s">
        <v>195</v>
      </c>
      <c r="M175">
        <v>194</v>
      </c>
      <c r="N175" t="s">
        <v>438</v>
      </c>
      <c r="O175" t="s">
        <v>179</v>
      </c>
      <c r="P175" t="s">
        <v>180</v>
      </c>
      <c r="Q175" t="s">
        <v>181</v>
      </c>
      <c r="S175" t="s">
        <v>182</v>
      </c>
      <c r="U175" t="s">
        <v>183</v>
      </c>
      <c r="V175" t="s">
        <v>184</v>
      </c>
      <c r="W175" t="s">
        <v>56</v>
      </c>
      <c r="X175" t="s">
        <v>185</v>
      </c>
      <c r="Y175" t="s">
        <v>186</v>
      </c>
      <c r="Z175" t="s">
        <v>65</v>
      </c>
    </row>
    <row r="176" spans="1:26" x14ac:dyDescent="0.3">
      <c r="A176">
        <v>10266</v>
      </c>
      <c r="B176">
        <v>44</v>
      </c>
      <c r="C176">
        <v>100</v>
      </c>
      <c r="D176">
        <v>14</v>
      </c>
      <c r="E176">
        <v>9160.36</v>
      </c>
      <c r="F176" s="1">
        <v>38174</v>
      </c>
      <c r="G176" t="s">
        <v>39</v>
      </c>
      <c r="H176">
        <v>3</v>
      </c>
      <c r="I176">
        <v>7</v>
      </c>
      <c r="J176" t="str">
        <f>TEXT(DATE(2012,Table1[[#This Row],[MONTH_ID]],10),"mmm")</f>
        <v>Jul</v>
      </c>
      <c r="K176">
        <v>2004</v>
      </c>
      <c r="L176" t="s">
        <v>195</v>
      </c>
      <c r="M176">
        <v>194</v>
      </c>
      <c r="N176" t="s">
        <v>438</v>
      </c>
      <c r="O176" t="s">
        <v>466</v>
      </c>
      <c r="P176" t="s">
        <v>467</v>
      </c>
      <c r="Q176" t="s">
        <v>468</v>
      </c>
      <c r="S176" t="s">
        <v>469</v>
      </c>
      <c r="U176">
        <v>42100</v>
      </c>
      <c r="V176" t="s">
        <v>272</v>
      </c>
      <c r="W176" t="s">
        <v>56</v>
      </c>
      <c r="X176" t="s">
        <v>470</v>
      </c>
      <c r="Y176" t="s">
        <v>471</v>
      </c>
      <c r="Z176" t="s">
        <v>165</v>
      </c>
    </row>
    <row r="177" spans="1:26" x14ac:dyDescent="0.3">
      <c r="A177">
        <v>10276</v>
      </c>
      <c r="B177">
        <v>50</v>
      </c>
      <c r="C177">
        <v>100</v>
      </c>
      <c r="D177">
        <v>3</v>
      </c>
      <c r="E177">
        <v>9631</v>
      </c>
      <c r="F177" s="1">
        <v>38201</v>
      </c>
      <c r="G177" t="s">
        <v>39</v>
      </c>
      <c r="H177">
        <v>3</v>
      </c>
      <c r="I177">
        <v>8</v>
      </c>
      <c r="J177" t="str">
        <f>TEXT(DATE(2012,Table1[[#This Row],[MONTH_ID]],10),"mmm")</f>
        <v>Aug</v>
      </c>
      <c r="K177">
        <v>2004</v>
      </c>
      <c r="L177" t="s">
        <v>195</v>
      </c>
      <c r="M177">
        <v>194</v>
      </c>
      <c r="N177" t="s">
        <v>438</v>
      </c>
      <c r="O177" t="s">
        <v>472</v>
      </c>
      <c r="P177">
        <v>6175557555</v>
      </c>
      <c r="Q177" t="s">
        <v>473</v>
      </c>
      <c r="S177" t="s">
        <v>297</v>
      </c>
      <c r="T177" t="s">
        <v>137</v>
      </c>
      <c r="U177">
        <v>58339</v>
      </c>
      <c r="V177" t="s">
        <v>46</v>
      </c>
      <c r="W177" t="s">
        <v>47</v>
      </c>
      <c r="X177" t="s">
        <v>474</v>
      </c>
      <c r="Y177" t="s">
        <v>475</v>
      </c>
      <c r="Z177" t="s">
        <v>165</v>
      </c>
    </row>
    <row r="178" spans="1:26" x14ac:dyDescent="0.3">
      <c r="A178">
        <v>10287</v>
      </c>
      <c r="B178">
        <v>21</v>
      </c>
      <c r="C178">
        <v>100</v>
      </c>
      <c r="D178">
        <v>12</v>
      </c>
      <c r="E178">
        <v>3432.24</v>
      </c>
      <c r="F178" s="1">
        <v>38229</v>
      </c>
      <c r="G178" t="s">
        <v>39</v>
      </c>
      <c r="H178">
        <v>3</v>
      </c>
      <c r="I178">
        <v>8</v>
      </c>
      <c r="J178" t="str">
        <f>TEXT(DATE(2012,Table1[[#This Row],[MONTH_ID]],10),"mmm")</f>
        <v>Aug</v>
      </c>
      <c r="K178">
        <v>2004</v>
      </c>
      <c r="L178" t="s">
        <v>195</v>
      </c>
      <c r="M178">
        <v>194</v>
      </c>
      <c r="N178" t="s">
        <v>438</v>
      </c>
      <c r="O178" t="s">
        <v>460</v>
      </c>
      <c r="P178" t="s">
        <v>461</v>
      </c>
      <c r="Q178" t="s">
        <v>462</v>
      </c>
      <c r="S178" t="s">
        <v>463</v>
      </c>
      <c r="U178">
        <v>1203</v>
      </c>
      <c r="V178" t="s">
        <v>464</v>
      </c>
      <c r="W178" t="s">
        <v>56</v>
      </c>
      <c r="X178" t="s">
        <v>465</v>
      </c>
      <c r="Y178" t="s">
        <v>117</v>
      </c>
      <c r="Z178" t="s">
        <v>65</v>
      </c>
    </row>
    <row r="179" spans="1:26" x14ac:dyDescent="0.3">
      <c r="A179">
        <v>10300</v>
      </c>
      <c r="B179">
        <v>33</v>
      </c>
      <c r="C179">
        <v>100</v>
      </c>
      <c r="D179">
        <v>5</v>
      </c>
      <c r="E179">
        <v>5521.89</v>
      </c>
      <c r="F179" s="1">
        <v>37898</v>
      </c>
      <c r="G179" t="s">
        <v>39</v>
      </c>
      <c r="H179">
        <v>4</v>
      </c>
      <c r="I179">
        <v>10</v>
      </c>
      <c r="J179" t="str">
        <f>TEXT(DATE(2012,Table1[[#This Row],[MONTH_ID]],10),"mmm")</f>
        <v>Oct</v>
      </c>
      <c r="K179">
        <v>2003</v>
      </c>
      <c r="L179" t="s">
        <v>195</v>
      </c>
      <c r="M179">
        <v>194</v>
      </c>
      <c r="N179" t="s">
        <v>438</v>
      </c>
      <c r="O179" t="s">
        <v>476</v>
      </c>
      <c r="P179" t="s">
        <v>477</v>
      </c>
      <c r="Q179" t="s">
        <v>478</v>
      </c>
      <c r="S179" t="s">
        <v>479</v>
      </c>
      <c r="U179">
        <v>60528</v>
      </c>
      <c r="V179" t="s">
        <v>457</v>
      </c>
      <c r="W179" t="s">
        <v>56</v>
      </c>
      <c r="X179" t="s">
        <v>480</v>
      </c>
      <c r="Y179" t="s">
        <v>428</v>
      </c>
      <c r="Z179" t="s">
        <v>65</v>
      </c>
    </row>
    <row r="180" spans="1:26" x14ac:dyDescent="0.3">
      <c r="A180">
        <v>10310</v>
      </c>
      <c r="B180">
        <v>33</v>
      </c>
      <c r="C180">
        <v>100</v>
      </c>
      <c r="D180">
        <v>10</v>
      </c>
      <c r="E180">
        <v>6934.62</v>
      </c>
      <c r="F180" s="1">
        <v>38276</v>
      </c>
      <c r="G180" t="s">
        <v>39</v>
      </c>
      <c r="H180">
        <v>4</v>
      </c>
      <c r="I180">
        <v>10</v>
      </c>
      <c r="J180" t="str">
        <f>TEXT(DATE(2012,Table1[[#This Row],[MONTH_ID]],10),"mmm")</f>
        <v>Oct</v>
      </c>
      <c r="K180">
        <v>2004</v>
      </c>
      <c r="L180" t="s">
        <v>195</v>
      </c>
      <c r="M180">
        <v>194</v>
      </c>
      <c r="N180" t="s">
        <v>438</v>
      </c>
      <c r="O180" t="s">
        <v>453</v>
      </c>
      <c r="P180" t="s">
        <v>454</v>
      </c>
      <c r="Q180" t="s">
        <v>455</v>
      </c>
      <c r="S180" t="s">
        <v>456</v>
      </c>
      <c r="U180">
        <v>50739</v>
      </c>
      <c r="V180" t="s">
        <v>457</v>
      </c>
      <c r="W180" t="s">
        <v>56</v>
      </c>
      <c r="X180" t="s">
        <v>458</v>
      </c>
      <c r="Y180" t="s">
        <v>459</v>
      </c>
      <c r="Z180" t="s">
        <v>65</v>
      </c>
    </row>
    <row r="181" spans="1:26" x14ac:dyDescent="0.3">
      <c r="A181">
        <v>10320</v>
      </c>
      <c r="B181">
        <v>31</v>
      </c>
      <c r="C181">
        <v>100</v>
      </c>
      <c r="D181">
        <v>3</v>
      </c>
      <c r="E181">
        <v>6876.11</v>
      </c>
      <c r="F181" s="1">
        <v>38294</v>
      </c>
      <c r="G181" t="s">
        <v>39</v>
      </c>
      <c r="H181">
        <v>4</v>
      </c>
      <c r="I181">
        <v>11</v>
      </c>
      <c r="J181" t="str">
        <f>TEXT(DATE(2012,Table1[[#This Row],[MONTH_ID]],10),"mmm")</f>
        <v>Nov</v>
      </c>
      <c r="K181">
        <v>2004</v>
      </c>
      <c r="L181" t="s">
        <v>195</v>
      </c>
      <c r="M181">
        <v>194</v>
      </c>
      <c r="N181" t="s">
        <v>438</v>
      </c>
      <c r="O181" t="s">
        <v>197</v>
      </c>
      <c r="P181" t="s">
        <v>198</v>
      </c>
      <c r="Q181" t="s">
        <v>199</v>
      </c>
      <c r="S181" t="s">
        <v>200</v>
      </c>
      <c r="U181" t="s">
        <v>201</v>
      </c>
      <c r="V181" t="s">
        <v>202</v>
      </c>
      <c r="W181" t="s">
        <v>56</v>
      </c>
      <c r="X181" t="s">
        <v>203</v>
      </c>
      <c r="Y181" t="s">
        <v>204</v>
      </c>
      <c r="Z181" t="s">
        <v>65</v>
      </c>
    </row>
    <row r="182" spans="1:26" x14ac:dyDescent="0.3">
      <c r="A182">
        <v>10329</v>
      </c>
      <c r="B182">
        <v>41</v>
      </c>
      <c r="C182">
        <v>71.47</v>
      </c>
      <c r="D182">
        <v>5</v>
      </c>
      <c r="E182">
        <v>2930.27</v>
      </c>
      <c r="F182" s="1">
        <v>38306</v>
      </c>
      <c r="G182" t="s">
        <v>39</v>
      </c>
      <c r="H182">
        <v>4</v>
      </c>
      <c r="I182">
        <v>11</v>
      </c>
      <c r="J182" t="str">
        <f>TEXT(DATE(2012,Table1[[#This Row],[MONTH_ID]],10),"mmm")</f>
        <v>Nov</v>
      </c>
      <c r="K182">
        <v>2004</v>
      </c>
      <c r="L182" t="s">
        <v>195</v>
      </c>
      <c r="M182">
        <v>194</v>
      </c>
      <c r="N182" t="s">
        <v>438</v>
      </c>
      <c r="O182" t="s">
        <v>42</v>
      </c>
      <c r="P182">
        <v>2125557818</v>
      </c>
      <c r="Q182" t="s">
        <v>43</v>
      </c>
      <c r="S182" t="s">
        <v>44</v>
      </c>
      <c r="T182" t="s">
        <v>45</v>
      </c>
      <c r="U182">
        <v>10022</v>
      </c>
      <c r="V182" t="s">
        <v>46</v>
      </c>
      <c r="W182" t="s">
        <v>47</v>
      </c>
      <c r="X182" t="s">
        <v>48</v>
      </c>
      <c r="Y182" t="s">
        <v>49</v>
      </c>
      <c r="Z182" t="s">
        <v>50</v>
      </c>
    </row>
    <row r="183" spans="1:26" x14ac:dyDescent="0.3">
      <c r="A183">
        <v>10341</v>
      </c>
      <c r="B183">
        <v>45</v>
      </c>
      <c r="C183">
        <v>79.650000000000006</v>
      </c>
      <c r="D183">
        <v>2</v>
      </c>
      <c r="E183">
        <v>3584.25</v>
      </c>
      <c r="F183" s="1">
        <v>38315</v>
      </c>
      <c r="G183" t="s">
        <v>39</v>
      </c>
      <c r="H183">
        <v>4</v>
      </c>
      <c r="I183">
        <v>11</v>
      </c>
      <c r="J183" t="str">
        <f>TEXT(DATE(2012,Table1[[#This Row],[MONTH_ID]],10),"mmm")</f>
        <v>Nov</v>
      </c>
      <c r="K183">
        <v>2004</v>
      </c>
      <c r="L183" t="s">
        <v>195</v>
      </c>
      <c r="M183">
        <v>194</v>
      </c>
      <c r="N183" t="s">
        <v>438</v>
      </c>
      <c r="O183" t="s">
        <v>158</v>
      </c>
      <c r="P183" t="s">
        <v>159</v>
      </c>
      <c r="Q183" t="s">
        <v>160</v>
      </c>
      <c r="S183" t="s">
        <v>161</v>
      </c>
      <c r="U183">
        <v>5020</v>
      </c>
      <c r="V183" t="s">
        <v>162</v>
      </c>
      <c r="W183" t="s">
        <v>56</v>
      </c>
      <c r="X183" t="s">
        <v>163</v>
      </c>
      <c r="Y183" t="s">
        <v>164</v>
      </c>
      <c r="Z183" t="s">
        <v>65</v>
      </c>
    </row>
    <row r="184" spans="1:26" x14ac:dyDescent="0.3">
      <c r="A184">
        <v>10363</v>
      </c>
      <c r="B184">
        <v>33</v>
      </c>
      <c r="C184">
        <v>85.39</v>
      </c>
      <c r="D184">
        <v>3</v>
      </c>
      <c r="E184">
        <v>2817.87</v>
      </c>
      <c r="F184" s="1">
        <v>38358</v>
      </c>
      <c r="G184" t="s">
        <v>39</v>
      </c>
      <c r="H184">
        <v>1</v>
      </c>
      <c r="I184">
        <v>1</v>
      </c>
      <c r="J184" t="str">
        <f>TEXT(DATE(2012,Table1[[#This Row],[MONTH_ID]],10),"mmm")</f>
        <v>Jan</v>
      </c>
      <c r="K184">
        <v>2005</v>
      </c>
      <c r="L184" t="s">
        <v>195</v>
      </c>
      <c r="M184">
        <v>194</v>
      </c>
      <c r="N184" t="s">
        <v>438</v>
      </c>
      <c r="O184" t="s">
        <v>481</v>
      </c>
      <c r="P184" t="s">
        <v>482</v>
      </c>
      <c r="Q184" t="s">
        <v>483</v>
      </c>
      <c r="S184" t="s">
        <v>484</v>
      </c>
      <c r="U184" t="s">
        <v>485</v>
      </c>
      <c r="V184" t="s">
        <v>144</v>
      </c>
      <c r="W184" t="s">
        <v>56</v>
      </c>
      <c r="X184" t="s">
        <v>486</v>
      </c>
      <c r="Y184" t="s">
        <v>487</v>
      </c>
      <c r="Z184" t="s">
        <v>50</v>
      </c>
    </row>
    <row r="185" spans="1:26" x14ac:dyDescent="0.3">
      <c r="A185">
        <v>10375</v>
      </c>
      <c r="B185">
        <v>45</v>
      </c>
      <c r="C185">
        <v>76</v>
      </c>
      <c r="D185">
        <v>7</v>
      </c>
      <c r="E185">
        <v>3420</v>
      </c>
      <c r="F185" s="1">
        <v>38386</v>
      </c>
      <c r="G185" t="s">
        <v>39</v>
      </c>
      <c r="H185">
        <v>1</v>
      </c>
      <c r="I185">
        <v>2</v>
      </c>
      <c r="J185" t="str">
        <f>TEXT(DATE(2012,Table1[[#This Row],[MONTH_ID]],10),"mmm")</f>
        <v>Feb</v>
      </c>
      <c r="K185">
        <v>2005</v>
      </c>
      <c r="L185" t="s">
        <v>195</v>
      </c>
      <c r="M185">
        <v>194</v>
      </c>
      <c r="N185" t="s">
        <v>438</v>
      </c>
      <c r="O185" t="s">
        <v>128</v>
      </c>
      <c r="P185" t="s">
        <v>129</v>
      </c>
      <c r="Q185" t="s">
        <v>130</v>
      </c>
      <c r="S185" t="s">
        <v>131</v>
      </c>
      <c r="U185">
        <v>44000</v>
      </c>
      <c r="V185" t="s">
        <v>55</v>
      </c>
      <c r="W185" t="s">
        <v>56</v>
      </c>
      <c r="X185" t="s">
        <v>132</v>
      </c>
      <c r="Y185" t="s">
        <v>133</v>
      </c>
      <c r="Z185" t="s">
        <v>65</v>
      </c>
    </row>
    <row r="186" spans="1:26" x14ac:dyDescent="0.3">
      <c r="A186">
        <v>10389</v>
      </c>
      <c r="B186">
        <v>26</v>
      </c>
      <c r="C186">
        <v>99.04</v>
      </c>
      <c r="D186">
        <v>4</v>
      </c>
      <c r="E186">
        <v>2575.04</v>
      </c>
      <c r="F186" s="1">
        <v>38414</v>
      </c>
      <c r="G186" t="s">
        <v>39</v>
      </c>
      <c r="H186">
        <v>1</v>
      </c>
      <c r="I186">
        <v>3</v>
      </c>
      <c r="J186" t="str">
        <f>TEXT(DATE(2012,Table1[[#This Row],[MONTH_ID]],10),"mmm")</f>
        <v>Mar</v>
      </c>
      <c r="K186">
        <v>2005</v>
      </c>
      <c r="L186" t="s">
        <v>195</v>
      </c>
      <c r="M186">
        <v>194</v>
      </c>
      <c r="N186" t="s">
        <v>438</v>
      </c>
      <c r="O186" t="s">
        <v>275</v>
      </c>
      <c r="P186" t="s">
        <v>276</v>
      </c>
      <c r="Q186" t="s">
        <v>277</v>
      </c>
      <c r="S186" t="s">
        <v>278</v>
      </c>
      <c r="U186" t="s">
        <v>279</v>
      </c>
      <c r="V186" t="s">
        <v>202</v>
      </c>
      <c r="W186" t="s">
        <v>56</v>
      </c>
      <c r="X186" t="s">
        <v>280</v>
      </c>
      <c r="Y186" t="s">
        <v>220</v>
      </c>
      <c r="Z186" t="s">
        <v>50</v>
      </c>
    </row>
    <row r="187" spans="1:26" x14ac:dyDescent="0.3">
      <c r="A187">
        <v>10419</v>
      </c>
      <c r="B187">
        <v>12</v>
      </c>
      <c r="C187">
        <v>100</v>
      </c>
      <c r="D187">
        <v>13</v>
      </c>
      <c r="E187">
        <v>1961.28</v>
      </c>
      <c r="F187" s="1">
        <v>38489</v>
      </c>
      <c r="G187" t="s">
        <v>39</v>
      </c>
      <c r="H187">
        <v>2</v>
      </c>
      <c r="I187">
        <v>5</v>
      </c>
      <c r="J187" t="str">
        <f>TEXT(DATE(2012,Table1[[#This Row],[MONTH_ID]],10),"mmm")</f>
        <v>May</v>
      </c>
      <c r="K187">
        <v>2005</v>
      </c>
      <c r="L187" t="s">
        <v>195</v>
      </c>
      <c r="M187">
        <v>194</v>
      </c>
      <c r="N187" t="s">
        <v>438</v>
      </c>
      <c r="O187" t="s">
        <v>158</v>
      </c>
      <c r="P187" t="s">
        <v>159</v>
      </c>
      <c r="Q187" t="s">
        <v>160</v>
      </c>
      <c r="S187" t="s">
        <v>161</v>
      </c>
      <c r="U187">
        <v>5020</v>
      </c>
      <c r="V187" t="s">
        <v>162</v>
      </c>
      <c r="W187" t="s">
        <v>56</v>
      </c>
      <c r="X187" t="s">
        <v>163</v>
      </c>
      <c r="Y187" t="s">
        <v>164</v>
      </c>
      <c r="Z187" t="s">
        <v>50</v>
      </c>
    </row>
    <row r="188" spans="1:26" x14ac:dyDescent="0.3">
      <c r="A188">
        <v>10105</v>
      </c>
      <c r="B188">
        <v>41</v>
      </c>
      <c r="C188">
        <v>100</v>
      </c>
      <c r="D188">
        <v>15</v>
      </c>
      <c r="E188">
        <v>8690.36</v>
      </c>
      <c r="F188" s="1">
        <v>37663</v>
      </c>
      <c r="G188" t="s">
        <v>39</v>
      </c>
      <c r="H188">
        <v>1</v>
      </c>
      <c r="I188">
        <v>2</v>
      </c>
      <c r="J188" t="str">
        <f>TEXT(DATE(2012,Table1[[#This Row],[MONTH_ID]],10),"mmm")</f>
        <v>Feb</v>
      </c>
      <c r="K188">
        <v>2003</v>
      </c>
      <c r="L188" t="s">
        <v>195</v>
      </c>
      <c r="M188">
        <v>207</v>
      </c>
      <c r="N188" t="s">
        <v>488</v>
      </c>
      <c r="O188" t="s">
        <v>336</v>
      </c>
      <c r="P188" t="s">
        <v>337</v>
      </c>
      <c r="Q188" t="s">
        <v>338</v>
      </c>
      <c r="S188" t="s">
        <v>339</v>
      </c>
      <c r="U188">
        <v>1734</v>
      </c>
      <c r="V188" t="s">
        <v>340</v>
      </c>
      <c r="W188" t="s">
        <v>56</v>
      </c>
      <c r="X188" t="s">
        <v>341</v>
      </c>
      <c r="Y188" t="s">
        <v>342</v>
      </c>
      <c r="Z188" t="s">
        <v>165</v>
      </c>
    </row>
    <row r="189" spans="1:26" x14ac:dyDescent="0.3">
      <c r="A189">
        <v>10117</v>
      </c>
      <c r="B189">
        <v>33</v>
      </c>
      <c r="C189">
        <v>100</v>
      </c>
      <c r="D189">
        <v>9</v>
      </c>
      <c r="E189">
        <v>6034.38</v>
      </c>
      <c r="F189" s="1">
        <v>37727</v>
      </c>
      <c r="G189" t="s">
        <v>39</v>
      </c>
      <c r="H189">
        <v>2</v>
      </c>
      <c r="I189">
        <v>4</v>
      </c>
      <c r="J189" t="str">
        <f>TEXT(DATE(2012,Table1[[#This Row],[MONTH_ID]],10),"mmm")</f>
        <v>Apr</v>
      </c>
      <c r="K189">
        <v>2003</v>
      </c>
      <c r="L189" t="s">
        <v>195</v>
      </c>
      <c r="M189">
        <v>207</v>
      </c>
      <c r="N189" t="s">
        <v>488</v>
      </c>
      <c r="O189" t="s">
        <v>210</v>
      </c>
      <c r="P189" t="s">
        <v>211</v>
      </c>
      <c r="Q189" t="s">
        <v>212</v>
      </c>
      <c r="S189" t="s">
        <v>213</v>
      </c>
      <c r="U189">
        <v>79903</v>
      </c>
      <c r="V189" t="s">
        <v>213</v>
      </c>
      <c r="W189" t="s">
        <v>214</v>
      </c>
      <c r="X189" t="s">
        <v>215</v>
      </c>
      <c r="Y189" t="s">
        <v>216</v>
      </c>
      <c r="Z189" t="s">
        <v>65</v>
      </c>
    </row>
    <row r="190" spans="1:26" x14ac:dyDescent="0.3">
      <c r="A190">
        <v>10127</v>
      </c>
      <c r="B190">
        <v>46</v>
      </c>
      <c r="C190">
        <v>100</v>
      </c>
      <c r="D190">
        <v>2</v>
      </c>
      <c r="E190">
        <v>11279.2</v>
      </c>
      <c r="F190" s="1">
        <v>37775</v>
      </c>
      <c r="G190" t="s">
        <v>39</v>
      </c>
      <c r="H190">
        <v>2</v>
      </c>
      <c r="I190">
        <v>6</v>
      </c>
      <c r="J190" t="str">
        <f>TEXT(DATE(2012,Table1[[#This Row],[MONTH_ID]],10),"mmm")</f>
        <v>Jun</v>
      </c>
      <c r="K190">
        <v>2003</v>
      </c>
      <c r="L190" t="s">
        <v>195</v>
      </c>
      <c r="M190">
        <v>207</v>
      </c>
      <c r="N190" t="s">
        <v>488</v>
      </c>
      <c r="O190" t="s">
        <v>489</v>
      </c>
      <c r="P190">
        <v>2125557413</v>
      </c>
      <c r="Q190" t="s">
        <v>490</v>
      </c>
      <c r="R190" t="s">
        <v>491</v>
      </c>
      <c r="S190" t="s">
        <v>44</v>
      </c>
      <c r="T190" t="s">
        <v>45</v>
      </c>
      <c r="U190">
        <v>10022</v>
      </c>
      <c r="V190" t="s">
        <v>46</v>
      </c>
      <c r="W190" t="s">
        <v>47</v>
      </c>
      <c r="X190" t="s">
        <v>70</v>
      </c>
      <c r="Y190" t="s">
        <v>492</v>
      </c>
      <c r="Z190" t="s">
        <v>165</v>
      </c>
    </row>
    <row r="191" spans="1:26" x14ac:dyDescent="0.3">
      <c r="A191">
        <v>10142</v>
      </c>
      <c r="B191">
        <v>33</v>
      </c>
      <c r="C191">
        <v>100</v>
      </c>
      <c r="D191">
        <v>12</v>
      </c>
      <c r="E191">
        <v>8023.29</v>
      </c>
      <c r="F191" s="1">
        <v>37841</v>
      </c>
      <c r="G191" t="s">
        <v>39</v>
      </c>
      <c r="H191">
        <v>3</v>
      </c>
      <c r="I191">
        <v>8</v>
      </c>
      <c r="J191" t="str">
        <f>TEXT(DATE(2012,Table1[[#This Row],[MONTH_ID]],10),"mmm")</f>
        <v>Aug</v>
      </c>
      <c r="K191">
        <v>2003</v>
      </c>
      <c r="L191" t="s">
        <v>195</v>
      </c>
      <c r="M191">
        <v>207</v>
      </c>
      <c r="N191" t="s">
        <v>488</v>
      </c>
      <c r="O191" t="s">
        <v>286</v>
      </c>
      <c r="P191">
        <v>4155551450</v>
      </c>
      <c r="Q191" t="s">
        <v>287</v>
      </c>
      <c r="S191" t="s">
        <v>288</v>
      </c>
      <c r="T191" t="s">
        <v>69</v>
      </c>
      <c r="U191">
        <v>97562</v>
      </c>
      <c r="V191" t="s">
        <v>46</v>
      </c>
      <c r="W191" t="s">
        <v>47</v>
      </c>
      <c r="X191" t="s">
        <v>289</v>
      </c>
      <c r="Y191" t="s">
        <v>290</v>
      </c>
      <c r="Z191" t="s">
        <v>165</v>
      </c>
    </row>
    <row r="192" spans="1:26" x14ac:dyDescent="0.3">
      <c r="A192">
        <v>10153</v>
      </c>
      <c r="B192">
        <v>20</v>
      </c>
      <c r="C192">
        <v>100</v>
      </c>
      <c r="D192">
        <v>11</v>
      </c>
      <c r="E192">
        <v>4904</v>
      </c>
      <c r="F192" s="1">
        <v>37892</v>
      </c>
      <c r="G192" t="s">
        <v>39</v>
      </c>
      <c r="H192">
        <v>3</v>
      </c>
      <c r="I192">
        <v>9</v>
      </c>
      <c r="J192" t="str">
        <f>TEXT(DATE(2012,Table1[[#This Row],[MONTH_ID]],10),"mmm")</f>
        <v>Sep</v>
      </c>
      <c r="K192">
        <v>2003</v>
      </c>
      <c r="L192" t="s">
        <v>195</v>
      </c>
      <c r="M192">
        <v>207</v>
      </c>
      <c r="N192" t="s">
        <v>488</v>
      </c>
      <c r="O192" t="s">
        <v>188</v>
      </c>
      <c r="P192" t="s">
        <v>189</v>
      </c>
      <c r="Q192" t="s">
        <v>190</v>
      </c>
      <c r="S192" t="s">
        <v>191</v>
      </c>
      <c r="U192">
        <v>28034</v>
      </c>
      <c r="V192" t="s">
        <v>192</v>
      </c>
      <c r="W192" t="s">
        <v>56</v>
      </c>
      <c r="X192" t="s">
        <v>193</v>
      </c>
      <c r="Y192" t="s">
        <v>194</v>
      </c>
      <c r="Z192" t="s">
        <v>65</v>
      </c>
    </row>
    <row r="193" spans="1:26" x14ac:dyDescent="0.3">
      <c r="A193">
        <v>10165</v>
      </c>
      <c r="B193">
        <v>44</v>
      </c>
      <c r="C193">
        <v>100</v>
      </c>
      <c r="D193">
        <v>3</v>
      </c>
      <c r="E193">
        <v>8594.52</v>
      </c>
      <c r="F193" s="1">
        <v>37916</v>
      </c>
      <c r="G193" t="s">
        <v>39</v>
      </c>
      <c r="H193">
        <v>4</v>
      </c>
      <c r="I193">
        <v>10</v>
      </c>
      <c r="J193" t="str">
        <f>TEXT(DATE(2012,Table1[[#This Row],[MONTH_ID]],10),"mmm")</f>
        <v>Oct</v>
      </c>
      <c r="K193">
        <v>2003</v>
      </c>
      <c r="L193" t="s">
        <v>195</v>
      </c>
      <c r="M193">
        <v>207</v>
      </c>
      <c r="N193" t="s">
        <v>488</v>
      </c>
      <c r="O193" t="s">
        <v>210</v>
      </c>
      <c r="P193" t="s">
        <v>211</v>
      </c>
      <c r="Q193" t="s">
        <v>212</v>
      </c>
      <c r="S193" t="s">
        <v>213</v>
      </c>
      <c r="U193">
        <v>79903</v>
      </c>
      <c r="V193" t="s">
        <v>213</v>
      </c>
      <c r="W193" t="s">
        <v>214</v>
      </c>
      <c r="X193" t="s">
        <v>215</v>
      </c>
      <c r="Y193" t="s">
        <v>216</v>
      </c>
      <c r="Z193" t="s">
        <v>165</v>
      </c>
    </row>
    <row r="194" spans="1:26" x14ac:dyDescent="0.3">
      <c r="A194">
        <v>10176</v>
      </c>
      <c r="B194">
        <v>33</v>
      </c>
      <c r="C194">
        <v>100</v>
      </c>
      <c r="D194">
        <v>2</v>
      </c>
      <c r="E194">
        <v>7474.5</v>
      </c>
      <c r="F194" s="1">
        <v>37931</v>
      </c>
      <c r="G194" t="s">
        <v>39</v>
      </c>
      <c r="H194">
        <v>4</v>
      </c>
      <c r="I194">
        <v>11</v>
      </c>
      <c r="J194" t="str">
        <f>TEXT(DATE(2012,Table1[[#This Row],[MONTH_ID]],10),"mmm")</f>
        <v>Nov</v>
      </c>
      <c r="K194">
        <v>2003</v>
      </c>
      <c r="L194" t="s">
        <v>195</v>
      </c>
      <c r="M194">
        <v>207</v>
      </c>
      <c r="N194" t="s">
        <v>488</v>
      </c>
      <c r="O194" t="s">
        <v>466</v>
      </c>
      <c r="P194" t="s">
        <v>467</v>
      </c>
      <c r="Q194" t="s">
        <v>468</v>
      </c>
      <c r="S194" t="s">
        <v>469</v>
      </c>
      <c r="U194">
        <v>42100</v>
      </c>
      <c r="V194" t="s">
        <v>272</v>
      </c>
      <c r="W194" t="s">
        <v>56</v>
      </c>
      <c r="X194" t="s">
        <v>470</v>
      </c>
      <c r="Y194" t="s">
        <v>471</v>
      </c>
      <c r="Z194" t="s">
        <v>165</v>
      </c>
    </row>
    <row r="195" spans="1:26" x14ac:dyDescent="0.3">
      <c r="A195">
        <v>10185</v>
      </c>
      <c r="B195">
        <v>21</v>
      </c>
      <c r="C195">
        <v>100</v>
      </c>
      <c r="D195">
        <v>13</v>
      </c>
      <c r="E195">
        <v>3883.74</v>
      </c>
      <c r="F195" s="1">
        <v>37939</v>
      </c>
      <c r="G195" t="s">
        <v>39</v>
      </c>
      <c r="H195">
        <v>4</v>
      </c>
      <c r="I195">
        <v>11</v>
      </c>
      <c r="J195" t="str">
        <f>TEXT(DATE(2012,Table1[[#This Row],[MONTH_ID]],10),"mmm")</f>
        <v>Nov</v>
      </c>
      <c r="K195">
        <v>2003</v>
      </c>
      <c r="L195" t="s">
        <v>195</v>
      </c>
      <c r="M195">
        <v>207</v>
      </c>
      <c r="N195" t="s">
        <v>488</v>
      </c>
      <c r="O195" t="s">
        <v>349</v>
      </c>
      <c r="P195">
        <v>5085559555</v>
      </c>
      <c r="Q195" t="s">
        <v>350</v>
      </c>
      <c r="S195" t="s">
        <v>176</v>
      </c>
      <c r="T195" t="s">
        <v>137</v>
      </c>
      <c r="U195">
        <v>50553</v>
      </c>
      <c r="V195" t="s">
        <v>46</v>
      </c>
      <c r="W195" t="s">
        <v>47</v>
      </c>
      <c r="X195" t="s">
        <v>351</v>
      </c>
      <c r="Y195" t="s">
        <v>352</v>
      </c>
      <c r="Z195" t="s">
        <v>65</v>
      </c>
    </row>
    <row r="196" spans="1:26" x14ac:dyDescent="0.3">
      <c r="A196">
        <v>10196</v>
      </c>
      <c r="B196">
        <v>47</v>
      </c>
      <c r="C196">
        <v>100</v>
      </c>
      <c r="D196">
        <v>5</v>
      </c>
      <c r="E196">
        <v>8887.7000000000007</v>
      </c>
      <c r="F196" s="1">
        <v>37951</v>
      </c>
      <c r="G196" t="s">
        <v>39</v>
      </c>
      <c r="H196">
        <v>4</v>
      </c>
      <c r="I196">
        <v>11</v>
      </c>
      <c r="J196" t="str">
        <f>TEXT(DATE(2012,Table1[[#This Row],[MONTH_ID]],10),"mmm")</f>
        <v>Nov</v>
      </c>
      <c r="K196">
        <v>2003</v>
      </c>
      <c r="L196" t="s">
        <v>195</v>
      </c>
      <c r="M196">
        <v>207</v>
      </c>
      <c r="N196" t="s">
        <v>488</v>
      </c>
      <c r="O196" t="s">
        <v>256</v>
      </c>
      <c r="P196">
        <v>2035559545</v>
      </c>
      <c r="Q196" t="s">
        <v>257</v>
      </c>
      <c r="S196" t="s">
        <v>258</v>
      </c>
      <c r="T196" t="s">
        <v>126</v>
      </c>
      <c r="U196">
        <v>97823</v>
      </c>
      <c r="V196" t="s">
        <v>46</v>
      </c>
      <c r="W196" t="s">
        <v>47</v>
      </c>
      <c r="X196" t="s">
        <v>97</v>
      </c>
      <c r="Y196" t="s">
        <v>259</v>
      </c>
      <c r="Z196" t="s">
        <v>165</v>
      </c>
    </row>
    <row r="197" spans="1:26" x14ac:dyDescent="0.3">
      <c r="A197">
        <v>10208</v>
      </c>
      <c r="B197">
        <v>46</v>
      </c>
      <c r="C197">
        <v>100</v>
      </c>
      <c r="D197">
        <v>13</v>
      </c>
      <c r="E197">
        <v>8602.92</v>
      </c>
      <c r="F197" s="1">
        <v>37988</v>
      </c>
      <c r="G197" t="s">
        <v>39</v>
      </c>
      <c r="H197">
        <v>1</v>
      </c>
      <c r="I197">
        <v>1</v>
      </c>
      <c r="J197" t="str">
        <f>TEXT(DATE(2012,Table1[[#This Row],[MONTH_ID]],10),"mmm")</f>
        <v>Jan</v>
      </c>
      <c r="K197">
        <v>2004</v>
      </c>
      <c r="L197" t="s">
        <v>195</v>
      </c>
      <c r="M197">
        <v>207</v>
      </c>
      <c r="N197" t="s">
        <v>488</v>
      </c>
      <c r="O197" t="s">
        <v>233</v>
      </c>
      <c r="P197" t="s">
        <v>234</v>
      </c>
      <c r="Q197" t="s">
        <v>235</v>
      </c>
      <c r="S197" t="s">
        <v>236</v>
      </c>
      <c r="U197">
        <v>69004</v>
      </c>
      <c r="V197" t="s">
        <v>55</v>
      </c>
      <c r="W197" t="s">
        <v>56</v>
      </c>
      <c r="X197" t="s">
        <v>237</v>
      </c>
      <c r="Y197" t="s">
        <v>238</v>
      </c>
      <c r="Z197" t="s">
        <v>165</v>
      </c>
    </row>
    <row r="198" spans="1:26" x14ac:dyDescent="0.3">
      <c r="A198">
        <v>10220</v>
      </c>
      <c r="B198">
        <v>32</v>
      </c>
      <c r="C198">
        <v>100</v>
      </c>
      <c r="D198">
        <v>2</v>
      </c>
      <c r="E198">
        <v>7181.44</v>
      </c>
      <c r="F198" s="1">
        <v>38029</v>
      </c>
      <c r="G198" t="s">
        <v>39</v>
      </c>
      <c r="H198">
        <v>1</v>
      </c>
      <c r="I198">
        <v>2</v>
      </c>
      <c r="J198" t="str">
        <f>TEXT(DATE(2012,Table1[[#This Row],[MONTH_ID]],10),"mmm")</f>
        <v>Feb</v>
      </c>
      <c r="K198">
        <v>2004</v>
      </c>
      <c r="L198" t="s">
        <v>195</v>
      </c>
      <c r="M198">
        <v>207</v>
      </c>
      <c r="N198" t="s">
        <v>488</v>
      </c>
      <c r="O198" t="s">
        <v>493</v>
      </c>
      <c r="P198" t="s">
        <v>494</v>
      </c>
      <c r="Q198" t="s">
        <v>495</v>
      </c>
      <c r="R198" t="s">
        <v>496</v>
      </c>
      <c r="S198" t="s">
        <v>497</v>
      </c>
      <c r="U198">
        <v>2</v>
      </c>
      <c r="V198" t="s">
        <v>498</v>
      </c>
      <c r="W198" t="s">
        <v>56</v>
      </c>
      <c r="X198" t="s">
        <v>499</v>
      </c>
      <c r="Y198" t="s">
        <v>500</v>
      </c>
      <c r="Z198" t="s">
        <v>165</v>
      </c>
    </row>
    <row r="199" spans="1:26" x14ac:dyDescent="0.3">
      <c r="A199">
        <v>10231</v>
      </c>
      <c r="B199">
        <v>42</v>
      </c>
      <c r="C199">
        <v>100</v>
      </c>
      <c r="D199">
        <v>2</v>
      </c>
      <c r="E199">
        <v>8378.58</v>
      </c>
      <c r="F199" s="1">
        <v>38065</v>
      </c>
      <c r="G199" t="s">
        <v>39</v>
      </c>
      <c r="H199">
        <v>1</v>
      </c>
      <c r="I199">
        <v>3</v>
      </c>
      <c r="J199" t="str">
        <f>TEXT(DATE(2012,Table1[[#This Row],[MONTH_ID]],10),"mmm")</f>
        <v>Mar</v>
      </c>
      <c r="K199">
        <v>2004</v>
      </c>
      <c r="L199" t="s">
        <v>195</v>
      </c>
      <c r="M199">
        <v>207</v>
      </c>
      <c r="N199" t="s">
        <v>488</v>
      </c>
      <c r="O199" t="s">
        <v>501</v>
      </c>
      <c r="P199" t="s">
        <v>502</v>
      </c>
      <c r="Q199" t="s">
        <v>503</v>
      </c>
      <c r="S199" t="s">
        <v>191</v>
      </c>
      <c r="U199">
        <v>28023</v>
      </c>
      <c r="V199" t="s">
        <v>192</v>
      </c>
      <c r="W199" t="s">
        <v>56</v>
      </c>
      <c r="X199" t="s">
        <v>504</v>
      </c>
      <c r="Y199" t="s">
        <v>505</v>
      </c>
      <c r="Z199" t="s">
        <v>165</v>
      </c>
    </row>
    <row r="200" spans="1:26" x14ac:dyDescent="0.3">
      <c r="A200">
        <v>10247</v>
      </c>
      <c r="B200">
        <v>44</v>
      </c>
      <c r="C200">
        <v>100</v>
      </c>
      <c r="D200">
        <v>2</v>
      </c>
      <c r="E200">
        <v>10606.2</v>
      </c>
      <c r="F200" s="1">
        <v>38112</v>
      </c>
      <c r="G200" t="s">
        <v>39</v>
      </c>
      <c r="H200">
        <v>2</v>
      </c>
      <c r="I200">
        <v>5</v>
      </c>
      <c r="J200" t="str">
        <f>TEXT(DATE(2012,Table1[[#This Row],[MONTH_ID]],10),"mmm")</f>
        <v>May</v>
      </c>
      <c r="K200">
        <v>2004</v>
      </c>
      <c r="L200" t="s">
        <v>195</v>
      </c>
      <c r="M200">
        <v>207</v>
      </c>
      <c r="N200" t="s">
        <v>488</v>
      </c>
      <c r="O200" t="s">
        <v>481</v>
      </c>
      <c r="P200" t="s">
        <v>482</v>
      </c>
      <c r="Q200" t="s">
        <v>483</v>
      </c>
      <c r="S200" t="s">
        <v>484</v>
      </c>
      <c r="U200" t="s">
        <v>485</v>
      </c>
      <c r="V200" t="s">
        <v>144</v>
      </c>
      <c r="W200" t="s">
        <v>56</v>
      </c>
      <c r="X200" t="s">
        <v>486</v>
      </c>
      <c r="Y200" t="s">
        <v>487</v>
      </c>
      <c r="Z200" t="s">
        <v>165</v>
      </c>
    </row>
    <row r="201" spans="1:26" x14ac:dyDescent="0.3">
      <c r="A201">
        <v>10272</v>
      </c>
      <c r="B201">
        <v>35</v>
      </c>
      <c r="C201">
        <v>100</v>
      </c>
      <c r="D201">
        <v>2</v>
      </c>
      <c r="E201">
        <v>5818.4</v>
      </c>
      <c r="F201" s="1">
        <v>38188</v>
      </c>
      <c r="G201" t="s">
        <v>39</v>
      </c>
      <c r="H201">
        <v>3</v>
      </c>
      <c r="I201">
        <v>7</v>
      </c>
      <c r="J201" t="str">
        <f>TEXT(DATE(2012,Table1[[#This Row],[MONTH_ID]],10),"mmm")</f>
        <v>Jul</v>
      </c>
      <c r="K201">
        <v>2004</v>
      </c>
      <c r="L201" t="s">
        <v>195</v>
      </c>
      <c r="M201">
        <v>207</v>
      </c>
      <c r="N201" t="s">
        <v>488</v>
      </c>
      <c r="O201" t="s">
        <v>153</v>
      </c>
      <c r="P201">
        <v>2155551555</v>
      </c>
      <c r="Q201" t="s">
        <v>154</v>
      </c>
      <c r="S201" t="s">
        <v>155</v>
      </c>
      <c r="T201" t="s">
        <v>156</v>
      </c>
      <c r="U201">
        <v>70267</v>
      </c>
      <c r="V201" t="s">
        <v>46</v>
      </c>
      <c r="W201" t="s">
        <v>47</v>
      </c>
      <c r="X201" t="s">
        <v>48</v>
      </c>
      <c r="Y201" t="s">
        <v>157</v>
      </c>
      <c r="Z201" t="s">
        <v>65</v>
      </c>
    </row>
    <row r="202" spans="1:26" x14ac:dyDescent="0.3">
      <c r="A202">
        <v>10282</v>
      </c>
      <c r="B202">
        <v>41</v>
      </c>
      <c r="C202">
        <v>100</v>
      </c>
      <c r="D202">
        <v>5</v>
      </c>
      <c r="E202">
        <v>7071.27</v>
      </c>
      <c r="F202" s="1">
        <v>38219</v>
      </c>
      <c r="G202" t="s">
        <v>39</v>
      </c>
      <c r="H202">
        <v>3</v>
      </c>
      <c r="I202">
        <v>8</v>
      </c>
      <c r="J202" t="str">
        <f>TEXT(DATE(2012,Table1[[#This Row],[MONTH_ID]],10),"mmm")</f>
        <v>Aug</v>
      </c>
      <c r="K202">
        <v>2004</v>
      </c>
      <c r="L202" t="s">
        <v>195</v>
      </c>
      <c r="M202">
        <v>207</v>
      </c>
      <c r="N202" t="s">
        <v>488</v>
      </c>
      <c r="O202" t="s">
        <v>286</v>
      </c>
      <c r="P202">
        <v>4155551450</v>
      </c>
      <c r="Q202" t="s">
        <v>287</v>
      </c>
      <c r="S202" t="s">
        <v>288</v>
      </c>
      <c r="T202" t="s">
        <v>69</v>
      </c>
      <c r="U202">
        <v>97562</v>
      </c>
      <c r="V202" t="s">
        <v>46</v>
      </c>
      <c r="W202" t="s">
        <v>47</v>
      </c>
      <c r="X202" t="s">
        <v>289</v>
      </c>
      <c r="Y202" t="s">
        <v>290</v>
      </c>
      <c r="Z202" t="s">
        <v>165</v>
      </c>
    </row>
    <row r="203" spans="1:26" x14ac:dyDescent="0.3">
      <c r="A203">
        <v>10293</v>
      </c>
      <c r="B203">
        <v>46</v>
      </c>
      <c r="C203">
        <v>100</v>
      </c>
      <c r="D203">
        <v>8</v>
      </c>
      <c r="E203">
        <v>8411.56</v>
      </c>
      <c r="F203" s="1">
        <v>38239</v>
      </c>
      <c r="G203" t="s">
        <v>39</v>
      </c>
      <c r="H203">
        <v>3</v>
      </c>
      <c r="I203">
        <v>9</v>
      </c>
      <c r="J203" t="str">
        <f>TEXT(DATE(2012,Table1[[#This Row],[MONTH_ID]],10),"mmm")</f>
        <v>Sep</v>
      </c>
      <c r="K203">
        <v>2004</v>
      </c>
      <c r="L203" t="s">
        <v>195</v>
      </c>
      <c r="M203">
        <v>207</v>
      </c>
      <c r="N203" t="s">
        <v>488</v>
      </c>
      <c r="O203" t="s">
        <v>268</v>
      </c>
      <c r="P203" t="s">
        <v>269</v>
      </c>
      <c r="Q203" t="s">
        <v>270</v>
      </c>
      <c r="S203" t="s">
        <v>271</v>
      </c>
      <c r="U203">
        <v>10100</v>
      </c>
      <c r="V203" t="s">
        <v>272</v>
      </c>
      <c r="W203" t="s">
        <v>56</v>
      </c>
      <c r="X203" t="s">
        <v>273</v>
      </c>
      <c r="Y203" t="s">
        <v>274</v>
      </c>
      <c r="Z203" t="s">
        <v>165</v>
      </c>
    </row>
    <row r="204" spans="1:26" x14ac:dyDescent="0.3">
      <c r="A204">
        <v>10306</v>
      </c>
      <c r="B204">
        <v>31</v>
      </c>
      <c r="C204">
        <v>100</v>
      </c>
      <c r="D204">
        <v>13</v>
      </c>
      <c r="E204">
        <v>6570.76</v>
      </c>
      <c r="F204" s="1">
        <v>38274</v>
      </c>
      <c r="G204" t="s">
        <v>39</v>
      </c>
      <c r="H204">
        <v>4</v>
      </c>
      <c r="I204">
        <v>10</v>
      </c>
      <c r="J204" t="str">
        <f>TEXT(DATE(2012,Table1[[#This Row],[MONTH_ID]],10),"mmm")</f>
        <v>Oct</v>
      </c>
      <c r="K204">
        <v>2004</v>
      </c>
      <c r="L204" t="s">
        <v>195</v>
      </c>
      <c r="M204">
        <v>207</v>
      </c>
      <c r="N204" t="s">
        <v>488</v>
      </c>
      <c r="O204" t="s">
        <v>506</v>
      </c>
      <c r="P204" t="s">
        <v>507</v>
      </c>
      <c r="Q204" t="s">
        <v>508</v>
      </c>
      <c r="S204" t="s">
        <v>509</v>
      </c>
      <c r="U204" t="s">
        <v>510</v>
      </c>
      <c r="V204" t="s">
        <v>184</v>
      </c>
      <c r="W204" t="s">
        <v>56</v>
      </c>
      <c r="X204" t="s">
        <v>511</v>
      </c>
      <c r="Y204" t="s">
        <v>108</v>
      </c>
      <c r="Z204" t="s">
        <v>65</v>
      </c>
    </row>
    <row r="205" spans="1:26" x14ac:dyDescent="0.3">
      <c r="A205">
        <v>10314</v>
      </c>
      <c r="B205">
        <v>38</v>
      </c>
      <c r="C205">
        <v>100</v>
      </c>
      <c r="D205">
        <v>5</v>
      </c>
      <c r="E205">
        <v>7975.44</v>
      </c>
      <c r="F205" s="1">
        <v>38282</v>
      </c>
      <c r="G205" t="s">
        <v>39</v>
      </c>
      <c r="H205">
        <v>4</v>
      </c>
      <c r="I205">
        <v>10</v>
      </c>
      <c r="J205" t="str">
        <f>TEXT(DATE(2012,Table1[[#This Row],[MONTH_ID]],10),"mmm")</f>
        <v>Oct</v>
      </c>
      <c r="K205">
        <v>2004</v>
      </c>
      <c r="L205" t="s">
        <v>195</v>
      </c>
      <c r="M205">
        <v>207</v>
      </c>
      <c r="N205" t="s">
        <v>488</v>
      </c>
      <c r="O205" t="s">
        <v>512</v>
      </c>
      <c r="P205" t="s">
        <v>513</v>
      </c>
      <c r="Q205" t="s">
        <v>514</v>
      </c>
      <c r="S205" t="s">
        <v>515</v>
      </c>
      <c r="U205">
        <v>8200</v>
      </c>
      <c r="V205" t="s">
        <v>340</v>
      </c>
      <c r="W205" t="s">
        <v>56</v>
      </c>
      <c r="X205" t="s">
        <v>516</v>
      </c>
      <c r="Y205" t="s">
        <v>517</v>
      </c>
      <c r="Z205" t="s">
        <v>165</v>
      </c>
    </row>
    <row r="206" spans="1:26" x14ac:dyDescent="0.3">
      <c r="A206">
        <v>10325</v>
      </c>
      <c r="B206">
        <v>42</v>
      </c>
      <c r="C206">
        <v>64</v>
      </c>
      <c r="D206">
        <v>8</v>
      </c>
      <c r="E206">
        <v>2688</v>
      </c>
      <c r="F206" s="1">
        <v>38296</v>
      </c>
      <c r="G206" t="s">
        <v>39</v>
      </c>
      <c r="H206">
        <v>4</v>
      </c>
      <c r="I206">
        <v>11</v>
      </c>
      <c r="J206" t="str">
        <f>TEXT(DATE(2012,Table1[[#This Row],[MONTH_ID]],10),"mmm")</f>
        <v>Nov</v>
      </c>
      <c r="K206">
        <v>2004</v>
      </c>
      <c r="L206" t="s">
        <v>195</v>
      </c>
      <c r="M206">
        <v>207</v>
      </c>
      <c r="N206" t="s">
        <v>488</v>
      </c>
      <c r="O206" t="s">
        <v>147</v>
      </c>
      <c r="P206" t="s">
        <v>148</v>
      </c>
      <c r="Q206" t="s">
        <v>149</v>
      </c>
      <c r="S206" t="s">
        <v>150</v>
      </c>
      <c r="U206">
        <v>4110</v>
      </c>
      <c r="V206" t="s">
        <v>92</v>
      </c>
      <c r="W206" t="s">
        <v>56</v>
      </c>
      <c r="X206" t="s">
        <v>151</v>
      </c>
      <c r="Y206" t="s">
        <v>152</v>
      </c>
      <c r="Z206" t="s">
        <v>50</v>
      </c>
    </row>
    <row r="207" spans="1:26" x14ac:dyDescent="0.3">
      <c r="A207">
        <v>10336</v>
      </c>
      <c r="B207">
        <v>33</v>
      </c>
      <c r="C207">
        <v>57.22</v>
      </c>
      <c r="D207">
        <v>10</v>
      </c>
      <c r="E207">
        <v>1888.26</v>
      </c>
      <c r="F207" s="1">
        <v>38311</v>
      </c>
      <c r="G207" t="s">
        <v>39</v>
      </c>
      <c r="H207">
        <v>4</v>
      </c>
      <c r="I207">
        <v>11</v>
      </c>
      <c r="J207" t="str">
        <f>TEXT(DATE(2012,Table1[[#This Row],[MONTH_ID]],10),"mmm")</f>
        <v>Nov</v>
      </c>
      <c r="K207">
        <v>2004</v>
      </c>
      <c r="L207" t="s">
        <v>195</v>
      </c>
      <c r="M207">
        <v>207</v>
      </c>
      <c r="N207" t="s">
        <v>488</v>
      </c>
      <c r="O207" t="s">
        <v>417</v>
      </c>
      <c r="P207" t="s">
        <v>418</v>
      </c>
      <c r="Q207" t="s">
        <v>419</v>
      </c>
      <c r="S207" t="s">
        <v>62</v>
      </c>
      <c r="U207">
        <v>75012</v>
      </c>
      <c r="V207" t="s">
        <v>55</v>
      </c>
      <c r="W207" t="s">
        <v>56</v>
      </c>
      <c r="X207" t="s">
        <v>420</v>
      </c>
      <c r="Y207" t="s">
        <v>421</v>
      </c>
      <c r="Z207" t="s">
        <v>50</v>
      </c>
    </row>
    <row r="208" spans="1:26" x14ac:dyDescent="0.3">
      <c r="A208">
        <v>10348</v>
      </c>
      <c r="B208">
        <v>48</v>
      </c>
      <c r="C208">
        <v>52.36</v>
      </c>
      <c r="D208">
        <v>8</v>
      </c>
      <c r="E208">
        <v>2513.2800000000002</v>
      </c>
      <c r="F208" s="1">
        <v>38292</v>
      </c>
      <c r="G208" t="s">
        <v>39</v>
      </c>
      <c r="H208">
        <v>4</v>
      </c>
      <c r="I208">
        <v>11</v>
      </c>
      <c r="J208" t="str">
        <f>TEXT(DATE(2012,Table1[[#This Row],[MONTH_ID]],10),"mmm")</f>
        <v>Nov</v>
      </c>
      <c r="K208">
        <v>2004</v>
      </c>
      <c r="L208" t="s">
        <v>195</v>
      </c>
      <c r="M208">
        <v>207</v>
      </c>
      <c r="N208" t="s">
        <v>488</v>
      </c>
      <c r="O208" t="s">
        <v>205</v>
      </c>
      <c r="P208" t="s">
        <v>206</v>
      </c>
      <c r="Q208" t="s">
        <v>207</v>
      </c>
      <c r="S208" t="s">
        <v>191</v>
      </c>
      <c r="U208">
        <v>28023</v>
      </c>
      <c r="V208" t="s">
        <v>192</v>
      </c>
      <c r="W208" t="s">
        <v>56</v>
      </c>
      <c r="X208" t="s">
        <v>208</v>
      </c>
      <c r="Y208" t="s">
        <v>209</v>
      </c>
      <c r="Z208" t="s">
        <v>50</v>
      </c>
    </row>
    <row r="209" spans="1:26" x14ac:dyDescent="0.3">
      <c r="A209">
        <v>10359</v>
      </c>
      <c r="B209">
        <v>42</v>
      </c>
      <c r="C209">
        <v>100</v>
      </c>
      <c r="D209">
        <v>8</v>
      </c>
      <c r="E209">
        <v>4764.4799999999996</v>
      </c>
      <c r="F209" s="1">
        <v>38336</v>
      </c>
      <c r="G209" t="s">
        <v>39</v>
      </c>
      <c r="H209">
        <v>4</v>
      </c>
      <c r="I209">
        <v>12</v>
      </c>
      <c r="J209" t="str">
        <f>TEXT(DATE(2012,Table1[[#This Row],[MONTH_ID]],10),"mmm")</f>
        <v>Dec</v>
      </c>
      <c r="K209">
        <v>2004</v>
      </c>
      <c r="L209" t="s">
        <v>195</v>
      </c>
      <c r="M209">
        <v>207</v>
      </c>
      <c r="N209" t="s">
        <v>488</v>
      </c>
      <c r="O209" t="s">
        <v>51</v>
      </c>
      <c r="P209" t="s">
        <v>52</v>
      </c>
      <c r="Q209" t="s">
        <v>53</v>
      </c>
      <c r="S209" t="s">
        <v>54</v>
      </c>
      <c r="U209">
        <v>51100</v>
      </c>
      <c r="V209" t="s">
        <v>55</v>
      </c>
      <c r="W209" t="s">
        <v>56</v>
      </c>
      <c r="X209" t="s">
        <v>57</v>
      </c>
      <c r="Y209" t="s">
        <v>58</v>
      </c>
      <c r="Z209" t="s">
        <v>65</v>
      </c>
    </row>
    <row r="210" spans="1:26" x14ac:dyDescent="0.3">
      <c r="A210">
        <v>10371</v>
      </c>
      <c r="B210">
        <v>32</v>
      </c>
      <c r="C210">
        <v>100</v>
      </c>
      <c r="D210">
        <v>6</v>
      </c>
      <c r="E210">
        <v>3560.64</v>
      </c>
      <c r="F210" s="1">
        <v>38375</v>
      </c>
      <c r="G210" t="s">
        <v>39</v>
      </c>
      <c r="H210">
        <v>1</v>
      </c>
      <c r="I210">
        <v>1</v>
      </c>
      <c r="J210" t="str">
        <f>TEXT(DATE(2012,Table1[[#This Row],[MONTH_ID]],10),"mmm")</f>
        <v>Jan</v>
      </c>
      <c r="K210">
        <v>2005</v>
      </c>
      <c r="L210" t="s">
        <v>195</v>
      </c>
      <c r="M210">
        <v>207</v>
      </c>
      <c r="N210" t="s">
        <v>488</v>
      </c>
      <c r="O210" t="s">
        <v>286</v>
      </c>
      <c r="P210">
        <v>4155551450</v>
      </c>
      <c r="Q210" t="s">
        <v>287</v>
      </c>
      <c r="S210" t="s">
        <v>288</v>
      </c>
      <c r="T210" t="s">
        <v>69</v>
      </c>
      <c r="U210">
        <v>97562</v>
      </c>
      <c r="V210" t="s">
        <v>46</v>
      </c>
      <c r="W210" t="s">
        <v>47</v>
      </c>
      <c r="X210" t="s">
        <v>289</v>
      </c>
      <c r="Y210" t="s">
        <v>290</v>
      </c>
      <c r="Z210" t="s">
        <v>65</v>
      </c>
    </row>
    <row r="211" spans="1:26" x14ac:dyDescent="0.3">
      <c r="A211">
        <v>10382</v>
      </c>
      <c r="B211">
        <v>34</v>
      </c>
      <c r="C211">
        <v>100</v>
      </c>
      <c r="D211">
        <v>10</v>
      </c>
      <c r="E211">
        <v>3823.64</v>
      </c>
      <c r="F211" s="1">
        <v>38400</v>
      </c>
      <c r="G211" t="s">
        <v>39</v>
      </c>
      <c r="H211">
        <v>1</v>
      </c>
      <c r="I211">
        <v>2</v>
      </c>
      <c r="J211" t="str">
        <f>TEXT(DATE(2012,Table1[[#This Row],[MONTH_ID]],10),"mmm")</f>
        <v>Feb</v>
      </c>
      <c r="K211">
        <v>2005</v>
      </c>
      <c r="L211" t="s">
        <v>195</v>
      </c>
      <c r="M211">
        <v>207</v>
      </c>
      <c r="N211" t="s">
        <v>488</v>
      </c>
      <c r="O211" t="s">
        <v>286</v>
      </c>
      <c r="P211">
        <v>4155551450</v>
      </c>
      <c r="Q211" t="s">
        <v>287</v>
      </c>
      <c r="S211" t="s">
        <v>288</v>
      </c>
      <c r="T211" t="s">
        <v>69</v>
      </c>
      <c r="U211">
        <v>97562</v>
      </c>
      <c r="V211" t="s">
        <v>46</v>
      </c>
      <c r="W211" t="s">
        <v>47</v>
      </c>
      <c r="X211" t="s">
        <v>289</v>
      </c>
      <c r="Y211" t="s">
        <v>290</v>
      </c>
      <c r="Z211" t="s">
        <v>65</v>
      </c>
    </row>
    <row r="212" spans="1:26" x14ac:dyDescent="0.3">
      <c r="A212">
        <v>10395</v>
      </c>
      <c r="B212">
        <v>33</v>
      </c>
      <c r="C212">
        <v>69.12</v>
      </c>
      <c r="D212">
        <v>1</v>
      </c>
      <c r="E212">
        <v>2280.96</v>
      </c>
      <c r="F212" s="1">
        <v>38428</v>
      </c>
      <c r="G212" t="s">
        <v>39</v>
      </c>
      <c r="H212">
        <v>1</v>
      </c>
      <c r="I212">
        <v>3</v>
      </c>
      <c r="J212" t="str">
        <f>TEXT(DATE(2012,Table1[[#This Row],[MONTH_ID]],10),"mmm")</f>
        <v>Mar</v>
      </c>
      <c r="K212">
        <v>2005</v>
      </c>
      <c r="L212" t="s">
        <v>195</v>
      </c>
      <c r="M212">
        <v>207</v>
      </c>
      <c r="N212" t="s">
        <v>488</v>
      </c>
      <c r="O212" t="s">
        <v>59</v>
      </c>
      <c r="P212" t="s">
        <v>60</v>
      </c>
      <c r="Q212" t="s">
        <v>61</v>
      </c>
      <c r="S212" t="s">
        <v>62</v>
      </c>
      <c r="U212">
        <v>75508</v>
      </c>
      <c r="V212" t="s">
        <v>55</v>
      </c>
      <c r="W212" t="s">
        <v>56</v>
      </c>
      <c r="X212" t="s">
        <v>63</v>
      </c>
      <c r="Y212" t="s">
        <v>64</v>
      </c>
      <c r="Z212" t="s">
        <v>50</v>
      </c>
    </row>
    <row r="213" spans="1:26" x14ac:dyDescent="0.3">
      <c r="A213">
        <v>10413</v>
      </c>
      <c r="B213">
        <v>36</v>
      </c>
      <c r="C213">
        <v>100</v>
      </c>
      <c r="D213">
        <v>2</v>
      </c>
      <c r="E213">
        <v>8677.7999999999993</v>
      </c>
      <c r="F213" s="1">
        <v>38477</v>
      </c>
      <c r="G213" t="s">
        <v>39</v>
      </c>
      <c r="H213">
        <v>2</v>
      </c>
      <c r="I213">
        <v>5</v>
      </c>
      <c r="J213" t="str">
        <f>TEXT(DATE(2012,Table1[[#This Row],[MONTH_ID]],10),"mmm")</f>
        <v>May</v>
      </c>
      <c r="K213">
        <v>2005</v>
      </c>
      <c r="L213" t="s">
        <v>195</v>
      </c>
      <c r="M213">
        <v>207</v>
      </c>
      <c r="N213" t="s">
        <v>488</v>
      </c>
      <c r="O213" t="s">
        <v>123</v>
      </c>
      <c r="P213">
        <v>2035552570</v>
      </c>
      <c r="Q213" t="s">
        <v>124</v>
      </c>
      <c r="S213" t="s">
        <v>125</v>
      </c>
      <c r="T213" t="s">
        <v>126</v>
      </c>
      <c r="U213">
        <v>97562</v>
      </c>
      <c r="V213" t="s">
        <v>46</v>
      </c>
      <c r="W213" t="s">
        <v>47</v>
      </c>
      <c r="X213" t="s">
        <v>127</v>
      </c>
      <c r="Y213" t="s">
        <v>71</v>
      </c>
      <c r="Z213" t="s">
        <v>165</v>
      </c>
    </row>
    <row r="214" spans="1:26" x14ac:dyDescent="0.3">
      <c r="A214">
        <v>10103</v>
      </c>
      <c r="B214">
        <v>27</v>
      </c>
      <c r="C214">
        <v>100</v>
      </c>
      <c r="D214">
        <v>8</v>
      </c>
      <c r="E214">
        <v>3394.98</v>
      </c>
      <c r="F214" s="1">
        <v>37650</v>
      </c>
      <c r="G214" t="s">
        <v>39</v>
      </c>
      <c r="H214">
        <v>1</v>
      </c>
      <c r="I214">
        <v>1</v>
      </c>
      <c r="J214" t="str">
        <f>TEXT(DATE(2012,Table1[[#This Row],[MONTH_ID]],10),"mmm")</f>
        <v>Jan</v>
      </c>
      <c r="K214">
        <v>2003</v>
      </c>
      <c r="L214" t="s">
        <v>518</v>
      </c>
      <c r="M214">
        <v>136</v>
      </c>
      <c r="N214" t="s">
        <v>519</v>
      </c>
      <c r="O214" t="s">
        <v>147</v>
      </c>
      <c r="P214" t="s">
        <v>148</v>
      </c>
      <c r="Q214" t="s">
        <v>149</v>
      </c>
      <c r="S214" t="s">
        <v>150</v>
      </c>
      <c r="U214">
        <v>4110</v>
      </c>
      <c r="V214" t="s">
        <v>92</v>
      </c>
      <c r="W214" t="s">
        <v>56</v>
      </c>
      <c r="X214" t="s">
        <v>151</v>
      </c>
      <c r="Y214" t="s">
        <v>152</v>
      </c>
      <c r="Z214" t="s">
        <v>65</v>
      </c>
    </row>
    <row r="215" spans="1:26" x14ac:dyDescent="0.3">
      <c r="A215">
        <v>10113</v>
      </c>
      <c r="B215">
        <v>21</v>
      </c>
      <c r="C215">
        <v>100</v>
      </c>
      <c r="D215">
        <v>2</v>
      </c>
      <c r="E215">
        <v>3415.44</v>
      </c>
      <c r="F215" s="1">
        <v>37706</v>
      </c>
      <c r="G215" t="s">
        <v>39</v>
      </c>
      <c r="H215">
        <v>1</v>
      </c>
      <c r="I215">
        <v>3</v>
      </c>
      <c r="J215" t="str">
        <f>TEXT(DATE(2012,Table1[[#This Row],[MONTH_ID]],10),"mmm")</f>
        <v>Mar</v>
      </c>
      <c r="K215">
        <v>2003</v>
      </c>
      <c r="L215" t="s">
        <v>518</v>
      </c>
      <c r="M215">
        <v>136</v>
      </c>
      <c r="N215" t="s">
        <v>519</v>
      </c>
      <c r="O215" t="s">
        <v>286</v>
      </c>
      <c r="P215">
        <v>4155551450</v>
      </c>
      <c r="Q215" t="s">
        <v>287</v>
      </c>
      <c r="S215" t="s">
        <v>288</v>
      </c>
      <c r="T215" t="s">
        <v>69</v>
      </c>
      <c r="U215">
        <v>97562</v>
      </c>
      <c r="V215" t="s">
        <v>46</v>
      </c>
      <c r="W215" t="s">
        <v>47</v>
      </c>
      <c r="X215" t="s">
        <v>289</v>
      </c>
      <c r="Y215" t="s">
        <v>290</v>
      </c>
      <c r="Z215" t="s">
        <v>65</v>
      </c>
    </row>
    <row r="216" spans="1:26" x14ac:dyDescent="0.3">
      <c r="A216">
        <v>10126</v>
      </c>
      <c r="B216">
        <v>21</v>
      </c>
      <c r="C216">
        <v>100</v>
      </c>
      <c r="D216">
        <v>8</v>
      </c>
      <c r="E216">
        <v>2439.5700000000002</v>
      </c>
      <c r="F216" s="1">
        <v>37769</v>
      </c>
      <c r="G216" t="s">
        <v>39</v>
      </c>
      <c r="H216">
        <v>2</v>
      </c>
      <c r="I216">
        <v>5</v>
      </c>
      <c r="J216" t="str">
        <f>TEXT(DATE(2012,Table1[[#This Row],[MONTH_ID]],10),"mmm")</f>
        <v>May</v>
      </c>
      <c r="K216">
        <v>2003</v>
      </c>
      <c r="L216" t="s">
        <v>518</v>
      </c>
      <c r="M216">
        <v>136</v>
      </c>
      <c r="N216" t="s">
        <v>519</v>
      </c>
      <c r="O216" t="s">
        <v>205</v>
      </c>
      <c r="P216" t="s">
        <v>206</v>
      </c>
      <c r="Q216" t="s">
        <v>207</v>
      </c>
      <c r="S216" t="s">
        <v>191</v>
      </c>
      <c r="U216">
        <v>28023</v>
      </c>
      <c r="V216" t="s">
        <v>192</v>
      </c>
      <c r="W216" t="s">
        <v>56</v>
      </c>
      <c r="X216" t="s">
        <v>208</v>
      </c>
      <c r="Y216" t="s">
        <v>209</v>
      </c>
      <c r="Z216" t="s">
        <v>50</v>
      </c>
    </row>
    <row r="217" spans="1:26" x14ac:dyDescent="0.3">
      <c r="A217">
        <v>10140</v>
      </c>
      <c r="B217">
        <v>38</v>
      </c>
      <c r="C217">
        <v>100</v>
      </c>
      <c r="D217">
        <v>8</v>
      </c>
      <c r="E217">
        <v>4829.8</v>
      </c>
      <c r="F217" s="1">
        <v>37826</v>
      </c>
      <c r="G217" t="s">
        <v>39</v>
      </c>
      <c r="H217">
        <v>3</v>
      </c>
      <c r="I217">
        <v>7</v>
      </c>
      <c r="J217" t="str">
        <f>TEXT(DATE(2012,Table1[[#This Row],[MONTH_ID]],10),"mmm")</f>
        <v>Jul</v>
      </c>
      <c r="K217">
        <v>2003</v>
      </c>
      <c r="L217" t="s">
        <v>518</v>
      </c>
      <c r="M217">
        <v>136</v>
      </c>
      <c r="N217" t="s">
        <v>519</v>
      </c>
      <c r="O217" t="s">
        <v>76</v>
      </c>
      <c r="P217">
        <v>6505556809</v>
      </c>
      <c r="Q217" t="s">
        <v>77</v>
      </c>
      <c r="S217" t="s">
        <v>78</v>
      </c>
      <c r="T217" t="s">
        <v>69</v>
      </c>
      <c r="U217">
        <v>94217</v>
      </c>
      <c r="V217" t="s">
        <v>46</v>
      </c>
      <c r="W217" t="s">
        <v>47</v>
      </c>
      <c r="X217" t="s">
        <v>79</v>
      </c>
      <c r="Y217" t="s">
        <v>80</v>
      </c>
      <c r="Z217" t="s">
        <v>65</v>
      </c>
    </row>
    <row r="218" spans="1:26" x14ac:dyDescent="0.3">
      <c r="A218">
        <v>10150</v>
      </c>
      <c r="B218">
        <v>30</v>
      </c>
      <c r="C218">
        <v>100</v>
      </c>
      <c r="D218">
        <v>5</v>
      </c>
      <c r="E218">
        <v>4100.1000000000004</v>
      </c>
      <c r="F218" s="1">
        <v>37883</v>
      </c>
      <c r="G218" t="s">
        <v>39</v>
      </c>
      <c r="H218">
        <v>3</v>
      </c>
      <c r="I218">
        <v>9</v>
      </c>
      <c r="J218" t="str">
        <f>TEXT(DATE(2012,Table1[[#This Row],[MONTH_ID]],10),"mmm")</f>
        <v>Sep</v>
      </c>
      <c r="K218">
        <v>2003</v>
      </c>
      <c r="L218" t="s">
        <v>518</v>
      </c>
      <c r="M218">
        <v>136</v>
      </c>
      <c r="N218" t="s">
        <v>519</v>
      </c>
      <c r="O218" t="s">
        <v>210</v>
      </c>
      <c r="P218" t="s">
        <v>211</v>
      </c>
      <c r="Q218" t="s">
        <v>212</v>
      </c>
      <c r="S218" t="s">
        <v>213</v>
      </c>
      <c r="U218">
        <v>79903</v>
      </c>
      <c r="V218" t="s">
        <v>213</v>
      </c>
      <c r="W218" t="s">
        <v>214</v>
      </c>
      <c r="X218" t="s">
        <v>215</v>
      </c>
      <c r="Y218" t="s">
        <v>216</v>
      </c>
      <c r="Z218" t="s">
        <v>65</v>
      </c>
    </row>
    <row r="219" spans="1:26" x14ac:dyDescent="0.3">
      <c r="A219">
        <v>10164</v>
      </c>
      <c r="B219">
        <v>49</v>
      </c>
      <c r="C219">
        <v>100</v>
      </c>
      <c r="D219">
        <v>6</v>
      </c>
      <c r="E219">
        <v>6563.06</v>
      </c>
      <c r="F219" s="1">
        <v>37915</v>
      </c>
      <c r="G219" t="s">
        <v>422</v>
      </c>
      <c r="H219">
        <v>4</v>
      </c>
      <c r="I219">
        <v>10</v>
      </c>
      <c r="J219" t="str">
        <f>TEXT(DATE(2012,Table1[[#This Row],[MONTH_ID]],10),"mmm")</f>
        <v>Oct</v>
      </c>
      <c r="K219">
        <v>2003</v>
      </c>
      <c r="L219" t="s">
        <v>518</v>
      </c>
      <c r="M219">
        <v>136</v>
      </c>
      <c r="N219" t="s">
        <v>519</v>
      </c>
      <c r="O219" t="s">
        <v>423</v>
      </c>
      <c r="P219" t="s">
        <v>424</v>
      </c>
      <c r="Q219" t="s">
        <v>425</v>
      </c>
      <c r="S219" t="s">
        <v>426</v>
      </c>
      <c r="U219">
        <v>8010</v>
      </c>
      <c r="V219" t="s">
        <v>162</v>
      </c>
      <c r="W219" t="s">
        <v>56</v>
      </c>
      <c r="X219" t="s">
        <v>427</v>
      </c>
      <c r="Y219" t="s">
        <v>428</v>
      </c>
      <c r="Z219" t="s">
        <v>65</v>
      </c>
    </row>
    <row r="220" spans="1:26" x14ac:dyDescent="0.3">
      <c r="A220">
        <v>10174</v>
      </c>
      <c r="B220">
        <v>43</v>
      </c>
      <c r="C220">
        <v>100</v>
      </c>
      <c r="D220">
        <v>1</v>
      </c>
      <c r="E220">
        <v>6817.22</v>
      </c>
      <c r="F220" s="1">
        <v>37931</v>
      </c>
      <c r="G220" t="s">
        <v>39</v>
      </c>
      <c r="H220">
        <v>4</v>
      </c>
      <c r="I220">
        <v>11</v>
      </c>
      <c r="J220" t="str">
        <f>TEXT(DATE(2012,Table1[[#This Row],[MONTH_ID]],10),"mmm")</f>
        <v>Nov</v>
      </c>
      <c r="K220">
        <v>2003</v>
      </c>
      <c r="L220" t="s">
        <v>518</v>
      </c>
      <c r="M220">
        <v>136</v>
      </c>
      <c r="N220" t="s">
        <v>519</v>
      </c>
      <c r="O220" t="s">
        <v>221</v>
      </c>
      <c r="P220" t="s">
        <v>222</v>
      </c>
      <c r="Q220" t="s">
        <v>223</v>
      </c>
      <c r="S220" t="s">
        <v>224</v>
      </c>
      <c r="T220" t="s">
        <v>225</v>
      </c>
      <c r="U220">
        <v>4101</v>
      </c>
      <c r="V220" t="s">
        <v>109</v>
      </c>
      <c r="W220" t="s">
        <v>110</v>
      </c>
      <c r="X220" t="s">
        <v>226</v>
      </c>
      <c r="Y220" t="s">
        <v>227</v>
      </c>
      <c r="Z220" t="s">
        <v>65</v>
      </c>
    </row>
    <row r="221" spans="1:26" x14ac:dyDescent="0.3">
      <c r="A221">
        <v>10183</v>
      </c>
      <c r="B221">
        <v>41</v>
      </c>
      <c r="C221">
        <v>100</v>
      </c>
      <c r="D221">
        <v>5</v>
      </c>
      <c r="E221">
        <v>6163.94</v>
      </c>
      <c r="F221" s="1">
        <v>37938</v>
      </c>
      <c r="G221" t="s">
        <v>39</v>
      </c>
      <c r="H221">
        <v>4</v>
      </c>
      <c r="I221">
        <v>11</v>
      </c>
      <c r="J221" t="str">
        <f>TEXT(DATE(2012,Table1[[#This Row],[MONTH_ID]],10),"mmm")</f>
        <v>Nov</v>
      </c>
      <c r="K221">
        <v>2003</v>
      </c>
      <c r="L221" t="s">
        <v>518</v>
      </c>
      <c r="M221">
        <v>136</v>
      </c>
      <c r="N221" t="s">
        <v>519</v>
      </c>
      <c r="O221" t="s">
        <v>228</v>
      </c>
      <c r="P221">
        <v>2155554695</v>
      </c>
      <c r="Q221" t="s">
        <v>229</v>
      </c>
      <c r="S221" t="s">
        <v>230</v>
      </c>
      <c r="T221" t="s">
        <v>156</v>
      </c>
      <c r="U221">
        <v>71270</v>
      </c>
      <c r="V221" t="s">
        <v>46</v>
      </c>
      <c r="W221" t="s">
        <v>47</v>
      </c>
      <c r="X221" t="s">
        <v>231</v>
      </c>
      <c r="Y221" t="s">
        <v>232</v>
      </c>
      <c r="Z221" t="s">
        <v>65</v>
      </c>
    </row>
    <row r="222" spans="1:26" x14ac:dyDescent="0.3">
      <c r="A222">
        <v>10194</v>
      </c>
      <c r="B222">
        <v>38</v>
      </c>
      <c r="C222">
        <v>100</v>
      </c>
      <c r="D222">
        <v>8</v>
      </c>
      <c r="E222">
        <v>4933.92</v>
      </c>
      <c r="F222" s="1">
        <v>37950</v>
      </c>
      <c r="G222" t="s">
        <v>39</v>
      </c>
      <c r="H222">
        <v>4</v>
      </c>
      <c r="I222">
        <v>11</v>
      </c>
      <c r="J222" t="str">
        <f>TEXT(DATE(2012,Table1[[#This Row],[MONTH_ID]],10),"mmm")</f>
        <v>Nov</v>
      </c>
      <c r="K222">
        <v>2003</v>
      </c>
      <c r="L222" t="s">
        <v>518</v>
      </c>
      <c r="M222">
        <v>136</v>
      </c>
      <c r="N222" t="s">
        <v>519</v>
      </c>
      <c r="O222" t="s">
        <v>233</v>
      </c>
      <c r="P222" t="s">
        <v>234</v>
      </c>
      <c r="Q222" t="s">
        <v>235</v>
      </c>
      <c r="S222" t="s">
        <v>236</v>
      </c>
      <c r="U222">
        <v>69004</v>
      </c>
      <c r="V222" t="s">
        <v>55</v>
      </c>
      <c r="W222" t="s">
        <v>56</v>
      </c>
      <c r="X222" t="s">
        <v>237</v>
      </c>
      <c r="Y222" t="s">
        <v>238</v>
      </c>
      <c r="Z222" t="s">
        <v>65</v>
      </c>
    </row>
    <row r="223" spans="1:26" x14ac:dyDescent="0.3">
      <c r="A223">
        <v>10206</v>
      </c>
      <c r="B223">
        <v>28</v>
      </c>
      <c r="C223">
        <v>100</v>
      </c>
      <c r="D223">
        <v>3</v>
      </c>
      <c r="E223">
        <v>4056.36</v>
      </c>
      <c r="F223" s="1">
        <v>37960</v>
      </c>
      <c r="G223" t="s">
        <v>39</v>
      </c>
      <c r="H223">
        <v>4</v>
      </c>
      <c r="I223">
        <v>12</v>
      </c>
      <c r="J223" t="str">
        <f>TEXT(DATE(2012,Table1[[#This Row],[MONTH_ID]],10),"mmm")</f>
        <v>Dec</v>
      </c>
      <c r="K223">
        <v>2003</v>
      </c>
      <c r="L223" t="s">
        <v>518</v>
      </c>
      <c r="M223">
        <v>136</v>
      </c>
      <c r="N223" t="s">
        <v>519</v>
      </c>
      <c r="O223" t="s">
        <v>239</v>
      </c>
      <c r="P223" t="s">
        <v>240</v>
      </c>
      <c r="Q223" t="s">
        <v>241</v>
      </c>
      <c r="S223" t="s">
        <v>242</v>
      </c>
      <c r="T223" t="s">
        <v>243</v>
      </c>
      <c r="U223" t="s">
        <v>244</v>
      </c>
      <c r="V223" t="s">
        <v>245</v>
      </c>
      <c r="W223" t="s">
        <v>47</v>
      </c>
      <c r="X223" t="s">
        <v>246</v>
      </c>
      <c r="Y223" t="s">
        <v>247</v>
      </c>
      <c r="Z223" t="s">
        <v>65</v>
      </c>
    </row>
    <row r="224" spans="1:26" x14ac:dyDescent="0.3">
      <c r="A224">
        <v>10216</v>
      </c>
      <c r="B224">
        <v>43</v>
      </c>
      <c r="C224">
        <v>100</v>
      </c>
      <c r="D224">
        <v>1</v>
      </c>
      <c r="E224">
        <v>5759.42</v>
      </c>
      <c r="F224" s="1">
        <v>38019</v>
      </c>
      <c r="G224" t="s">
        <v>39</v>
      </c>
      <c r="H224">
        <v>1</v>
      </c>
      <c r="I224">
        <v>2</v>
      </c>
      <c r="J224" t="str">
        <f>TEXT(DATE(2012,Table1[[#This Row],[MONTH_ID]],10),"mmm")</f>
        <v>Feb</v>
      </c>
      <c r="K224">
        <v>2004</v>
      </c>
      <c r="L224" t="s">
        <v>518</v>
      </c>
      <c r="M224">
        <v>136</v>
      </c>
      <c r="N224" t="s">
        <v>519</v>
      </c>
      <c r="O224" t="s">
        <v>281</v>
      </c>
      <c r="P224" t="s">
        <v>282</v>
      </c>
      <c r="Q224" t="s">
        <v>283</v>
      </c>
      <c r="S224" t="s">
        <v>284</v>
      </c>
      <c r="U224">
        <v>78000</v>
      </c>
      <c r="V224" t="s">
        <v>55</v>
      </c>
      <c r="W224" t="s">
        <v>56</v>
      </c>
      <c r="X224" t="s">
        <v>285</v>
      </c>
      <c r="Y224" t="s">
        <v>64</v>
      </c>
      <c r="Z224" t="s">
        <v>65</v>
      </c>
    </row>
    <row r="225" spans="1:26" x14ac:dyDescent="0.3">
      <c r="A225">
        <v>10229</v>
      </c>
      <c r="B225">
        <v>25</v>
      </c>
      <c r="C225">
        <v>100</v>
      </c>
      <c r="D225">
        <v>13</v>
      </c>
      <c r="E225">
        <v>3451</v>
      </c>
      <c r="F225" s="1">
        <v>38057</v>
      </c>
      <c r="G225" t="s">
        <v>39</v>
      </c>
      <c r="H225">
        <v>1</v>
      </c>
      <c r="I225">
        <v>3</v>
      </c>
      <c r="J225" t="str">
        <f>TEXT(DATE(2012,Table1[[#This Row],[MONTH_ID]],10),"mmm")</f>
        <v>Mar</v>
      </c>
      <c r="K225">
        <v>2004</v>
      </c>
      <c r="L225" t="s">
        <v>518</v>
      </c>
      <c r="M225">
        <v>136</v>
      </c>
      <c r="N225" t="s">
        <v>519</v>
      </c>
      <c r="O225" t="s">
        <v>286</v>
      </c>
      <c r="P225">
        <v>4155551450</v>
      </c>
      <c r="Q225" t="s">
        <v>287</v>
      </c>
      <c r="S225" t="s">
        <v>288</v>
      </c>
      <c r="T225" t="s">
        <v>69</v>
      </c>
      <c r="U225">
        <v>97562</v>
      </c>
      <c r="V225" t="s">
        <v>46</v>
      </c>
      <c r="W225" t="s">
        <v>47</v>
      </c>
      <c r="X225" t="s">
        <v>289</v>
      </c>
      <c r="Y225" t="s">
        <v>290</v>
      </c>
      <c r="Z225" t="s">
        <v>65</v>
      </c>
    </row>
    <row r="226" spans="1:26" x14ac:dyDescent="0.3">
      <c r="A226">
        <v>10245</v>
      </c>
      <c r="B226">
        <v>38</v>
      </c>
      <c r="C226">
        <v>100</v>
      </c>
      <c r="D226">
        <v>6</v>
      </c>
      <c r="E226">
        <v>5920.4</v>
      </c>
      <c r="F226" s="1">
        <v>38111</v>
      </c>
      <c r="G226" t="s">
        <v>39</v>
      </c>
      <c r="H226">
        <v>2</v>
      </c>
      <c r="I226">
        <v>5</v>
      </c>
      <c r="J226" t="str">
        <f>TEXT(DATE(2012,Table1[[#This Row],[MONTH_ID]],10),"mmm")</f>
        <v>May</v>
      </c>
      <c r="K226">
        <v>2004</v>
      </c>
      <c r="L226" t="s">
        <v>518</v>
      </c>
      <c r="M226">
        <v>136</v>
      </c>
      <c r="N226" t="s">
        <v>519</v>
      </c>
      <c r="O226" t="s">
        <v>256</v>
      </c>
      <c r="P226">
        <v>2035559545</v>
      </c>
      <c r="Q226" t="s">
        <v>257</v>
      </c>
      <c r="S226" t="s">
        <v>258</v>
      </c>
      <c r="T226" t="s">
        <v>126</v>
      </c>
      <c r="U226">
        <v>97823</v>
      </c>
      <c r="V226" t="s">
        <v>46</v>
      </c>
      <c r="W226" t="s">
        <v>47</v>
      </c>
      <c r="X226" t="s">
        <v>97</v>
      </c>
      <c r="Y226" t="s">
        <v>259</v>
      </c>
      <c r="Z226" t="s">
        <v>65</v>
      </c>
    </row>
    <row r="227" spans="1:26" x14ac:dyDescent="0.3">
      <c r="A227">
        <v>10258</v>
      </c>
      <c r="B227">
        <v>41</v>
      </c>
      <c r="C227">
        <v>100</v>
      </c>
      <c r="D227">
        <v>3</v>
      </c>
      <c r="E227">
        <v>6668.24</v>
      </c>
      <c r="F227" s="1">
        <v>38153</v>
      </c>
      <c r="G227" t="s">
        <v>39</v>
      </c>
      <c r="H227">
        <v>2</v>
      </c>
      <c r="I227">
        <v>6</v>
      </c>
      <c r="J227" t="str">
        <f>TEXT(DATE(2012,Table1[[#This Row],[MONTH_ID]],10),"mmm")</f>
        <v>Jun</v>
      </c>
      <c r="K227">
        <v>2004</v>
      </c>
      <c r="L227" t="s">
        <v>518</v>
      </c>
      <c r="M227">
        <v>136</v>
      </c>
      <c r="N227" t="s">
        <v>519</v>
      </c>
      <c r="O227" t="s">
        <v>260</v>
      </c>
      <c r="P227" t="s">
        <v>261</v>
      </c>
      <c r="Q227" t="s">
        <v>262</v>
      </c>
      <c r="S227" t="s">
        <v>263</v>
      </c>
      <c r="T227" t="s">
        <v>264</v>
      </c>
      <c r="U227" t="s">
        <v>265</v>
      </c>
      <c r="V227" t="s">
        <v>214</v>
      </c>
      <c r="W227" t="s">
        <v>214</v>
      </c>
      <c r="X227" t="s">
        <v>266</v>
      </c>
      <c r="Y227" t="s">
        <v>267</v>
      </c>
      <c r="Z227" t="s">
        <v>65</v>
      </c>
    </row>
    <row r="228" spans="1:26" x14ac:dyDescent="0.3">
      <c r="A228">
        <v>10270</v>
      </c>
      <c r="B228">
        <v>28</v>
      </c>
      <c r="C228">
        <v>100</v>
      </c>
      <c r="D228">
        <v>6</v>
      </c>
      <c r="E228">
        <v>4094.72</v>
      </c>
      <c r="F228" s="1">
        <v>38187</v>
      </c>
      <c r="G228" t="s">
        <v>39</v>
      </c>
      <c r="H228">
        <v>3</v>
      </c>
      <c r="I228">
        <v>7</v>
      </c>
      <c r="J228" t="str">
        <f>TEXT(DATE(2012,Table1[[#This Row],[MONTH_ID]],10),"mmm")</f>
        <v>Jul</v>
      </c>
      <c r="K228">
        <v>2004</v>
      </c>
      <c r="L228" t="s">
        <v>518</v>
      </c>
      <c r="M228">
        <v>136</v>
      </c>
      <c r="N228" t="s">
        <v>519</v>
      </c>
      <c r="O228" t="s">
        <v>166</v>
      </c>
      <c r="P228" t="s">
        <v>167</v>
      </c>
      <c r="Q228" t="s">
        <v>168</v>
      </c>
      <c r="R228" t="s">
        <v>169</v>
      </c>
      <c r="S228" t="s">
        <v>170</v>
      </c>
      <c r="T228" t="s">
        <v>171</v>
      </c>
      <c r="U228">
        <v>2067</v>
      </c>
      <c r="V228" t="s">
        <v>109</v>
      </c>
      <c r="W228" t="s">
        <v>110</v>
      </c>
      <c r="X228" t="s">
        <v>172</v>
      </c>
      <c r="Y228" t="s">
        <v>173</v>
      </c>
      <c r="Z228" t="s">
        <v>65</v>
      </c>
    </row>
    <row r="229" spans="1:26" x14ac:dyDescent="0.3">
      <c r="A229">
        <v>10281</v>
      </c>
      <c r="B229">
        <v>25</v>
      </c>
      <c r="C229">
        <v>100</v>
      </c>
      <c r="D229">
        <v>13</v>
      </c>
      <c r="E229">
        <v>2938.5</v>
      </c>
      <c r="F229" s="1">
        <v>38218</v>
      </c>
      <c r="G229" t="s">
        <v>39</v>
      </c>
      <c r="H229">
        <v>3</v>
      </c>
      <c r="I229">
        <v>8</v>
      </c>
      <c r="J229" t="str">
        <f>TEXT(DATE(2012,Table1[[#This Row],[MONTH_ID]],10),"mmm")</f>
        <v>Aug</v>
      </c>
      <c r="K229">
        <v>2004</v>
      </c>
      <c r="L229" t="s">
        <v>518</v>
      </c>
      <c r="M229">
        <v>136</v>
      </c>
      <c r="N229" t="s">
        <v>519</v>
      </c>
      <c r="O229" t="s">
        <v>153</v>
      </c>
      <c r="P229">
        <v>2155551555</v>
      </c>
      <c r="Q229" t="s">
        <v>154</v>
      </c>
      <c r="S229" t="s">
        <v>155</v>
      </c>
      <c r="T229" t="s">
        <v>156</v>
      </c>
      <c r="U229">
        <v>70267</v>
      </c>
      <c r="V229" t="s">
        <v>46</v>
      </c>
      <c r="W229" t="s">
        <v>47</v>
      </c>
      <c r="X229" t="s">
        <v>48</v>
      </c>
      <c r="Y229" t="s">
        <v>157</v>
      </c>
      <c r="Z229" t="s">
        <v>50</v>
      </c>
    </row>
    <row r="230" spans="1:26" x14ac:dyDescent="0.3">
      <c r="A230">
        <v>10291</v>
      </c>
      <c r="B230">
        <v>41</v>
      </c>
      <c r="C230">
        <v>100</v>
      </c>
      <c r="D230">
        <v>8</v>
      </c>
      <c r="E230">
        <v>6387.8</v>
      </c>
      <c r="F230" s="1">
        <v>38238</v>
      </c>
      <c r="G230" t="s">
        <v>39</v>
      </c>
      <c r="H230">
        <v>3</v>
      </c>
      <c r="I230">
        <v>9</v>
      </c>
      <c r="J230" t="str">
        <f>TEXT(DATE(2012,Table1[[#This Row],[MONTH_ID]],10),"mmm")</f>
        <v>Sep</v>
      </c>
      <c r="K230">
        <v>2004</v>
      </c>
      <c r="L230" t="s">
        <v>518</v>
      </c>
      <c r="M230">
        <v>136</v>
      </c>
      <c r="N230" t="s">
        <v>519</v>
      </c>
      <c r="O230" t="s">
        <v>275</v>
      </c>
      <c r="P230" t="s">
        <v>276</v>
      </c>
      <c r="Q230" t="s">
        <v>277</v>
      </c>
      <c r="S230" t="s">
        <v>278</v>
      </c>
      <c r="U230" t="s">
        <v>279</v>
      </c>
      <c r="V230" t="s">
        <v>202</v>
      </c>
      <c r="W230" t="s">
        <v>56</v>
      </c>
      <c r="X230" t="s">
        <v>280</v>
      </c>
      <c r="Y230" t="s">
        <v>220</v>
      </c>
      <c r="Z230" t="s">
        <v>65</v>
      </c>
    </row>
    <row r="231" spans="1:26" x14ac:dyDescent="0.3">
      <c r="A231">
        <v>10304</v>
      </c>
      <c r="B231">
        <v>39</v>
      </c>
      <c r="C231">
        <v>100</v>
      </c>
      <c r="D231">
        <v>3</v>
      </c>
      <c r="E231">
        <v>6396</v>
      </c>
      <c r="F231" s="1">
        <v>38271</v>
      </c>
      <c r="G231" t="s">
        <v>39</v>
      </c>
      <c r="H231">
        <v>4</v>
      </c>
      <c r="I231">
        <v>10</v>
      </c>
      <c r="J231" t="str">
        <f>TEXT(DATE(2012,Table1[[#This Row],[MONTH_ID]],10),"mmm")</f>
        <v>Oct</v>
      </c>
      <c r="K231">
        <v>2004</v>
      </c>
      <c r="L231" t="s">
        <v>518</v>
      </c>
      <c r="M231">
        <v>136</v>
      </c>
      <c r="N231" t="s">
        <v>519</v>
      </c>
      <c r="O231" t="s">
        <v>281</v>
      </c>
      <c r="P231" t="s">
        <v>282</v>
      </c>
      <c r="Q231" t="s">
        <v>283</v>
      </c>
      <c r="S231" t="s">
        <v>284</v>
      </c>
      <c r="U231">
        <v>78000</v>
      </c>
      <c r="V231" t="s">
        <v>55</v>
      </c>
      <c r="W231" t="s">
        <v>56</v>
      </c>
      <c r="X231" t="s">
        <v>285</v>
      </c>
      <c r="Y231" t="s">
        <v>64</v>
      </c>
      <c r="Z231" t="s">
        <v>65</v>
      </c>
    </row>
    <row r="232" spans="1:26" x14ac:dyDescent="0.3">
      <c r="A232">
        <v>10313</v>
      </c>
      <c r="B232">
        <v>21</v>
      </c>
      <c r="C232">
        <v>100</v>
      </c>
      <c r="D232">
        <v>11</v>
      </c>
      <c r="E232">
        <v>2669.1</v>
      </c>
      <c r="F232" s="1">
        <v>38282</v>
      </c>
      <c r="G232" t="s">
        <v>39</v>
      </c>
      <c r="H232">
        <v>4</v>
      </c>
      <c r="I232">
        <v>10</v>
      </c>
      <c r="J232" t="str">
        <f>TEXT(DATE(2012,Table1[[#This Row],[MONTH_ID]],10),"mmm")</f>
        <v>Oct</v>
      </c>
      <c r="K232">
        <v>2004</v>
      </c>
      <c r="L232" t="s">
        <v>518</v>
      </c>
      <c r="M232">
        <v>136</v>
      </c>
      <c r="N232" t="s">
        <v>519</v>
      </c>
      <c r="O232" t="s">
        <v>239</v>
      </c>
      <c r="P232" t="s">
        <v>240</v>
      </c>
      <c r="Q232" t="s">
        <v>241</v>
      </c>
      <c r="S232" t="s">
        <v>242</v>
      </c>
      <c r="T232" t="s">
        <v>243</v>
      </c>
      <c r="U232" t="s">
        <v>244</v>
      </c>
      <c r="V232" t="s">
        <v>245</v>
      </c>
      <c r="W232" t="s">
        <v>47</v>
      </c>
      <c r="X232" t="s">
        <v>246</v>
      </c>
      <c r="Y232" t="s">
        <v>247</v>
      </c>
      <c r="Z232" t="s">
        <v>50</v>
      </c>
    </row>
    <row r="233" spans="1:26" x14ac:dyDescent="0.3">
      <c r="A233">
        <v>10322</v>
      </c>
      <c r="B233">
        <v>27</v>
      </c>
      <c r="C233">
        <v>100</v>
      </c>
      <c r="D233">
        <v>9</v>
      </c>
      <c r="E233">
        <v>4784.13</v>
      </c>
      <c r="F233" s="1">
        <v>38295</v>
      </c>
      <c r="G233" t="s">
        <v>39</v>
      </c>
      <c r="H233">
        <v>4</v>
      </c>
      <c r="I233">
        <v>11</v>
      </c>
      <c r="J233" t="str">
        <f>TEXT(DATE(2012,Table1[[#This Row],[MONTH_ID]],10),"mmm")</f>
        <v>Nov</v>
      </c>
      <c r="K233">
        <v>2004</v>
      </c>
      <c r="L233" t="s">
        <v>518</v>
      </c>
      <c r="M233">
        <v>136</v>
      </c>
      <c r="N233" t="s">
        <v>519</v>
      </c>
      <c r="O233" t="s">
        <v>291</v>
      </c>
      <c r="P233">
        <v>6035558647</v>
      </c>
      <c r="Q233" t="s">
        <v>292</v>
      </c>
      <c r="S233" t="s">
        <v>293</v>
      </c>
      <c r="T233" t="s">
        <v>294</v>
      </c>
      <c r="U233">
        <v>62005</v>
      </c>
      <c r="V233" t="s">
        <v>46</v>
      </c>
      <c r="W233" t="s">
        <v>47</v>
      </c>
      <c r="X233" t="s">
        <v>70</v>
      </c>
      <c r="Y233" t="s">
        <v>290</v>
      </c>
      <c r="Z233" t="s">
        <v>65</v>
      </c>
    </row>
    <row r="234" spans="1:26" x14ac:dyDescent="0.3">
      <c r="A234">
        <v>10333</v>
      </c>
      <c r="B234">
        <v>33</v>
      </c>
      <c r="C234">
        <v>99.21</v>
      </c>
      <c r="D234">
        <v>6</v>
      </c>
      <c r="E234">
        <v>3273.93</v>
      </c>
      <c r="F234" s="1">
        <v>38309</v>
      </c>
      <c r="G234" t="s">
        <v>39</v>
      </c>
      <c r="H234">
        <v>4</v>
      </c>
      <c r="I234">
        <v>11</v>
      </c>
      <c r="J234" t="str">
        <f>TEXT(DATE(2012,Table1[[#This Row],[MONTH_ID]],10),"mmm")</f>
        <v>Nov</v>
      </c>
      <c r="K234">
        <v>2004</v>
      </c>
      <c r="L234" t="s">
        <v>518</v>
      </c>
      <c r="M234">
        <v>136</v>
      </c>
      <c r="N234" t="s">
        <v>519</v>
      </c>
      <c r="O234" t="s">
        <v>95</v>
      </c>
      <c r="P234">
        <v>6505555787</v>
      </c>
      <c r="Q234" t="s">
        <v>96</v>
      </c>
      <c r="S234" t="s">
        <v>74</v>
      </c>
      <c r="T234" t="s">
        <v>69</v>
      </c>
      <c r="V234" t="s">
        <v>46</v>
      </c>
      <c r="W234" t="s">
        <v>47</v>
      </c>
      <c r="X234" t="s">
        <v>97</v>
      </c>
      <c r="Y234" t="s">
        <v>71</v>
      </c>
      <c r="Z234" t="s">
        <v>65</v>
      </c>
    </row>
    <row r="235" spans="1:26" x14ac:dyDescent="0.3">
      <c r="A235">
        <v>10347</v>
      </c>
      <c r="B235">
        <v>29</v>
      </c>
      <c r="C235">
        <v>100</v>
      </c>
      <c r="D235">
        <v>3</v>
      </c>
      <c r="E235">
        <v>3586.43</v>
      </c>
      <c r="F235" s="1">
        <v>38320</v>
      </c>
      <c r="G235" t="s">
        <v>39</v>
      </c>
      <c r="H235">
        <v>4</v>
      </c>
      <c r="I235">
        <v>11</v>
      </c>
      <c r="J235" t="str">
        <f>TEXT(DATE(2012,Table1[[#This Row],[MONTH_ID]],10),"mmm")</f>
        <v>Nov</v>
      </c>
      <c r="K235">
        <v>2004</v>
      </c>
      <c r="L235" t="s">
        <v>518</v>
      </c>
      <c r="M235">
        <v>136</v>
      </c>
      <c r="N235" t="s">
        <v>519</v>
      </c>
      <c r="O235" t="s">
        <v>103</v>
      </c>
      <c r="P235" t="s">
        <v>104</v>
      </c>
      <c r="Q235" t="s">
        <v>105</v>
      </c>
      <c r="R235" t="s">
        <v>106</v>
      </c>
      <c r="S235" t="s">
        <v>107</v>
      </c>
      <c r="T235" t="s">
        <v>108</v>
      </c>
      <c r="U235">
        <v>3004</v>
      </c>
      <c r="V235" t="s">
        <v>109</v>
      </c>
      <c r="W235" t="s">
        <v>110</v>
      </c>
      <c r="X235" t="s">
        <v>111</v>
      </c>
      <c r="Y235" t="s">
        <v>112</v>
      </c>
      <c r="Z235" t="s">
        <v>65</v>
      </c>
    </row>
    <row r="236" spans="1:26" x14ac:dyDescent="0.3">
      <c r="A236">
        <v>10357</v>
      </c>
      <c r="B236">
        <v>49</v>
      </c>
      <c r="C236">
        <v>100</v>
      </c>
      <c r="D236">
        <v>8</v>
      </c>
      <c r="E236">
        <v>5960.36</v>
      </c>
      <c r="F236" s="1">
        <v>38331</v>
      </c>
      <c r="G236" t="s">
        <v>39</v>
      </c>
      <c r="H236">
        <v>4</v>
      </c>
      <c r="I236">
        <v>12</v>
      </c>
      <c r="J236" t="str">
        <f>TEXT(DATE(2012,Table1[[#This Row],[MONTH_ID]],10),"mmm")</f>
        <v>Dec</v>
      </c>
      <c r="K236">
        <v>2004</v>
      </c>
      <c r="L236" t="s">
        <v>518</v>
      </c>
      <c r="M236">
        <v>136</v>
      </c>
      <c r="N236" t="s">
        <v>519</v>
      </c>
      <c r="O236" t="s">
        <v>286</v>
      </c>
      <c r="P236">
        <v>4155551450</v>
      </c>
      <c r="Q236" t="s">
        <v>287</v>
      </c>
      <c r="S236" t="s">
        <v>288</v>
      </c>
      <c r="T236" t="s">
        <v>69</v>
      </c>
      <c r="U236">
        <v>97562</v>
      </c>
      <c r="V236" t="s">
        <v>46</v>
      </c>
      <c r="W236" t="s">
        <v>47</v>
      </c>
      <c r="X236" t="s">
        <v>289</v>
      </c>
      <c r="Y236" t="s">
        <v>290</v>
      </c>
      <c r="Z236" t="s">
        <v>65</v>
      </c>
    </row>
    <row r="237" spans="1:26" x14ac:dyDescent="0.3">
      <c r="A237">
        <v>10370</v>
      </c>
      <c r="B237">
        <v>49</v>
      </c>
      <c r="C237">
        <v>100</v>
      </c>
      <c r="D237">
        <v>8</v>
      </c>
      <c r="E237">
        <v>8470.14</v>
      </c>
      <c r="F237" s="1">
        <v>38372</v>
      </c>
      <c r="G237" t="s">
        <v>39</v>
      </c>
      <c r="H237">
        <v>1</v>
      </c>
      <c r="I237">
        <v>1</v>
      </c>
      <c r="J237" t="str">
        <f>TEXT(DATE(2012,Table1[[#This Row],[MONTH_ID]],10),"mmm")</f>
        <v>Jan</v>
      </c>
      <c r="K237">
        <v>2005</v>
      </c>
      <c r="L237" t="s">
        <v>518</v>
      </c>
      <c r="M237">
        <v>136</v>
      </c>
      <c r="N237" t="s">
        <v>519</v>
      </c>
      <c r="O237" t="s">
        <v>299</v>
      </c>
      <c r="P237" t="s">
        <v>300</v>
      </c>
      <c r="Q237" t="s">
        <v>301</v>
      </c>
      <c r="R237" t="s">
        <v>302</v>
      </c>
      <c r="S237" t="s">
        <v>303</v>
      </c>
      <c r="T237" t="s">
        <v>171</v>
      </c>
      <c r="U237">
        <v>2060</v>
      </c>
      <c r="V237" t="s">
        <v>109</v>
      </c>
      <c r="W237" t="s">
        <v>110</v>
      </c>
      <c r="X237" t="s">
        <v>304</v>
      </c>
      <c r="Y237" t="s">
        <v>305</v>
      </c>
      <c r="Z237" t="s">
        <v>165</v>
      </c>
    </row>
    <row r="238" spans="1:26" x14ac:dyDescent="0.3">
      <c r="A238">
        <v>10381</v>
      </c>
      <c r="B238">
        <v>20</v>
      </c>
      <c r="C238">
        <v>100</v>
      </c>
      <c r="D238">
        <v>1</v>
      </c>
      <c r="E238">
        <v>2952</v>
      </c>
      <c r="F238" s="1">
        <v>38400</v>
      </c>
      <c r="G238" t="s">
        <v>39</v>
      </c>
      <c r="H238">
        <v>1</v>
      </c>
      <c r="I238">
        <v>2</v>
      </c>
      <c r="J238" t="str">
        <f>TEXT(DATE(2012,Table1[[#This Row],[MONTH_ID]],10),"mmm")</f>
        <v>Feb</v>
      </c>
      <c r="K238">
        <v>2005</v>
      </c>
      <c r="L238" t="s">
        <v>518</v>
      </c>
      <c r="M238">
        <v>136</v>
      </c>
      <c r="N238" t="s">
        <v>519</v>
      </c>
      <c r="O238" t="s">
        <v>72</v>
      </c>
      <c r="P238">
        <v>6505551386</v>
      </c>
      <c r="Q238" t="s">
        <v>73</v>
      </c>
      <c r="S238" t="s">
        <v>74</v>
      </c>
      <c r="T238" t="s">
        <v>69</v>
      </c>
      <c r="V238" t="s">
        <v>46</v>
      </c>
      <c r="W238" t="s">
        <v>47</v>
      </c>
      <c r="X238" t="s">
        <v>75</v>
      </c>
      <c r="Y238" t="s">
        <v>71</v>
      </c>
      <c r="Z238" t="s">
        <v>50</v>
      </c>
    </row>
    <row r="239" spans="1:26" x14ac:dyDescent="0.3">
      <c r="A239">
        <v>10391</v>
      </c>
      <c r="B239">
        <v>39</v>
      </c>
      <c r="C239">
        <v>63.2</v>
      </c>
      <c r="D239">
        <v>9</v>
      </c>
      <c r="E239">
        <v>2464.8000000000002</v>
      </c>
      <c r="F239" s="1">
        <v>38420</v>
      </c>
      <c r="G239" t="s">
        <v>39</v>
      </c>
      <c r="H239">
        <v>1</v>
      </c>
      <c r="I239">
        <v>3</v>
      </c>
      <c r="J239" t="str">
        <f>TEXT(DATE(2012,Table1[[#This Row],[MONTH_ID]],10),"mmm")</f>
        <v>Mar</v>
      </c>
      <c r="K239">
        <v>2005</v>
      </c>
      <c r="L239" t="s">
        <v>518</v>
      </c>
      <c r="M239">
        <v>136</v>
      </c>
      <c r="N239" t="s">
        <v>519</v>
      </c>
      <c r="O239" t="s">
        <v>299</v>
      </c>
      <c r="P239" t="s">
        <v>300</v>
      </c>
      <c r="Q239" t="s">
        <v>301</v>
      </c>
      <c r="R239" t="s">
        <v>302</v>
      </c>
      <c r="S239" t="s">
        <v>303</v>
      </c>
      <c r="T239" t="s">
        <v>171</v>
      </c>
      <c r="U239">
        <v>2060</v>
      </c>
      <c r="V239" t="s">
        <v>109</v>
      </c>
      <c r="W239" t="s">
        <v>110</v>
      </c>
      <c r="X239" t="s">
        <v>304</v>
      </c>
      <c r="Y239" t="s">
        <v>305</v>
      </c>
      <c r="Z239" t="s">
        <v>50</v>
      </c>
    </row>
    <row r="240" spans="1:26" x14ac:dyDescent="0.3">
      <c r="A240">
        <v>10411</v>
      </c>
      <c r="B240">
        <v>40</v>
      </c>
      <c r="C240">
        <v>100</v>
      </c>
      <c r="D240">
        <v>6</v>
      </c>
      <c r="E240">
        <v>6232</v>
      </c>
      <c r="F240" s="1">
        <v>38473</v>
      </c>
      <c r="G240" t="s">
        <v>39</v>
      </c>
      <c r="H240">
        <v>2</v>
      </c>
      <c r="I240">
        <v>5</v>
      </c>
      <c r="J240" t="str">
        <f>TEXT(DATE(2012,Table1[[#This Row],[MONTH_ID]],10),"mmm")</f>
        <v>May</v>
      </c>
      <c r="K240">
        <v>2005</v>
      </c>
      <c r="L240" t="s">
        <v>518</v>
      </c>
      <c r="M240">
        <v>136</v>
      </c>
      <c r="N240" t="s">
        <v>519</v>
      </c>
      <c r="O240" t="s">
        <v>306</v>
      </c>
      <c r="P240" t="s">
        <v>307</v>
      </c>
      <c r="Q240" t="s">
        <v>308</v>
      </c>
      <c r="S240" t="s">
        <v>309</v>
      </c>
      <c r="T240" t="s">
        <v>310</v>
      </c>
      <c r="U240" t="s">
        <v>311</v>
      </c>
      <c r="V240" t="s">
        <v>245</v>
      </c>
      <c r="W240" t="s">
        <v>47</v>
      </c>
      <c r="X240" t="s">
        <v>312</v>
      </c>
      <c r="Y240" t="s">
        <v>313</v>
      </c>
      <c r="Z240" t="s">
        <v>65</v>
      </c>
    </row>
    <row r="241" spans="1:26" x14ac:dyDescent="0.3">
      <c r="A241">
        <v>10424</v>
      </c>
      <c r="B241">
        <v>49</v>
      </c>
      <c r="C241">
        <v>100</v>
      </c>
      <c r="D241">
        <v>3</v>
      </c>
      <c r="E241">
        <v>7969.36</v>
      </c>
      <c r="F241" s="1">
        <v>38503</v>
      </c>
      <c r="G241" t="s">
        <v>314</v>
      </c>
      <c r="H241">
        <v>2</v>
      </c>
      <c r="I241">
        <v>5</v>
      </c>
      <c r="J241" t="str">
        <f>TEXT(DATE(2012,Table1[[#This Row],[MONTH_ID]],10),"mmm")</f>
        <v>May</v>
      </c>
      <c r="K241">
        <v>2005</v>
      </c>
      <c r="L241" t="s">
        <v>518</v>
      </c>
      <c r="M241">
        <v>136</v>
      </c>
      <c r="N241" t="s">
        <v>519</v>
      </c>
      <c r="O241" t="s">
        <v>188</v>
      </c>
      <c r="P241" t="s">
        <v>189</v>
      </c>
      <c r="Q241" t="s">
        <v>190</v>
      </c>
      <c r="S241" t="s">
        <v>191</v>
      </c>
      <c r="U241">
        <v>28034</v>
      </c>
      <c r="V241" t="s">
        <v>192</v>
      </c>
      <c r="W241" t="s">
        <v>56</v>
      </c>
      <c r="X241" t="s">
        <v>193</v>
      </c>
      <c r="Y241" t="s">
        <v>194</v>
      </c>
      <c r="Z241" t="s">
        <v>165</v>
      </c>
    </row>
    <row r="242" spans="1:26" x14ac:dyDescent="0.3">
      <c r="A242">
        <v>10107</v>
      </c>
      <c r="B242">
        <v>21</v>
      </c>
      <c r="C242">
        <v>100</v>
      </c>
      <c r="D242">
        <v>1</v>
      </c>
      <c r="E242">
        <v>3036.6</v>
      </c>
      <c r="F242" s="1">
        <v>37676</v>
      </c>
      <c r="G242" t="s">
        <v>39</v>
      </c>
      <c r="H242">
        <v>1</v>
      </c>
      <c r="I242">
        <v>2</v>
      </c>
      <c r="J242" t="str">
        <f>TEXT(DATE(2012,Table1[[#This Row],[MONTH_ID]],10),"mmm")</f>
        <v>Feb</v>
      </c>
      <c r="K242">
        <v>2003</v>
      </c>
      <c r="L242" t="s">
        <v>40</v>
      </c>
      <c r="M242">
        <v>150</v>
      </c>
      <c r="N242" t="s">
        <v>520</v>
      </c>
      <c r="O242" t="s">
        <v>42</v>
      </c>
      <c r="P242">
        <v>2125557818</v>
      </c>
      <c r="Q242" t="s">
        <v>43</v>
      </c>
      <c r="S242" t="s">
        <v>44</v>
      </c>
      <c r="T242" t="s">
        <v>45</v>
      </c>
      <c r="U242">
        <v>10022</v>
      </c>
      <c r="V242" t="s">
        <v>46</v>
      </c>
      <c r="W242" t="s">
        <v>47</v>
      </c>
      <c r="X242" t="s">
        <v>48</v>
      </c>
      <c r="Y242" t="s">
        <v>49</v>
      </c>
      <c r="Z242" t="s">
        <v>65</v>
      </c>
    </row>
    <row r="243" spans="1:26" x14ac:dyDescent="0.3">
      <c r="A243">
        <v>10121</v>
      </c>
      <c r="B243">
        <v>50</v>
      </c>
      <c r="C243">
        <v>100</v>
      </c>
      <c r="D243">
        <v>4</v>
      </c>
      <c r="E243">
        <v>8284</v>
      </c>
      <c r="F243" s="1">
        <v>37748</v>
      </c>
      <c r="G243" t="s">
        <v>39</v>
      </c>
      <c r="H243">
        <v>2</v>
      </c>
      <c r="I243">
        <v>5</v>
      </c>
      <c r="J243" t="str">
        <f>TEXT(DATE(2012,Table1[[#This Row],[MONTH_ID]],10),"mmm")</f>
        <v>May</v>
      </c>
      <c r="K243">
        <v>2003</v>
      </c>
      <c r="L243" t="s">
        <v>40</v>
      </c>
      <c r="M243">
        <v>150</v>
      </c>
      <c r="N243" t="s">
        <v>520</v>
      </c>
      <c r="O243" t="s">
        <v>51</v>
      </c>
      <c r="P243" t="s">
        <v>52</v>
      </c>
      <c r="Q243" t="s">
        <v>53</v>
      </c>
      <c r="S243" t="s">
        <v>54</v>
      </c>
      <c r="U243">
        <v>51100</v>
      </c>
      <c r="V243" t="s">
        <v>55</v>
      </c>
      <c r="W243" t="s">
        <v>56</v>
      </c>
      <c r="X243" t="s">
        <v>57</v>
      </c>
      <c r="Y243" t="s">
        <v>58</v>
      </c>
      <c r="Z243" t="s">
        <v>165</v>
      </c>
    </row>
    <row r="244" spans="1:26" x14ac:dyDescent="0.3">
      <c r="A244">
        <v>10134</v>
      </c>
      <c r="B244">
        <v>20</v>
      </c>
      <c r="C244">
        <v>100</v>
      </c>
      <c r="D244">
        <v>1</v>
      </c>
      <c r="E244">
        <v>2711.2</v>
      </c>
      <c r="F244" s="1">
        <v>37803</v>
      </c>
      <c r="G244" t="s">
        <v>39</v>
      </c>
      <c r="H244">
        <v>3</v>
      </c>
      <c r="I244">
        <v>7</v>
      </c>
      <c r="J244" t="str">
        <f>TEXT(DATE(2012,Table1[[#This Row],[MONTH_ID]],10),"mmm")</f>
        <v>Jul</v>
      </c>
      <c r="K244">
        <v>2003</v>
      </c>
      <c r="L244" t="s">
        <v>40</v>
      </c>
      <c r="M244">
        <v>150</v>
      </c>
      <c r="N244" t="s">
        <v>520</v>
      </c>
      <c r="O244" t="s">
        <v>59</v>
      </c>
      <c r="P244" t="s">
        <v>60</v>
      </c>
      <c r="Q244" t="s">
        <v>61</v>
      </c>
      <c r="S244" t="s">
        <v>62</v>
      </c>
      <c r="U244">
        <v>75508</v>
      </c>
      <c r="V244" t="s">
        <v>55</v>
      </c>
      <c r="W244" t="s">
        <v>56</v>
      </c>
      <c r="X244" t="s">
        <v>63</v>
      </c>
      <c r="Y244" t="s">
        <v>64</v>
      </c>
      <c r="Z244" t="s">
        <v>50</v>
      </c>
    </row>
    <row r="245" spans="1:26" x14ac:dyDescent="0.3">
      <c r="A245">
        <v>10145</v>
      </c>
      <c r="B245">
        <v>49</v>
      </c>
      <c r="C245">
        <v>100</v>
      </c>
      <c r="D245">
        <v>5</v>
      </c>
      <c r="E245">
        <v>8339.7999999999993</v>
      </c>
      <c r="F245" s="1">
        <v>37858</v>
      </c>
      <c r="G245" t="s">
        <v>39</v>
      </c>
      <c r="H245">
        <v>3</v>
      </c>
      <c r="I245">
        <v>8</v>
      </c>
      <c r="J245" t="str">
        <f>TEXT(DATE(2012,Table1[[#This Row],[MONTH_ID]],10),"mmm")</f>
        <v>Aug</v>
      </c>
      <c r="K245">
        <v>2003</v>
      </c>
      <c r="L245" t="s">
        <v>40</v>
      </c>
      <c r="M245">
        <v>150</v>
      </c>
      <c r="N245" t="s">
        <v>520</v>
      </c>
      <c r="O245" t="s">
        <v>66</v>
      </c>
      <c r="P245">
        <v>6265557265</v>
      </c>
      <c r="Q245" t="s">
        <v>67</v>
      </c>
      <c r="S245" t="s">
        <v>68</v>
      </c>
      <c r="T245" t="s">
        <v>69</v>
      </c>
      <c r="U245">
        <v>90003</v>
      </c>
      <c r="V245" t="s">
        <v>46</v>
      </c>
      <c r="W245" t="s">
        <v>47</v>
      </c>
      <c r="X245" t="s">
        <v>70</v>
      </c>
      <c r="Y245" t="s">
        <v>71</v>
      </c>
      <c r="Z245" t="s">
        <v>165</v>
      </c>
    </row>
    <row r="246" spans="1:26" x14ac:dyDescent="0.3">
      <c r="A246">
        <v>10159</v>
      </c>
      <c r="B246">
        <v>38</v>
      </c>
      <c r="C246">
        <v>100</v>
      </c>
      <c r="D246">
        <v>13</v>
      </c>
      <c r="E246">
        <v>6238.84</v>
      </c>
      <c r="F246" s="1">
        <v>37904</v>
      </c>
      <c r="G246" t="s">
        <v>39</v>
      </c>
      <c r="H246">
        <v>4</v>
      </c>
      <c r="I246">
        <v>10</v>
      </c>
      <c r="J246" t="str">
        <f>TEXT(DATE(2012,Table1[[#This Row],[MONTH_ID]],10),"mmm")</f>
        <v>Oct</v>
      </c>
      <c r="K246">
        <v>2003</v>
      </c>
      <c r="L246" t="s">
        <v>40</v>
      </c>
      <c r="M246">
        <v>150</v>
      </c>
      <c r="N246" t="s">
        <v>520</v>
      </c>
      <c r="O246" t="s">
        <v>72</v>
      </c>
      <c r="P246">
        <v>6505551386</v>
      </c>
      <c r="Q246" t="s">
        <v>73</v>
      </c>
      <c r="S246" t="s">
        <v>74</v>
      </c>
      <c r="T246" t="s">
        <v>69</v>
      </c>
      <c r="V246" t="s">
        <v>46</v>
      </c>
      <c r="W246" t="s">
        <v>47</v>
      </c>
      <c r="X246" t="s">
        <v>75</v>
      </c>
      <c r="Y246" t="s">
        <v>71</v>
      </c>
      <c r="Z246" t="s">
        <v>65</v>
      </c>
    </row>
    <row r="247" spans="1:26" x14ac:dyDescent="0.3">
      <c r="A247">
        <v>10169</v>
      </c>
      <c r="B247">
        <v>35</v>
      </c>
      <c r="C247">
        <v>100</v>
      </c>
      <c r="D247">
        <v>13</v>
      </c>
      <c r="E247">
        <v>4639.25</v>
      </c>
      <c r="F247" s="1">
        <v>37929</v>
      </c>
      <c r="G247" t="s">
        <v>39</v>
      </c>
      <c r="H247">
        <v>4</v>
      </c>
      <c r="I247">
        <v>11</v>
      </c>
      <c r="J247" t="str">
        <f>TEXT(DATE(2012,Table1[[#This Row],[MONTH_ID]],10),"mmm")</f>
        <v>Nov</v>
      </c>
      <c r="K247">
        <v>2003</v>
      </c>
      <c r="L247" t="s">
        <v>40</v>
      </c>
      <c r="M247">
        <v>150</v>
      </c>
      <c r="N247" t="s">
        <v>520</v>
      </c>
      <c r="O247" t="s">
        <v>299</v>
      </c>
      <c r="P247" t="s">
        <v>300</v>
      </c>
      <c r="Q247" t="s">
        <v>301</v>
      </c>
      <c r="R247" t="s">
        <v>302</v>
      </c>
      <c r="S247" t="s">
        <v>303</v>
      </c>
      <c r="T247" t="s">
        <v>171</v>
      </c>
      <c r="U247">
        <v>2060</v>
      </c>
      <c r="V247" t="s">
        <v>109</v>
      </c>
      <c r="W247" t="s">
        <v>110</v>
      </c>
      <c r="X247" t="s">
        <v>304</v>
      </c>
      <c r="Y247" t="s">
        <v>305</v>
      </c>
      <c r="Z247" t="s">
        <v>65</v>
      </c>
    </row>
    <row r="248" spans="1:26" x14ac:dyDescent="0.3">
      <c r="A248">
        <v>10180</v>
      </c>
      <c r="B248">
        <v>40</v>
      </c>
      <c r="C248">
        <v>100</v>
      </c>
      <c r="D248">
        <v>8</v>
      </c>
      <c r="E248">
        <v>6747.6</v>
      </c>
      <c r="F248" s="1">
        <v>37936</v>
      </c>
      <c r="G248" t="s">
        <v>39</v>
      </c>
      <c r="H248">
        <v>4</v>
      </c>
      <c r="I248">
        <v>11</v>
      </c>
      <c r="J248" t="str">
        <f>TEXT(DATE(2012,Table1[[#This Row],[MONTH_ID]],10),"mmm")</f>
        <v>Nov</v>
      </c>
      <c r="K248">
        <v>2003</v>
      </c>
      <c r="L248" t="s">
        <v>40</v>
      </c>
      <c r="M248">
        <v>150</v>
      </c>
      <c r="N248" t="s">
        <v>520</v>
      </c>
      <c r="O248" t="s">
        <v>81</v>
      </c>
      <c r="P248" t="s">
        <v>82</v>
      </c>
      <c r="Q248" t="s">
        <v>83</v>
      </c>
      <c r="S248" t="s">
        <v>84</v>
      </c>
      <c r="U248">
        <v>59000</v>
      </c>
      <c r="V248" t="s">
        <v>55</v>
      </c>
      <c r="W248" t="s">
        <v>56</v>
      </c>
      <c r="X248" t="s">
        <v>85</v>
      </c>
      <c r="Y248" t="s">
        <v>86</v>
      </c>
      <c r="Z248" t="s">
        <v>65</v>
      </c>
    </row>
    <row r="249" spans="1:26" x14ac:dyDescent="0.3">
      <c r="A249">
        <v>10189</v>
      </c>
      <c r="B249">
        <v>28</v>
      </c>
      <c r="C249">
        <v>100</v>
      </c>
      <c r="D249">
        <v>1</v>
      </c>
      <c r="E249">
        <v>4512.4799999999996</v>
      </c>
      <c r="F249" s="1">
        <v>37943</v>
      </c>
      <c r="G249" t="s">
        <v>39</v>
      </c>
      <c r="H249">
        <v>4</v>
      </c>
      <c r="I249">
        <v>11</v>
      </c>
      <c r="J249" t="str">
        <f>TEXT(DATE(2012,Table1[[#This Row],[MONTH_ID]],10),"mmm")</f>
        <v>Nov</v>
      </c>
      <c r="K249">
        <v>2003</v>
      </c>
      <c r="L249" t="s">
        <v>40</v>
      </c>
      <c r="M249">
        <v>150</v>
      </c>
      <c r="N249" t="s">
        <v>520</v>
      </c>
      <c r="O249" t="s">
        <v>66</v>
      </c>
      <c r="P249">
        <v>6265557265</v>
      </c>
      <c r="Q249" t="s">
        <v>67</v>
      </c>
      <c r="S249" t="s">
        <v>68</v>
      </c>
      <c r="T249" t="s">
        <v>69</v>
      </c>
      <c r="U249">
        <v>90003</v>
      </c>
      <c r="V249" t="s">
        <v>46</v>
      </c>
      <c r="W249" t="s">
        <v>47</v>
      </c>
      <c r="X249" t="s">
        <v>70</v>
      </c>
      <c r="Y249" t="s">
        <v>71</v>
      </c>
      <c r="Z249" t="s">
        <v>65</v>
      </c>
    </row>
    <row r="250" spans="1:26" x14ac:dyDescent="0.3">
      <c r="A250">
        <v>10201</v>
      </c>
      <c r="B250">
        <v>25</v>
      </c>
      <c r="C250">
        <v>100</v>
      </c>
      <c r="D250">
        <v>1</v>
      </c>
      <c r="E250">
        <v>4029</v>
      </c>
      <c r="F250" s="1">
        <v>37956</v>
      </c>
      <c r="G250" t="s">
        <v>39</v>
      </c>
      <c r="H250">
        <v>4</v>
      </c>
      <c r="I250">
        <v>12</v>
      </c>
      <c r="J250" t="str">
        <f>TEXT(DATE(2012,Table1[[#This Row],[MONTH_ID]],10),"mmm")</f>
        <v>Dec</v>
      </c>
      <c r="K250">
        <v>2003</v>
      </c>
      <c r="L250" t="s">
        <v>40</v>
      </c>
      <c r="M250">
        <v>150</v>
      </c>
      <c r="N250" t="s">
        <v>520</v>
      </c>
      <c r="O250" t="s">
        <v>95</v>
      </c>
      <c r="P250">
        <v>6505555787</v>
      </c>
      <c r="Q250" t="s">
        <v>96</v>
      </c>
      <c r="S250" t="s">
        <v>74</v>
      </c>
      <c r="T250" t="s">
        <v>69</v>
      </c>
      <c r="V250" t="s">
        <v>46</v>
      </c>
      <c r="W250" t="s">
        <v>47</v>
      </c>
      <c r="X250" t="s">
        <v>97</v>
      </c>
      <c r="Y250" t="s">
        <v>71</v>
      </c>
      <c r="Z250" t="s">
        <v>65</v>
      </c>
    </row>
    <row r="251" spans="1:26" x14ac:dyDescent="0.3">
      <c r="A251">
        <v>10211</v>
      </c>
      <c r="B251">
        <v>36</v>
      </c>
      <c r="C251">
        <v>100</v>
      </c>
      <c r="D251">
        <v>13</v>
      </c>
      <c r="E251">
        <v>4771.8</v>
      </c>
      <c r="F251" s="1">
        <v>38001</v>
      </c>
      <c r="G251" t="s">
        <v>39</v>
      </c>
      <c r="H251">
        <v>1</v>
      </c>
      <c r="I251">
        <v>1</v>
      </c>
      <c r="J251" t="str">
        <f>TEXT(DATE(2012,Table1[[#This Row],[MONTH_ID]],10),"mmm")</f>
        <v>Jan</v>
      </c>
      <c r="K251">
        <v>2004</v>
      </c>
      <c r="L251" t="s">
        <v>40</v>
      </c>
      <c r="M251">
        <v>150</v>
      </c>
      <c r="N251" t="s">
        <v>520</v>
      </c>
      <c r="O251" t="s">
        <v>98</v>
      </c>
      <c r="P251" t="s">
        <v>99</v>
      </c>
      <c r="Q251" t="s">
        <v>100</v>
      </c>
      <c r="S251" t="s">
        <v>62</v>
      </c>
      <c r="U251">
        <v>75016</v>
      </c>
      <c r="V251" t="s">
        <v>55</v>
      </c>
      <c r="W251" t="s">
        <v>56</v>
      </c>
      <c r="X251" t="s">
        <v>101</v>
      </c>
      <c r="Y251" t="s">
        <v>102</v>
      </c>
      <c r="Z251" t="s">
        <v>65</v>
      </c>
    </row>
    <row r="252" spans="1:26" x14ac:dyDescent="0.3">
      <c r="A252">
        <v>10224</v>
      </c>
      <c r="B252">
        <v>43</v>
      </c>
      <c r="C252">
        <v>100</v>
      </c>
      <c r="D252">
        <v>6</v>
      </c>
      <c r="E252">
        <v>6087.94</v>
      </c>
      <c r="F252" s="1">
        <v>38038</v>
      </c>
      <c r="G252" t="s">
        <v>39</v>
      </c>
      <c r="H252">
        <v>1</v>
      </c>
      <c r="I252">
        <v>2</v>
      </c>
      <c r="J252" t="str">
        <f>TEXT(DATE(2012,Table1[[#This Row],[MONTH_ID]],10),"mmm")</f>
        <v>Feb</v>
      </c>
      <c r="K252">
        <v>2004</v>
      </c>
      <c r="L252" t="s">
        <v>40</v>
      </c>
      <c r="M252">
        <v>150</v>
      </c>
      <c r="N252" t="s">
        <v>520</v>
      </c>
      <c r="O252" t="s">
        <v>81</v>
      </c>
      <c r="P252" t="s">
        <v>82</v>
      </c>
      <c r="Q252" t="s">
        <v>83</v>
      </c>
      <c r="S252" t="s">
        <v>84</v>
      </c>
      <c r="U252">
        <v>59000</v>
      </c>
      <c r="V252" t="s">
        <v>55</v>
      </c>
      <c r="W252" t="s">
        <v>56</v>
      </c>
      <c r="X252" t="s">
        <v>85</v>
      </c>
      <c r="Y252" t="s">
        <v>86</v>
      </c>
      <c r="Z252" t="s">
        <v>65</v>
      </c>
    </row>
    <row r="253" spans="1:26" x14ac:dyDescent="0.3">
      <c r="A253">
        <v>10237</v>
      </c>
      <c r="B253">
        <v>32</v>
      </c>
      <c r="C253">
        <v>100</v>
      </c>
      <c r="D253">
        <v>6</v>
      </c>
      <c r="E253">
        <v>4193.28</v>
      </c>
      <c r="F253" s="1">
        <v>38082</v>
      </c>
      <c r="G253" t="s">
        <v>39</v>
      </c>
      <c r="H253">
        <v>2</v>
      </c>
      <c r="I253">
        <v>4</v>
      </c>
      <c r="J253" t="str">
        <f>TEXT(DATE(2012,Table1[[#This Row],[MONTH_ID]],10),"mmm")</f>
        <v>Apr</v>
      </c>
      <c r="K253">
        <v>2004</v>
      </c>
      <c r="L253" t="s">
        <v>40</v>
      </c>
      <c r="M253">
        <v>150</v>
      </c>
      <c r="N253" t="s">
        <v>520</v>
      </c>
      <c r="O253" t="s">
        <v>113</v>
      </c>
      <c r="P253">
        <v>2125551500</v>
      </c>
      <c r="Q253" t="s">
        <v>114</v>
      </c>
      <c r="R253" t="s">
        <v>115</v>
      </c>
      <c r="S253" t="s">
        <v>44</v>
      </c>
      <c r="T253" t="s">
        <v>45</v>
      </c>
      <c r="U253">
        <v>10022</v>
      </c>
      <c r="V253" t="s">
        <v>46</v>
      </c>
      <c r="W253" t="s">
        <v>47</v>
      </c>
      <c r="X253" t="s">
        <v>116</v>
      </c>
      <c r="Y253" t="s">
        <v>117</v>
      </c>
      <c r="Z253" t="s">
        <v>65</v>
      </c>
    </row>
    <row r="254" spans="1:26" x14ac:dyDescent="0.3">
      <c r="A254">
        <v>10251</v>
      </c>
      <c r="B254">
        <v>46</v>
      </c>
      <c r="C254">
        <v>100</v>
      </c>
      <c r="D254">
        <v>1</v>
      </c>
      <c r="E254">
        <v>7552.28</v>
      </c>
      <c r="F254" s="1">
        <v>38125</v>
      </c>
      <c r="G254" t="s">
        <v>39</v>
      </c>
      <c r="H254">
        <v>2</v>
      </c>
      <c r="I254">
        <v>5</v>
      </c>
      <c r="J254" t="str">
        <f>TEXT(DATE(2012,Table1[[#This Row],[MONTH_ID]],10),"mmm")</f>
        <v>May</v>
      </c>
      <c r="K254">
        <v>2004</v>
      </c>
      <c r="L254" t="s">
        <v>40</v>
      </c>
      <c r="M254">
        <v>150</v>
      </c>
      <c r="N254" t="s">
        <v>520</v>
      </c>
      <c r="O254" t="s">
        <v>118</v>
      </c>
      <c r="P254">
        <v>2015559350</v>
      </c>
      <c r="Q254" t="s">
        <v>119</v>
      </c>
      <c r="S254" t="s">
        <v>120</v>
      </c>
      <c r="T254" t="s">
        <v>121</v>
      </c>
      <c r="U254">
        <v>94019</v>
      </c>
      <c r="V254" t="s">
        <v>46</v>
      </c>
      <c r="W254" t="s">
        <v>47</v>
      </c>
      <c r="X254" t="s">
        <v>75</v>
      </c>
      <c r="Y254" t="s">
        <v>122</v>
      </c>
      <c r="Z254" t="s">
        <v>165</v>
      </c>
    </row>
    <row r="255" spans="1:26" x14ac:dyDescent="0.3">
      <c r="A255">
        <v>10263</v>
      </c>
      <c r="B255">
        <v>48</v>
      </c>
      <c r="C255">
        <v>100</v>
      </c>
      <c r="D255">
        <v>1</v>
      </c>
      <c r="E255">
        <v>6434.4</v>
      </c>
      <c r="F255" s="1">
        <v>38166</v>
      </c>
      <c r="G255" t="s">
        <v>39</v>
      </c>
      <c r="H255">
        <v>2</v>
      </c>
      <c r="I255">
        <v>6</v>
      </c>
      <c r="J255" t="str">
        <f>TEXT(DATE(2012,Table1[[#This Row],[MONTH_ID]],10),"mmm")</f>
        <v>Jun</v>
      </c>
      <c r="K255">
        <v>2004</v>
      </c>
      <c r="L255" t="s">
        <v>40</v>
      </c>
      <c r="M255">
        <v>150</v>
      </c>
      <c r="N255" t="s">
        <v>520</v>
      </c>
      <c r="O255" t="s">
        <v>123</v>
      </c>
      <c r="P255">
        <v>2035552570</v>
      </c>
      <c r="Q255" t="s">
        <v>124</v>
      </c>
      <c r="S255" t="s">
        <v>125</v>
      </c>
      <c r="T255" t="s">
        <v>126</v>
      </c>
      <c r="U255">
        <v>97562</v>
      </c>
      <c r="V255" t="s">
        <v>46</v>
      </c>
      <c r="W255" t="s">
        <v>47</v>
      </c>
      <c r="X255" t="s">
        <v>127</v>
      </c>
      <c r="Y255" t="s">
        <v>71</v>
      </c>
      <c r="Z255" t="s">
        <v>65</v>
      </c>
    </row>
    <row r="256" spans="1:26" x14ac:dyDescent="0.3">
      <c r="A256">
        <v>10276</v>
      </c>
      <c r="B256">
        <v>43</v>
      </c>
      <c r="C256">
        <v>100</v>
      </c>
      <c r="D256">
        <v>14</v>
      </c>
      <c r="E256">
        <v>5181.5</v>
      </c>
      <c r="F256" s="1">
        <v>38201</v>
      </c>
      <c r="G256" t="s">
        <v>39</v>
      </c>
      <c r="H256">
        <v>3</v>
      </c>
      <c r="I256">
        <v>8</v>
      </c>
      <c r="J256" t="str">
        <f>TEXT(DATE(2012,Table1[[#This Row],[MONTH_ID]],10),"mmm")</f>
        <v>Aug</v>
      </c>
      <c r="K256">
        <v>2004</v>
      </c>
      <c r="L256" t="s">
        <v>40</v>
      </c>
      <c r="M256">
        <v>150</v>
      </c>
      <c r="N256" t="s">
        <v>520</v>
      </c>
      <c r="O256" t="s">
        <v>472</v>
      </c>
      <c r="P256">
        <v>6175557555</v>
      </c>
      <c r="Q256" t="s">
        <v>473</v>
      </c>
      <c r="S256" t="s">
        <v>297</v>
      </c>
      <c r="T256" t="s">
        <v>137</v>
      </c>
      <c r="U256">
        <v>58339</v>
      </c>
      <c r="V256" t="s">
        <v>46</v>
      </c>
      <c r="W256" t="s">
        <v>47</v>
      </c>
      <c r="X256" t="s">
        <v>474</v>
      </c>
      <c r="Y256" t="s">
        <v>475</v>
      </c>
      <c r="Z256" t="s">
        <v>65</v>
      </c>
    </row>
    <row r="257" spans="1:26" x14ac:dyDescent="0.3">
      <c r="A257">
        <v>10285</v>
      </c>
      <c r="B257">
        <v>49</v>
      </c>
      <c r="C257">
        <v>100</v>
      </c>
      <c r="D257">
        <v>5</v>
      </c>
      <c r="E257">
        <v>6863.92</v>
      </c>
      <c r="F257" s="1">
        <v>38226</v>
      </c>
      <c r="G257" t="s">
        <v>39</v>
      </c>
      <c r="H257">
        <v>3</v>
      </c>
      <c r="I257">
        <v>8</v>
      </c>
      <c r="J257" t="str">
        <f>TEXT(DATE(2012,Table1[[#This Row],[MONTH_ID]],10),"mmm")</f>
        <v>Aug</v>
      </c>
      <c r="K257">
        <v>2004</v>
      </c>
      <c r="L257" t="s">
        <v>40</v>
      </c>
      <c r="M257">
        <v>150</v>
      </c>
      <c r="N257" t="s">
        <v>520</v>
      </c>
      <c r="O257" t="s">
        <v>134</v>
      </c>
      <c r="P257">
        <v>6175558555</v>
      </c>
      <c r="Q257" t="s">
        <v>135</v>
      </c>
      <c r="S257" t="s">
        <v>136</v>
      </c>
      <c r="T257" t="s">
        <v>137</v>
      </c>
      <c r="U257">
        <v>51247</v>
      </c>
      <c r="V257" t="s">
        <v>46</v>
      </c>
      <c r="W257" t="s">
        <v>47</v>
      </c>
      <c r="X257" t="s">
        <v>138</v>
      </c>
      <c r="Y257" t="s">
        <v>139</v>
      </c>
      <c r="Z257" t="s">
        <v>65</v>
      </c>
    </row>
    <row r="258" spans="1:26" x14ac:dyDescent="0.3">
      <c r="A258">
        <v>10299</v>
      </c>
      <c r="B258">
        <v>24</v>
      </c>
      <c r="C258">
        <v>100</v>
      </c>
      <c r="D258">
        <v>8</v>
      </c>
      <c r="E258">
        <v>4157.04</v>
      </c>
      <c r="F258" s="1">
        <v>38260</v>
      </c>
      <c r="G258" t="s">
        <v>39</v>
      </c>
      <c r="H258">
        <v>3</v>
      </c>
      <c r="I258">
        <v>9</v>
      </c>
      <c r="J258" t="str">
        <f>TEXT(DATE(2012,Table1[[#This Row],[MONTH_ID]],10),"mmm")</f>
        <v>Sep</v>
      </c>
      <c r="K258">
        <v>2004</v>
      </c>
      <c r="L258" t="s">
        <v>40</v>
      </c>
      <c r="M258">
        <v>150</v>
      </c>
      <c r="N258" t="s">
        <v>520</v>
      </c>
      <c r="O258" t="s">
        <v>140</v>
      </c>
      <c r="P258" t="s">
        <v>141</v>
      </c>
      <c r="Q258" t="s">
        <v>142</v>
      </c>
      <c r="S258" t="s">
        <v>143</v>
      </c>
      <c r="U258">
        <v>21240</v>
      </c>
      <c r="V258" t="s">
        <v>144</v>
      </c>
      <c r="W258" t="s">
        <v>56</v>
      </c>
      <c r="X258" t="s">
        <v>145</v>
      </c>
      <c r="Y258" t="s">
        <v>146</v>
      </c>
      <c r="Z258" t="s">
        <v>65</v>
      </c>
    </row>
    <row r="259" spans="1:26" x14ac:dyDescent="0.3">
      <c r="A259">
        <v>10309</v>
      </c>
      <c r="B259">
        <v>26</v>
      </c>
      <c r="C259">
        <v>100</v>
      </c>
      <c r="D259">
        <v>4</v>
      </c>
      <c r="E259">
        <v>4660.24</v>
      </c>
      <c r="F259" s="1">
        <v>38275</v>
      </c>
      <c r="G259" t="s">
        <v>39</v>
      </c>
      <c r="H259">
        <v>4</v>
      </c>
      <c r="I259">
        <v>10</v>
      </c>
      <c r="J259" t="str">
        <f>TEXT(DATE(2012,Table1[[#This Row],[MONTH_ID]],10),"mmm")</f>
        <v>Oct</v>
      </c>
      <c r="K259">
        <v>2004</v>
      </c>
      <c r="L259" t="s">
        <v>40</v>
      </c>
      <c r="M259">
        <v>150</v>
      </c>
      <c r="N259" t="s">
        <v>520</v>
      </c>
      <c r="O259" t="s">
        <v>147</v>
      </c>
      <c r="P259" t="s">
        <v>148</v>
      </c>
      <c r="Q259" t="s">
        <v>149</v>
      </c>
      <c r="S259" t="s">
        <v>150</v>
      </c>
      <c r="U259">
        <v>4110</v>
      </c>
      <c r="V259" t="s">
        <v>92</v>
      </c>
      <c r="W259" t="s">
        <v>56</v>
      </c>
      <c r="X259" t="s">
        <v>151</v>
      </c>
      <c r="Y259" t="s">
        <v>152</v>
      </c>
      <c r="Z259" t="s">
        <v>65</v>
      </c>
    </row>
    <row r="260" spans="1:26" x14ac:dyDescent="0.3">
      <c r="A260">
        <v>10319</v>
      </c>
      <c r="B260">
        <v>30</v>
      </c>
      <c r="C260">
        <v>100</v>
      </c>
      <c r="D260">
        <v>9</v>
      </c>
      <c r="E260">
        <v>4111.8</v>
      </c>
      <c r="F260" s="1">
        <v>38294</v>
      </c>
      <c r="G260" t="s">
        <v>39</v>
      </c>
      <c r="H260">
        <v>4</v>
      </c>
      <c r="I260">
        <v>11</v>
      </c>
      <c r="J260" t="str">
        <f>TEXT(DATE(2012,Table1[[#This Row],[MONTH_ID]],10),"mmm")</f>
        <v>Nov</v>
      </c>
      <c r="K260">
        <v>2004</v>
      </c>
      <c r="L260" t="s">
        <v>40</v>
      </c>
      <c r="M260">
        <v>150</v>
      </c>
      <c r="N260" t="s">
        <v>520</v>
      </c>
      <c r="O260" t="s">
        <v>521</v>
      </c>
      <c r="P260">
        <v>2125551957</v>
      </c>
      <c r="Q260" t="s">
        <v>522</v>
      </c>
      <c r="R260" t="s">
        <v>523</v>
      </c>
      <c r="S260" t="s">
        <v>44</v>
      </c>
      <c r="T260" t="s">
        <v>45</v>
      </c>
      <c r="U260">
        <v>10022</v>
      </c>
      <c r="V260" t="s">
        <v>46</v>
      </c>
      <c r="W260" t="s">
        <v>47</v>
      </c>
      <c r="X260" t="s">
        <v>524</v>
      </c>
      <c r="Y260" t="s">
        <v>525</v>
      </c>
      <c r="Z260" t="s">
        <v>65</v>
      </c>
    </row>
    <row r="261" spans="1:26" x14ac:dyDescent="0.3">
      <c r="A261">
        <v>10329</v>
      </c>
      <c r="B261">
        <v>24</v>
      </c>
      <c r="C261">
        <v>100</v>
      </c>
      <c r="D261">
        <v>6</v>
      </c>
      <c r="E261">
        <v>3542.64</v>
      </c>
      <c r="F261" s="1">
        <v>38306</v>
      </c>
      <c r="G261" t="s">
        <v>39</v>
      </c>
      <c r="H261">
        <v>4</v>
      </c>
      <c r="I261">
        <v>11</v>
      </c>
      <c r="J261" t="str">
        <f>TEXT(DATE(2012,Table1[[#This Row],[MONTH_ID]],10),"mmm")</f>
        <v>Nov</v>
      </c>
      <c r="K261">
        <v>2004</v>
      </c>
      <c r="L261" t="s">
        <v>40</v>
      </c>
      <c r="M261">
        <v>150</v>
      </c>
      <c r="N261" t="s">
        <v>520</v>
      </c>
      <c r="O261" t="s">
        <v>42</v>
      </c>
      <c r="P261">
        <v>2125557818</v>
      </c>
      <c r="Q261" t="s">
        <v>43</v>
      </c>
      <c r="S261" t="s">
        <v>44</v>
      </c>
      <c r="T261" t="s">
        <v>45</v>
      </c>
      <c r="U261">
        <v>10022</v>
      </c>
      <c r="V261" t="s">
        <v>46</v>
      </c>
      <c r="W261" t="s">
        <v>47</v>
      </c>
      <c r="X261" t="s">
        <v>48</v>
      </c>
      <c r="Y261" t="s">
        <v>49</v>
      </c>
      <c r="Z261" t="s">
        <v>65</v>
      </c>
    </row>
    <row r="262" spans="1:26" x14ac:dyDescent="0.3">
      <c r="A262">
        <v>10341</v>
      </c>
      <c r="B262">
        <v>55</v>
      </c>
      <c r="C262">
        <v>100</v>
      </c>
      <c r="D262">
        <v>8</v>
      </c>
      <c r="E262">
        <v>8118.55</v>
      </c>
      <c r="F262" s="1">
        <v>38315</v>
      </c>
      <c r="G262" t="s">
        <v>39</v>
      </c>
      <c r="H262">
        <v>4</v>
      </c>
      <c r="I262">
        <v>11</v>
      </c>
      <c r="J262" t="str">
        <f>TEXT(DATE(2012,Table1[[#This Row],[MONTH_ID]],10),"mmm")</f>
        <v>Nov</v>
      </c>
      <c r="K262">
        <v>2004</v>
      </c>
      <c r="L262" t="s">
        <v>40</v>
      </c>
      <c r="M262">
        <v>150</v>
      </c>
      <c r="N262" t="s">
        <v>520</v>
      </c>
      <c r="O262" t="s">
        <v>158</v>
      </c>
      <c r="P262" t="s">
        <v>159</v>
      </c>
      <c r="Q262" t="s">
        <v>160</v>
      </c>
      <c r="S262" t="s">
        <v>161</v>
      </c>
      <c r="U262">
        <v>5020</v>
      </c>
      <c r="V262" t="s">
        <v>162</v>
      </c>
      <c r="W262" t="s">
        <v>56</v>
      </c>
      <c r="X262" t="s">
        <v>163</v>
      </c>
      <c r="Y262" t="s">
        <v>164</v>
      </c>
      <c r="Z262" t="s">
        <v>165</v>
      </c>
    </row>
    <row r="263" spans="1:26" x14ac:dyDescent="0.3">
      <c r="A263">
        <v>10362</v>
      </c>
      <c r="B263">
        <v>22</v>
      </c>
      <c r="C263">
        <v>100</v>
      </c>
      <c r="D263">
        <v>1</v>
      </c>
      <c r="E263">
        <v>3877.06</v>
      </c>
      <c r="F263" s="1">
        <v>38357</v>
      </c>
      <c r="G263" t="s">
        <v>39</v>
      </c>
      <c r="H263">
        <v>1</v>
      </c>
      <c r="I263">
        <v>1</v>
      </c>
      <c r="J263" t="str">
        <f>TEXT(DATE(2012,Table1[[#This Row],[MONTH_ID]],10),"mmm")</f>
        <v>Jan</v>
      </c>
      <c r="K263">
        <v>2005</v>
      </c>
      <c r="L263" t="s">
        <v>40</v>
      </c>
      <c r="M263">
        <v>150</v>
      </c>
      <c r="N263" t="s">
        <v>520</v>
      </c>
      <c r="O263" t="s">
        <v>76</v>
      </c>
      <c r="P263">
        <v>6505556809</v>
      </c>
      <c r="Q263" t="s">
        <v>77</v>
      </c>
      <c r="S263" t="s">
        <v>78</v>
      </c>
      <c r="T263" t="s">
        <v>69</v>
      </c>
      <c r="U263">
        <v>94217</v>
      </c>
      <c r="V263" t="s">
        <v>46</v>
      </c>
      <c r="W263" t="s">
        <v>47</v>
      </c>
      <c r="X263" t="s">
        <v>79</v>
      </c>
      <c r="Y263" t="s">
        <v>80</v>
      </c>
      <c r="Z263" t="s">
        <v>65</v>
      </c>
    </row>
    <row r="264" spans="1:26" x14ac:dyDescent="0.3">
      <c r="A264">
        <v>10375</v>
      </c>
      <c r="B264">
        <v>49</v>
      </c>
      <c r="C264">
        <v>78.92</v>
      </c>
      <c r="D264">
        <v>13</v>
      </c>
      <c r="E264">
        <v>3867.08</v>
      </c>
      <c r="F264" s="1">
        <v>38386</v>
      </c>
      <c r="G264" t="s">
        <v>39</v>
      </c>
      <c r="H264">
        <v>1</v>
      </c>
      <c r="I264">
        <v>2</v>
      </c>
      <c r="J264" t="str">
        <f>TEXT(DATE(2012,Table1[[#This Row],[MONTH_ID]],10),"mmm")</f>
        <v>Feb</v>
      </c>
      <c r="K264">
        <v>2005</v>
      </c>
      <c r="L264" t="s">
        <v>40</v>
      </c>
      <c r="M264">
        <v>150</v>
      </c>
      <c r="N264" t="s">
        <v>520</v>
      </c>
      <c r="O264" t="s">
        <v>128</v>
      </c>
      <c r="P264" t="s">
        <v>129</v>
      </c>
      <c r="Q264" t="s">
        <v>130</v>
      </c>
      <c r="S264" t="s">
        <v>131</v>
      </c>
      <c r="U264">
        <v>44000</v>
      </c>
      <c r="V264" t="s">
        <v>55</v>
      </c>
      <c r="W264" t="s">
        <v>56</v>
      </c>
      <c r="X264" t="s">
        <v>132</v>
      </c>
      <c r="Y264" t="s">
        <v>133</v>
      </c>
      <c r="Z264" t="s">
        <v>65</v>
      </c>
    </row>
    <row r="265" spans="1:26" x14ac:dyDescent="0.3">
      <c r="A265">
        <v>10388</v>
      </c>
      <c r="B265">
        <v>44</v>
      </c>
      <c r="C265">
        <v>100</v>
      </c>
      <c r="D265">
        <v>6</v>
      </c>
      <c r="E265">
        <v>5951.44</v>
      </c>
      <c r="F265" s="1">
        <v>38414</v>
      </c>
      <c r="G265" t="s">
        <v>39</v>
      </c>
      <c r="H265">
        <v>1</v>
      </c>
      <c r="I265">
        <v>3</v>
      </c>
      <c r="J265" t="str">
        <f>TEXT(DATE(2012,Table1[[#This Row],[MONTH_ID]],10),"mmm")</f>
        <v>Mar</v>
      </c>
      <c r="K265">
        <v>2005</v>
      </c>
      <c r="L265" t="s">
        <v>40</v>
      </c>
      <c r="M265">
        <v>150</v>
      </c>
      <c r="N265" t="s">
        <v>520</v>
      </c>
      <c r="O265" t="s">
        <v>174</v>
      </c>
      <c r="P265">
        <v>5085552555</v>
      </c>
      <c r="Q265" t="s">
        <v>175</v>
      </c>
      <c r="S265" t="s">
        <v>176</v>
      </c>
      <c r="T265" t="s">
        <v>137</v>
      </c>
      <c r="U265">
        <v>50553</v>
      </c>
      <c r="V265" t="s">
        <v>46</v>
      </c>
      <c r="W265" t="s">
        <v>47</v>
      </c>
      <c r="X265" t="s">
        <v>177</v>
      </c>
      <c r="Y265" t="s">
        <v>178</v>
      </c>
      <c r="Z265" t="s">
        <v>65</v>
      </c>
    </row>
    <row r="266" spans="1:26" x14ac:dyDescent="0.3">
      <c r="A266">
        <v>10403</v>
      </c>
      <c r="B266">
        <v>66</v>
      </c>
      <c r="C266">
        <v>100</v>
      </c>
      <c r="D266">
        <v>6</v>
      </c>
      <c r="E266">
        <v>8648.64</v>
      </c>
      <c r="F266" s="1">
        <v>38450</v>
      </c>
      <c r="G266" t="s">
        <v>39</v>
      </c>
      <c r="H266">
        <v>2</v>
      </c>
      <c r="I266">
        <v>4</v>
      </c>
      <c r="J266" t="str">
        <f>TEXT(DATE(2012,Table1[[#This Row],[MONTH_ID]],10),"mmm")</f>
        <v>Apr</v>
      </c>
      <c r="K266">
        <v>2005</v>
      </c>
      <c r="L266" t="s">
        <v>40</v>
      </c>
      <c r="M266">
        <v>150</v>
      </c>
      <c r="N266" t="s">
        <v>520</v>
      </c>
      <c r="O266" t="s">
        <v>179</v>
      </c>
      <c r="P266" t="s">
        <v>180</v>
      </c>
      <c r="Q266" t="s">
        <v>181</v>
      </c>
      <c r="S266" t="s">
        <v>182</v>
      </c>
      <c r="U266" t="s">
        <v>183</v>
      </c>
      <c r="V266" t="s">
        <v>184</v>
      </c>
      <c r="W266" t="s">
        <v>56</v>
      </c>
      <c r="X266" t="s">
        <v>185</v>
      </c>
      <c r="Y266" t="s">
        <v>186</v>
      </c>
      <c r="Z266" t="s">
        <v>165</v>
      </c>
    </row>
    <row r="267" spans="1:26" x14ac:dyDescent="0.3">
      <c r="A267">
        <v>10417</v>
      </c>
      <c r="B267">
        <v>21</v>
      </c>
      <c r="C267">
        <v>100</v>
      </c>
      <c r="D267">
        <v>1</v>
      </c>
      <c r="E267">
        <v>3447.78</v>
      </c>
      <c r="F267" s="1">
        <v>38485</v>
      </c>
      <c r="G267" t="s">
        <v>187</v>
      </c>
      <c r="H267">
        <v>2</v>
      </c>
      <c r="I267">
        <v>5</v>
      </c>
      <c r="J267" t="str">
        <f>TEXT(DATE(2012,Table1[[#This Row],[MONTH_ID]],10),"mmm")</f>
        <v>May</v>
      </c>
      <c r="K267">
        <v>2005</v>
      </c>
      <c r="L267" t="s">
        <v>40</v>
      </c>
      <c r="M267">
        <v>150</v>
      </c>
      <c r="N267" t="s">
        <v>520</v>
      </c>
      <c r="O267" t="s">
        <v>188</v>
      </c>
      <c r="P267" t="s">
        <v>189</v>
      </c>
      <c r="Q267" t="s">
        <v>190</v>
      </c>
      <c r="S267" t="s">
        <v>191</v>
      </c>
      <c r="U267">
        <v>28034</v>
      </c>
      <c r="V267" t="s">
        <v>192</v>
      </c>
      <c r="W267" t="s">
        <v>56</v>
      </c>
      <c r="X267" t="s">
        <v>193</v>
      </c>
      <c r="Y267" t="s">
        <v>194</v>
      </c>
      <c r="Z267" t="s">
        <v>65</v>
      </c>
    </row>
    <row r="268" spans="1:26" x14ac:dyDescent="0.3">
      <c r="A268">
        <v>10104</v>
      </c>
      <c r="B268">
        <v>34</v>
      </c>
      <c r="C268">
        <v>100</v>
      </c>
      <c r="D268">
        <v>1</v>
      </c>
      <c r="E268">
        <v>5958.5</v>
      </c>
      <c r="F268" s="1">
        <v>37652</v>
      </c>
      <c r="G268" t="s">
        <v>39</v>
      </c>
      <c r="H268">
        <v>1</v>
      </c>
      <c r="I268">
        <v>1</v>
      </c>
      <c r="J268" t="str">
        <f>TEXT(DATE(2012,Table1[[#This Row],[MONTH_ID]],10),"mmm")</f>
        <v>Jan</v>
      </c>
      <c r="K268">
        <v>2003</v>
      </c>
      <c r="L268" t="s">
        <v>195</v>
      </c>
      <c r="M268">
        <v>151</v>
      </c>
      <c r="N268" t="s">
        <v>526</v>
      </c>
      <c r="O268" t="s">
        <v>188</v>
      </c>
      <c r="P268" t="s">
        <v>189</v>
      </c>
      <c r="Q268" t="s">
        <v>190</v>
      </c>
      <c r="S268" t="s">
        <v>191</v>
      </c>
      <c r="U268">
        <v>28034</v>
      </c>
      <c r="V268" t="s">
        <v>192</v>
      </c>
      <c r="W268" t="s">
        <v>56</v>
      </c>
      <c r="X268" t="s">
        <v>193</v>
      </c>
      <c r="Y268" t="s">
        <v>194</v>
      </c>
      <c r="Z268" t="s">
        <v>65</v>
      </c>
    </row>
    <row r="269" spans="1:26" x14ac:dyDescent="0.3">
      <c r="A269">
        <v>10117</v>
      </c>
      <c r="B269">
        <v>43</v>
      </c>
      <c r="C269">
        <v>100</v>
      </c>
      <c r="D269">
        <v>10</v>
      </c>
      <c r="E269">
        <v>5911.64</v>
      </c>
      <c r="F269" s="1">
        <v>37727</v>
      </c>
      <c r="G269" t="s">
        <v>39</v>
      </c>
      <c r="H269">
        <v>2</v>
      </c>
      <c r="I269">
        <v>4</v>
      </c>
      <c r="J269" t="str">
        <f>TEXT(DATE(2012,Table1[[#This Row],[MONTH_ID]],10),"mmm")</f>
        <v>Apr</v>
      </c>
      <c r="K269">
        <v>2003</v>
      </c>
      <c r="L269" t="s">
        <v>195</v>
      </c>
      <c r="M269">
        <v>151</v>
      </c>
      <c r="N269" t="s">
        <v>526</v>
      </c>
      <c r="O269" t="s">
        <v>210</v>
      </c>
      <c r="P269" t="s">
        <v>211</v>
      </c>
      <c r="Q269" t="s">
        <v>212</v>
      </c>
      <c r="S269" t="s">
        <v>213</v>
      </c>
      <c r="U269">
        <v>79903</v>
      </c>
      <c r="V269" t="s">
        <v>213</v>
      </c>
      <c r="W269" t="s">
        <v>214</v>
      </c>
      <c r="X269" t="s">
        <v>215</v>
      </c>
      <c r="Y269" t="s">
        <v>216</v>
      </c>
      <c r="Z269" t="s">
        <v>65</v>
      </c>
    </row>
    <row r="270" spans="1:26" x14ac:dyDescent="0.3">
      <c r="A270">
        <v>10127</v>
      </c>
      <c r="B270">
        <v>46</v>
      </c>
      <c r="C270">
        <v>100</v>
      </c>
      <c r="D270">
        <v>3</v>
      </c>
      <c r="E270">
        <v>7366.44</v>
      </c>
      <c r="F270" s="1">
        <v>37775</v>
      </c>
      <c r="G270" t="s">
        <v>39</v>
      </c>
      <c r="H270">
        <v>2</v>
      </c>
      <c r="I270">
        <v>6</v>
      </c>
      <c r="J270" t="str">
        <f>TEXT(DATE(2012,Table1[[#This Row],[MONTH_ID]],10),"mmm")</f>
        <v>Jun</v>
      </c>
      <c r="K270">
        <v>2003</v>
      </c>
      <c r="L270" t="s">
        <v>195</v>
      </c>
      <c r="M270">
        <v>151</v>
      </c>
      <c r="N270" t="s">
        <v>526</v>
      </c>
      <c r="O270" t="s">
        <v>489</v>
      </c>
      <c r="P270">
        <v>2125557413</v>
      </c>
      <c r="Q270" t="s">
        <v>490</v>
      </c>
      <c r="R270" t="s">
        <v>491</v>
      </c>
      <c r="S270" t="s">
        <v>44</v>
      </c>
      <c r="T270" t="s">
        <v>45</v>
      </c>
      <c r="U270">
        <v>10022</v>
      </c>
      <c r="V270" t="s">
        <v>46</v>
      </c>
      <c r="W270" t="s">
        <v>47</v>
      </c>
      <c r="X270" t="s">
        <v>70</v>
      </c>
      <c r="Y270" t="s">
        <v>492</v>
      </c>
      <c r="Z270" t="s">
        <v>165</v>
      </c>
    </row>
    <row r="271" spans="1:26" x14ac:dyDescent="0.3">
      <c r="A271">
        <v>10142</v>
      </c>
      <c r="B271">
        <v>33</v>
      </c>
      <c r="C271">
        <v>100</v>
      </c>
      <c r="D271">
        <v>13</v>
      </c>
      <c r="E271">
        <v>4985.6400000000003</v>
      </c>
      <c r="F271" s="1">
        <v>37841</v>
      </c>
      <c r="G271" t="s">
        <v>39</v>
      </c>
      <c r="H271">
        <v>3</v>
      </c>
      <c r="I271">
        <v>8</v>
      </c>
      <c r="J271" t="str">
        <f>TEXT(DATE(2012,Table1[[#This Row],[MONTH_ID]],10),"mmm")</f>
        <v>Aug</v>
      </c>
      <c r="K271">
        <v>2003</v>
      </c>
      <c r="L271" t="s">
        <v>195</v>
      </c>
      <c r="M271">
        <v>151</v>
      </c>
      <c r="N271" t="s">
        <v>526</v>
      </c>
      <c r="O271" t="s">
        <v>286</v>
      </c>
      <c r="P271">
        <v>4155551450</v>
      </c>
      <c r="Q271" t="s">
        <v>287</v>
      </c>
      <c r="S271" t="s">
        <v>288</v>
      </c>
      <c r="T271" t="s">
        <v>69</v>
      </c>
      <c r="U271">
        <v>97562</v>
      </c>
      <c r="V271" t="s">
        <v>46</v>
      </c>
      <c r="W271" t="s">
        <v>47</v>
      </c>
      <c r="X271" t="s">
        <v>289</v>
      </c>
      <c r="Y271" t="s">
        <v>290</v>
      </c>
      <c r="Z271" t="s">
        <v>65</v>
      </c>
    </row>
    <row r="272" spans="1:26" x14ac:dyDescent="0.3">
      <c r="A272">
        <v>10153</v>
      </c>
      <c r="B272">
        <v>42</v>
      </c>
      <c r="C272">
        <v>100</v>
      </c>
      <c r="D272">
        <v>12</v>
      </c>
      <c r="E272">
        <v>5393.64</v>
      </c>
      <c r="F272" s="1">
        <v>37892</v>
      </c>
      <c r="G272" t="s">
        <v>39</v>
      </c>
      <c r="H272">
        <v>3</v>
      </c>
      <c r="I272">
        <v>9</v>
      </c>
      <c r="J272" t="str">
        <f>TEXT(DATE(2012,Table1[[#This Row],[MONTH_ID]],10),"mmm")</f>
        <v>Sep</v>
      </c>
      <c r="K272">
        <v>2003</v>
      </c>
      <c r="L272" t="s">
        <v>195</v>
      </c>
      <c r="M272">
        <v>151</v>
      </c>
      <c r="N272" t="s">
        <v>526</v>
      </c>
      <c r="O272" t="s">
        <v>188</v>
      </c>
      <c r="P272" t="s">
        <v>189</v>
      </c>
      <c r="Q272" t="s">
        <v>190</v>
      </c>
      <c r="S272" t="s">
        <v>191</v>
      </c>
      <c r="U272">
        <v>28034</v>
      </c>
      <c r="V272" t="s">
        <v>192</v>
      </c>
      <c r="W272" t="s">
        <v>56</v>
      </c>
      <c r="X272" t="s">
        <v>193</v>
      </c>
      <c r="Y272" t="s">
        <v>194</v>
      </c>
      <c r="Z272" t="s">
        <v>65</v>
      </c>
    </row>
    <row r="273" spans="1:26" x14ac:dyDescent="0.3">
      <c r="A273">
        <v>10165</v>
      </c>
      <c r="B273">
        <v>34</v>
      </c>
      <c r="C273">
        <v>100</v>
      </c>
      <c r="D273">
        <v>4</v>
      </c>
      <c r="E273">
        <v>4880.0200000000004</v>
      </c>
      <c r="F273" s="1">
        <v>37916</v>
      </c>
      <c r="G273" t="s">
        <v>39</v>
      </c>
      <c r="H273">
        <v>4</v>
      </c>
      <c r="I273">
        <v>10</v>
      </c>
      <c r="J273" t="str">
        <f>TEXT(DATE(2012,Table1[[#This Row],[MONTH_ID]],10),"mmm")</f>
        <v>Oct</v>
      </c>
      <c r="K273">
        <v>2003</v>
      </c>
      <c r="L273" t="s">
        <v>195</v>
      </c>
      <c r="M273">
        <v>151</v>
      </c>
      <c r="N273" t="s">
        <v>526</v>
      </c>
      <c r="O273" t="s">
        <v>210</v>
      </c>
      <c r="P273" t="s">
        <v>211</v>
      </c>
      <c r="Q273" t="s">
        <v>212</v>
      </c>
      <c r="S273" t="s">
        <v>213</v>
      </c>
      <c r="U273">
        <v>79903</v>
      </c>
      <c r="V273" t="s">
        <v>213</v>
      </c>
      <c r="W273" t="s">
        <v>214</v>
      </c>
      <c r="X273" t="s">
        <v>215</v>
      </c>
      <c r="Y273" t="s">
        <v>216</v>
      </c>
      <c r="Z273" t="s">
        <v>65</v>
      </c>
    </row>
    <row r="274" spans="1:26" x14ac:dyDescent="0.3">
      <c r="A274">
        <v>10176</v>
      </c>
      <c r="B274">
        <v>47</v>
      </c>
      <c r="C274">
        <v>100</v>
      </c>
      <c r="D274">
        <v>3</v>
      </c>
      <c r="E274">
        <v>8378.69</v>
      </c>
      <c r="F274" s="1">
        <v>37931</v>
      </c>
      <c r="G274" t="s">
        <v>39</v>
      </c>
      <c r="H274">
        <v>4</v>
      </c>
      <c r="I274">
        <v>11</v>
      </c>
      <c r="J274" t="str">
        <f>TEXT(DATE(2012,Table1[[#This Row],[MONTH_ID]],10),"mmm")</f>
        <v>Nov</v>
      </c>
      <c r="K274">
        <v>2003</v>
      </c>
      <c r="L274" t="s">
        <v>195</v>
      </c>
      <c r="M274">
        <v>151</v>
      </c>
      <c r="N274" t="s">
        <v>526</v>
      </c>
      <c r="O274" t="s">
        <v>466</v>
      </c>
      <c r="P274" t="s">
        <v>467</v>
      </c>
      <c r="Q274" t="s">
        <v>468</v>
      </c>
      <c r="S274" t="s">
        <v>469</v>
      </c>
      <c r="U274">
        <v>42100</v>
      </c>
      <c r="V274" t="s">
        <v>272</v>
      </c>
      <c r="W274" t="s">
        <v>56</v>
      </c>
      <c r="X274" t="s">
        <v>470</v>
      </c>
      <c r="Y274" t="s">
        <v>471</v>
      </c>
      <c r="Z274" t="s">
        <v>165</v>
      </c>
    </row>
    <row r="275" spans="1:26" x14ac:dyDescent="0.3">
      <c r="A275">
        <v>10185</v>
      </c>
      <c r="B275">
        <v>33</v>
      </c>
      <c r="C275">
        <v>100</v>
      </c>
      <c r="D275">
        <v>14</v>
      </c>
      <c r="E275">
        <v>4038.21</v>
      </c>
      <c r="F275" s="1">
        <v>37939</v>
      </c>
      <c r="G275" t="s">
        <v>39</v>
      </c>
      <c r="H275">
        <v>4</v>
      </c>
      <c r="I275">
        <v>11</v>
      </c>
      <c r="J275" t="str">
        <f>TEXT(DATE(2012,Table1[[#This Row],[MONTH_ID]],10),"mmm")</f>
        <v>Nov</v>
      </c>
      <c r="K275">
        <v>2003</v>
      </c>
      <c r="L275" t="s">
        <v>195</v>
      </c>
      <c r="M275">
        <v>151</v>
      </c>
      <c r="N275" t="s">
        <v>526</v>
      </c>
      <c r="O275" t="s">
        <v>349</v>
      </c>
      <c r="P275">
        <v>5085559555</v>
      </c>
      <c r="Q275" t="s">
        <v>350</v>
      </c>
      <c r="S275" t="s">
        <v>176</v>
      </c>
      <c r="T275" t="s">
        <v>137</v>
      </c>
      <c r="U275">
        <v>50553</v>
      </c>
      <c r="V275" t="s">
        <v>46</v>
      </c>
      <c r="W275" t="s">
        <v>47</v>
      </c>
      <c r="X275" t="s">
        <v>351</v>
      </c>
      <c r="Y275" t="s">
        <v>352</v>
      </c>
      <c r="Z275" t="s">
        <v>65</v>
      </c>
    </row>
    <row r="276" spans="1:26" x14ac:dyDescent="0.3">
      <c r="A276">
        <v>10196</v>
      </c>
      <c r="B276">
        <v>24</v>
      </c>
      <c r="C276">
        <v>100</v>
      </c>
      <c r="D276">
        <v>6</v>
      </c>
      <c r="E276">
        <v>3807.12</v>
      </c>
      <c r="F276" s="1">
        <v>37951</v>
      </c>
      <c r="G276" t="s">
        <v>39</v>
      </c>
      <c r="H276">
        <v>4</v>
      </c>
      <c r="I276">
        <v>11</v>
      </c>
      <c r="J276" t="str">
        <f>TEXT(DATE(2012,Table1[[#This Row],[MONTH_ID]],10),"mmm")</f>
        <v>Nov</v>
      </c>
      <c r="K276">
        <v>2003</v>
      </c>
      <c r="L276" t="s">
        <v>195</v>
      </c>
      <c r="M276">
        <v>151</v>
      </c>
      <c r="N276" t="s">
        <v>526</v>
      </c>
      <c r="O276" t="s">
        <v>256</v>
      </c>
      <c r="P276">
        <v>2035559545</v>
      </c>
      <c r="Q276" t="s">
        <v>257</v>
      </c>
      <c r="S276" t="s">
        <v>258</v>
      </c>
      <c r="T276" t="s">
        <v>126</v>
      </c>
      <c r="U276">
        <v>97823</v>
      </c>
      <c r="V276" t="s">
        <v>46</v>
      </c>
      <c r="W276" t="s">
        <v>47</v>
      </c>
      <c r="X276" t="s">
        <v>97</v>
      </c>
      <c r="Y276" t="s">
        <v>259</v>
      </c>
      <c r="Z276" t="s">
        <v>65</v>
      </c>
    </row>
    <row r="277" spans="1:26" x14ac:dyDescent="0.3">
      <c r="A277">
        <v>10208</v>
      </c>
      <c r="B277">
        <v>26</v>
      </c>
      <c r="C277">
        <v>100</v>
      </c>
      <c r="D277">
        <v>14</v>
      </c>
      <c r="E277">
        <v>3142.36</v>
      </c>
      <c r="F277" s="1">
        <v>37988</v>
      </c>
      <c r="G277" t="s">
        <v>39</v>
      </c>
      <c r="H277">
        <v>1</v>
      </c>
      <c r="I277">
        <v>1</v>
      </c>
      <c r="J277" t="str">
        <f>TEXT(DATE(2012,Table1[[#This Row],[MONTH_ID]],10),"mmm")</f>
        <v>Jan</v>
      </c>
      <c r="K277">
        <v>2004</v>
      </c>
      <c r="L277" t="s">
        <v>195</v>
      </c>
      <c r="M277">
        <v>151</v>
      </c>
      <c r="N277" t="s">
        <v>526</v>
      </c>
      <c r="O277" t="s">
        <v>233</v>
      </c>
      <c r="P277" t="s">
        <v>234</v>
      </c>
      <c r="Q277" t="s">
        <v>235</v>
      </c>
      <c r="S277" t="s">
        <v>236</v>
      </c>
      <c r="U277">
        <v>69004</v>
      </c>
      <c r="V277" t="s">
        <v>55</v>
      </c>
      <c r="W277" t="s">
        <v>56</v>
      </c>
      <c r="X277" t="s">
        <v>237</v>
      </c>
      <c r="Y277" t="s">
        <v>238</v>
      </c>
      <c r="Z277" t="s">
        <v>65</v>
      </c>
    </row>
    <row r="278" spans="1:26" x14ac:dyDescent="0.3">
      <c r="A278">
        <v>10220</v>
      </c>
      <c r="B278">
        <v>30</v>
      </c>
      <c r="C278">
        <v>100</v>
      </c>
      <c r="D278">
        <v>3</v>
      </c>
      <c r="E278">
        <v>4713.6000000000004</v>
      </c>
      <c r="F278" s="1">
        <v>38029</v>
      </c>
      <c r="G278" t="s">
        <v>39</v>
      </c>
      <c r="H278">
        <v>1</v>
      </c>
      <c r="I278">
        <v>2</v>
      </c>
      <c r="J278" t="str">
        <f>TEXT(DATE(2012,Table1[[#This Row],[MONTH_ID]],10),"mmm")</f>
        <v>Feb</v>
      </c>
      <c r="K278">
        <v>2004</v>
      </c>
      <c r="L278" t="s">
        <v>195</v>
      </c>
      <c r="M278">
        <v>151</v>
      </c>
      <c r="N278" t="s">
        <v>526</v>
      </c>
      <c r="O278" t="s">
        <v>493</v>
      </c>
      <c r="P278" t="s">
        <v>494</v>
      </c>
      <c r="Q278" t="s">
        <v>495</v>
      </c>
      <c r="R278" t="s">
        <v>496</v>
      </c>
      <c r="S278" t="s">
        <v>497</v>
      </c>
      <c r="U278">
        <v>2</v>
      </c>
      <c r="V278" t="s">
        <v>498</v>
      </c>
      <c r="W278" t="s">
        <v>56</v>
      </c>
      <c r="X278" t="s">
        <v>499</v>
      </c>
      <c r="Y278" t="s">
        <v>500</v>
      </c>
      <c r="Z278" t="s">
        <v>65</v>
      </c>
    </row>
    <row r="279" spans="1:26" x14ac:dyDescent="0.3">
      <c r="A279">
        <v>10230</v>
      </c>
      <c r="B279">
        <v>43</v>
      </c>
      <c r="C279">
        <v>100</v>
      </c>
      <c r="D279">
        <v>1</v>
      </c>
      <c r="E279">
        <v>7016.31</v>
      </c>
      <c r="F279" s="1">
        <v>38061</v>
      </c>
      <c r="G279" t="s">
        <v>39</v>
      </c>
      <c r="H279">
        <v>1</v>
      </c>
      <c r="I279">
        <v>3</v>
      </c>
      <c r="J279" t="str">
        <f>TEXT(DATE(2012,Table1[[#This Row],[MONTH_ID]],10),"mmm")</f>
        <v>Mar</v>
      </c>
      <c r="K279">
        <v>2004</v>
      </c>
      <c r="L279" t="s">
        <v>195</v>
      </c>
      <c r="M279">
        <v>151</v>
      </c>
      <c r="N279" t="s">
        <v>526</v>
      </c>
      <c r="O279" t="s">
        <v>476</v>
      </c>
      <c r="P279" t="s">
        <v>477</v>
      </c>
      <c r="Q279" t="s">
        <v>478</v>
      </c>
      <c r="S279" t="s">
        <v>479</v>
      </c>
      <c r="U279">
        <v>60528</v>
      </c>
      <c r="V279" t="s">
        <v>457</v>
      </c>
      <c r="W279" t="s">
        <v>56</v>
      </c>
      <c r="X279" t="s">
        <v>480</v>
      </c>
      <c r="Y279" t="s">
        <v>428</v>
      </c>
      <c r="Z279" t="s">
        <v>165</v>
      </c>
    </row>
    <row r="280" spans="1:26" x14ac:dyDescent="0.3">
      <c r="A280">
        <v>10247</v>
      </c>
      <c r="B280">
        <v>25</v>
      </c>
      <c r="C280">
        <v>100</v>
      </c>
      <c r="D280">
        <v>3</v>
      </c>
      <c r="E280">
        <v>4381.25</v>
      </c>
      <c r="F280" s="1">
        <v>38112</v>
      </c>
      <c r="G280" t="s">
        <v>39</v>
      </c>
      <c r="H280">
        <v>2</v>
      </c>
      <c r="I280">
        <v>5</v>
      </c>
      <c r="J280" t="str">
        <f>TEXT(DATE(2012,Table1[[#This Row],[MONTH_ID]],10),"mmm")</f>
        <v>May</v>
      </c>
      <c r="K280">
        <v>2004</v>
      </c>
      <c r="L280" t="s">
        <v>195</v>
      </c>
      <c r="M280">
        <v>151</v>
      </c>
      <c r="N280" t="s">
        <v>526</v>
      </c>
      <c r="O280" t="s">
        <v>481</v>
      </c>
      <c r="P280" t="s">
        <v>482</v>
      </c>
      <c r="Q280" t="s">
        <v>483</v>
      </c>
      <c r="S280" t="s">
        <v>484</v>
      </c>
      <c r="U280" t="s">
        <v>485</v>
      </c>
      <c r="V280" t="s">
        <v>144</v>
      </c>
      <c r="W280" t="s">
        <v>56</v>
      </c>
      <c r="X280" t="s">
        <v>486</v>
      </c>
      <c r="Y280" t="s">
        <v>487</v>
      </c>
      <c r="Z280" t="s">
        <v>65</v>
      </c>
    </row>
    <row r="281" spans="1:26" x14ac:dyDescent="0.3">
      <c r="A281">
        <v>10272</v>
      </c>
      <c r="B281">
        <v>27</v>
      </c>
      <c r="C281">
        <v>100</v>
      </c>
      <c r="D281">
        <v>3</v>
      </c>
      <c r="E281">
        <v>4283.01</v>
      </c>
      <c r="F281" s="1">
        <v>38188</v>
      </c>
      <c r="G281" t="s">
        <v>39</v>
      </c>
      <c r="H281">
        <v>3</v>
      </c>
      <c r="I281">
        <v>7</v>
      </c>
      <c r="J281" t="str">
        <f>TEXT(DATE(2012,Table1[[#This Row],[MONTH_ID]],10),"mmm")</f>
        <v>Jul</v>
      </c>
      <c r="K281">
        <v>2004</v>
      </c>
      <c r="L281" t="s">
        <v>195</v>
      </c>
      <c r="M281">
        <v>151</v>
      </c>
      <c r="N281" t="s">
        <v>526</v>
      </c>
      <c r="O281" t="s">
        <v>153</v>
      </c>
      <c r="P281">
        <v>2155551555</v>
      </c>
      <c r="Q281" t="s">
        <v>154</v>
      </c>
      <c r="S281" t="s">
        <v>155</v>
      </c>
      <c r="T281" t="s">
        <v>156</v>
      </c>
      <c r="U281">
        <v>70267</v>
      </c>
      <c r="V281" t="s">
        <v>46</v>
      </c>
      <c r="W281" t="s">
        <v>47</v>
      </c>
      <c r="X281" t="s">
        <v>48</v>
      </c>
      <c r="Y281" t="s">
        <v>157</v>
      </c>
      <c r="Z281" t="s">
        <v>65</v>
      </c>
    </row>
    <row r="282" spans="1:26" x14ac:dyDescent="0.3">
      <c r="A282">
        <v>10282</v>
      </c>
      <c r="B282">
        <v>27</v>
      </c>
      <c r="C282">
        <v>100</v>
      </c>
      <c r="D282">
        <v>6</v>
      </c>
      <c r="E282">
        <v>4364.82</v>
      </c>
      <c r="F282" s="1">
        <v>38219</v>
      </c>
      <c r="G282" t="s">
        <v>39</v>
      </c>
      <c r="H282">
        <v>3</v>
      </c>
      <c r="I282">
        <v>8</v>
      </c>
      <c r="J282" t="str">
        <f>TEXT(DATE(2012,Table1[[#This Row],[MONTH_ID]],10),"mmm")</f>
        <v>Aug</v>
      </c>
      <c r="K282">
        <v>2004</v>
      </c>
      <c r="L282" t="s">
        <v>195</v>
      </c>
      <c r="M282">
        <v>151</v>
      </c>
      <c r="N282" t="s">
        <v>526</v>
      </c>
      <c r="O282" t="s">
        <v>286</v>
      </c>
      <c r="P282">
        <v>4155551450</v>
      </c>
      <c r="Q282" t="s">
        <v>287</v>
      </c>
      <c r="S282" t="s">
        <v>288</v>
      </c>
      <c r="T282" t="s">
        <v>69</v>
      </c>
      <c r="U282">
        <v>97562</v>
      </c>
      <c r="V282" t="s">
        <v>46</v>
      </c>
      <c r="W282" t="s">
        <v>47</v>
      </c>
      <c r="X282" t="s">
        <v>289</v>
      </c>
      <c r="Y282" t="s">
        <v>290</v>
      </c>
      <c r="Z282" t="s">
        <v>65</v>
      </c>
    </row>
    <row r="283" spans="1:26" x14ac:dyDescent="0.3">
      <c r="A283">
        <v>10293</v>
      </c>
      <c r="B283">
        <v>24</v>
      </c>
      <c r="C283">
        <v>100</v>
      </c>
      <c r="D283">
        <v>9</v>
      </c>
      <c r="E283">
        <v>4242.24</v>
      </c>
      <c r="F283" s="1">
        <v>38239</v>
      </c>
      <c r="G283" t="s">
        <v>39</v>
      </c>
      <c r="H283">
        <v>3</v>
      </c>
      <c r="I283">
        <v>9</v>
      </c>
      <c r="J283" t="str">
        <f>TEXT(DATE(2012,Table1[[#This Row],[MONTH_ID]],10),"mmm")</f>
        <v>Sep</v>
      </c>
      <c r="K283">
        <v>2004</v>
      </c>
      <c r="L283" t="s">
        <v>195</v>
      </c>
      <c r="M283">
        <v>151</v>
      </c>
      <c r="N283" t="s">
        <v>526</v>
      </c>
      <c r="O283" t="s">
        <v>268</v>
      </c>
      <c r="P283" t="s">
        <v>269</v>
      </c>
      <c r="Q283" t="s">
        <v>270</v>
      </c>
      <c r="S283" t="s">
        <v>271</v>
      </c>
      <c r="U283">
        <v>10100</v>
      </c>
      <c r="V283" t="s">
        <v>272</v>
      </c>
      <c r="W283" t="s">
        <v>56</v>
      </c>
      <c r="X283" t="s">
        <v>273</v>
      </c>
      <c r="Y283" t="s">
        <v>274</v>
      </c>
      <c r="Z283" t="s">
        <v>65</v>
      </c>
    </row>
    <row r="284" spans="1:26" x14ac:dyDescent="0.3">
      <c r="A284">
        <v>10306</v>
      </c>
      <c r="B284">
        <v>34</v>
      </c>
      <c r="C284">
        <v>100</v>
      </c>
      <c r="D284">
        <v>14</v>
      </c>
      <c r="E284">
        <v>4982.7</v>
      </c>
      <c r="F284" s="1">
        <v>38274</v>
      </c>
      <c r="G284" t="s">
        <v>39</v>
      </c>
      <c r="H284">
        <v>4</v>
      </c>
      <c r="I284">
        <v>10</v>
      </c>
      <c r="J284" t="str">
        <f>TEXT(DATE(2012,Table1[[#This Row],[MONTH_ID]],10),"mmm")</f>
        <v>Oct</v>
      </c>
      <c r="K284">
        <v>2004</v>
      </c>
      <c r="L284" t="s">
        <v>195</v>
      </c>
      <c r="M284">
        <v>151</v>
      </c>
      <c r="N284" t="s">
        <v>526</v>
      </c>
      <c r="O284" t="s">
        <v>506</v>
      </c>
      <c r="P284" t="s">
        <v>507</v>
      </c>
      <c r="Q284" t="s">
        <v>508</v>
      </c>
      <c r="S284" t="s">
        <v>509</v>
      </c>
      <c r="U284" t="s">
        <v>510</v>
      </c>
      <c r="V284" t="s">
        <v>184</v>
      </c>
      <c r="W284" t="s">
        <v>56</v>
      </c>
      <c r="X284" t="s">
        <v>511</v>
      </c>
      <c r="Y284" t="s">
        <v>108</v>
      </c>
      <c r="Z284" t="s">
        <v>65</v>
      </c>
    </row>
    <row r="285" spans="1:26" x14ac:dyDescent="0.3">
      <c r="A285">
        <v>10314</v>
      </c>
      <c r="B285">
        <v>46</v>
      </c>
      <c r="C285">
        <v>100</v>
      </c>
      <c r="D285">
        <v>6</v>
      </c>
      <c r="E285">
        <v>6393.54</v>
      </c>
      <c r="F285" s="1">
        <v>38282</v>
      </c>
      <c r="G285" t="s">
        <v>39</v>
      </c>
      <c r="H285">
        <v>4</v>
      </c>
      <c r="I285">
        <v>10</v>
      </c>
      <c r="J285" t="str">
        <f>TEXT(DATE(2012,Table1[[#This Row],[MONTH_ID]],10),"mmm")</f>
        <v>Oct</v>
      </c>
      <c r="K285">
        <v>2004</v>
      </c>
      <c r="L285" t="s">
        <v>195</v>
      </c>
      <c r="M285">
        <v>151</v>
      </c>
      <c r="N285" t="s">
        <v>526</v>
      </c>
      <c r="O285" t="s">
        <v>512</v>
      </c>
      <c r="P285" t="s">
        <v>513</v>
      </c>
      <c r="Q285" t="s">
        <v>514</v>
      </c>
      <c r="S285" t="s">
        <v>515</v>
      </c>
      <c r="U285">
        <v>8200</v>
      </c>
      <c r="V285" t="s">
        <v>340</v>
      </c>
      <c r="W285" t="s">
        <v>56</v>
      </c>
      <c r="X285" t="s">
        <v>516</v>
      </c>
      <c r="Y285" t="s">
        <v>517</v>
      </c>
      <c r="Z285" t="s">
        <v>65</v>
      </c>
    </row>
    <row r="286" spans="1:26" x14ac:dyDescent="0.3">
      <c r="A286">
        <v>10324</v>
      </c>
      <c r="B286">
        <v>27</v>
      </c>
      <c r="C286">
        <v>54.33</v>
      </c>
      <c r="D286">
        <v>1</v>
      </c>
      <c r="E286">
        <v>1466.91</v>
      </c>
      <c r="F286" s="1">
        <v>38296</v>
      </c>
      <c r="G286" t="s">
        <v>39</v>
      </c>
      <c r="H286">
        <v>4</v>
      </c>
      <c r="I286">
        <v>11</v>
      </c>
      <c r="J286" t="str">
        <f>TEXT(DATE(2012,Table1[[#This Row],[MONTH_ID]],10),"mmm")</f>
        <v>Nov</v>
      </c>
      <c r="K286">
        <v>2004</v>
      </c>
      <c r="L286" t="s">
        <v>195</v>
      </c>
      <c r="M286">
        <v>151</v>
      </c>
      <c r="N286" t="s">
        <v>526</v>
      </c>
      <c r="O286" t="s">
        <v>113</v>
      </c>
      <c r="P286">
        <v>2125551500</v>
      </c>
      <c r="Q286" t="s">
        <v>114</v>
      </c>
      <c r="R286" t="s">
        <v>115</v>
      </c>
      <c r="S286" t="s">
        <v>44</v>
      </c>
      <c r="T286" t="s">
        <v>45</v>
      </c>
      <c r="U286">
        <v>10022</v>
      </c>
      <c r="V286" t="s">
        <v>46</v>
      </c>
      <c r="W286" t="s">
        <v>47</v>
      </c>
      <c r="X286" t="s">
        <v>116</v>
      </c>
      <c r="Y286" t="s">
        <v>117</v>
      </c>
      <c r="Z286" t="s">
        <v>50</v>
      </c>
    </row>
    <row r="287" spans="1:26" x14ac:dyDescent="0.3">
      <c r="A287">
        <v>10336</v>
      </c>
      <c r="B287">
        <v>33</v>
      </c>
      <c r="C287">
        <v>100</v>
      </c>
      <c r="D287">
        <v>11</v>
      </c>
      <c r="E287">
        <v>4059.33</v>
      </c>
      <c r="F287" s="1">
        <v>38311</v>
      </c>
      <c r="G287" t="s">
        <v>39</v>
      </c>
      <c r="H287">
        <v>4</v>
      </c>
      <c r="I287">
        <v>11</v>
      </c>
      <c r="J287" t="str">
        <f>TEXT(DATE(2012,Table1[[#This Row],[MONTH_ID]],10),"mmm")</f>
        <v>Nov</v>
      </c>
      <c r="K287">
        <v>2004</v>
      </c>
      <c r="L287" t="s">
        <v>195</v>
      </c>
      <c r="M287">
        <v>151</v>
      </c>
      <c r="N287" t="s">
        <v>526</v>
      </c>
      <c r="O287" t="s">
        <v>417</v>
      </c>
      <c r="P287" t="s">
        <v>418</v>
      </c>
      <c r="Q287" t="s">
        <v>419</v>
      </c>
      <c r="S287" t="s">
        <v>62</v>
      </c>
      <c r="U287">
        <v>75012</v>
      </c>
      <c r="V287" t="s">
        <v>55</v>
      </c>
      <c r="W287" t="s">
        <v>56</v>
      </c>
      <c r="X287" t="s">
        <v>420</v>
      </c>
      <c r="Y287" t="s">
        <v>421</v>
      </c>
      <c r="Z287" t="s">
        <v>65</v>
      </c>
    </row>
    <row r="288" spans="1:26" x14ac:dyDescent="0.3">
      <c r="A288">
        <v>10348</v>
      </c>
      <c r="B288">
        <v>47</v>
      </c>
      <c r="C288">
        <v>100</v>
      </c>
      <c r="D288">
        <v>4</v>
      </c>
      <c r="E288">
        <v>4801.5200000000004</v>
      </c>
      <c r="F288" s="1">
        <v>38292</v>
      </c>
      <c r="G288" t="s">
        <v>39</v>
      </c>
      <c r="H288">
        <v>4</v>
      </c>
      <c r="I288">
        <v>11</v>
      </c>
      <c r="J288" t="str">
        <f>TEXT(DATE(2012,Table1[[#This Row],[MONTH_ID]],10),"mmm")</f>
        <v>Nov</v>
      </c>
      <c r="K288">
        <v>2004</v>
      </c>
      <c r="L288" t="s">
        <v>195</v>
      </c>
      <c r="M288">
        <v>151</v>
      </c>
      <c r="N288" t="s">
        <v>526</v>
      </c>
      <c r="O288" t="s">
        <v>205</v>
      </c>
      <c r="P288" t="s">
        <v>206</v>
      </c>
      <c r="Q288" t="s">
        <v>207</v>
      </c>
      <c r="S288" t="s">
        <v>191</v>
      </c>
      <c r="U288">
        <v>28023</v>
      </c>
      <c r="V288" t="s">
        <v>192</v>
      </c>
      <c r="W288" t="s">
        <v>56</v>
      </c>
      <c r="X288" t="s">
        <v>208</v>
      </c>
      <c r="Y288" t="s">
        <v>209</v>
      </c>
      <c r="Z288" t="s">
        <v>65</v>
      </c>
    </row>
    <row r="289" spans="1:26" x14ac:dyDescent="0.3">
      <c r="A289">
        <v>10358</v>
      </c>
      <c r="B289">
        <v>49</v>
      </c>
      <c r="C289">
        <v>55.34</v>
      </c>
      <c r="D289">
        <v>5</v>
      </c>
      <c r="E289">
        <v>2711.66</v>
      </c>
      <c r="F289" s="1">
        <v>38331</v>
      </c>
      <c r="G289" t="s">
        <v>39</v>
      </c>
      <c r="H289">
        <v>4</v>
      </c>
      <c r="I289">
        <v>12</v>
      </c>
      <c r="J289" t="str">
        <f>TEXT(DATE(2012,Table1[[#This Row],[MONTH_ID]],10),"mmm")</f>
        <v>Dec</v>
      </c>
      <c r="K289">
        <v>2004</v>
      </c>
      <c r="L289" t="s">
        <v>195</v>
      </c>
      <c r="M289">
        <v>151</v>
      </c>
      <c r="N289" t="s">
        <v>526</v>
      </c>
      <c r="O289" t="s">
        <v>188</v>
      </c>
      <c r="P289" t="s">
        <v>189</v>
      </c>
      <c r="Q289" t="s">
        <v>190</v>
      </c>
      <c r="S289" t="s">
        <v>191</v>
      </c>
      <c r="U289">
        <v>28034</v>
      </c>
      <c r="V289" t="s">
        <v>192</v>
      </c>
      <c r="W289" t="s">
        <v>56</v>
      </c>
      <c r="X289" t="s">
        <v>193</v>
      </c>
      <c r="Y289" t="s">
        <v>194</v>
      </c>
      <c r="Z289" t="s">
        <v>50</v>
      </c>
    </row>
    <row r="290" spans="1:26" x14ac:dyDescent="0.3">
      <c r="A290">
        <v>10372</v>
      </c>
      <c r="B290">
        <v>40</v>
      </c>
      <c r="C290">
        <v>100</v>
      </c>
      <c r="D290">
        <v>4</v>
      </c>
      <c r="E290">
        <v>5862</v>
      </c>
      <c r="F290" s="1">
        <v>38378</v>
      </c>
      <c r="G290" t="s">
        <v>39</v>
      </c>
      <c r="H290">
        <v>1</v>
      </c>
      <c r="I290">
        <v>1</v>
      </c>
      <c r="J290" t="str">
        <f>TEXT(DATE(2012,Table1[[#This Row],[MONTH_ID]],10),"mmm")</f>
        <v>Jan</v>
      </c>
      <c r="K290">
        <v>2005</v>
      </c>
      <c r="L290" t="s">
        <v>195</v>
      </c>
      <c r="M290">
        <v>151</v>
      </c>
      <c r="N290" t="s">
        <v>526</v>
      </c>
      <c r="O290" t="s">
        <v>260</v>
      </c>
      <c r="P290" t="s">
        <v>261</v>
      </c>
      <c r="Q290" t="s">
        <v>262</v>
      </c>
      <c r="S290" t="s">
        <v>263</v>
      </c>
      <c r="T290" t="s">
        <v>264</v>
      </c>
      <c r="U290" t="s">
        <v>265</v>
      </c>
      <c r="V290" t="s">
        <v>214</v>
      </c>
      <c r="W290" t="s">
        <v>214</v>
      </c>
      <c r="X290" t="s">
        <v>266</v>
      </c>
      <c r="Y290" t="s">
        <v>267</v>
      </c>
      <c r="Z290" t="s">
        <v>65</v>
      </c>
    </row>
    <row r="291" spans="1:26" x14ac:dyDescent="0.3">
      <c r="A291">
        <v>10382</v>
      </c>
      <c r="B291">
        <v>37</v>
      </c>
      <c r="C291">
        <v>100</v>
      </c>
      <c r="D291">
        <v>11</v>
      </c>
      <c r="E291">
        <v>4071.85</v>
      </c>
      <c r="F291" s="1">
        <v>38400</v>
      </c>
      <c r="G291" t="s">
        <v>39</v>
      </c>
      <c r="H291">
        <v>1</v>
      </c>
      <c r="I291">
        <v>2</v>
      </c>
      <c r="J291" t="str">
        <f>TEXT(DATE(2012,Table1[[#This Row],[MONTH_ID]],10),"mmm")</f>
        <v>Feb</v>
      </c>
      <c r="K291">
        <v>2005</v>
      </c>
      <c r="L291" t="s">
        <v>195</v>
      </c>
      <c r="M291">
        <v>151</v>
      </c>
      <c r="N291" t="s">
        <v>526</v>
      </c>
      <c r="O291" t="s">
        <v>286</v>
      </c>
      <c r="P291">
        <v>4155551450</v>
      </c>
      <c r="Q291" t="s">
        <v>287</v>
      </c>
      <c r="S291" t="s">
        <v>288</v>
      </c>
      <c r="T291" t="s">
        <v>69</v>
      </c>
      <c r="U291">
        <v>97562</v>
      </c>
      <c r="V291" t="s">
        <v>46</v>
      </c>
      <c r="W291" t="s">
        <v>47</v>
      </c>
      <c r="X291" t="s">
        <v>289</v>
      </c>
      <c r="Y291" t="s">
        <v>290</v>
      </c>
      <c r="Z291" t="s">
        <v>65</v>
      </c>
    </row>
    <row r="292" spans="1:26" x14ac:dyDescent="0.3">
      <c r="A292">
        <v>10413</v>
      </c>
      <c r="B292">
        <v>47</v>
      </c>
      <c r="C292">
        <v>100</v>
      </c>
      <c r="D292">
        <v>3</v>
      </c>
      <c r="E292">
        <v>8236.75</v>
      </c>
      <c r="F292" s="1">
        <v>38477</v>
      </c>
      <c r="G292" t="s">
        <v>39</v>
      </c>
      <c r="H292">
        <v>2</v>
      </c>
      <c r="I292">
        <v>5</v>
      </c>
      <c r="J292" t="str">
        <f>TEXT(DATE(2012,Table1[[#This Row],[MONTH_ID]],10),"mmm")</f>
        <v>May</v>
      </c>
      <c r="K292">
        <v>2005</v>
      </c>
      <c r="L292" t="s">
        <v>195</v>
      </c>
      <c r="M292">
        <v>151</v>
      </c>
      <c r="N292" t="s">
        <v>526</v>
      </c>
      <c r="O292" t="s">
        <v>123</v>
      </c>
      <c r="P292">
        <v>2035552570</v>
      </c>
      <c r="Q292" t="s">
        <v>124</v>
      </c>
      <c r="S292" t="s">
        <v>125</v>
      </c>
      <c r="T292" t="s">
        <v>126</v>
      </c>
      <c r="U292">
        <v>97562</v>
      </c>
      <c r="V292" t="s">
        <v>46</v>
      </c>
      <c r="W292" t="s">
        <v>47</v>
      </c>
      <c r="X292" t="s">
        <v>127</v>
      </c>
      <c r="Y292" t="s">
        <v>71</v>
      </c>
      <c r="Z292" t="s">
        <v>165</v>
      </c>
    </row>
    <row r="293" spans="1:26" x14ac:dyDescent="0.3">
      <c r="A293">
        <v>10108</v>
      </c>
      <c r="B293">
        <v>45</v>
      </c>
      <c r="C293">
        <v>100</v>
      </c>
      <c r="D293">
        <v>4</v>
      </c>
      <c r="E293">
        <v>6130.35</v>
      </c>
      <c r="F293" s="1">
        <v>37683</v>
      </c>
      <c r="G293" t="s">
        <v>39</v>
      </c>
      <c r="H293">
        <v>1</v>
      </c>
      <c r="I293">
        <v>3</v>
      </c>
      <c r="J293" t="str">
        <f>TEXT(DATE(2012,Table1[[#This Row],[MONTH_ID]],10),"mmm")</f>
        <v>Mar</v>
      </c>
      <c r="K293">
        <v>2003</v>
      </c>
      <c r="L293" t="s">
        <v>195</v>
      </c>
      <c r="M293">
        <v>117</v>
      </c>
      <c r="N293" t="s">
        <v>527</v>
      </c>
      <c r="O293" t="s">
        <v>439</v>
      </c>
      <c r="P293" t="s">
        <v>440</v>
      </c>
      <c r="Q293" t="s">
        <v>441</v>
      </c>
      <c r="S293" t="s">
        <v>442</v>
      </c>
      <c r="U293" t="s">
        <v>443</v>
      </c>
      <c r="V293" t="s">
        <v>444</v>
      </c>
      <c r="W293" t="s">
        <v>214</v>
      </c>
      <c r="X293" t="s">
        <v>445</v>
      </c>
      <c r="Y293" t="s">
        <v>446</v>
      </c>
      <c r="Z293" t="s">
        <v>65</v>
      </c>
    </row>
    <row r="294" spans="1:26" x14ac:dyDescent="0.3">
      <c r="A294">
        <v>10122</v>
      </c>
      <c r="B294">
        <v>37</v>
      </c>
      <c r="C294">
        <v>99.82</v>
      </c>
      <c r="D294">
        <v>8</v>
      </c>
      <c r="E294">
        <v>3693.34</v>
      </c>
      <c r="F294" s="1">
        <v>37749</v>
      </c>
      <c r="G294" t="s">
        <v>39</v>
      </c>
      <c r="H294">
        <v>2</v>
      </c>
      <c r="I294">
        <v>5</v>
      </c>
      <c r="J294" t="str">
        <f>TEXT(DATE(2012,Table1[[#This Row],[MONTH_ID]],10),"mmm")</f>
        <v>May</v>
      </c>
      <c r="K294">
        <v>2003</v>
      </c>
      <c r="L294" t="s">
        <v>195</v>
      </c>
      <c r="M294">
        <v>117</v>
      </c>
      <c r="N294" t="s">
        <v>527</v>
      </c>
      <c r="O294" t="s">
        <v>447</v>
      </c>
      <c r="P294" t="s">
        <v>448</v>
      </c>
      <c r="Q294" t="s">
        <v>449</v>
      </c>
      <c r="S294" t="s">
        <v>450</v>
      </c>
      <c r="U294">
        <v>13008</v>
      </c>
      <c r="V294" t="s">
        <v>55</v>
      </c>
      <c r="W294" t="s">
        <v>56</v>
      </c>
      <c r="X294" t="s">
        <v>451</v>
      </c>
      <c r="Y294" t="s">
        <v>452</v>
      </c>
      <c r="Z294" t="s">
        <v>65</v>
      </c>
    </row>
    <row r="295" spans="1:26" x14ac:dyDescent="0.3">
      <c r="A295">
        <v>10135</v>
      </c>
      <c r="B295">
        <v>48</v>
      </c>
      <c r="C295">
        <v>100</v>
      </c>
      <c r="D295">
        <v>5</v>
      </c>
      <c r="E295">
        <v>6031.68</v>
      </c>
      <c r="F295" s="1">
        <v>37804</v>
      </c>
      <c r="G295" t="s">
        <v>39</v>
      </c>
      <c r="H295">
        <v>3</v>
      </c>
      <c r="I295">
        <v>7</v>
      </c>
      <c r="J295" t="str">
        <f>TEXT(DATE(2012,Table1[[#This Row],[MONTH_ID]],10),"mmm")</f>
        <v>Jul</v>
      </c>
      <c r="K295">
        <v>2003</v>
      </c>
      <c r="L295" t="s">
        <v>195</v>
      </c>
      <c r="M295">
        <v>117</v>
      </c>
      <c r="N295" t="s">
        <v>527</v>
      </c>
      <c r="O295" t="s">
        <v>286</v>
      </c>
      <c r="P295">
        <v>4155551450</v>
      </c>
      <c r="Q295" t="s">
        <v>287</v>
      </c>
      <c r="S295" t="s">
        <v>288</v>
      </c>
      <c r="T295" t="s">
        <v>69</v>
      </c>
      <c r="U295">
        <v>97562</v>
      </c>
      <c r="V295" t="s">
        <v>46</v>
      </c>
      <c r="W295" t="s">
        <v>47</v>
      </c>
      <c r="X295" t="s">
        <v>289</v>
      </c>
      <c r="Y295" t="s">
        <v>290</v>
      </c>
      <c r="Z295" t="s">
        <v>65</v>
      </c>
    </row>
    <row r="296" spans="1:26" x14ac:dyDescent="0.3">
      <c r="A296">
        <v>10147</v>
      </c>
      <c r="B296">
        <v>31</v>
      </c>
      <c r="C296">
        <v>100</v>
      </c>
      <c r="D296">
        <v>5</v>
      </c>
      <c r="E296">
        <v>3494.94</v>
      </c>
      <c r="F296" s="1">
        <v>37869</v>
      </c>
      <c r="G296" t="s">
        <v>39</v>
      </c>
      <c r="H296">
        <v>3</v>
      </c>
      <c r="I296">
        <v>9</v>
      </c>
      <c r="J296" t="str">
        <f>TEXT(DATE(2012,Table1[[#This Row],[MONTH_ID]],10),"mmm")</f>
        <v>Sep</v>
      </c>
      <c r="K296">
        <v>2003</v>
      </c>
      <c r="L296" t="s">
        <v>195</v>
      </c>
      <c r="M296">
        <v>117</v>
      </c>
      <c r="N296" t="s">
        <v>527</v>
      </c>
      <c r="O296" t="s">
        <v>295</v>
      </c>
      <c r="P296">
        <v>6175558555</v>
      </c>
      <c r="Q296" t="s">
        <v>296</v>
      </c>
      <c r="S296" t="s">
        <v>297</v>
      </c>
      <c r="T296" t="s">
        <v>137</v>
      </c>
      <c r="U296">
        <v>58339</v>
      </c>
      <c r="V296" t="s">
        <v>46</v>
      </c>
      <c r="W296" t="s">
        <v>47</v>
      </c>
      <c r="X296" t="s">
        <v>289</v>
      </c>
      <c r="Y296" t="s">
        <v>298</v>
      </c>
      <c r="Z296" t="s">
        <v>65</v>
      </c>
    </row>
    <row r="297" spans="1:26" x14ac:dyDescent="0.3">
      <c r="A297">
        <v>10160</v>
      </c>
      <c r="B297">
        <v>46</v>
      </c>
      <c r="C297">
        <v>100</v>
      </c>
      <c r="D297">
        <v>6</v>
      </c>
      <c r="E297">
        <v>5294.14</v>
      </c>
      <c r="F297" s="1">
        <v>37905</v>
      </c>
      <c r="G297" t="s">
        <v>39</v>
      </c>
      <c r="H297">
        <v>4</v>
      </c>
      <c r="I297">
        <v>10</v>
      </c>
      <c r="J297" t="str">
        <f>TEXT(DATE(2012,Table1[[#This Row],[MONTH_ID]],10),"mmm")</f>
        <v>Oct</v>
      </c>
      <c r="K297">
        <v>2003</v>
      </c>
      <c r="L297" t="s">
        <v>195</v>
      </c>
      <c r="M297">
        <v>117</v>
      </c>
      <c r="N297" t="s">
        <v>527</v>
      </c>
      <c r="O297" t="s">
        <v>372</v>
      </c>
      <c r="P297">
        <v>2155554369</v>
      </c>
      <c r="Q297" t="s">
        <v>373</v>
      </c>
      <c r="S297" t="s">
        <v>374</v>
      </c>
      <c r="T297" t="s">
        <v>69</v>
      </c>
      <c r="V297" t="s">
        <v>46</v>
      </c>
      <c r="W297" t="s">
        <v>47</v>
      </c>
      <c r="X297" t="s">
        <v>375</v>
      </c>
      <c r="Y297" t="s">
        <v>117</v>
      </c>
      <c r="Z297" t="s">
        <v>65</v>
      </c>
    </row>
    <row r="298" spans="1:26" x14ac:dyDescent="0.3">
      <c r="A298">
        <v>10170</v>
      </c>
      <c r="B298">
        <v>47</v>
      </c>
      <c r="C298">
        <v>100</v>
      </c>
      <c r="D298">
        <v>4</v>
      </c>
      <c r="E298">
        <v>5464.69</v>
      </c>
      <c r="F298" s="1">
        <v>37929</v>
      </c>
      <c r="G298" t="s">
        <v>39</v>
      </c>
      <c r="H298">
        <v>4</v>
      </c>
      <c r="I298">
        <v>11</v>
      </c>
      <c r="J298" t="str">
        <f>TEXT(DATE(2012,Table1[[#This Row],[MONTH_ID]],10),"mmm")</f>
        <v>Nov</v>
      </c>
      <c r="K298">
        <v>2003</v>
      </c>
      <c r="L298" t="s">
        <v>195</v>
      </c>
      <c r="M298">
        <v>117</v>
      </c>
      <c r="N298" t="s">
        <v>527</v>
      </c>
      <c r="O298" t="s">
        <v>423</v>
      </c>
      <c r="P298" t="s">
        <v>424</v>
      </c>
      <c r="Q298" t="s">
        <v>425</v>
      </c>
      <c r="S298" t="s">
        <v>426</v>
      </c>
      <c r="U298">
        <v>8010</v>
      </c>
      <c r="V298" t="s">
        <v>162</v>
      </c>
      <c r="W298" t="s">
        <v>56</v>
      </c>
      <c r="X298" t="s">
        <v>427</v>
      </c>
      <c r="Y298" t="s">
        <v>428</v>
      </c>
      <c r="Z298" t="s">
        <v>65</v>
      </c>
    </row>
    <row r="299" spans="1:26" x14ac:dyDescent="0.3">
      <c r="A299">
        <v>10181</v>
      </c>
      <c r="B299">
        <v>28</v>
      </c>
      <c r="C299">
        <v>100</v>
      </c>
      <c r="D299">
        <v>12</v>
      </c>
      <c r="E299">
        <v>2860.76</v>
      </c>
      <c r="F299" s="1">
        <v>37937</v>
      </c>
      <c r="G299" t="s">
        <v>39</v>
      </c>
      <c r="H299">
        <v>4</v>
      </c>
      <c r="I299">
        <v>11</v>
      </c>
      <c r="J299" t="str">
        <f>TEXT(DATE(2012,Table1[[#This Row],[MONTH_ID]],10),"mmm")</f>
        <v>Nov</v>
      </c>
      <c r="K299">
        <v>2003</v>
      </c>
      <c r="L299" t="s">
        <v>195</v>
      </c>
      <c r="M299">
        <v>117</v>
      </c>
      <c r="N299" t="s">
        <v>527</v>
      </c>
      <c r="O299" t="s">
        <v>87</v>
      </c>
      <c r="P299" t="s">
        <v>88</v>
      </c>
      <c r="Q299" t="s">
        <v>89</v>
      </c>
      <c r="S299" t="s">
        <v>90</v>
      </c>
      <c r="U299" t="s">
        <v>91</v>
      </c>
      <c r="V299" t="s">
        <v>92</v>
      </c>
      <c r="W299" t="s">
        <v>56</v>
      </c>
      <c r="X299" t="s">
        <v>93</v>
      </c>
      <c r="Y299" t="s">
        <v>94</v>
      </c>
      <c r="Z299" t="s">
        <v>50</v>
      </c>
    </row>
    <row r="300" spans="1:26" x14ac:dyDescent="0.3">
      <c r="A300">
        <v>10191</v>
      </c>
      <c r="B300">
        <v>40</v>
      </c>
      <c r="C300">
        <v>100</v>
      </c>
      <c r="D300">
        <v>1</v>
      </c>
      <c r="E300">
        <v>5590</v>
      </c>
      <c r="F300" s="1">
        <v>37945</v>
      </c>
      <c r="G300" t="s">
        <v>39</v>
      </c>
      <c r="H300">
        <v>4</v>
      </c>
      <c r="I300">
        <v>11</v>
      </c>
      <c r="J300" t="str">
        <f>TEXT(DATE(2012,Table1[[#This Row],[MONTH_ID]],10),"mmm")</f>
        <v>Nov</v>
      </c>
      <c r="K300">
        <v>2003</v>
      </c>
      <c r="L300" t="s">
        <v>195</v>
      </c>
      <c r="M300">
        <v>117</v>
      </c>
      <c r="N300" t="s">
        <v>527</v>
      </c>
      <c r="O300" t="s">
        <v>453</v>
      </c>
      <c r="P300" t="s">
        <v>454</v>
      </c>
      <c r="Q300" t="s">
        <v>455</v>
      </c>
      <c r="S300" t="s">
        <v>456</v>
      </c>
      <c r="U300">
        <v>50739</v>
      </c>
      <c r="V300" t="s">
        <v>457</v>
      </c>
      <c r="W300" t="s">
        <v>56</v>
      </c>
      <c r="X300" t="s">
        <v>458</v>
      </c>
      <c r="Y300" t="s">
        <v>459</v>
      </c>
      <c r="Z300" t="s">
        <v>65</v>
      </c>
    </row>
    <row r="301" spans="1:26" x14ac:dyDescent="0.3">
      <c r="A301">
        <v>10203</v>
      </c>
      <c r="B301">
        <v>20</v>
      </c>
      <c r="C301">
        <v>100</v>
      </c>
      <c r="D301">
        <v>6</v>
      </c>
      <c r="E301">
        <v>2254.8000000000002</v>
      </c>
      <c r="F301" s="1">
        <v>37957</v>
      </c>
      <c r="G301" t="s">
        <v>39</v>
      </c>
      <c r="H301">
        <v>4</v>
      </c>
      <c r="I301">
        <v>12</v>
      </c>
      <c r="J301" t="str">
        <f>TEXT(DATE(2012,Table1[[#This Row],[MONTH_ID]],10),"mmm")</f>
        <v>Dec</v>
      </c>
      <c r="K301">
        <v>2003</v>
      </c>
      <c r="L301" t="s">
        <v>195</v>
      </c>
      <c r="M301">
        <v>117</v>
      </c>
      <c r="N301" t="s">
        <v>527</v>
      </c>
      <c r="O301" t="s">
        <v>188</v>
      </c>
      <c r="P301" t="s">
        <v>189</v>
      </c>
      <c r="Q301" t="s">
        <v>190</v>
      </c>
      <c r="S301" t="s">
        <v>191</v>
      </c>
      <c r="U301">
        <v>28034</v>
      </c>
      <c r="V301" t="s">
        <v>192</v>
      </c>
      <c r="W301" t="s">
        <v>56</v>
      </c>
      <c r="X301" t="s">
        <v>193</v>
      </c>
      <c r="Y301" t="s">
        <v>194</v>
      </c>
      <c r="Z301" t="s">
        <v>50</v>
      </c>
    </row>
    <row r="302" spans="1:26" x14ac:dyDescent="0.3">
      <c r="A302">
        <v>10212</v>
      </c>
      <c r="B302">
        <v>39</v>
      </c>
      <c r="C302">
        <v>100</v>
      </c>
      <c r="D302">
        <v>16</v>
      </c>
      <c r="E302">
        <v>4946.76</v>
      </c>
      <c r="F302" s="1">
        <v>38002</v>
      </c>
      <c r="G302" t="s">
        <v>39</v>
      </c>
      <c r="H302">
        <v>1</v>
      </c>
      <c r="I302">
        <v>1</v>
      </c>
      <c r="J302" t="str">
        <f>TEXT(DATE(2012,Table1[[#This Row],[MONTH_ID]],10),"mmm")</f>
        <v>Jan</v>
      </c>
      <c r="K302">
        <v>2004</v>
      </c>
      <c r="L302" t="s">
        <v>195</v>
      </c>
      <c r="M302">
        <v>117</v>
      </c>
      <c r="N302" t="s">
        <v>527</v>
      </c>
      <c r="O302" t="s">
        <v>188</v>
      </c>
      <c r="P302" t="s">
        <v>189</v>
      </c>
      <c r="Q302" t="s">
        <v>190</v>
      </c>
      <c r="S302" t="s">
        <v>191</v>
      </c>
      <c r="U302">
        <v>28034</v>
      </c>
      <c r="V302" t="s">
        <v>192</v>
      </c>
      <c r="W302" t="s">
        <v>56</v>
      </c>
      <c r="X302" t="s">
        <v>193</v>
      </c>
      <c r="Y302" t="s">
        <v>194</v>
      </c>
      <c r="Z302" t="s">
        <v>65</v>
      </c>
    </row>
    <row r="303" spans="1:26" x14ac:dyDescent="0.3">
      <c r="A303">
        <v>10225</v>
      </c>
      <c r="B303">
        <v>25</v>
      </c>
      <c r="C303">
        <v>99.82</v>
      </c>
      <c r="D303">
        <v>7</v>
      </c>
      <c r="E303">
        <v>2495.5</v>
      </c>
      <c r="F303" s="1">
        <v>38039</v>
      </c>
      <c r="G303" t="s">
        <v>39</v>
      </c>
      <c r="H303">
        <v>1</v>
      </c>
      <c r="I303">
        <v>2</v>
      </c>
      <c r="J303" t="str">
        <f>TEXT(DATE(2012,Table1[[#This Row],[MONTH_ID]],10),"mmm")</f>
        <v>Feb</v>
      </c>
      <c r="K303">
        <v>2004</v>
      </c>
      <c r="L303" t="s">
        <v>195</v>
      </c>
      <c r="M303">
        <v>117</v>
      </c>
      <c r="N303" t="s">
        <v>527</v>
      </c>
      <c r="O303" t="s">
        <v>460</v>
      </c>
      <c r="P303" t="s">
        <v>461</v>
      </c>
      <c r="Q303" t="s">
        <v>462</v>
      </c>
      <c r="S303" t="s">
        <v>463</v>
      </c>
      <c r="U303">
        <v>1203</v>
      </c>
      <c r="V303" t="s">
        <v>464</v>
      </c>
      <c r="W303" t="s">
        <v>56</v>
      </c>
      <c r="X303" t="s">
        <v>465</v>
      </c>
      <c r="Y303" t="s">
        <v>117</v>
      </c>
      <c r="Z303" t="s">
        <v>50</v>
      </c>
    </row>
    <row r="304" spans="1:26" x14ac:dyDescent="0.3">
      <c r="A304">
        <v>10238</v>
      </c>
      <c r="B304">
        <v>29</v>
      </c>
      <c r="C304">
        <v>100</v>
      </c>
      <c r="D304">
        <v>1</v>
      </c>
      <c r="E304">
        <v>3167.38</v>
      </c>
      <c r="F304" s="1">
        <v>38086</v>
      </c>
      <c r="G304" t="s">
        <v>39</v>
      </c>
      <c r="H304">
        <v>2</v>
      </c>
      <c r="I304">
        <v>4</v>
      </c>
      <c r="J304" t="str">
        <f>TEXT(DATE(2012,Table1[[#This Row],[MONTH_ID]],10),"mmm")</f>
        <v>Apr</v>
      </c>
      <c r="K304">
        <v>2004</v>
      </c>
      <c r="L304" t="s">
        <v>195</v>
      </c>
      <c r="M304">
        <v>117</v>
      </c>
      <c r="N304" t="s">
        <v>527</v>
      </c>
      <c r="O304" t="s">
        <v>336</v>
      </c>
      <c r="P304" t="s">
        <v>337</v>
      </c>
      <c r="Q304" t="s">
        <v>338</v>
      </c>
      <c r="S304" t="s">
        <v>339</v>
      </c>
      <c r="U304">
        <v>1734</v>
      </c>
      <c r="V304" t="s">
        <v>340</v>
      </c>
      <c r="W304" t="s">
        <v>56</v>
      </c>
      <c r="X304" t="s">
        <v>341</v>
      </c>
      <c r="Y304" t="s">
        <v>342</v>
      </c>
      <c r="Z304" t="s">
        <v>65</v>
      </c>
    </row>
    <row r="305" spans="1:26" x14ac:dyDescent="0.3">
      <c r="A305">
        <v>10253</v>
      </c>
      <c r="B305">
        <v>22</v>
      </c>
      <c r="C305">
        <v>100</v>
      </c>
      <c r="D305">
        <v>11</v>
      </c>
      <c r="E305">
        <v>2402.84</v>
      </c>
      <c r="F305" s="1">
        <v>38139</v>
      </c>
      <c r="G305" t="s">
        <v>353</v>
      </c>
      <c r="H305">
        <v>2</v>
      </c>
      <c r="I305">
        <v>6</v>
      </c>
      <c r="J305" t="str">
        <f>TEXT(DATE(2012,Table1[[#This Row],[MONTH_ID]],10),"mmm")</f>
        <v>Jun</v>
      </c>
      <c r="K305">
        <v>2004</v>
      </c>
      <c r="L305" t="s">
        <v>195</v>
      </c>
      <c r="M305">
        <v>117</v>
      </c>
      <c r="N305" t="s">
        <v>527</v>
      </c>
      <c r="O305" t="s">
        <v>179</v>
      </c>
      <c r="P305" t="s">
        <v>180</v>
      </c>
      <c r="Q305" t="s">
        <v>181</v>
      </c>
      <c r="S305" t="s">
        <v>182</v>
      </c>
      <c r="U305" t="s">
        <v>183</v>
      </c>
      <c r="V305" t="s">
        <v>184</v>
      </c>
      <c r="W305" t="s">
        <v>56</v>
      </c>
      <c r="X305" t="s">
        <v>185</v>
      </c>
      <c r="Y305" t="s">
        <v>186</v>
      </c>
      <c r="Z305" t="s">
        <v>50</v>
      </c>
    </row>
    <row r="306" spans="1:26" x14ac:dyDescent="0.3">
      <c r="A306">
        <v>10266</v>
      </c>
      <c r="B306">
        <v>22</v>
      </c>
      <c r="C306">
        <v>100</v>
      </c>
      <c r="D306">
        <v>12</v>
      </c>
      <c r="E306">
        <v>2454.54</v>
      </c>
      <c r="F306" s="1">
        <v>38174</v>
      </c>
      <c r="G306" t="s">
        <v>39</v>
      </c>
      <c r="H306">
        <v>3</v>
      </c>
      <c r="I306">
        <v>7</v>
      </c>
      <c r="J306" t="str">
        <f>TEXT(DATE(2012,Table1[[#This Row],[MONTH_ID]],10),"mmm")</f>
        <v>Jul</v>
      </c>
      <c r="K306">
        <v>2004</v>
      </c>
      <c r="L306" t="s">
        <v>195</v>
      </c>
      <c r="M306">
        <v>117</v>
      </c>
      <c r="N306" t="s">
        <v>527</v>
      </c>
      <c r="O306" t="s">
        <v>466</v>
      </c>
      <c r="P306" t="s">
        <v>467</v>
      </c>
      <c r="Q306" t="s">
        <v>468</v>
      </c>
      <c r="S306" t="s">
        <v>469</v>
      </c>
      <c r="U306">
        <v>42100</v>
      </c>
      <c r="V306" t="s">
        <v>272</v>
      </c>
      <c r="W306" t="s">
        <v>56</v>
      </c>
      <c r="X306" t="s">
        <v>470</v>
      </c>
      <c r="Y306" t="s">
        <v>471</v>
      </c>
      <c r="Z306" t="s">
        <v>50</v>
      </c>
    </row>
    <row r="307" spans="1:26" x14ac:dyDescent="0.3">
      <c r="A307">
        <v>10276</v>
      </c>
      <c r="B307">
        <v>47</v>
      </c>
      <c r="C307">
        <v>100</v>
      </c>
      <c r="D307">
        <v>1</v>
      </c>
      <c r="E307">
        <v>5464.69</v>
      </c>
      <c r="F307" s="1">
        <v>38201</v>
      </c>
      <c r="G307" t="s">
        <v>39</v>
      </c>
      <c r="H307">
        <v>3</v>
      </c>
      <c r="I307">
        <v>8</v>
      </c>
      <c r="J307" t="str">
        <f>TEXT(DATE(2012,Table1[[#This Row],[MONTH_ID]],10),"mmm")</f>
        <v>Aug</v>
      </c>
      <c r="K307">
        <v>2004</v>
      </c>
      <c r="L307" t="s">
        <v>195</v>
      </c>
      <c r="M307">
        <v>117</v>
      </c>
      <c r="N307" t="s">
        <v>527</v>
      </c>
      <c r="O307" t="s">
        <v>472</v>
      </c>
      <c r="P307">
        <v>6175557555</v>
      </c>
      <c r="Q307" t="s">
        <v>473</v>
      </c>
      <c r="S307" t="s">
        <v>297</v>
      </c>
      <c r="T307" t="s">
        <v>137</v>
      </c>
      <c r="U307">
        <v>58339</v>
      </c>
      <c r="V307" t="s">
        <v>46</v>
      </c>
      <c r="W307" t="s">
        <v>47</v>
      </c>
      <c r="X307" t="s">
        <v>474</v>
      </c>
      <c r="Y307" t="s">
        <v>475</v>
      </c>
      <c r="Z307" t="s">
        <v>65</v>
      </c>
    </row>
    <row r="308" spans="1:26" x14ac:dyDescent="0.3">
      <c r="A308">
        <v>10287</v>
      </c>
      <c r="B308">
        <v>45</v>
      </c>
      <c r="C308">
        <v>100</v>
      </c>
      <c r="D308">
        <v>10</v>
      </c>
      <c r="E308">
        <v>4756.5</v>
      </c>
      <c r="F308" s="1">
        <v>38229</v>
      </c>
      <c r="G308" t="s">
        <v>39</v>
      </c>
      <c r="H308">
        <v>3</v>
      </c>
      <c r="I308">
        <v>8</v>
      </c>
      <c r="J308" t="str">
        <f>TEXT(DATE(2012,Table1[[#This Row],[MONTH_ID]],10),"mmm")</f>
        <v>Aug</v>
      </c>
      <c r="K308">
        <v>2004</v>
      </c>
      <c r="L308" t="s">
        <v>195</v>
      </c>
      <c r="M308">
        <v>117</v>
      </c>
      <c r="N308" t="s">
        <v>527</v>
      </c>
      <c r="O308" t="s">
        <v>460</v>
      </c>
      <c r="P308" t="s">
        <v>461</v>
      </c>
      <c r="Q308" t="s">
        <v>462</v>
      </c>
      <c r="S308" t="s">
        <v>463</v>
      </c>
      <c r="U308">
        <v>1203</v>
      </c>
      <c r="V308" t="s">
        <v>464</v>
      </c>
      <c r="W308" t="s">
        <v>56</v>
      </c>
      <c r="X308" t="s">
        <v>465</v>
      </c>
      <c r="Y308" t="s">
        <v>117</v>
      </c>
      <c r="Z308" t="s">
        <v>65</v>
      </c>
    </row>
    <row r="309" spans="1:26" x14ac:dyDescent="0.3">
      <c r="A309">
        <v>10300</v>
      </c>
      <c r="B309">
        <v>29</v>
      </c>
      <c r="C309">
        <v>100</v>
      </c>
      <c r="D309">
        <v>3</v>
      </c>
      <c r="E309">
        <v>3984.6</v>
      </c>
      <c r="F309" s="1">
        <v>37898</v>
      </c>
      <c r="G309" t="s">
        <v>39</v>
      </c>
      <c r="H309">
        <v>4</v>
      </c>
      <c r="I309">
        <v>10</v>
      </c>
      <c r="J309" t="str">
        <f>TEXT(DATE(2012,Table1[[#This Row],[MONTH_ID]],10),"mmm")</f>
        <v>Oct</v>
      </c>
      <c r="K309">
        <v>2003</v>
      </c>
      <c r="L309" t="s">
        <v>195</v>
      </c>
      <c r="M309">
        <v>117</v>
      </c>
      <c r="N309" t="s">
        <v>527</v>
      </c>
      <c r="O309" t="s">
        <v>476</v>
      </c>
      <c r="P309" t="s">
        <v>477</v>
      </c>
      <c r="Q309" t="s">
        <v>478</v>
      </c>
      <c r="S309" t="s">
        <v>479</v>
      </c>
      <c r="U309">
        <v>60528</v>
      </c>
      <c r="V309" t="s">
        <v>457</v>
      </c>
      <c r="W309" t="s">
        <v>56</v>
      </c>
      <c r="X309" t="s">
        <v>480</v>
      </c>
      <c r="Y309" t="s">
        <v>428</v>
      </c>
      <c r="Z309" t="s">
        <v>65</v>
      </c>
    </row>
    <row r="310" spans="1:26" x14ac:dyDescent="0.3">
      <c r="A310">
        <v>10310</v>
      </c>
      <c r="B310">
        <v>24</v>
      </c>
      <c r="C310">
        <v>100</v>
      </c>
      <c r="D310">
        <v>8</v>
      </c>
      <c r="E310">
        <v>3100.32</v>
      </c>
      <c r="F310" s="1">
        <v>38276</v>
      </c>
      <c r="G310" t="s">
        <v>39</v>
      </c>
      <c r="H310">
        <v>4</v>
      </c>
      <c r="I310">
        <v>10</v>
      </c>
      <c r="J310" t="str">
        <f>TEXT(DATE(2012,Table1[[#This Row],[MONTH_ID]],10),"mmm")</f>
        <v>Oct</v>
      </c>
      <c r="K310">
        <v>2004</v>
      </c>
      <c r="L310" t="s">
        <v>195</v>
      </c>
      <c r="M310">
        <v>117</v>
      </c>
      <c r="N310" t="s">
        <v>527</v>
      </c>
      <c r="O310" t="s">
        <v>453</v>
      </c>
      <c r="P310" t="s">
        <v>454</v>
      </c>
      <c r="Q310" t="s">
        <v>455</v>
      </c>
      <c r="S310" t="s">
        <v>456</v>
      </c>
      <c r="U310">
        <v>50739</v>
      </c>
      <c r="V310" t="s">
        <v>457</v>
      </c>
      <c r="W310" t="s">
        <v>56</v>
      </c>
      <c r="X310" t="s">
        <v>458</v>
      </c>
      <c r="Y310" t="s">
        <v>459</v>
      </c>
      <c r="Z310" t="s">
        <v>65</v>
      </c>
    </row>
    <row r="311" spans="1:26" x14ac:dyDescent="0.3">
      <c r="A311">
        <v>10320</v>
      </c>
      <c r="B311">
        <v>35</v>
      </c>
      <c r="C311">
        <v>100</v>
      </c>
      <c r="D311">
        <v>1</v>
      </c>
      <c r="E311">
        <v>4850.3</v>
      </c>
      <c r="F311" s="1">
        <v>38294</v>
      </c>
      <c r="G311" t="s">
        <v>39</v>
      </c>
      <c r="H311">
        <v>4</v>
      </c>
      <c r="I311">
        <v>11</v>
      </c>
      <c r="J311" t="str">
        <f>TEXT(DATE(2012,Table1[[#This Row],[MONTH_ID]],10),"mmm")</f>
        <v>Nov</v>
      </c>
      <c r="K311">
        <v>2004</v>
      </c>
      <c r="L311" t="s">
        <v>195</v>
      </c>
      <c r="M311">
        <v>117</v>
      </c>
      <c r="N311" t="s">
        <v>527</v>
      </c>
      <c r="O311" t="s">
        <v>197</v>
      </c>
      <c r="P311" t="s">
        <v>198</v>
      </c>
      <c r="Q311" t="s">
        <v>199</v>
      </c>
      <c r="S311" t="s">
        <v>200</v>
      </c>
      <c r="U311" t="s">
        <v>201</v>
      </c>
      <c r="V311" t="s">
        <v>202</v>
      </c>
      <c r="W311" t="s">
        <v>56</v>
      </c>
      <c r="X311" t="s">
        <v>203</v>
      </c>
      <c r="Y311" t="s">
        <v>204</v>
      </c>
      <c r="Z311" t="s">
        <v>65</v>
      </c>
    </row>
    <row r="312" spans="1:26" x14ac:dyDescent="0.3">
      <c r="A312">
        <v>10329</v>
      </c>
      <c r="B312">
        <v>46</v>
      </c>
      <c r="C312">
        <v>83.63</v>
      </c>
      <c r="D312">
        <v>13</v>
      </c>
      <c r="E312">
        <v>3846.98</v>
      </c>
      <c r="F312" s="1">
        <v>38306</v>
      </c>
      <c r="G312" t="s">
        <v>39</v>
      </c>
      <c r="H312">
        <v>4</v>
      </c>
      <c r="I312">
        <v>11</v>
      </c>
      <c r="J312" t="str">
        <f>TEXT(DATE(2012,Table1[[#This Row],[MONTH_ID]],10),"mmm")</f>
        <v>Nov</v>
      </c>
      <c r="K312">
        <v>2004</v>
      </c>
      <c r="L312" t="s">
        <v>195</v>
      </c>
      <c r="M312">
        <v>117</v>
      </c>
      <c r="N312" t="s">
        <v>527</v>
      </c>
      <c r="O312" t="s">
        <v>42</v>
      </c>
      <c r="P312">
        <v>2125557818</v>
      </c>
      <c r="Q312" t="s">
        <v>43</v>
      </c>
      <c r="S312" t="s">
        <v>44</v>
      </c>
      <c r="T312" t="s">
        <v>45</v>
      </c>
      <c r="U312">
        <v>10022</v>
      </c>
      <c r="V312" t="s">
        <v>46</v>
      </c>
      <c r="W312" t="s">
        <v>47</v>
      </c>
      <c r="X312" t="s">
        <v>48</v>
      </c>
      <c r="Y312" t="s">
        <v>49</v>
      </c>
      <c r="Z312" t="s">
        <v>65</v>
      </c>
    </row>
    <row r="313" spans="1:26" x14ac:dyDescent="0.3">
      <c r="A313">
        <v>10341</v>
      </c>
      <c r="B313">
        <v>44</v>
      </c>
      <c r="C313">
        <v>95.93</v>
      </c>
      <c r="D313">
        <v>1</v>
      </c>
      <c r="E313">
        <v>4220.92</v>
      </c>
      <c r="F313" s="1">
        <v>38315</v>
      </c>
      <c r="G313" t="s">
        <v>39</v>
      </c>
      <c r="H313">
        <v>4</v>
      </c>
      <c r="I313">
        <v>11</v>
      </c>
      <c r="J313" t="str">
        <f>TEXT(DATE(2012,Table1[[#This Row],[MONTH_ID]],10),"mmm")</f>
        <v>Nov</v>
      </c>
      <c r="K313">
        <v>2004</v>
      </c>
      <c r="L313" t="s">
        <v>195</v>
      </c>
      <c r="M313">
        <v>117</v>
      </c>
      <c r="N313" t="s">
        <v>527</v>
      </c>
      <c r="O313" t="s">
        <v>158</v>
      </c>
      <c r="P313" t="s">
        <v>159</v>
      </c>
      <c r="Q313" t="s">
        <v>160</v>
      </c>
      <c r="S313" t="s">
        <v>161</v>
      </c>
      <c r="U313">
        <v>5020</v>
      </c>
      <c r="V313" t="s">
        <v>162</v>
      </c>
      <c r="W313" t="s">
        <v>56</v>
      </c>
      <c r="X313" t="s">
        <v>163</v>
      </c>
      <c r="Y313" t="s">
        <v>164</v>
      </c>
      <c r="Z313" t="s">
        <v>65</v>
      </c>
    </row>
    <row r="314" spans="1:26" x14ac:dyDescent="0.3">
      <c r="A314">
        <v>10363</v>
      </c>
      <c r="B314">
        <v>34</v>
      </c>
      <c r="C314">
        <v>96.73</v>
      </c>
      <c r="D314">
        <v>4</v>
      </c>
      <c r="E314">
        <v>3288.82</v>
      </c>
      <c r="F314" s="1">
        <v>38358</v>
      </c>
      <c r="G314" t="s">
        <v>39</v>
      </c>
      <c r="H314">
        <v>1</v>
      </c>
      <c r="I314">
        <v>1</v>
      </c>
      <c r="J314" t="str">
        <f>TEXT(DATE(2012,Table1[[#This Row],[MONTH_ID]],10),"mmm")</f>
        <v>Jan</v>
      </c>
      <c r="K314">
        <v>2005</v>
      </c>
      <c r="L314" t="s">
        <v>195</v>
      </c>
      <c r="M314">
        <v>117</v>
      </c>
      <c r="N314" t="s">
        <v>527</v>
      </c>
      <c r="O314" t="s">
        <v>481</v>
      </c>
      <c r="P314" t="s">
        <v>482</v>
      </c>
      <c r="Q314" t="s">
        <v>483</v>
      </c>
      <c r="S314" t="s">
        <v>484</v>
      </c>
      <c r="U314" t="s">
        <v>485</v>
      </c>
      <c r="V314" t="s">
        <v>144</v>
      </c>
      <c r="W314" t="s">
        <v>56</v>
      </c>
      <c r="X314" t="s">
        <v>486</v>
      </c>
      <c r="Y314" t="s">
        <v>487</v>
      </c>
      <c r="Z314" t="s">
        <v>65</v>
      </c>
    </row>
    <row r="315" spans="1:26" x14ac:dyDescent="0.3">
      <c r="A315">
        <v>10376</v>
      </c>
      <c r="B315">
        <v>35</v>
      </c>
      <c r="C315">
        <v>100</v>
      </c>
      <c r="D315">
        <v>1</v>
      </c>
      <c r="E315">
        <v>3987.2</v>
      </c>
      <c r="F315" s="1">
        <v>38391</v>
      </c>
      <c r="G315" t="s">
        <v>39</v>
      </c>
      <c r="H315">
        <v>1</v>
      </c>
      <c r="I315">
        <v>2</v>
      </c>
      <c r="J315" t="str">
        <f>TEXT(DATE(2012,Table1[[#This Row],[MONTH_ID]],10),"mmm")</f>
        <v>Feb</v>
      </c>
      <c r="K315">
        <v>2005</v>
      </c>
      <c r="L315" t="s">
        <v>195</v>
      </c>
      <c r="M315">
        <v>117</v>
      </c>
      <c r="N315" t="s">
        <v>527</v>
      </c>
      <c r="O315" t="s">
        <v>528</v>
      </c>
      <c r="P315">
        <v>3105552373</v>
      </c>
      <c r="Q315" t="s">
        <v>529</v>
      </c>
      <c r="S315" t="s">
        <v>530</v>
      </c>
      <c r="T315" t="s">
        <v>69</v>
      </c>
      <c r="U315">
        <v>92561</v>
      </c>
      <c r="V315" t="s">
        <v>46</v>
      </c>
      <c r="W315" t="s">
        <v>47</v>
      </c>
      <c r="X315" t="s">
        <v>70</v>
      </c>
      <c r="Y315" t="s">
        <v>259</v>
      </c>
      <c r="Z315" t="s">
        <v>65</v>
      </c>
    </row>
    <row r="316" spans="1:26" x14ac:dyDescent="0.3">
      <c r="A316">
        <v>10389</v>
      </c>
      <c r="B316">
        <v>25</v>
      </c>
      <c r="C316">
        <v>72.38</v>
      </c>
      <c r="D316">
        <v>6</v>
      </c>
      <c r="E316">
        <v>1809.5</v>
      </c>
      <c r="F316" s="1">
        <v>38414</v>
      </c>
      <c r="G316" t="s">
        <v>39</v>
      </c>
      <c r="H316">
        <v>1</v>
      </c>
      <c r="I316">
        <v>3</v>
      </c>
      <c r="J316" t="str">
        <f>TEXT(DATE(2012,Table1[[#This Row],[MONTH_ID]],10),"mmm")</f>
        <v>Mar</v>
      </c>
      <c r="K316">
        <v>2005</v>
      </c>
      <c r="L316" t="s">
        <v>195</v>
      </c>
      <c r="M316">
        <v>117</v>
      </c>
      <c r="N316" t="s">
        <v>527</v>
      </c>
      <c r="O316" t="s">
        <v>275</v>
      </c>
      <c r="P316" t="s">
        <v>276</v>
      </c>
      <c r="Q316" t="s">
        <v>277</v>
      </c>
      <c r="S316" t="s">
        <v>278</v>
      </c>
      <c r="U316" t="s">
        <v>279</v>
      </c>
      <c r="V316" t="s">
        <v>202</v>
      </c>
      <c r="W316" t="s">
        <v>56</v>
      </c>
      <c r="X316" t="s">
        <v>280</v>
      </c>
      <c r="Y316" t="s">
        <v>220</v>
      </c>
      <c r="Z316" t="s">
        <v>50</v>
      </c>
    </row>
    <row r="317" spans="1:26" x14ac:dyDescent="0.3">
      <c r="A317">
        <v>10419</v>
      </c>
      <c r="B317">
        <v>10</v>
      </c>
      <c r="C317">
        <v>100</v>
      </c>
      <c r="D317">
        <v>11</v>
      </c>
      <c r="E317">
        <v>1092.2</v>
      </c>
      <c r="F317" s="1">
        <v>38489</v>
      </c>
      <c r="G317" t="s">
        <v>39</v>
      </c>
      <c r="H317">
        <v>2</v>
      </c>
      <c r="I317">
        <v>5</v>
      </c>
      <c r="J317" t="str">
        <f>TEXT(DATE(2012,Table1[[#This Row],[MONTH_ID]],10),"mmm")</f>
        <v>May</v>
      </c>
      <c r="K317">
        <v>2005</v>
      </c>
      <c r="L317" t="s">
        <v>195</v>
      </c>
      <c r="M317">
        <v>117</v>
      </c>
      <c r="N317" t="s">
        <v>527</v>
      </c>
      <c r="O317" t="s">
        <v>158</v>
      </c>
      <c r="P317" t="s">
        <v>159</v>
      </c>
      <c r="Q317" t="s">
        <v>160</v>
      </c>
      <c r="S317" t="s">
        <v>161</v>
      </c>
      <c r="U317">
        <v>5020</v>
      </c>
      <c r="V317" t="s">
        <v>162</v>
      </c>
      <c r="W317" t="s">
        <v>56</v>
      </c>
      <c r="X317" t="s">
        <v>163</v>
      </c>
      <c r="Y317" t="s">
        <v>164</v>
      </c>
      <c r="Z317" t="s">
        <v>50</v>
      </c>
    </row>
    <row r="318" spans="1:26" x14ac:dyDescent="0.3">
      <c r="A318">
        <v>10105</v>
      </c>
      <c r="B318">
        <v>29</v>
      </c>
      <c r="C318">
        <v>100</v>
      </c>
      <c r="D318">
        <v>14</v>
      </c>
      <c r="E318">
        <v>4566.05</v>
      </c>
      <c r="F318" s="1">
        <v>37663</v>
      </c>
      <c r="G318" t="s">
        <v>39</v>
      </c>
      <c r="H318">
        <v>1</v>
      </c>
      <c r="I318">
        <v>2</v>
      </c>
      <c r="J318" t="str">
        <f>TEXT(DATE(2012,Table1[[#This Row],[MONTH_ID]],10),"mmm")</f>
        <v>Feb</v>
      </c>
      <c r="K318">
        <v>2003</v>
      </c>
      <c r="L318" t="s">
        <v>195</v>
      </c>
      <c r="M318">
        <v>173</v>
      </c>
      <c r="N318" t="s">
        <v>531</v>
      </c>
      <c r="O318" t="s">
        <v>336</v>
      </c>
      <c r="P318" t="s">
        <v>337</v>
      </c>
      <c r="Q318" t="s">
        <v>338</v>
      </c>
      <c r="S318" t="s">
        <v>339</v>
      </c>
      <c r="U318">
        <v>1734</v>
      </c>
      <c r="V318" t="s">
        <v>340</v>
      </c>
      <c r="W318" t="s">
        <v>56</v>
      </c>
      <c r="X318" t="s">
        <v>341</v>
      </c>
      <c r="Y318" t="s">
        <v>342</v>
      </c>
      <c r="Z318" t="s">
        <v>65</v>
      </c>
    </row>
    <row r="319" spans="1:26" x14ac:dyDescent="0.3">
      <c r="A319">
        <v>10117</v>
      </c>
      <c r="B319">
        <v>39</v>
      </c>
      <c r="C319">
        <v>100</v>
      </c>
      <c r="D319">
        <v>8</v>
      </c>
      <c r="E319">
        <v>5938.14</v>
      </c>
      <c r="F319" s="1">
        <v>37727</v>
      </c>
      <c r="G319" t="s">
        <v>39</v>
      </c>
      <c r="H319">
        <v>2</v>
      </c>
      <c r="I319">
        <v>4</v>
      </c>
      <c r="J319" t="str">
        <f>TEXT(DATE(2012,Table1[[#This Row],[MONTH_ID]],10),"mmm")</f>
        <v>Apr</v>
      </c>
      <c r="K319">
        <v>2003</v>
      </c>
      <c r="L319" t="s">
        <v>195</v>
      </c>
      <c r="M319">
        <v>173</v>
      </c>
      <c r="N319" t="s">
        <v>531</v>
      </c>
      <c r="O319" t="s">
        <v>210</v>
      </c>
      <c r="P319" t="s">
        <v>211</v>
      </c>
      <c r="Q319" t="s">
        <v>212</v>
      </c>
      <c r="S319" t="s">
        <v>213</v>
      </c>
      <c r="U319">
        <v>79903</v>
      </c>
      <c r="V319" t="s">
        <v>213</v>
      </c>
      <c r="W319" t="s">
        <v>214</v>
      </c>
      <c r="X319" t="s">
        <v>215</v>
      </c>
      <c r="Y319" t="s">
        <v>216</v>
      </c>
      <c r="Z319" t="s">
        <v>65</v>
      </c>
    </row>
    <row r="320" spans="1:26" x14ac:dyDescent="0.3">
      <c r="A320">
        <v>10127</v>
      </c>
      <c r="B320">
        <v>42</v>
      </c>
      <c r="C320">
        <v>100</v>
      </c>
      <c r="D320">
        <v>1</v>
      </c>
      <c r="E320">
        <v>8138.76</v>
      </c>
      <c r="F320" s="1">
        <v>37775</v>
      </c>
      <c r="G320" t="s">
        <v>39</v>
      </c>
      <c r="H320">
        <v>2</v>
      </c>
      <c r="I320">
        <v>6</v>
      </c>
      <c r="J320" t="str">
        <f>TEXT(DATE(2012,Table1[[#This Row],[MONTH_ID]],10),"mmm")</f>
        <v>Jun</v>
      </c>
      <c r="K320">
        <v>2003</v>
      </c>
      <c r="L320" t="s">
        <v>195</v>
      </c>
      <c r="M320">
        <v>173</v>
      </c>
      <c r="N320" t="s">
        <v>531</v>
      </c>
      <c r="O320" t="s">
        <v>489</v>
      </c>
      <c r="P320">
        <v>2125557413</v>
      </c>
      <c r="Q320" t="s">
        <v>490</v>
      </c>
      <c r="R320" t="s">
        <v>491</v>
      </c>
      <c r="S320" t="s">
        <v>44</v>
      </c>
      <c r="T320" t="s">
        <v>45</v>
      </c>
      <c r="U320">
        <v>10022</v>
      </c>
      <c r="V320" t="s">
        <v>46</v>
      </c>
      <c r="W320" t="s">
        <v>47</v>
      </c>
      <c r="X320" t="s">
        <v>70</v>
      </c>
      <c r="Y320" t="s">
        <v>492</v>
      </c>
      <c r="Z320" t="s">
        <v>165</v>
      </c>
    </row>
    <row r="321" spans="1:26" x14ac:dyDescent="0.3">
      <c r="A321">
        <v>10142</v>
      </c>
      <c r="B321">
        <v>46</v>
      </c>
      <c r="C321">
        <v>100</v>
      </c>
      <c r="D321">
        <v>11</v>
      </c>
      <c r="E321">
        <v>9470.94</v>
      </c>
      <c r="F321" s="1">
        <v>37841</v>
      </c>
      <c r="G321" t="s">
        <v>39</v>
      </c>
      <c r="H321">
        <v>3</v>
      </c>
      <c r="I321">
        <v>8</v>
      </c>
      <c r="J321" t="str">
        <f>TEXT(DATE(2012,Table1[[#This Row],[MONTH_ID]],10),"mmm")</f>
        <v>Aug</v>
      </c>
      <c r="K321">
        <v>2003</v>
      </c>
      <c r="L321" t="s">
        <v>195</v>
      </c>
      <c r="M321">
        <v>173</v>
      </c>
      <c r="N321" t="s">
        <v>531</v>
      </c>
      <c r="O321" t="s">
        <v>286</v>
      </c>
      <c r="P321">
        <v>4155551450</v>
      </c>
      <c r="Q321" t="s">
        <v>287</v>
      </c>
      <c r="S321" t="s">
        <v>288</v>
      </c>
      <c r="T321" t="s">
        <v>69</v>
      </c>
      <c r="U321">
        <v>97562</v>
      </c>
      <c r="V321" t="s">
        <v>46</v>
      </c>
      <c r="W321" t="s">
        <v>47</v>
      </c>
      <c r="X321" t="s">
        <v>289</v>
      </c>
      <c r="Y321" t="s">
        <v>290</v>
      </c>
      <c r="Z321" t="s">
        <v>165</v>
      </c>
    </row>
    <row r="322" spans="1:26" x14ac:dyDescent="0.3">
      <c r="A322">
        <v>10153</v>
      </c>
      <c r="B322">
        <v>49</v>
      </c>
      <c r="C322">
        <v>100</v>
      </c>
      <c r="D322">
        <v>10</v>
      </c>
      <c r="E322">
        <v>7036.89</v>
      </c>
      <c r="F322" s="1">
        <v>37892</v>
      </c>
      <c r="G322" t="s">
        <v>39</v>
      </c>
      <c r="H322">
        <v>3</v>
      </c>
      <c r="I322">
        <v>9</v>
      </c>
      <c r="J322" t="str">
        <f>TEXT(DATE(2012,Table1[[#This Row],[MONTH_ID]],10),"mmm")</f>
        <v>Sep</v>
      </c>
      <c r="K322">
        <v>2003</v>
      </c>
      <c r="L322" t="s">
        <v>195</v>
      </c>
      <c r="M322">
        <v>173</v>
      </c>
      <c r="N322" t="s">
        <v>531</v>
      </c>
      <c r="O322" t="s">
        <v>188</v>
      </c>
      <c r="P322" t="s">
        <v>189</v>
      </c>
      <c r="Q322" t="s">
        <v>190</v>
      </c>
      <c r="S322" t="s">
        <v>191</v>
      </c>
      <c r="U322">
        <v>28034</v>
      </c>
      <c r="V322" t="s">
        <v>192</v>
      </c>
      <c r="W322" t="s">
        <v>56</v>
      </c>
      <c r="X322" t="s">
        <v>193</v>
      </c>
      <c r="Y322" t="s">
        <v>194</v>
      </c>
      <c r="Z322" t="s">
        <v>165</v>
      </c>
    </row>
    <row r="323" spans="1:26" x14ac:dyDescent="0.3">
      <c r="A323">
        <v>10165</v>
      </c>
      <c r="B323">
        <v>27</v>
      </c>
      <c r="C323">
        <v>100</v>
      </c>
      <c r="D323">
        <v>2</v>
      </c>
      <c r="E323">
        <v>5559.03</v>
      </c>
      <c r="F323" s="1">
        <v>37916</v>
      </c>
      <c r="G323" t="s">
        <v>39</v>
      </c>
      <c r="H323">
        <v>4</v>
      </c>
      <c r="I323">
        <v>10</v>
      </c>
      <c r="J323" t="str">
        <f>TEXT(DATE(2012,Table1[[#This Row],[MONTH_ID]],10),"mmm")</f>
        <v>Oct</v>
      </c>
      <c r="K323">
        <v>2003</v>
      </c>
      <c r="L323" t="s">
        <v>195</v>
      </c>
      <c r="M323">
        <v>173</v>
      </c>
      <c r="N323" t="s">
        <v>531</v>
      </c>
      <c r="O323" t="s">
        <v>210</v>
      </c>
      <c r="P323" t="s">
        <v>211</v>
      </c>
      <c r="Q323" t="s">
        <v>212</v>
      </c>
      <c r="S323" t="s">
        <v>213</v>
      </c>
      <c r="U323">
        <v>79903</v>
      </c>
      <c r="V323" t="s">
        <v>213</v>
      </c>
      <c r="W323" t="s">
        <v>214</v>
      </c>
      <c r="X323" t="s">
        <v>215</v>
      </c>
      <c r="Y323" t="s">
        <v>216</v>
      </c>
      <c r="Z323" t="s">
        <v>65</v>
      </c>
    </row>
    <row r="324" spans="1:26" x14ac:dyDescent="0.3">
      <c r="A324">
        <v>10176</v>
      </c>
      <c r="B324">
        <v>50</v>
      </c>
      <c r="C324">
        <v>100</v>
      </c>
      <c r="D324">
        <v>1</v>
      </c>
      <c r="E324">
        <v>7872.5</v>
      </c>
      <c r="F324" s="1">
        <v>37931</v>
      </c>
      <c r="G324" t="s">
        <v>39</v>
      </c>
      <c r="H324">
        <v>4</v>
      </c>
      <c r="I324">
        <v>11</v>
      </c>
      <c r="J324" t="str">
        <f>TEXT(DATE(2012,Table1[[#This Row],[MONTH_ID]],10),"mmm")</f>
        <v>Nov</v>
      </c>
      <c r="K324">
        <v>2003</v>
      </c>
      <c r="L324" t="s">
        <v>195</v>
      </c>
      <c r="M324">
        <v>173</v>
      </c>
      <c r="N324" t="s">
        <v>531</v>
      </c>
      <c r="O324" t="s">
        <v>466</v>
      </c>
      <c r="P324" t="s">
        <v>467</v>
      </c>
      <c r="Q324" t="s">
        <v>468</v>
      </c>
      <c r="S324" t="s">
        <v>469</v>
      </c>
      <c r="U324">
        <v>42100</v>
      </c>
      <c r="V324" t="s">
        <v>272</v>
      </c>
      <c r="W324" t="s">
        <v>56</v>
      </c>
      <c r="X324" t="s">
        <v>470</v>
      </c>
      <c r="Y324" t="s">
        <v>471</v>
      </c>
      <c r="Z324" t="s">
        <v>165</v>
      </c>
    </row>
    <row r="325" spans="1:26" x14ac:dyDescent="0.3">
      <c r="A325">
        <v>10185</v>
      </c>
      <c r="B325">
        <v>43</v>
      </c>
      <c r="C325">
        <v>100</v>
      </c>
      <c r="D325">
        <v>12</v>
      </c>
      <c r="E325">
        <v>7886.2</v>
      </c>
      <c r="F325" s="1">
        <v>37939</v>
      </c>
      <c r="G325" t="s">
        <v>39</v>
      </c>
      <c r="H325">
        <v>4</v>
      </c>
      <c r="I325">
        <v>11</v>
      </c>
      <c r="J325" t="str">
        <f>TEXT(DATE(2012,Table1[[#This Row],[MONTH_ID]],10),"mmm")</f>
        <v>Nov</v>
      </c>
      <c r="K325">
        <v>2003</v>
      </c>
      <c r="L325" t="s">
        <v>195</v>
      </c>
      <c r="M325">
        <v>173</v>
      </c>
      <c r="N325" t="s">
        <v>531</v>
      </c>
      <c r="O325" t="s">
        <v>349</v>
      </c>
      <c r="P325">
        <v>5085559555</v>
      </c>
      <c r="Q325" t="s">
        <v>350</v>
      </c>
      <c r="S325" t="s">
        <v>176</v>
      </c>
      <c r="T325" t="s">
        <v>137</v>
      </c>
      <c r="U325">
        <v>50553</v>
      </c>
      <c r="V325" t="s">
        <v>46</v>
      </c>
      <c r="W325" t="s">
        <v>47</v>
      </c>
      <c r="X325" t="s">
        <v>351</v>
      </c>
      <c r="Y325" t="s">
        <v>352</v>
      </c>
      <c r="Z325" t="s">
        <v>165</v>
      </c>
    </row>
    <row r="326" spans="1:26" x14ac:dyDescent="0.3">
      <c r="A326">
        <v>10196</v>
      </c>
      <c r="B326">
        <v>38</v>
      </c>
      <c r="C326">
        <v>100</v>
      </c>
      <c r="D326">
        <v>4</v>
      </c>
      <c r="E326">
        <v>7232.16</v>
      </c>
      <c r="F326" s="1">
        <v>37951</v>
      </c>
      <c r="G326" t="s">
        <v>39</v>
      </c>
      <c r="H326">
        <v>4</v>
      </c>
      <c r="I326">
        <v>11</v>
      </c>
      <c r="J326" t="str">
        <f>TEXT(DATE(2012,Table1[[#This Row],[MONTH_ID]],10),"mmm")</f>
        <v>Nov</v>
      </c>
      <c r="K326">
        <v>2003</v>
      </c>
      <c r="L326" t="s">
        <v>195</v>
      </c>
      <c r="M326">
        <v>173</v>
      </c>
      <c r="N326" t="s">
        <v>531</v>
      </c>
      <c r="O326" t="s">
        <v>256</v>
      </c>
      <c r="P326">
        <v>2035559545</v>
      </c>
      <c r="Q326" t="s">
        <v>257</v>
      </c>
      <c r="S326" t="s">
        <v>258</v>
      </c>
      <c r="T326" t="s">
        <v>126</v>
      </c>
      <c r="U326">
        <v>97823</v>
      </c>
      <c r="V326" t="s">
        <v>46</v>
      </c>
      <c r="W326" t="s">
        <v>47</v>
      </c>
      <c r="X326" t="s">
        <v>97</v>
      </c>
      <c r="Y326" t="s">
        <v>259</v>
      </c>
      <c r="Z326" t="s">
        <v>165</v>
      </c>
    </row>
    <row r="327" spans="1:26" x14ac:dyDescent="0.3">
      <c r="A327">
        <v>10208</v>
      </c>
      <c r="B327">
        <v>20</v>
      </c>
      <c r="C327">
        <v>100</v>
      </c>
      <c r="D327">
        <v>12</v>
      </c>
      <c r="E327">
        <v>3114.4</v>
      </c>
      <c r="F327" s="1">
        <v>37988</v>
      </c>
      <c r="G327" t="s">
        <v>39</v>
      </c>
      <c r="H327">
        <v>1</v>
      </c>
      <c r="I327">
        <v>1</v>
      </c>
      <c r="J327" t="str">
        <f>TEXT(DATE(2012,Table1[[#This Row],[MONTH_ID]],10),"mmm")</f>
        <v>Jan</v>
      </c>
      <c r="K327">
        <v>2004</v>
      </c>
      <c r="L327" t="s">
        <v>195</v>
      </c>
      <c r="M327">
        <v>173</v>
      </c>
      <c r="N327" t="s">
        <v>531</v>
      </c>
      <c r="O327" t="s">
        <v>233</v>
      </c>
      <c r="P327" t="s">
        <v>234</v>
      </c>
      <c r="Q327" t="s">
        <v>235</v>
      </c>
      <c r="S327" t="s">
        <v>236</v>
      </c>
      <c r="U327">
        <v>69004</v>
      </c>
      <c r="V327" t="s">
        <v>55</v>
      </c>
      <c r="W327" t="s">
        <v>56</v>
      </c>
      <c r="X327" t="s">
        <v>237</v>
      </c>
      <c r="Y327" t="s">
        <v>238</v>
      </c>
      <c r="Z327" t="s">
        <v>65</v>
      </c>
    </row>
    <row r="328" spans="1:26" x14ac:dyDescent="0.3">
      <c r="A328">
        <v>10220</v>
      </c>
      <c r="B328">
        <v>27</v>
      </c>
      <c r="C328">
        <v>100</v>
      </c>
      <c r="D328">
        <v>1</v>
      </c>
      <c r="E328">
        <v>5045.22</v>
      </c>
      <c r="F328" s="1">
        <v>38029</v>
      </c>
      <c r="G328" t="s">
        <v>39</v>
      </c>
      <c r="H328">
        <v>1</v>
      </c>
      <c r="I328">
        <v>2</v>
      </c>
      <c r="J328" t="str">
        <f>TEXT(DATE(2012,Table1[[#This Row],[MONTH_ID]],10),"mmm")</f>
        <v>Feb</v>
      </c>
      <c r="K328">
        <v>2004</v>
      </c>
      <c r="L328" t="s">
        <v>195</v>
      </c>
      <c r="M328">
        <v>173</v>
      </c>
      <c r="N328" t="s">
        <v>531</v>
      </c>
      <c r="O328" t="s">
        <v>493</v>
      </c>
      <c r="P328" t="s">
        <v>494</v>
      </c>
      <c r="Q328" t="s">
        <v>495</v>
      </c>
      <c r="R328" t="s">
        <v>496</v>
      </c>
      <c r="S328" t="s">
        <v>497</v>
      </c>
      <c r="U328">
        <v>2</v>
      </c>
      <c r="V328" t="s">
        <v>498</v>
      </c>
      <c r="W328" t="s">
        <v>56</v>
      </c>
      <c r="X328" t="s">
        <v>499</v>
      </c>
      <c r="Y328" t="s">
        <v>500</v>
      </c>
      <c r="Z328" t="s">
        <v>65</v>
      </c>
    </row>
    <row r="329" spans="1:26" x14ac:dyDescent="0.3">
      <c r="A329">
        <v>10231</v>
      </c>
      <c r="B329">
        <v>49</v>
      </c>
      <c r="C329">
        <v>100</v>
      </c>
      <c r="D329">
        <v>1</v>
      </c>
      <c r="E329">
        <v>6952.12</v>
      </c>
      <c r="F329" s="1">
        <v>38065</v>
      </c>
      <c r="G329" t="s">
        <v>39</v>
      </c>
      <c r="H329">
        <v>1</v>
      </c>
      <c r="I329">
        <v>3</v>
      </c>
      <c r="J329" t="str">
        <f>TEXT(DATE(2012,Table1[[#This Row],[MONTH_ID]],10),"mmm")</f>
        <v>Mar</v>
      </c>
      <c r="K329">
        <v>2004</v>
      </c>
      <c r="L329" t="s">
        <v>195</v>
      </c>
      <c r="M329">
        <v>173</v>
      </c>
      <c r="N329" t="s">
        <v>531</v>
      </c>
      <c r="O329" t="s">
        <v>501</v>
      </c>
      <c r="P329" t="s">
        <v>502</v>
      </c>
      <c r="Q329" t="s">
        <v>503</v>
      </c>
      <c r="S329" t="s">
        <v>191</v>
      </c>
      <c r="U329">
        <v>28023</v>
      </c>
      <c r="V329" t="s">
        <v>192</v>
      </c>
      <c r="W329" t="s">
        <v>56</v>
      </c>
      <c r="X329" t="s">
        <v>504</v>
      </c>
      <c r="Y329" t="s">
        <v>505</v>
      </c>
      <c r="Z329" t="s">
        <v>65</v>
      </c>
    </row>
    <row r="330" spans="1:26" x14ac:dyDescent="0.3">
      <c r="A330">
        <v>10247</v>
      </c>
      <c r="B330">
        <v>27</v>
      </c>
      <c r="C330">
        <v>100</v>
      </c>
      <c r="D330">
        <v>1</v>
      </c>
      <c r="E330">
        <v>4157.7299999999996</v>
      </c>
      <c r="F330" s="1">
        <v>38112</v>
      </c>
      <c r="G330" t="s">
        <v>39</v>
      </c>
      <c r="H330">
        <v>2</v>
      </c>
      <c r="I330">
        <v>5</v>
      </c>
      <c r="J330" t="str">
        <f>TEXT(DATE(2012,Table1[[#This Row],[MONTH_ID]],10),"mmm")</f>
        <v>May</v>
      </c>
      <c r="K330">
        <v>2004</v>
      </c>
      <c r="L330" t="s">
        <v>195</v>
      </c>
      <c r="M330">
        <v>173</v>
      </c>
      <c r="N330" t="s">
        <v>531</v>
      </c>
      <c r="O330" t="s">
        <v>481</v>
      </c>
      <c r="P330" t="s">
        <v>482</v>
      </c>
      <c r="Q330" t="s">
        <v>483</v>
      </c>
      <c r="S330" t="s">
        <v>484</v>
      </c>
      <c r="U330" t="s">
        <v>485</v>
      </c>
      <c r="V330" t="s">
        <v>144</v>
      </c>
      <c r="W330" t="s">
        <v>56</v>
      </c>
      <c r="X330" t="s">
        <v>486</v>
      </c>
      <c r="Y330" t="s">
        <v>487</v>
      </c>
      <c r="Z330" t="s">
        <v>65</v>
      </c>
    </row>
    <row r="331" spans="1:26" x14ac:dyDescent="0.3">
      <c r="A331">
        <v>10272</v>
      </c>
      <c r="B331">
        <v>39</v>
      </c>
      <c r="C331">
        <v>100</v>
      </c>
      <c r="D331">
        <v>1</v>
      </c>
      <c r="E331">
        <v>7962.24</v>
      </c>
      <c r="F331" s="1">
        <v>38188</v>
      </c>
      <c r="G331" t="s">
        <v>39</v>
      </c>
      <c r="H331">
        <v>3</v>
      </c>
      <c r="I331">
        <v>7</v>
      </c>
      <c r="J331" t="str">
        <f>TEXT(DATE(2012,Table1[[#This Row],[MONTH_ID]],10),"mmm")</f>
        <v>Jul</v>
      </c>
      <c r="K331">
        <v>2004</v>
      </c>
      <c r="L331" t="s">
        <v>195</v>
      </c>
      <c r="M331">
        <v>173</v>
      </c>
      <c r="N331" t="s">
        <v>531</v>
      </c>
      <c r="O331" t="s">
        <v>153</v>
      </c>
      <c r="P331">
        <v>2155551555</v>
      </c>
      <c r="Q331" t="s">
        <v>154</v>
      </c>
      <c r="S331" t="s">
        <v>155</v>
      </c>
      <c r="T331" t="s">
        <v>156</v>
      </c>
      <c r="U331">
        <v>70267</v>
      </c>
      <c r="V331" t="s">
        <v>46</v>
      </c>
      <c r="W331" t="s">
        <v>47</v>
      </c>
      <c r="X331" t="s">
        <v>48</v>
      </c>
      <c r="Y331" t="s">
        <v>157</v>
      </c>
      <c r="Z331" t="s">
        <v>165</v>
      </c>
    </row>
    <row r="332" spans="1:26" x14ac:dyDescent="0.3">
      <c r="A332">
        <v>10282</v>
      </c>
      <c r="B332">
        <v>24</v>
      </c>
      <c r="C332">
        <v>100</v>
      </c>
      <c r="D332">
        <v>4</v>
      </c>
      <c r="E332">
        <v>3778.8</v>
      </c>
      <c r="F332" s="1">
        <v>38219</v>
      </c>
      <c r="G332" t="s">
        <v>39</v>
      </c>
      <c r="H332">
        <v>3</v>
      </c>
      <c r="I332">
        <v>8</v>
      </c>
      <c r="J332" t="str">
        <f>TEXT(DATE(2012,Table1[[#This Row],[MONTH_ID]],10),"mmm")</f>
        <v>Aug</v>
      </c>
      <c r="K332">
        <v>2004</v>
      </c>
      <c r="L332" t="s">
        <v>195</v>
      </c>
      <c r="M332">
        <v>173</v>
      </c>
      <c r="N332" t="s">
        <v>531</v>
      </c>
      <c r="O332" t="s">
        <v>286</v>
      </c>
      <c r="P332">
        <v>4155551450</v>
      </c>
      <c r="Q332" t="s">
        <v>287</v>
      </c>
      <c r="S332" t="s">
        <v>288</v>
      </c>
      <c r="T332" t="s">
        <v>69</v>
      </c>
      <c r="U332">
        <v>97562</v>
      </c>
      <c r="V332" t="s">
        <v>46</v>
      </c>
      <c r="W332" t="s">
        <v>47</v>
      </c>
      <c r="X332" t="s">
        <v>289</v>
      </c>
      <c r="Y332" t="s">
        <v>290</v>
      </c>
      <c r="Z332" t="s">
        <v>65</v>
      </c>
    </row>
    <row r="333" spans="1:26" x14ac:dyDescent="0.3">
      <c r="A333">
        <v>10293</v>
      </c>
      <c r="B333">
        <v>45</v>
      </c>
      <c r="C333">
        <v>100</v>
      </c>
      <c r="D333">
        <v>7</v>
      </c>
      <c r="E333">
        <v>8253</v>
      </c>
      <c r="F333" s="1">
        <v>38239</v>
      </c>
      <c r="G333" t="s">
        <v>39</v>
      </c>
      <c r="H333">
        <v>3</v>
      </c>
      <c r="I333">
        <v>9</v>
      </c>
      <c r="J333" t="str">
        <f>TEXT(DATE(2012,Table1[[#This Row],[MONTH_ID]],10),"mmm")</f>
        <v>Sep</v>
      </c>
      <c r="K333">
        <v>2004</v>
      </c>
      <c r="L333" t="s">
        <v>195</v>
      </c>
      <c r="M333">
        <v>173</v>
      </c>
      <c r="N333" t="s">
        <v>531</v>
      </c>
      <c r="O333" t="s">
        <v>268</v>
      </c>
      <c r="P333" t="s">
        <v>269</v>
      </c>
      <c r="Q333" t="s">
        <v>270</v>
      </c>
      <c r="S333" t="s">
        <v>271</v>
      </c>
      <c r="U333">
        <v>10100</v>
      </c>
      <c r="V333" t="s">
        <v>272</v>
      </c>
      <c r="W333" t="s">
        <v>56</v>
      </c>
      <c r="X333" t="s">
        <v>273</v>
      </c>
      <c r="Y333" t="s">
        <v>274</v>
      </c>
      <c r="Z333" t="s">
        <v>165</v>
      </c>
    </row>
    <row r="334" spans="1:26" x14ac:dyDescent="0.3">
      <c r="A334">
        <v>10306</v>
      </c>
      <c r="B334">
        <v>20</v>
      </c>
      <c r="C334">
        <v>100</v>
      </c>
      <c r="D334">
        <v>12</v>
      </c>
      <c r="E334">
        <v>3633.4</v>
      </c>
      <c r="F334" s="1">
        <v>38274</v>
      </c>
      <c r="G334" t="s">
        <v>39</v>
      </c>
      <c r="H334">
        <v>4</v>
      </c>
      <c r="I334">
        <v>10</v>
      </c>
      <c r="J334" t="str">
        <f>TEXT(DATE(2012,Table1[[#This Row],[MONTH_ID]],10),"mmm")</f>
        <v>Oct</v>
      </c>
      <c r="K334">
        <v>2004</v>
      </c>
      <c r="L334" t="s">
        <v>195</v>
      </c>
      <c r="M334">
        <v>173</v>
      </c>
      <c r="N334" t="s">
        <v>531</v>
      </c>
      <c r="O334" t="s">
        <v>506</v>
      </c>
      <c r="P334" t="s">
        <v>507</v>
      </c>
      <c r="Q334" t="s">
        <v>508</v>
      </c>
      <c r="S334" t="s">
        <v>509</v>
      </c>
      <c r="U334" t="s">
        <v>510</v>
      </c>
      <c r="V334" t="s">
        <v>184</v>
      </c>
      <c r="W334" t="s">
        <v>56</v>
      </c>
      <c r="X334" t="s">
        <v>511</v>
      </c>
      <c r="Y334" t="s">
        <v>108</v>
      </c>
      <c r="Z334" t="s">
        <v>65</v>
      </c>
    </row>
    <row r="335" spans="1:26" x14ac:dyDescent="0.3">
      <c r="A335">
        <v>10314</v>
      </c>
      <c r="B335">
        <v>36</v>
      </c>
      <c r="C335">
        <v>100</v>
      </c>
      <c r="D335">
        <v>4</v>
      </c>
      <c r="E335">
        <v>6913.8</v>
      </c>
      <c r="F335" s="1">
        <v>38282</v>
      </c>
      <c r="G335" t="s">
        <v>39</v>
      </c>
      <c r="H335">
        <v>4</v>
      </c>
      <c r="I335">
        <v>10</v>
      </c>
      <c r="J335" t="str">
        <f>TEXT(DATE(2012,Table1[[#This Row],[MONTH_ID]],10),"mmm")</f>
        <v>Oct</v>
      </c>
      <c r="K335">
        <v>2004</v>
      </c>
      <c r="L335" t="s">
        <v>195</v>
      </c>
      <c r="M335">
        <v>173</v>
      </c>
      <c r="N335" t="s">
        <v>531</v>
      </c>
      <c r="O335" t="s">
        <v>512</v>
      </c>
      <c r="P335" t="s">
        <v>513</v>
      </c>
      <c r="Q335" t="s">
        <v>514</v>
      </c>
      <c r="S335" t="s">
        <v>515</v>
      </c>
      <c r="U335">
        <v>8200</v>
      </c>
      <c r="V335" t="s">
        <v>340</v>
      </c>
      <c r="W335" t="s">
        <v>56</v>
      </c>
      <c r="X335" t="s">
        <v>516</v>
      </c>
      <c r="Y335" t="s">
        <v>517</v>
      </c>
      <c r="Z335" t="s">
        <v>65</v>
      </c>
    </row>
    <row r="336" spans="1:26" x14ac:dyDescent="0.3">
      <c r="A336">
        <v>10325</v>
      </c>
      <c r="B336">
        <v>24</v>
      </c>
      <c r="C336">
        <v>100</v>
      </c>
      <c r="D336">
        <v>1</v>
      </c>
      <c r="E336">
        <v>2583.6</v>
      </c>
      <c r="F336" s="1">
        <v>38296</v>
      </c>
      <c r="G336" t="s">
        <v>39</v>
      </c>
      <c r="H336">
        <v>4</v>
      </c>
      <c r="I336">
        <v>11</v>
      </c>
      <c r="J336" t="str">
        <f>TEXT(DATE(2012,Table1[[#This Row],[MONTH_ID]],10),"mmm")</f>
        <v>Nov</v>
      </c>
      <c r="K336">
        <v>2004</v>
      </c>
      <c r="L336" t="s">
        <v>195</v>
      </c>
      <c r="M336">
        <v>173</v>
      </c>
      <c r="N336" t="s">
        <v>531</v>
      </c>
      <c r="O336" t="s">
        <v>147</v>
      </c>
      <c r="P336" t="s">
        <v>148</v>
      </c>
      <c r="Q336" t="s">
        <v>149</v>
      </c>
      <c r="S336" t="s">
        <v>150</v>
      </c>
      <c r="U336">
        <v>4110</v>
      </c>
      <c r="V336" t="s">
        <v>92</v>
      </c>
      <c r="W336" t="s">
        <v>56</v>
      </c>
      <c r="X336" t="s">
        <v>151</v>
      </c>
      <c r="Y336" t="s">
        <v>152</v>
      </c>
      <c r="Z336" t="s">
        <v>50</v>
      </c>
    </row>
    <row r="337" spans="1:26" x14ac:dyDescent="0.3">
      <c r="A337">
        <v>10336</v>
      </c>
      <c r="B337">
        <v>49</v>
      </c>
      <c r="C337">
        <v>63.38</v>
      </c>
      <c r="D337">
        <v>1</v>
      </c>
      <c r="E337">
        <v>3105.62</v>
      </c>
      <c r="F337" s="1">
        <v>38311</v>
      </c>
      <c r="G337" t="s">
        <v>39</v>
      </c>
      <c r="H337">
        <v>4</v>
      </c>
      <c r="I337">
        <v>11</v>
      </c>
      <c r="J337" t="str">
        <f>TEXT(DATE(2012,Table1[[#This Row],[MONTH_ID]],10),"mmm")</f>
        <v>Nov</v>
      </c>
      <c r="K337">
        <v>2004</v>
      </c>
      <c r="L337" t="s">
        <v>195</v>
      </c>
      <c r="M337">
        <v>173</v>
      </c>
      <c r="N337" t="s">
        <v>531</v>
      </c>
      <c r="O337" t="s">
        <v>417</v>
      </c>
      <c r="P337" t="s">
        <v>418</v>
      </c>
      <c r="Q337" t="s">
        <v>419</v>
      </c>
      <c r="S337" t="s">
        <v>62</v>
      </c>
      <c r="U337">
        <v>75012</v>
      </c>
      <c r="V337" t="s">
        <v>55</v>
      </c>
      <c r="W337" t="s">
        <v>56</v>
      </c>
      <c r="X337" t="s">
        <v>420</v>
      </c>
      <c r="Y337" t="s">
        <v>421</v>
      </c>
      <c r="Z337" t="s">
        <v>65</v>
      </c>
    </row>
    <row r="338" spans="1:26" x14ac:dyDescent="0.3">
      <c r="A338">
        <v>10349</v>
      </c>
      <c r="B338">
        <v>26</v>
      </c>
      <c r="C338">
        <v>100</v>
      </c>
      <c r="D338">
        <v>10</v>
      </c>
      <c r="E338">
        <v>4408.5600000000004</v>
      </c>
      <c r="F338" s="1">
        <v>38322</v>
      </c>
      <c r="G338" t="s">
        <v>39</v>
      </c>
      <c r="H338">
        <v>4</v>
      </c>
      <c r="I338">
        <v>12</v>
      </c>
      <c r="J338" t="str">
        <f>TEXT(DATE(2012,Table1[[#This Row],[MONTH_ID]],10),"mmm")</f>
        <v>Dec</v>
      </c>
      <c r="K338">
        <v>2004</v>
      </c>
      <c r="L338" t="s">
        <v>195</v>
      </c>
      <c r="M338">
        <v>173</v>
      </c>
      <c r="N338" t="s">
        <v>531</v>
      </c>
      <c r="O338" t="s">
        <v>489</v>
      </c>
      <c r="P338">
        <v>2125557413</v>
      </c>
      <c r="Q338" t="s">
        <v>490</v>
      </c>
      <c r="R338" t="s">
        <v>491</v>
      </c>
      <c r="S338" t="s">
        <v>44</v>
      </c>
      <c r="T338" t="s">
        <v>45</v>
      </c>
      <c r="U338">
        <v>10022</v>
      </c>
      <c r="V338" t="s">
        <v>46</v>
      </c>
      <c r="W338" t="s">
        <v>47</v>
      </c>
      <c r="X338" t="s">
        <v>70</v>
      </c>
      <c r="Y338" t="s">
        <v>492</v>
      </c>
      <c r="Z338" t="s">
        <v>65</v>
      </c>
    </row>
    <row r="339" spans="1:26" x14ac:dyDescent="0.3">
      <c r="A339">
        <v>10359</v>
      </c>
      <c r="B339">
        <v>49</v>
      </c>
      <c r="C339">
        <v>62.09</v>
      </c>
      <c r="D339">
        <v>5</v>
      </c>
      <c r="E339">
        <v>3042.41</v>
      </c>
      <c r="F339" s="1">
        <v>38336</v>
      </c>
      <c r="G339" t="s">
        <v>39</v>
      </c>
      <c r="H339">
        <v>4</v>
      </c>
      <c r="I339">
        <v>12</v>
      </c>
      <c r="J339" t="str">
        <f>TEXT(DATE(2012,Table1[[#This Row],[MONTH_ID]],10),"mmm")</f>
        <v>Dec</v>
      </c>
      <c r="K339">
        <v>2004</v>
      </c>
      <c r="L339" t="s">
        <v>195</v>
      </c>
      <c r="M339">
        <v>173</v>
      </c>
      <c r="N339" t="s">
        <v>531</v>
      </c>
      <c r="O339" t="s">
        <v>51</v>
      </c>
      <c r="P339" t="s">
        <v>52</v>
      </c>
      <c r="Q339" t="s">
        <v>53</v>
      </c>
      <c r="S339" t="s">
        <v>54</v>
      </c>
      <c r="U339">
        <v>51100</v>
      </c>
      <c r="V339" t="s">
        <v>55</v>
      </c>
      <c r="W339" t="s">
        <v>56</v>
      </c>
      <c r="X339" t="s">
        <v>57</v>
      </c>
      <c r="Y339" t="s">
        <v>58</v>
      </c>
      <c r="Z339" t="s">
        <v>65</v>
      </c>
    </row>
    <row r="340" spans="1:26" x14ac:dyDescent="0.3">
      <c r="A340">
        <v>10372</v>
      </c>
      <c r="B340">
        <v>34</v>
      </c>
      <c r="C340">
        <v>100</v>
      </c>
      <c r="D340">
        <v>1</v>
      </c>
      <c r="E340">
        <v>5941.5</v>
      </c>
      <c r="F340" s="1">
        <v>38378</v>
      </c>
      <c r="G340" t="s">
        <v>39</v>
      </c>
      <c r="H340">
        <v>1</v>
      </c>
      <c r="I340">
        <v>1</v>
      </c>
      <c r="J340" t="str">
        <f>TEXT(DATE(2012,Table1[[#This Row],[MONTH_ID]],10),"mmm")</f>
        <v>Jan</v>
      </c>
      <c r="K340">
        <v>2005</v>
      </c>
      <c r="L340" t="s">
        <v>195</v>
      </c>
      <c r="M340">
        <v>173</v>
      </c>
      <c r="N340" t="s">
        <v>531</v>
      </c>
      <c r="O340" t="s">
        <v>260</v>
      </c>
      <c r="P340" t="s">
        <v>261</v>
      </c>
      <c r="Q340" t="s">
        <v>262</v>
      </c>
      <c r="S340" t="s">
        <v>263</v>
      </c>
      <c r="T340" t="s">
        <v>264</v>
      </c>
      <c r="U340" t="s">
        <v>265</v>
      </c>
      <c r="V340" t="s">
        <v>214</v>
      </c>
      <c r="W340" t="s">
        <v>214</v>
      </c>
      <c r="X340" t="s">
        <v>266</v>
      </c>
      <c r="Y340" t="s">
        <v>267</v>
      </c>
      <c r="Z340" t="s">
        <v>65</v>
      </c>
    </row>
    <row r="341" spans="1:26" x14ac:dyDescent="0.3">
      <c r="A341">
        <v>10382</v>
      </c>
      <c r="B341">
        <v>34</v>
      </c>
      <c r="C341">
        <v>95.35</v>
      </c>
      <c r="D341">
        <v>12</v>
      </c>
      <c r="E341">
        <v>3241.9</v>
      </c>
      <c r="F341" s="1">
        <v>38400</v>
      </c>
      <c r="G341" t="s">
        <v>39</v>
      </c>
      <c r="H341">
        <v>1</v>
      </c>
      <c r="I341">
        <v>2</v>
      </c>
      <c r="J341" t="str">
        <f>TEXT(DATE(2012,Table1[[#This Row],[MONTH_ID]],10),"mmm")</f>
        <v>Feb</v>
      </c>
      <c r="K341">
        <v>2005</v>
      </c>
      <c r="L341" t="s">
        <v>195</v>
      </c>
      <c r="M341">
        <v>173</v>
      </c>
      <c r="N341" t="s">
        <v>531</v>
      </c>
      <c r="O341" t="s">
        <v>286</v>
      </c>
      <c r="P341">
        <v>4155551450</v>
      </c>
      <c r="Q341" t="s">
        <v>287</v>
      </c>
      <c r="S341" t="s">
        <v>288</v>
      </c>
      <c r="T341" t="s">
        <v>69</v>
      </c>
      <c r="U341">
        <v>97562</v>
      </c>
      <c r="V341" t="s">
        <v>46</v>
      </c>
      <c r="W341" t="s">
        <v>47</v>
      </c>
      <c r="X341" t="s">
        <v>289</v>
      </c>
      <c r="Y341" t="s">
        <v>290</v>
      </c>
      <c r="Z341" t="s">
        <v>65</v>
      </c>
    </row>
    <row r="342" spans="1:26" x14ac:dyDescent="0.3">
      <c r="A342">
        <v>10396</v>
      </c>
      <c r="B342">
        <v>33</v>
      </c>
      <c r="C342">
        <v>100</v>
      </c>
      <c r="D342">
        <v>3</v>
      </c>
      <c r="E342">
        <v>6109.29</v>
      </c>
      <c r="F342" s="1">
        <v>38434</v>
      </c>
      <c r="G342" t="s">
        <v>39</v>
      </c>
      <c r="H342">
        <v>1</v>
      </c>
      <c r="I342">
        <v>3</v>
      </c>
      <c r="J342" t="str">
        <f>TEXT(DATE(2012,Table1[[#This Row],[MONTH_ID]],10),"mmm")</f>
        <v>Mar</v>
      </c>
      <c r="K342">
        <v>2005</v>
      </c>
      <c r="L342" t="s">
        <v>195</v>
      </c>
      <c r="M342">
        <v>173</v>
      </c>
      <c r="N342" t="s">
        <v>531</v>
      </c>
      <c r="O342" t="s">
        <v>286</v>
      </c>
      <c r="P342">
        <v>4155551450</v>
      </c>
      <c r="Q342" t="s">
        <v>287</v>
      </c>
      <c r="S342" t="s">
        <v>288</v>
      </c>
      <c r="T342" t="s">
        <v>69</v>
      </c>
      <c r="U342">
        <v>97562</v>
      </c>
      <c r="V342" t="s">
        <v>46</v>
      </c>
      <c r="W342" t="s">
        <v>47</v>
      </c>
      <c r="X342" t="s">
        <v>289</v>
      </c>
      <c r="Y342" t="s">
        <v>290</v>
      </c>
      <c r="Z342" t="s">
        <v>65</v>
      </c>
    </row>
    <row r="343" spans="1:26" x14ac:dyDescent="0.3">
      <c r="A343">
        <v>10413</v>
      </c>
      <c r="B343">
        <v>22</v>
      </c>
      <c r="C343">
        <v>100</v>
      </c>
      <c r="D343">
        <v>1</v>
      </c>
      <c r="E343">
        <v>3387.78</v>
      </c>
      <c r="F343" s="1">
        <v>38477</v>
      </c>
      <c r="G343" t="s">
        <v>39</v>
      </c>
      <c r="H343">
        <v>2</v>
      </c>
      <c r="I343">
        <v>5</v>
      </c>
      <c r="J343" t="str">
        <f>TEXT(DATE(2012,Table1[[#This Row],[MONTH_ID]],10),"mmm")</f>
        <v>May</v>
      </c>
      <c r="K343">
        <v>2005</v>
      </c>
      <c r="L343" t="s">
        <v>195</v>
      </c>
      <c r="M343">
        <v>173</v>
      </c>
      <c r="N343" t="s">
        <v>531</v>
      </c>
      <c r="O343" t="s">
        <v>123</v>
      </c>
      <c r="P343">
        <v>2035552570</v>
      </c>
      <c r="Q343" t="s">
        <v>124</v>
      </c>
      <c r="S343" t="s">
        <v>125</v>
      </c>
      <c r="T343" t="s">
        <v>126</v>
      </c>
      <c r="U343">
        <v>97562</v>
      </c>
      <c r="V343" t="s">
        <v>46</v>
      </c>
      <c r="W343" t="s">
        <v>47</v>
      </c>
      <c r="X343" t="s">
        <v>127</v>
      </c>
      <c r="Y343" t="s">
        <v>71</v>
      </c>
      <c r="Z343" t="s">
        <v>65</v>
      </c>
    </row>
    <row r="344" spans="1:26" x14ac:dyDescent="0.3">
      <c r="A344">
        <v>10108</v>
      </c>
      <c r="B344">
        <v>39</v>
      </c>
      <c r="C344">
        <v>89.38</v>
      </c>
      <c r="D344">
        <v>7</v>
      </c>
      <c r="E344">
        <v>3485.82</v>
      </c>
      <c r="F344" s="1">
        <v>37683</v>
      </c>
      <c r="G344" t="s">
        <v>39</v>
      </c>
      <c r="H344">
        <v>1</v>
      </c>
      <c r="I344">
        <v>3</v>
      </c>
      <c r="J344" t="str">
        <f>TEXT(DATE(2012,Table1[[#This Row],[MONTH_ID]],10),"mmm")</f>
        <v>Mar</v>
      </c>
      <c r="K344">
        <v>2003</v>
      </c>
      <c r="L344" t="s">
        <v>195</v>
      </c>
      <c r="M344">
        <v>79</v>
      </c>
      <c r="N344" t="s">
        <v>532</v>
      </c>
      <c r="O344" t="s">
        <v>439</v>
      </c>
      <c r="P344" t="s">
        <v>440</v>
      </c>
      <c r="Q344" t="s">
        <v>441</v>
      </c>
      <c r="S344" t="s">
        <v>442</v>
      </c>
      <c r="U344" t="s">
        <v>443</v>
      </c>
      <c r="V344" t="s">
        <v>444</v>
      </c>
      <c r="W344" t="s">
        <v>214</v>
      </c>
      <c r="X344" t="s">
        <v>445</v>
      </c>
      <c r="Y344" t="s">
        <v>446</v>
      </c>
      <c r="Z344" t="s">
        <v>65</v>
      </c>
    </row>
    <row r="345" spans="1:26" x14ac:dyDescent="0.3">
      <c r="A345">
        <v>10122</v>
      </c>
      <c r="B345">
        <v>32</v>
      </c>
      <c r="C345">
        <v>63.84</v>
      </c>
      <c r="D345">
        <v>11</v>
      </c>
      <c r="E345">
        <v>2042.88</v>
      </c>
      <c r="F345" s="1">
        <v>37749</v>
      </c>
      <c r="G345" t="s">
        <v>39</v>
      </c>
      <c r="H345">
        <v>2</v>
      </c>
      <c r="I345">
        <v>5</v>
      </c>
      <c r="J345" t="str">
        <f>TEXT(DATE(2012,Table1[[#This Row],[MONTH_ID]],10),"mmm")</f>
        <v>May</v>
      </c>
      <c r="K345">
        <v>2003</v>
      </c>
      <c r="L345" t="s">
        <v>195</v>
      </c>
      <c r="M345">
        <v>79</v>
      </c>
      <c r="N345" t="s">
        <v>532</v>
      </c>
      <c r="O345" t="s">
        <v>447</v>
      </c>
      <c r="P345" t="s">
        <v>448</v>
      </c>
      <c r="Q345" t="s">
        <v>449</v>
      </c>
      <c r="S345" t="s">
        <v>450</v>
      </c>
      <c r="U345">
        <v>13008</v>
      </c>
      <c r="V345" t="s">
        <v>55</v>
      </c>
      <c r="W345" t="s">
        <v>56</v>
      </c>
      <c r="X345" t="s">
        <v>451</v>
      </c>
      <c r="Y345" t="s">
        <v>452</v>
      </c>
      <c r="Z345" t="s">
        <v>50</v>
      </c>
    </row>
    <row r="346" spans="1:26" x14ac:dyDescent="0.3">
      <c r="A346">
        <v>10135</v>
      </c>
      <c r="B346">
        <v>24</v>
      </c>
      <c r="C346">
        <v>75.010000000000005</v>
      </c>
      <c r="D346">
        <v>8</v>
      </c>
      <c r="E346">
        <v>1800.24</v>
      </c>
      <c r="F346" s="1">
        <v>37804</v>
      </c>
      <c r="G346" t="s">
        <v>39</v>
      </c>
      <c r="H346">
        <v>3</v>
      </c>
      <c r="I346">
        <v>7</v>
      </c>
      <c r="J346" t="str">
        <f>TEXT(DATE(2012,Table1[[#This Row],[MONTH_ID]],10),"mmm")</f>
        <v>Jul</v>
      </c>
      <c r="K346">
        <v>2003</v>
      </c>
      <c r="L346" t="s">
        <v>195</v>
      </c>
      <c r="M346">
        <v>79</v>
      </c>
      <c r="N346" t="s">
        <v>532</v>
      </c>
      <c r="O346" t="s">
        <v>286</v>
      </c>
      <c r="P346">
        <v>4155551450</v>
      </c>
      <c r="Q346" t="s">
        <v>287</v>
      </c>
      <c r="S346" t="s">
        <v>288</v>
      </c>
      <c r="T346" t="s">
        <v>69</v>
      </c>
      <c r="U346">
        <v>97562</v>
      </c>
      <c r="V346" t="s">
        <v>46</v>
      </c>
      <c r="W346" t="s">
        <v>47</v>
      </c>
      <c r="X346" t="s">
        <v>289</v>
      </c>
      <c r="Y346" t="s">
        <v>290</v>
      </c>
      <c r="Z346" t="s">
        <v>50</v>
      </c>
    </row>
    <row r="347" spans="1:26" x14ac:dyDescent="0.3">
      <c r="A347">
        <v>10147</v>
      </c>
      <c r="B347">
        <v>21</v>
      </c>
      <c r="C347">
        <v>63.84</v>
      </c>
      <c r="D347">
        <v>8</v>
      </c>
      <c r="E347">
        <v>1340.64</v>
      </c>
      <c r="F347" s="1">
        <v>37869</v>
      </c>
      <c r="G347" t="s">
        <v>39</v>
      </c>
      <c r="H347">
        <v>3</v>
      </c>
      <c r="I347">
        <v>9</v>
      </c>
      <c r="J347" t="str">
        <f>TEXT(DATE(2012,Table1[[#This Row],[MONTH_ID]],10),"mmm")</f>
        <v>Sep</v>
      </c>
      <c r="K347">
        <v>2003</v>
      </c>
      <c r="L347" t="s">
        <v>195</v>
      </c>
      <c r="M347">
        <v>79</v>
      </c>
      <c r="N347" t="s">
        <v>532</v>
      </c>
      <c r="O347" t="s">
        <v>295</v>
      </c>
      <c r="P347">
        <v>6175558555</v>
      </c>
      <c r="Q347" t="s">
        <v>296</v>
      </c>
      <c r="S347" t="s">
        <v>297</v>
      </c>
      <c r="T347" t="s">
        <v>137</v>
      </c>
      <c r="U347">
        <v>58339</v>
      </c>
      <c r="V347" t="s">
        <v>46</v>
      </c>
      <c r="W347" t="s">
        <v>47</v>
      </c>
      <c r="X347" t="s">
        <v>289</v>
      </c>
      <c r="Y347" t="s">
        <v>298</v>
      </c>
      <c r="Z347" t="s">
        <v>50</v>
      </c>
    </row>
    <row r="348" spans="1:26" x14ac:dyDescent="0.3">
      <c r="A348">
        <v>10159</v>
      </c>
      <c r="B348">
        <v>24</v>
      </c>
      <c r="C348">
        <v>73.42</v>
      </c>
      <c r="D348">
        <v>3</v>
      </c>
      <c r="E348">
        <v>1762.08</v>
      </c>
      <c r="F348" s="1">
        <v>37904</v>
      </c>
      <c r="G348" t="s">
        <v>39</v>
      </c>
      <c r="H348">
        <v>4</v>
      </c>
      <c r="I348">
        <v>10</v>
      </c>
      <c r="J348" t="str">
        <f>TEXT(DATE(2012,Table1[[#This Row],[MONTH_ID]],10),"mmm")</f>
        <v>Oct</v>
      </c>
      <c r="K348">
        <v>2003</v>
      </c>
      <c r="L348" t="s">
        <v>195</v>
      </c>
      <c r="M348">
        <v>79</v>
      </c>
      <c r="N348" t="s">
        <v>532</v>
      </c>
      <c r="O348" t="s">
        <v>72</v>
      </c>
      <c r="P348">
        <v>6505551386</v>
      </c>
      <c r="Q348" t="s">
        <v>73</v>
      </c>
      <c r="S348" t="s">
        <v>74</v>
      </c>
      <c r="T348" t="s">
        <v>69</v>
      </c>
      <c r="V348" t="s">
        <v>46</v>
      </c>
      <c r="W348" t="s">
        <v>47</v>
      </c>
      <c r="X348" t="s">
        <v>75</v>
      </c>
      <c r="Y348" t="s">
        <v>71</v>
      </c>
      <c r="Z348" t="s">
        <v>50</v>
      </c>
    </row>
    <row r="349" spans="1:26" x14ac:dyDescent="0.3">
      <c r="A349">
        <v>10169</v>
      </c>
      <c r="B349">
        <v>36</v>
      </c>
      <c r="C349">
        <v>63.84</v>
      </c>
      <c r="D349">
        <v>3</v>
      </c>
      <c r="E349">
        <v>2298.2399999999998</v>
      </c>
      <c r="F349" s="1">
        <v>37929</v>
      </c>
      <c r="G349" t="s">
        <v>39</v>
      </c>
      <c r="H349">
        <v>4</v>
      </c>
      <c r="I349">
        <v>11</v>
      </c>
      <c r="J349" t="str">
        <f>TEXT(DATE(2012,Table1[[#This Row],[MONTH_ID]],10),"mmm")</f>
        <v>Nov</v>
      </c>
      <c r="K349">
        <v>2003</v>
      </c>
      <c r="L349" t="s">
        <v>195</v>
      </c>
      <c r="M349">
        <v>79</v>
      </c>
      <c r="N349" t="s">
        <v>532</v>
      </c>
      <c r="O349" t="s">
        <v>299</v>
      </c>
      <c r="P349" t="s">
        <v>300</v>
      </c>
      <c r="Q349" t="s">
        <v>301</v>
      </c>
      <c r="R349" t="s">
        <v>302</v>
      </c>
      <c r="S349" t="s">
        <v>303</v>
      </c>
      <c r="T349" t="s">
        <v>171</v>
      </c>
      <c r="U349">
        <v>2060</v>
      </c>
      <c r="V349" t="s">
        <v>109</v>
      </c>
      <c r="W349" t="s">
        <v>110</v>
      </c>
      <c r="X349" t="s">
        <v>304</v>
      </c>
      <c r="Y349" t="s">
        <v>305</v>
      </c>
      <c r="Z349" t="s">
        <v>50</v>
      </c>
    </row>
    <row r="350" spans="1:26" x14ac:dyDescent="0.3">
      <c r="A350">
        <v>10181</v>
      </c>
      <c r="B350">
        <v>20</v>
      </c>
      <c r="C350">
        <v>81.400000000000006</v>
      </c>
      <c r="D350">
        <v>15</v>
      </c>
      <c r="E350">
        <v>1628</v>
      </c>
      <c r="F350" s="1">
        <v>37937</v>
      </c>
      <c r="G350" t="s">
        <v>39</v>
      </c>
      <c r="H350">
        <v>4</v>
      </c>
      <c r="I350">
        <v>11</v>
      </c>
      <c r="J350" t="str">
        <f>TEXT(DATE(2012,Table1[[#This Row],[MONTH_ID]],10),"mmm")</f>
        <v>Nov</v>
      </c>
      <c r="K350">
        <v>2003</v>
      </c>
      <c r="L350" t="s">
        <v>195</v>
      </c>
      <c r="M350">
        <v>79</v>
      </c>
      <c r="N350" t="s">
        <v>532</v>
      </c>
      <c r="O350" t="s">
        <v>87</v>
      </c>
      <c r="P350" t="s">
        <v>88</v>
      </c>
      <c r="Q350" t="s">
        <v>89</v>
      </c>
      <c r="S350" t="s">
        <v>90</v>
      </c>
      <c r="U350" t="s">
        <v>91</v>
      </c>
      <c r="V350" t="s">
        <v>92</v>
      </c>
      <c r="W350" t="s">
        <v>56</v>
      </c>
      <c r="X350" t="s">
        <v>93</v>
      </c>
      <c r="Y350" t="s">
        <v>94</v>
      </c>
      <c r="Z350" t="s">
        <v>50</v>
      </c>
    </row>
    <row r="351" spans="1:26" x14ac:dyDescent="0.3">
      <c r="A351">
        <v>10191</v>
      </c>
      <c r="B351">
        <v>30</v>
      </c>
      <c r="C351">
        <v>64.64</v>
      </c>
      <c r="D351">
        <v>4</v>
      </c>
      <c r="E351">
        <v>1939.2</v>
      </c>
      <c r="F351" s="1">
        <v>37945</v>
      </c>
      <c r="G351" t="s">
        <v>39</v>
      </c>
      <c r="H351">
        <v>4</v>
      </c>
      <c r="I351">
        <v>11</v>
      </c>
      <c r="J351" t="str">
        <f>TEXT(DATE(2012,Table1[[#This Row],[MONTH_ID]],10),"mmm")</f>
        <v>Nov</v>
      </c>
      <c r="K351">
        <v>2003</v>
      </c>
      <c r="L351" t="s">
        <v>195</v>
      </c>
      <c r="M351">
        <v>79</v>
      </c>
      <c r="N351" t="s">
        <v>532</v>
      </c>
      <c r="O351" t="s">
        <v>453</v>
      </c>
      <c r="P351" t="s">
        <v>454</v>
      </c>
      <c r="Q351" t="s">
        <v>455</v>
      </c>
      <c r="S351" t="s">
        <v>456</v>
      </c>
      <c r="U351">
        <v>50739</v>
      </c>
      <c r="V351" t="s">
        <v>457</v>
      </c>
      <c r="W351" t="s">
        <v>56</v>
      </c>
      <c r="X351" t="s">
        <v>458</v>
      </c>
      <c r="Y351" t="s">
        <v>459</v>
      </c>
      <c r="Z351" t="s">
        <v>50</v>
      </c>
    </row>
    <row r="352" spans="1:26" x14ac:dyDescent="0.3">
      <c r="A352">
        <v>10203</v>
      </c>
      <c r="B352">
        <v>44</v>
      </c>
      <c r="C352">
        <v>82.99</v>
      </c>
      <c r="D352">
        <v>9</v>
      </c>
      <c r="E352">
        <v>3651.56</v>
      </c>
      <c r="F352" s="1">
        <v>37957</v>
      </c>
      <c r="G352" t="s">
        <v>39</v>
      </c>
      <c r="H352">
        <v>4</v>
      </c>
      <c r="I352">
        <v>12</v>
      </c>
      <c r="J352" t="str">
        <f>TEXT(DATE(2012,Table1[[#This Row],[MONTH_ID]],10),"mmm")</f>
        <v>Dec</v>
      </c>
      <c r="K352">
        <v>2003</v>
      </c>
      <c r="L352" t="s">
        <v>195</v>
      </c>
      <c r="M352">
        <v>79</v>
      </c>
      <c r="N352" t="s">
        <v>532</v>
      </c>
      <c r="O352" t="s">
        <v>188</v>
      </c>
      <c r="P352" t="s">
        <v>189</v>
      </c>
      <c r="Q352" t="s">
        <v>190</v>
      </c>
      <c r="S352" t="s">
        <v>191</v>
      </c>
      <c r="U352">
        <v>28034</v>
      </c>
      <c r="V352" t="s">
        <v>192</v>
      </c>
      <c r="W352" t="s">
        <v>56</v>
      </c>
      <c r="X352" t="s">
        <v>193</v>
      </c>
      <c r="Y352" t="s">
        <v>194</v>
      </c>
      <c r="Z352" t="s">
        <v>65</v>
      </c>
    </row>
    <row r="353" spans="1:26" x14ac:dyDescent="0.3">
      <c r="A353">
        <v>10211</v>
      </c>
      <c r="B353">
        <v>28</v>
      </c>
      <c r="C353">
        <v>92.57</v>
      </c>
      <c r="D353">
        <v>3</v>
      </c>
      <c r="E353">
        <v>2591.96</v>
      </c>
      <c r="F353" s="1">
        <v>38001</v>
      </c>
      <c r="G353" t="s">
        <v>39</v>
      </c>
      <c r="H353">
        <v>1</v>
      </c>
      <c r="I353">
        <v>1</v>
      </c>
      <c r="J353" t="str">
        <f>TEXT(DATE(2012,Table1[[#This Row],[MONTH_ID]],10),"mmm")</f>
        <v>Jan</v>
      </c>
      <c r="K353">
        <v>2004</v>
      </c>
      <c r="L353" t="s">
        <v>195</v>
      </c>
      <c r="M353">
        <v>79</v>
      </c>
      <c r="N353" t="s">
        <v>532</v>
      </c>
      <c r="O353" t="s">
        <v>98</v>
      </c>
      <c r="P353" t="s">
        <v>99</v>
      </c>
      <c r="Q353" t="s">
        <v>100</v>
      </c>
      <c r="S353" t="s">
        <v>62</v>
      </c>
      <c r="U353">
        <v>75016</v>
      </c>
      <c r="V353" t="s">
        <v>55</v>
      </c>
      <c r="W353" t="s">
        <v>56</v>
      </c>
      <c r="X353" t="s">
        <v>101</v>
      </c>
      <c r="Y353" t="s">
        <v>102</v>
      </c>
      <c r="Z353" t="s">
        <v>50</v>
      </c>
    </row>
    <row r="354" spans="1:26" x14ac:dyDescent="0.3">
      <c r="A354">
        <v>10225</v>
      </c>
      <c r="B354">
        <v>37</v>
      </c>
      <c r="C354">
        <v>77.41</v>
      </c>
      <c r="D354">
        <v>10</v>
      </c>
      <c r="E354">
        <v>2864.17</v>
      </c>
      <c r="F354" s="1">
        <v>38039</v>
      </c>
      <c r="G354" t="s">
        <v>39</v>
      </c>
      <c r="H354">
        <v>1</v>
      </c>
      <c r="I354">
        <v>2</v>
      </c>
      <c r="J354" t="str">
        <f>TEXT(DATE(2012,Table1[[#This Row],[MONTH_ID]],10),"mmm")</f>
        <v>Feb</v>
      </c>
      <c r="K354">
        <v>2004</v>
      </c>
      <c r="L354" t="s">
        <v>195</v>
      </c>
      <c r="M354">
        <v>79</v>
      </c>
      <c r="N354" t="s">
        <v>532</v>
      </c>
      <c r="O354" t="s">
        <v>460</v>
      </c>
      <c r="P354" t="s">
        <v>461</v>
      </c>
      <c r="Q354" t="s">
        <v>462</v>
      </c>
      <c r="S354" t="s">
        <v>463</v>
      </c>
      <c r="U354">
        <v>1203</v>
      </c>
      <c r="V354" t="s">
        <v>464</v>
      </c>
      <c r="W354" t="s">
        <v>56</v>
      </c>
      <c r="X354" t="s">
        <v>465</v>
      </c>
      <c r="Y354" t="s">
        <v>117</v>
      </c>
      <c r="Z354" t="s">
        <v>50</v>
      </c>
    </row>
    <row r="355" spans="1:26" x14ac:dyDescent="0.3">
      <c r="A355">
        <v>10238</v>
      </c>
      <c r="B355">
        <v>20</v>
      </c>
      <c r="C355">
        <v>74.209999999999994</v>
      </c>
      <c r="D355">
        <v>4</v>
      </c>
      <c r="E355">
        <v>1484.2</v>
      </c>
      <c r="F355" s="1">
        <v>38086</v>
      </c>
      <c r="G355" t="s">
        <v>39</v>
      </c>
      <c r="H355">
        <v>2</v>
      </c>
      <c r="I355">
        <v>4</v>
      </c>
      <c r="J355" t="str">
        <f>TEXT(DATE(2012,Table1[[#This Row],[MONTH_ID]],10),"mmm")</f>
        <v>Apr</v>
      </c>
      <c r="K355">
        <v>2004</v>
      </c>
      <c r="L355" t="s">
        <v>195</v>
      </c>
      <c r="M355">
        <v>79</v>
      </c>
      <c r="N355" t="s">
        <v>532</v>
      </c>
      <c r="O355" t="s">
        <v>336</v>
      </c>
      <c r="P355" t="s">
        <v>337</v>
      </c>
      <c r="Q355" t="s">
        <v>338</v>
      </c>
      <c r="S355" t="s">
        <v>339</v>
      </c>
      <c r="U355">
        <v>1734</v>
      </c>
      <c r="V355" t="s">
        <v>340</v>
      </c>
      <c r="W355" t="s">
        <v>56</v>
      </c>
      <c r="X355" t="s">
        <v>341</v>
      </c>
      <c r="Y355" t="s">
        <v>342</v>
      </c>
      <c r="Z355" t="s">
        <v>50</v>
      </c>
    </row>
    <row r="356" spans="1:26" x14ac:dyDescent="0.3">
      <c r="A356">
        <v>10253</v>
      </c>
      <c r="B356">
        <v>25</v>
      </c>
      <c r="C356">
        <v>90.17</v>
      </c>
      <c r="D356">
        <v>14</v>
      </c>
      <c r="E356">
        <v>2254.25</v>
      </c>
      <c r="F356" s="1">
        <v>38139</v>
      </c>
      <c r="G356" t="s">
        <v>353</v>
      </c>
      <c r="H356">
        <v>2</v>
      </c>
      <c r="I356">
        <v>6</v>
      </c>
      <c r="J356" t="str">
        <f>TEXT(DATE(2012,Table1[[#This Row],[MONTH_ID]],10),"mmm")</f>
        <v>Jun</v>
      </c>
      <c r="K356">
        <v>2004</v>
      </c>
      <c r="L356" t="s">
        <v>195</v>
      </c>
      <c r="M356">
        <v>79</v>
      </c>
      <c r="N356" t="s">
        <v>532</v>
      </c>
      <c r="O356" t="s">
        <v>179</v>
      </c>
      <c r="P356" t="s">
        <v>180</v>
      </c>
      <c r="Q356" t="s">
        <v>181</v>
      </c>
      <c r="S356" t="s">
        <v>182</v>
      </c>
      <c r="U356" t="s">
        <v>183</v>
      </c>
      <c r="V356" t="s">
        <v>184</v>
      </c>
      <c r="W356" t="s">
        <v>56</v>
      </c>
      <c r="X356" t="s">
        <v>185</v>
      </c>
      <c r="Y356" t="s">
        <v>186</v>
      </c>
      <c r="Z356" t="s">
        <v>50</v>
      </c>
    </row>
    <row r="357" spans="1:26" x14ac:dyDescent="0.3">
      <c r="A357">
        <v>10266</v>
      </c>
      <c r="B357">
        <v>35</v>
      </c>
      <c r="C357">
        <v>76.61</v>
      </c>
      <c r="D357">
        <v>15</v>
      </c>
      <c r="E357">
        <v>2681.35</v>
      </c>
      <c r="F357" s="1">
        <v>38174</v>
      </c>
      <c r="G357" t="s">
        <v>39</v>
      </c>
      <c r="H357">
        <v>3</v>
      </c>
      <c r="I357">
        <v>7</v>
      </c>
      <c r="J357" t="str">
        <f>TEXT(DATE(2012,Table1[[#This Row],[MONTH_ID]],10),"mmm")</f>
        <v>Jul</v>
      </c>
      <c r="K357">
        <v>2004</v>
      </c>
      <c r="L357" t="s">
        <v>195</v>
      </c>
      <c r="M357">
        <v>79</v>
      </c>
      <c r="N357" t="s">
        <v>532</v>
      </c>
      <c r="O357" t="s">
        <v>466</v>
      </c>
      <c r="P357" t="s">
        <v>467</v>
      </c>
      <c r="Q357" t="s">
        <v>468</v>
      </c>
      <c r="S357" t="s">
        <v>469</v>
      </c>
      <c r="U357">
        <v>42100</v>
      </c>
      <c r="V357" t="s">
        <v>272</v>
      </c>
      <c r="W357" t="s">
        <v>56</v>
      </c>
      <c r="X357" t="s">
        <v>470</v>
      </c>
      <c r="Y357" t="s">
        <v>471</v>
      </c>
      <c r="Z357" t="s">
        <v>50</v>
      </c>
    </row>
    <row r="358" spans="1:26" x14ac:dyDescent="0.3">
      <c r="A358">
        <v>10276</v>
      </c>
      <c r="B358">
        <v>38</v>
      </c>
      <c r="C358">
        <v>83.79</v>
      </c>
      <c r="D358">
        <v>4</v>
      </c>
      <c r="E358">
        <v>3184.02</v>
      </c>
      <c r="F358" s="1">
        <v>38201</v>
      </c>
      <c r="G358" t="s">
        <v>39</v>
      </c>
      <c r="H358">
        <v>3</v>
      </c>
      <c r="I358">
        <v>8</v>
      </c>
      <c r="J358" t="str">
        <f>TEXT(DATE(2012,Table1[[#This Row],[MONTH_ID]],10),"mmm")</f>
        <v>Aug</v>
      </c>
      <c r="K358">
        <v>2004</v>
      </c>
      <c r="L358" t="s">
        <v>195</v>
      </c>
      <c r="M358">
        <v>79</v>
      </c>
      <c r="N358" t="s">
        <v>532</v>
      </c>
      <c r="O358" t="s">
        <v>472</v>
      </c>
      <c r="P358">
        <v>6175557555</v>
      </c>
      <c r="Q358" t="s">
        <v>473</v>
      </c>
      <c r="S358" t="s">
        <v>297</v>
      </c>
      <c r="T358" t="s">
        <v>137</v>
      </c>
      <c r="U358">
        <v>58339</v>
      </c>
      <c r="V358" t="s">
        <v>46</v>
      </c>
      <c r="W358" t="s">
        <v>47</v>
      </c>
      <c r="X358" t="s">
        <v>474</v>
      </c>
      <c r="Y358" t="s">
        <v>475</v>
      </c>
      <c r="Z358" t="s">
        <v>65</v>
      </c>
    </row>
    <row r="359" spans="1:26" x14ac:dyDescent="0.3">
      <c r="A359">
        <v>10287</v>
      </c>
      <c r="B359">
        <v>41</v>
      </c>
      <c r="C359">
        <v>69.430000000000007</v>
      </c>
      <c r="D359">
        <v>13</v>
      </c>
      <c r="E359">
        <v>2846.63</v>
      </c>
      <c r="F359" s="1">
        <v>38229</v>
      </c>
      <c r="G359" t="s">
        <v>39</v>
      </c>
      <c r="H359">
        <v>3</v>
      </c>
      <c r="I359">
        <v>8</v>
      </c>
      <c r="J359" t="str">
        <f>TEXT(DATE(2012,Table1[[#This Row],[MONTH_ID]],10),"mmm")</f>
        <v>Aug</v>
      </c>
      <c r="K359">
        <v>2004</v>
      </c>
      <c r="L359" t="s">
        <v>195</v>
      </c>
      <c r="M359">
        <v>79</v>
      </c>
      <c r="N359" t="s">
        <v>532</v>
      </c>
      <c r="O359" t="s">
        <v>460</v>
      </c>
      <c r="P359" t="s">
        <v>461</v>
      </c>
      <c r="Q359" t="s">
        <v>462</v>
      </c>
      <c r="S359" t="s">
        <v>463</v>
      </c>
      <c r="U359">
        <v>1203</v>
      </c>
      <c r="V359" t="s">
        <v>464</v>
      </c>
      <c r="W359" t="s">
        <v>56</v>
      </c>
      <c r="X359" t="s">
        <v>465</v>
      </c>
      <c r="Y359" t="s">
        <v>117</v>
      </c>
      <c r="Z359" t="s">
        <v>50</v>
      </c>
    </row>
    <row r="360" spans="1:26" x14ac:dyDescent="0.3">
      <c r="A360">
        <v>10300</v>
      </c>
      <c r="B360">
        <v>22</v>
      </c>
      <c r="C360">
        <v>76.61</v>
      </c>
      <c r="D360">
        <v>6</v>
      </c>
      <c r="E360">
        <v>1685.42</v>
      </c>
      <c r="F360" s="1">
        <v>37898</v>
      </c>
      <c r="G360" t="s">
        <v>39</v>
      </c>
      <c r="H360">
        <v>4</v>
      </c>
      <c r="I360">
        <v>10</v>
      </c>
      <c r="J360" t="str">
        <f>TEXT(DATE(2012,Table1[[#This Row],[MONTH_ID]],10),"mmm")</f>
        <v>Oct</v>
      </c>
      <c r="K360">
        <v>2003</v>
      </c>
      <c r="L360" t="s">
        <v>195</v>
      </c>
      <c r="M360">
        <v>79</v>
      </c>
      <c r="N360" t="s">
        <v>532</v>
      </c>
      <c r="O360" t="s">
        <v>476</v>
      </c>
      <c r="P360" t="s">
        <v>477</v>
      </c>
      <c r="Q360" t="s">
        <v>478</v>
      </c>
      <c r="S360" t="s">
        <v>479</v>
      </c>
      <c r="U360">
        <v>60528</v>
      </c>
      <c r="V360" t="s">
        <v>457</v>
      </c>
      <c r="W360" t="s">
        <v>56</v>
      </c>
      <c r="X360" t="s">
        <v>480</v>
      </c>
      <c r="Y360" t="s">
        <v>428</v>
      </c>
      <c r="Z360" t="s">
        <v>50</v>
      </c>
    </row>
    <row r="361" spans="1:26" x14ac:dyDescent="0.3">
      <c r="A361">
        <v>10310</v>
      </c>
      <c r="B361">
        <v>49</v>
      </c>
      <c r="C361">
        <v>81.400000000000006</v>
      </c>
      <c r="D361">
        <v>11</v>
      </c>
      <c r="E361">
        <v>3988.6</v>
      </c>
      <c r="F361" s="1">
        <v>38276</v>
      </c>
      <c r="G361" t="s">
        <v>39</v>
      </c>
      <c r="H361">
        <v>4</v>
      </c>
      <c r="I361">
        <v>10</v>
      </c>
      <c r="J361" t="str">
        <f>TEXT(DATE(2012,Table1[[#This Row],[MONTH_ID]],10),"mmm")</f>
        <v>Oct</v>
      </c>
      <c r="K361">
        <v>2004</v>
      </c>
      <c r="L361" t="s">
        <v>195</v>
      </c>
      <c r="M361">
        <v>79</v>
      </c>
      <c r="N361" t="s">
        <v>532</v>
      </c>
      <c r="O361" t="s">
        <v>453</v>
      </c>
      <c r="P361" t="s">
        <v>454</v>
      </c>
      <c r="Q361" t="s">
        <v>455</v>
      </c>
      <c r="S361" t="s">
        <v>456</v>
      </c>
      <c r="U361">
        <v>50739</v>
      </c>
      <c r="V361" t="s">
        <v>457</v>
      </c>
      <c r="W361" t="s">
        <v>56</v>
      </c>
      <c r="X361" t="s">
        <v>458</v>
      </c>
      <c r="Y361" t="s">
        <v>459</v>
      </c>
      <c r="Z361" t="s">
        <v>65</v>
      </c>
    </row>
    <row r="362" spans="1:26" x14ac:dyDescent="0.3">
      <c r="A362">
        <v>10320</v>
      </c>
      <c r="B362">
        <v>38</v>
      </c>
      <c r="C362">
        <v>73.42</v>
      </c>
      <c r="D362">
        <v>4</v>
      </c>
      <c r="E362">
        <v>2789.96</v>
      </c>
      <c r="F362" s="1">
        <v>38294</v>
      </c>
      <c r="G362" t="s">
        <v>39</v>
      </c>
      <c r="H362">
        <v>4</v>
      </c>
      <c r="I362">
        <v>11</v>
      </c>
      <c r="J362" t="str">
        <f>TEXT(DATE(2012,Table1[[#This Row],[MONTH_ID]],10),"mmm")</f>
        <v>Nov</v>
      </c>
      <c r="K362">
        <v>2004</v>
      </c>
      <c r="L362" t="s">
        <v>195</v>
      </c>
      <c r="M362">
        <v>79</v>
      </c>
      <c r="N362" t="s">
        <v>532</v>
      </c>
      <c r="O362" t="s">
        <v>197</v>
      </c>
      <c r="P362" t="s">
        <v>198</v>
      </c>
      <c r="Q362" t="s">
        <v>199</v>
      </c>
      <c r="S362" t="s">
        <v>200</v>
      </c>
      <c r="U362" t="s">
        <v>201</v>
      </c>
      <c r="V362" t="s">
        <v>202</v>
      </c>
      <c r="W362" t="s">
        <v>56</v>
      </c>
      <c r="X362" t="s">
        <v>203</v>
      </c>
      <c r="Y362" t="s">
        <v>204</v>
      </c>
      <c r="Z362" t="s">
        <v>50</v>
      </c>
    </row>
    <row r="363" spans="1:26" x14ac:dyDescent="0.3">
      <c r="A363">
        <v>10329</v>
      </c>
      <c r="B363">
        <v>33</v>
      </c>
      <c r="C363">
        <v>100</v>
      </c>
      <c r="D363">
        <v>14</v>
      </c>
      <c r="E363">
        <v>3607.56</v>
      </c>
      <c r="F363" s="1">
        <v>38306</v>
      </c>
      <c r="G363" t="s">
        <v>39</v>
      </c>
      <c r="H363">
        <v>4</v>
      </c>
      <c r="I363">
        <v>11</v>
      </c>
      <c r="J363" t="str">
        <f>TEXT(DATE(2012,Table1[[#This Row],[MONTH_ID]],10),"mmm")</f>
        <v>Nov</v>
      </c>
      <c r="K363">
        <v>2004</v>
      </c>
      <c r="L363" t="s">
        <v>195</v>
      </c>
      <c r="M363">
        <v>79</v>
      </c>
      <c r="N363" t="s">
        <v>532</v>
      </c>
      <c r="O363" t="s">
        <v>42</v>
      </c>
      <c r="P363">
        <v>2125557818</v>
      </c>
      <c r="Q363" t="s">
        <v>43</v>
      </c>
      <c r="S363" t="s">
        <v>44</v>
      </c>
      <c r="T363" t="s">
        <v>45</v>
      </c>
      <c r="U363">
        <v>10022</v>
      </c>
      <c r="V363" t="s">
        <v>46</v>
      </c>
      <c r="W363" t="s">
        <v>47</v>
      </c>
      <c r="X363" t="s">
        <v>48</v>
      </c>
      <c r="Y363" t="s">
        <v>49</v>
      </c>
      <c r="Z363" t="s">
        <v>65</v>
      </c>
    </row>
    <row r="364" spans="1:26" x14ac:dyDescent="0.3">
      <c r="A364">
        <v>10341</v>
      </c>
      <c r="B364">
        <v>36</v>
      </c>
      <c r="C364">
        <v>93.56</v>
      </c>
      <c r="D364">
        <v>10</v>
      </c>
      <c r="E364">
        <v>3368.16</v>
      </c>
      <c r="F364" s="1">
        <v>38315</v>
      </c>
      <c r="G364" t="s">
        <v>39</v>
      </c>
      <c r="H364">
        <v>4</v>
      </c>
      <c r="I364">
        <v>11</v>
      </c>
      <c r="J364" t="str">
        <f>TEXT(DATE(2012,Table1[[#This Row],[MONTH_ID]],10),"mmm")</f>
        <v>Nov</v>
      </c>
      <c r="K364">
        <v>2004</v>
      </c>
      <c r="L364" t="s">
        <v>195</v>
      </c>
      <c r="M364">
        <v>79</v>
      </c>
      <c r="N364" t="s">
        <v>532</v>
      </c>
      <c r="O364" t="s">
        <v>158</v>
      </c>
      <c r="P364" t="s">
        <v>159</v>
      </c>
      <c r="Q364" t="s">
        <v>160</v>
      </c>
      <c r="S364" t="s">
        <v>161</v>
      </c>
      <c r="U364">
        <v>5020</v>
      </c>
      <c r="V364" t="s">
        <v>162</v>
      </c>
      <c r="W364" t="s">
        <v>56</v>
      </c>
      <c r="X364" t="s">
        <v>163</v>
      </c>
      <c r="Y364" t="s">
        <v>164</v>
      </c>
      <c r="Z364" t="s">
        <v>65</v>
      </c>
    </row>
    <row r="365" spans="1:26" x14ac:dyDescent="0.3">
      <c r="A365">
        <v>10363</v>
      </c>
      <c r="B365">
        <v>34</v>
      </c>
      <c r="C365">
        <v>81.62</v>
      </c>
      <c r="D365">
        <v>5</v>
      </c>
      <c r="E365">
        <v>2775.08</v>
      </c>
      <c r="F365" s="1">
        <v>38358</v>
      </c>
      <c r="G365" t="s">
        <v>39</v>
      </c>
      <c r="H365">
        <v>1</v>
      </c>
      <c r="I365">
        <v>1</v>
      </c>
      <c r="J365" t="str">
        <f>TEXT(DATE(2012,Table1[[#This Row],[MONTH_ID]],10),"mmm")</f>
        <v>Jan</v>
      </c>
      <c r="K365">
        <v>2005</v>
      </c>
      <c r="L365" t="s">
        <v>195</v>
      </c>
      <c r="M365">
        <v>79</v>
      </c>
      <c r="N365" t="s">
        <v>532</v>
      </c>
      <c r="O365" t="s">
        <v>481</v>
      </c>
      <c r="P365" t="s">
        <v>482</v>
      </c>
      <c r="Q365" t="s">
        <v>483</v>
      </c>
      <c r="S365" t="s">
        <v>484</v>
      </c>
      <c r="U365" t="s">
        <v>485</v>
      </c>
      <c r="V365" t="s">
        <v>144</v>
      </c>
      <c r="W365" t="s">
        <v>56</v>
      </c>
      <c r="X365" t="s">
        <v>486</v>
      </c>
      <c r="Y365" t="s">
        <v>487</v>
      </c>
      <c r="Z365" t="s">
        <v>50</v>
      </c>
    </row>
    <row r="366" spans="1:26" x14ac:dyDescent="0.3">
      <c r="A366">
        <v>10377</v>
      </c>
      <c r="B366">
        <v>24</v>
      </c>
      <c r="C366">
        <v>67.83</v>
      </c>
      <c r="D366">
        <v>5</v>
      </c>
      <c r="E366">
        <v>1627.92</v>
      </c>
      <c r="F366" s="1">
        <v>38392</v>
      </c>
      <c r="G366" t="s">
        <v>39</v>
      </c>
      <c r="H366">
        <v>1</v>
      </c>
      <c r="I366">
        <v>2</v>
      </c>
      <c r="J366" t="str">
        <f>TEXT(DATE(2012,Table1[[#This Row],[MONTH_ID]],10),"mmm")</f>
        <v>Feb</v>
      </c>
      <c r="K366">
        <v>2005</v>
      </c>
      <c r="L366" t="s">
        <v>195</v>
      </c>
      <c r="M366">
        <v>79</v>
      </c>
      <c r="N366" t="s">
        <v>532</v>
      </c>
      <c r="O366" t="s">
        <v>140</v>
      </c>
      <c r="P366" t="s">
        <v>141</v>
      </c>
      <c r="Q366" t="s">
        <v>142</v>
      </c>
      <c r="S366" t="s">
        <v>143</v>
      </c>
      <c r="U366">
        <v>21240</v>
      </c>
      <c r="V366" t="s">
        <v>144</v>
      </c>
      <c r="W366" t="s">
        <v>56</v>
      </c>
      <c r="X366" t="s">
        <v>145</v>
      </c>
      <c r="Y366" t="s">
        <v>146</v>
      </c>
      <c r="Z366" t="s">
        <v>50</v>
      </c>
    </row>
    <row r="367" spans="1:26" x14ac:dyDescent="0.3">
      <c r="A367">
        <v>10389</v>
      </c>
      <c r="B367">
        <v>36</v>
      </c>
      <c r="C367">
        <v>70.260000000000005</v>
      </c>
      <c r="D367">
        <v>7</v>
      </c>
      <c r="E367">
        <v>2529.36</v>
      </c>
      <c r="F367" s="1">
        <v>38414</v>
      </c>
      <c r="G367" t="s">
        <v>39</v>
      </c>
      <c r="H367">
        <v>1</v>
      </c>
      <c r="I367">
        <v>3</v>
      </c>
      <c r="J367" t="str">
        <f>TEXT(DATE(2012,Table1[[#This Row],[MONTH_ID]],10),"mmm")</f>
        <v>Mar</v>
      </c>
      <c r="K367">
        <v>2005</v>
      </c>
      <c r="L367" t="s">
        <v>195</v>
      </c>
      <c r="M367">
        <v>79</v>
      </c>
      <c r="N367" t="s">
        <v>532</v>
      </c>
      <c r="O367" t="s">
        <v>275</v>
      </c>
      <c r="P367" t="s">
        <v>276</v>
      </c>
      <c r="Q367" t="s">
        <v>277</v>
      </c>
      <c r="S367" t="s">
        <v>278</v>
      </c>
      <c r="U367" t="s">
        <v>279</v>
      </c>
      <c r="V367" t="s">
        <v>202</v>
      </c>
      <c r="W367" t="s">
        <v>56</v>
      </c>
      <c r="X367" t="s">
        <v>280</v>
      </c>
      <c r="Y367" t="s">
        <v>220</v>
      </c>
      <c r="Z367" t="s">
        <v>50</v>
      </c>
    </row>
    <row r="368" spans="1:26" x14ac:dyDescent="0.3">
      <c r="A368">
        <v>10419</v>
      </c>
      <c r="B368">
        <v>34</v>
      </c>
      <c r="C368">
        <v>90.17</v>
      </c>
      <c r="D368">
        <v>14</v>
      </c>
      <c r="E368">
        <v>3065.78</v>
      </c>
      <c r="F368" s="1">
        <v>38489</v>
      </c>
      <c r="G368" t="s">
        <v>39</v>
      </c>
      <c r="H368">
        <v>2</v>
      </c>
      <c r="I368">
        <v>5</v>
      </c>
      <c r="J368" t="str">
        <f>TEXT(DATE(2012,Table1[[#This Row],[MONTH_ID]],10),"mmm")</f>
        <v>May</v>
      </c>
      <c r="K368">
        <v>2005</v>
      </c>
      <c r="L368" t="s">
        <v>195</v>
      </c>
      <c r="M368">
        <v>79</v>
      </c>
      <c r="N368" t="s">
        <v>532</v>
      </c>
      <c r="O368" t="s">
        <v>158</v>
      </c>
      <c r="P368" t="s">
        <v>159</v>
      </c>
      <c r="Q368" t="s">
        <v>160</v>
      </c>
      <c r="S368" t="s">
        <v>161</v>
      </c>
      <c r="U368">
        <v>5020</v>
      </c>
      <c r="V368" t="s">
        <v>162</v>
      </c>
      <c r="W368" t="s">
        <v>56</v>
      </c>
      <c r="X368" t="s">
        <v>163</v>
      </c>
      <c r="Y368" t="s">
        <v>164</v>
      </c>
      <c r="Z368" t="s">
        <v>65</v>
      </c>
    </row>
    <row r="369" spans="1:26" x14ac:dyDescent="0.3">
      <c r="A369">
        <v>10104</v>
      </c>
      <c r="B369">
        <v>41</v>
      </c>
      <c r="C369">
        <v>100</v>
      </c>
      <c r="D369">
        <v>9</v>
      </c>
      <c r="E369">
        <v>4615.78</v>
      </c>
      <c r="F369" s="1">
        <v>37652</v>
      </c>
      <c r="G369" t="s">
        <v>39</v>
      </c>
      <c r="H369">
        <v>1</v>
      </c>
      <c r="I369">
        <v>1</v>
      </c>
      <c r="J369" t="str">
        <f>TEXT(DATE(2012,Table1[[#This Row],[MONTH_ID]],10),"mmm")</f>
        <v>Jan</v>
      </c>
      <c r="K369">
        <v>2003</v>
      </c>
      <c r="L369" t="s">
        <v>518</v>
      </c>
      <c r="M369">
        <v>118</v>
      </c>
      <c r="N369" t="s">
        <v>533</v>
      </c>
      <c r="O369" t="s">
        <v>188</v>
      </c>
      <c r="P369" t="s">
        <v>189</v>
      </c>
      <c r="Q369" t="s">
        <v>190</v>
      </c>
      <c r="S369" t="s">
        <v>191</v>
      </c>
      <c r="U369">
        <v>28034</v>
      </c>
      <c r="V369" t="s">
        <v>192</v>
      </c>
      <c r="W369" t="s">
        <v>56</v>
      </c>
      <c r="X369" t="s">
        <v>193</v>
      </c>
      <c r="Y369" t="s">
        <v>194</v>
      </c>
      <c r="Z369" t="s">
        <v>65</v>
      </c>
    </row>
    <row r="370" spans="1:26" x14ac:dyDescent="0.3">
      <c r="A370">
        <v>10115</v>
      </c>
      <c r="B370">
        <v>46</v>
      </c>
      <c r="C370">
        <v>100</v>
      </c>
      <c r="D370">
        <v>5</v>
      </c>
      <c r="E370">
        <v>5723.78</v>
      </c>
      <c r="F370" s="1">
        <v>37715</v>
      </c>
      <c r="G370" t="s">
        <v>39</v>
      </c>
      <c r="H370">
        <v>2</v>
      </c>
      <c r="I370">
        <v>4</v>
      </c>
      <c r="J370" t="str">
        <f>TEXT(DATE(2012,Table1[[#This Row],[MONTH_ID]],10),"mmm")</f>
        <v>Apr</v>
      </c>
      <c r="K370">
        <v>2003</v>
      </c>
      <c r="L370" t="s">
        <v>518</v>
      </c>
      <c r="M370">
        <v>118</v>
      </c>
      <c r="N370" t="s">
        <v>533</v>
      </c>
      <c r="O370" t="s">
        <v>217</v>
      </c>
      <c r="P370">
        <v>2125558493</v>
      </c>
      <c r="Q370" t="s">
        <v>218</v>
      </c>
      <c r="R370" t="s">
        <v>219</v>
      </c>
      <c r="S370" t="s">
        <v>44</v>
      </c>
      <c r="T370" t="s">
        <v>45</v>
      </c>
      <c r="U370">
        <v>10022</v>
      </c>
      <c r="V370" t="s">
        <v>46</v>
      </c>
      <c r="W370" t="s">
        <v>47</v>
      </c>
      <c r="X370" t="s">
        <v>138</v>
      </c>
      <c r="Y370" t="s">
        <v>220</v>
      </c>
      <c r="Z370" t="s">
        <v>65</v>
      </c>
    </row>
    <row r="371" spans="1:26" x14ac:dyDescent="0.3">
      <c r="A371">
        <v>10127</v>
      </c>
      <c r="B371">
        <v>24</v>
      </c>
      <c r="C371">
        <v>100</v>
      </c>
      <c r="D371">
        <v>11</v>
      </c>
      <c r="E371">
        <v>2559.6</v>
      </c>
      <c r="F371" s="1">
        <v>37775</v>
      </c>
      <c r="G371" t="s">
        <v>39</v>
      </c>
      <c r="H371">
        <v>2</v>
      </c>
      <c r="I371">
        <v>6</v>
      </c>
      <c r="J371" t="str">
        <f>TEXT(DATE(2012,Table1[[#This Row],[MONTH_ID]],10),"mmm")</f>
        <v>Jun</v>
      </c>
      <c r="K371">
        <v>2003</v>
      </c>
      <c r="L371" t="s">
        <v>518</v>
      </c>
      <c r="M371">
        <v>118</v>
      </c>
      <c r="N371" t="s">
        <v>533</v>
      </c>
      <c r="O371" t="s">
        <v>489</v>
      </c>
      <c r="P371">
        <v>2125557413</v>
      </c>
      <c r="Q371" t="s">
        <v>490</v>
      </c>
      <c r="R371" t="s">
        <v>491</v>
      </c>
      <c r="S371" t="s">
        <v>44</v>
      </c>
      <c r="T371" t="s">
        <v>45</v>
      </c>
      <c r="U371">
        <v>10022</v>
      </c>
      <c r="V371" t="s">
        <v>46</v>
      </c>
      <c r="W371" t="s">
        <v>47</v>
      </c>
      <c r="X371" t="s">
        <v>70</v>
      </c>
      <c r="Y371" t="s">
        <v>492</v>
      </c>
      <c r="Z371" t="s">
        <v>50</v>
      </c>
    </row>
    <row r="372" spans="1:26" x14ac:dyDescent="0.3">
      <c r="A372">
        <v>10141</v>
      </c>
      <c r="B372">
        <v>21</v>
      </c>
      <c r="C372">
        <v>100</v>
      </c>
      <c r="D372">
        <v>5</v>
      </c>
      <c r="E372">
        <v>2140.11</v>
      </c>
      <c r="F372" s="1">
        <v>37834</v>
      </c>
      <c r="G372" t="s">
        <v>39</v>
      </c>
      <c r="H372">
        <v>3</v>
      </c>
      <c r="I372">
        <v>8</v>
      </c>
      <c r="J372" t="str">
        <f>TEXT(DATE(2012,Table1[[#This Row],[MONTH_ID]],10),"mmm")</f>
        <v>Aug</v>
      </c>
      <c r="K372">
        <v>2003</v>
      </c>
      <c r="L372" t="s">
        <v>518</v>
      </c>
      <c r="M372">
        <v>118</v>
      </c>
      <c r="N372" t="s">
        <v>533</v>
      </c>
      <c r="O372" t="s">
        <v>481</v>
      </c>
      <c r="P372" t="s">
        <v>482</v>
      </c>
      <c r="Q372" t="s">
        <v>483</v>
      </c>
      <c r="S372" t="s">
        <v>484</v>
      </c>
      <c r="U372" t="s">
        <v>485</v>
      </c>
      <c r="V372" t="s">
        <v>144</v>
      </c>
      <c r="W372" t="s">
        <v>56</v>
      </c>
      <c r="X372" t="s">
        <v>486</v>
      </c>
      <c r="Y372" t="s">
        <v>487</v>
      </c>
      <c r="Z372" t="s">
        <v>50</v>
      </c>
    </row>
    <row r="373" spans="1:26" x14ac:dyDescent="0.3">
      <c r="A373">
        <v>10151</v>
      </c>
      <c r="B373">
        <v>24</v>
      </c>
      <c r="C373">
        <v>100</v>
      </c>
      <c r="D373">
        <v>3</v>
      </c>
      <c r="E373">
        <v>3327.6</v>
      </c>
      <c r="F373" s="1">
        <v>37885</v>
      </c>
      <c r="G373" t="s">
        <v>39</v>
      </c>
      <c r="H373">
        <v>3</v>
      </c>
      <c r="I373">
        <v>9</v>
      </c>
      <c r="J373" t="str">
        <f>TEXT(DATE(2012,Table1[[#This Row],[MONTH_ID]],10),"mmm")</f>
        <v>Sep</v>
      </c>
      <c r="K373">
        <v>2003</v>
      </c>
      <c r="L373" t="s">
        <v>518</v>
      </c>
      <c r="M373">
        <v>118</v>
      </c>
      <c r="N373" t="s">
        <v>533</v>
      </c>
      <c r="O373" t="s">
        <v>405</v>
      </c>
      <c r="P373" t="s">
        <v>406</v>
      </c>
      <c r="Q373" t="s">
        <v>407</v>
      </c>
      <c r="S373" t="s">
        <v>408</v>
      </c>
      <c r="U373">
        <v>90110</v>
      </c>
      <c r="V373" t="s">
        <v>144</v>
      </c>
      <c r="W373" t="s">
        <v>56</v>
      </c>
      <c r="X373" t="s">
        <v>409</v>
      </c>
      <c r="Y373" t="s">
        <v>410</v>
      </c>
      <c r="Z373" t="s">
        <v>65</v>
      </c>
    </row>
    <row r="374" spans="1:26" x14ac:dyDescent="0.3">
      <c r="A374">
        <v>10165</v>
      </c>
      <c r="B374">
        <v>48</v>
      </c>
      <c r="C374">
        <v>100</v>
      </c>
      <c r="D374">
        <v>12</v>
      </c>
      <c r="E374">
        <v>6825.6</v>
      </c>
      <c r="F374" s="1">
        <v>37916</v>
      </c>
      <c r="G374" t="s">
        <v>39</v>
      </c>
      <c r="H374">
        <v>4</v>
      </c>
      <c r="I374">
        <v>10</v>
      </c>
      <c r="J374" t="str">
        <f>TEXT(DATE(2012,Table1[[#This Row],[MONTH_ID]],10),"mmm")</f>
        <v>Oct</v>
      </c>
      <c r="K374">
        <v>2003</v>
      </c>
      <c r="L374" t="s">
        <v>518</v>
      </c>
      <c r="M374">
        <v>118</v>
      </c>
      <c r="N374" t="s">
        <v>533</v>
      </c>
      <c r="O374" t="s">
        <v>210</v>
      </c>
      <c r="P374" t="s">
        <v>211</v>
      </c>
      <c r="Q374" t="s">
        <v>212</v>
      </c>
      <c r="S374" t="s">
        <v>213</v>
      </c>
      <c r="U374">
        <v>79903</v>
      </c>
      <c r="V374" t="s">
        <v>213</v>
      </c>
      <c r="W374" t="s">
        <v>214</v>
      </c>
      <c r="X374" t="s">
        <v>215</v>
      </c>
      <c r="Y374" t="s">
        <v>216</v>
      </c>
      <c r="Z374" t="s">
        <v>65</v>
      </c>
    </row>
    <row r="375" spans="1:26" x14ac:dyDescent="0.3">
      <c r="A375">
        <v>10175</v>
      </c>
      <c r="B375">
        <v>26</v>
      </c>
      <c r="C375">
        <v>100</v>
      </c>
      <c r="D375">
        <v>1</v>
      </c>
      <c r="E375">
        <v>3543.28</v>
      </c>
      <c r="F375" s="1">
        <v>37931</v>
      </c>
      <c r="G375" t="s">
        <v>39</v>
      </c>
      <c r="H375">
        <v>4</v>
      </c>
      <c r="I375">
        <v>11</v>
      </c>
      <c r="J375" t="str">
        <f>TEXT(DATE(2012,Table1[[#This Row],[MONTH_ID]],10),"mmm")</f>
        <v>Nov</v>
      </c>
      <c r="K375">
        <v>2003</v>
      </c>
      <c r="L375" t="s">
        <v>518</v>
      </c>
      <c r="M375">
        <v>118</v>
      </c>
      <c r="N375" t="s">
        <v>533</v>
      </c>
      <c r="O375" t="s">
        <v>343</v>
      </c>
      <c r="P375" t="s">
        <v>344</v>
      </c>
      <c r="Q375" t="s">
        <v>345</v>
      </c>
      <c r="S375" t="s">
        <v>346</v>
      </c>
      <c r="U375" t="s">
        <v>347</v>
      </c>
      <c r="V375" t="s">
        <v>184</v>
      </c>
      <c r="W375" t="s">
        <v>56</v>
      </c>
      <c r="X375" t="s">
        <v>75</v>
      </c>
      <c r="Y375" t="s">
        <v>348</v>
      </c>
      <c r="Z375" t="s">
        <v>65</v>
      </c>
    </row>
    <row r="376" spans="1:26" x14ac:dyDescent="0.3">
      <c r="A376">
        <v>10184</v>
      </c>
      <c r="B376">
        <v>37</v>
      </c>
      <c r="C376">
        <v>100</v>
      </c>
      <c r="D376">
        <v>6</v>
      </c>
      <c r="E376">
        <v>4516.22</v>
      </c>
      <c r="F376" s="1">
        <v>37939</v>
      </c>
      <c r="G376" t="s">
        <v>39</v>
      </c>
      <c r="H376">
        <v>4</v>
      </c>
      <c r="I376">
        <v>11</v>
      </c>
      <c r="J376" t="str">
        <f>TEXT(DATE(2012,Table1[[#This Row],[MONTH_ID]],10),"mmm")</f>
        <v>Nov</v>
      </c>
      <c r="K376">
        <v>2003</v>
      </c>
      <c r="L376" t="s">
        <v>518</v>
      </c>
      <c r="M376">
        <v>118</v>
      </c>
      <c r="N376" t="s">
        <v>533</v>
      </c>
      <c r="O376" t="s">
        <v>534</v>
      </c>
      <c r="P376" t="s">
        <v>535</v>
      </c>
      <c r="Q376" t="s">
        <v>536</v>
      </c>
      <c r="S376" t="s">
        <v>537</v>
      </c>
      <c r="U376">
        <v>41101</v>
      </c>
      <c r="V376" t="s">
        <v>192</v>
      </c>
      <c r="W376" t="s">
        <v>56</v>
      </c>
      <c r="X376" t="s">
        <v>538</v>
      </c>
      <c r="Y376" t="s">
        <v>539</v>
      </c>
      <c r="Z376" t="s">
        <v>65</v>
      </c>
    </row>
    <row r="377" spans="1:26" x14ac:dyDescent="0.3">
      <c r="A377">
        <v>10195</v>
      </c>
      <c r="B377">
        <v>49</v>
      </c>
      <c r="C377">
        <v>100</v>
      </c>
      <c r="D377">
        <v>6</v>
      </c>
      <c r="E377">
        <v>6445.46</v>
      </c>
      <c r="F377" s="1">
        <v>37950</v>
      </c>
      <c r="G377" t="s">
        <v>39</v>
      </c>
      <c r="H377">
        <v>4</v>
      </c>
      <c r="I377">
        <v>11</v>
      </c>
      <c r="J377" t="str">
        <f>TEXT(DATE(2012,Table1[[#This Row],[MONTH_ID]],10),"mmm")</f>
        <v>Nov</v>
      </c>
      <c r="K377">
        <v>2003</v>
      </c>
      <c r="L377" t="s">
        <v>518</v>
      </c>
      <c r="M377">
        <v>118</v>
      </c>
      <c r="N377" t="s">
        <v>533</v>
      </c>
      <c r="O377" t="s">
        <v>331</v>
      </c>
      <c r="P377">
        <v>9145554562</v>
      </c>
      <c r="Q377" t="s">
        <v>332</v>
      </c>
      <c r="S377" t="s">
        <v>333</v>
      </c>
      <c r="T377" t="s">
        <v>45</v>
      </c>
      <c r="U377">
        <v>24067</v>
      </c>
      <c r="V377" t="s">
        <v>46</v>
      </c>
      <c r="W377" t="s">
        <v>47</v>
      </c>
      <c r="X377" t="s">
        <v>116</v>
      </c>
      <c r="Y377" t="s">
        <v>252</v>
      </c>
      <c r="Z377" t="s">
        <v>65</v>
      </c>
    </row>
    <row r="378" spans="1:26" x14ac:dyDescent="0.3">
      <c r="A378">
        <v>10207</v>
      </c>
      <c r="B378">
        <v>34</v>
      </c>
      <c r="C378">
        <v>99.54</v>
      </c>
      <c r="D378">
        <v>7</v>
      </c>
      <c r="E378">
        <v>3384.36</v>
      </c>
      <c r="F378" s="1">
        <v>37964</v>
      </c>
      <c r="G378" t="s">
        <v>39</v>
      </c>
      <c r="H378">
        <v>4</v>
      </c>
      <c r="I378">
        <v>12</v>
      </c>
      <c r="J378" t="str">
        <f>TEXT(DATE(2012,Table1[[#This Row],[MONTH_ID]],10),"mmm")</f>
        <v>Dec</v>
      </c>
      <c r="K378">
        <v>2003</v>
      </c>
      <c r="L378" t="s">
        <v>518</v>
      </c>
      <c r="M378">
        <v>118</v>
      </c>
      <c r="N378" t="s">
        <v>533</v>
      </c>
      <c r="O378" t="s">
        <v>429</v>
      </c>
      <c r="P378">
        <v>6175552555</v>
      </c>
      <c r="Q378" t="s">
        <v>430</v>
      </c>
      <c r="S378" t="s">
        <v>395</v>
      </c>
      <c r="T378" t="s">
        <v>137</v>
      </c>
      <c r="U378">
        <v>51003</v>
      </c>
      <c r="V378" t="s">
        <v>46</v>
      </c>
      <c r="W378" t="s">
        <v>47</v>
      </c>
      <c r="X378" t="s">
        <v>431</v>
      </c>
      <c r="Y378" t="s">
        <v>290</v>
      </c>
      <c r="Z378" t="s">
        <v>65</v>
      </c>
    </row>
    <row r="379" spans="1:26" x14ac:dyDescent="0.3">
      <c r="A379">
        <v>10219</v>
      </c>
      <c r="B379">
        <v>48</v>
      </c>
      <c r="C379">
        <v>100</v>
      </c>
      <c r="D379">
        <v>2</v>
      </c>
      <c r="E379">
        <v>4891.68</v>
      </c>
      <c r="F379" s="1">
        <v>38027</v>
      </c>
      <c r="G379" t="s">
        <v>39</v>
      </c>
      <c r="H379">
        <v>1</v>
      </c>
      <c r="I379">
        <v>2</v>
      </c>
      <c r="J379" t="str">
        <f>TEXT(DATE(2012,Table1[[#This Row],[MONTH_ID]],10),"mmm")</f>
        <v>Feb</v>
      </c>
      <c r="K379">
        <v>2004</v>
      </c>
      <c r="L379" t="s">
        <v>518</v>
      </c>
      <c r="M379">
        <v>118</v>
      </c>
      <c r="N379" t="s">
        <v>533</v>
      </c>
      <c r="O379" t="s">
        <v>540</v>
      </c>
      <c r="P379">
        <v>4155554312</v>
      </c>
      <c r="Q379" t="s">
        <v>541</v>
      </c>
      <c r="S379" t="s">
        <v>542</v>
      </c>
      <c r="T379" t="s">
        <v>69</v>
      </c>
      <c r="U379">
        <v>94217</v>
      </c>
      <c r="V379" t="s">
        <v>46</v>
      </c>
      <c r="W379" t="s">
        <v>47</v>
      </c>
      <c r="X379" t="s">
        <v>543</v>
      </c>
      <c r="Y379" t="s">
        <v>414</v>
      </c>
      <c r="Z379" t="s">
        <v>65</v>
      </c>
    </row>
    <row r="380" spans="1:26" x14ac:dyDescent="0.3">
      <c r="A380">
        <v>10229</v>
      </c>
      <c r="B380">
        <v>36</v>
      </c>
      <c r="C380">
        <v>100</v>
      </c>
      <c r="D380">
        <v>1</v>
      </c>
      <c r="E380">
        <v>4521.96</v>
      </c>
      <c r="F380" s="1">
        <v>38057</v>
      </c>
      <c r="G380" t="s">
        <v>39</v>
      </c>
      <c r="H380">
        <v>1</v>
      </c>
      <c r="I380">
        <v>3</v>
      </c>
      <c r="J380" t="str">
        <f>TEXT(DATE(2012,Table1[[#This Row],[MONTH_ID]],10),"mmm")</f>
        <v>Mar</v>
      </c>
      <c r="K380">
        <v>2004</v>
      </c>
      <c r="L380" t="s">
        <v>518</v>
      </c>
      <c r="M380">
        <v>118</v>
      </c>
      <c r="N380" t="s">
        <v>533</v>
      </c>
      <c r="O380" t="s">
        <v>286</v>
      </c>
      <c r="P380">
        <v>4155551450</v>
      </c>
      <c r="Q380" t="s">
        <v>287</v>
      </c>
      <c r="S380" t="s">
        <v>288</v>
      </c>
      <c r="T380" t="s">
        <v>69</v>
      </c>
      <c r="U380">
        <v>97562</v>
      </c>
      <c r="V380" t="s">
        <v>46</v>
      </c>
      <c r="W380" t="s">
        <v>47</v>
      </c>
      <c r="X380" t="s">
        <v>289</v>
      </c>
      <c r="Y380" t="s">
        <v>290</v>
      </c>
      <c r="Z380" t="s">
        <v>65</v>
      </c>
    </row>
    <row r="381" spans="1:26" x14ac:dyDescent="0.3">
      <c r="A381">
        <v>10246</v>
      </c>
      <c r="B381">
        <v>46</v>
      </c>
      <c r="C381">
        <v>100</v>
      </c>
      <c r="D381">
        <v>5</v>
      </c>
      <c r="E381">
        <v>5069.66</v>
      </c>
      <c r="F381" s="1">
        <v>38112</v>
      </c>
      <c r="G381" t="s">
        <v>39</v>
      </c>
      <c r="H381">
        <v>2</v>
      </c>
      <c r="I381">
        <v>5</v>
      </c>
      <c r="J381" t="str">
        <f>TEXT(DATE(2012,Table1[[#This Row],[MONTH_ID]],10),"mmm")</f>
        <v>May</v>
      </c>
      <c r="K381">
        <v>2004</v>
      </c>
      <c r="L381" t="s">
        <v>518</v>
      </c>
      <c r="M381">
        <v>118</v>
      </c>
      <c r="N381" t="s">
        <v>533</v>
      </c>
      <c r="O381" t="s">
        <v>188</v>
      </c>
      <c r="P381" t="s">
        <v>189</v>
      </c>
      <c r="Q381" t="s">
        <v>190</v>
      </c>
      <c r="S381" t="s">
        <v>191</v>
      </c>
      <c r="U381">
        <v>28034</v>
      </c>
      <c r="V381" t="s">
        <v>192</v>
      </c>
      <c r="W381" t="s">
        <v>56</v>
      </c>
      <c r="X381" t="s">
        <v>193</v>
      </c>
      <c r="Y381" t="s">
        <v>194</v>
      </c>
      <c r="Z381" t="s">
        <v>65</v>
      </c>
    </row>
    <row r="382" spans="1:26" x14ac:dyDescent="0.3">
      <c r="A382">
        <v>10259</v>
      </c>
      <c r="B382">
        <v>46</v>
      </c>
      <c r="C382">
        <v>100</v>
      </c>
      <c r="D382">
        <v>4</v>
      </c>
      <c r="E382">
        <v>6541.2</v>
      </c>
      <c r="F382" s="1">
        <v>38153</v>
      </c>
      <c r="G382" t="s">
        <v>39</v>
      </c>
      <c r="H382">
        <v>2</v>
      </c>
      <c r="I382">
        <v>6</v>
      </c>
      <c r="J382" t="str">
        <f>TEXT(DATE(2012,Table1[[#This Row],[MONTH_ID]],10),"mmm")</f>
        <v>Jun</v>
      </c>
      <c r="K382">
        <v>2004</v>
      </c>
      <c r="L382" t="s">
        <v>518</v>
      </c>
      <c r="M382">
        <v>118</v>
      </c>
      <c r="N382" t="s">
        <v>533</v>
      </c>
      <c r="O382" t="s">
        <v>432</v>
      </c>
      <c r="P382" t="s">
        <v>433</v>
      </c>
      <c r="Q382" t="s">
        <v>434</v>
      </c>
      <c r="R382" t="s">
        <v>435</v>
      </c>
      <c r="S382" t="s">
        <v>213</v>
      </c>
      <c r="U382">
        <v>69045</v>
      </c>
      <c r="V382" t="s">
        <v>213</v>
      </c>
      <c r="W382" t="s">
        <v>110</v>
      </c>
      <c r="X382" t="s">
        <v>436</v>
      </c>
      <c r="Y382" t="s">
        <v>437</v>
      </c>
      <c r="Z382" t="s">
        <v>65</v>
      </c>
    </row>
    <row r="383" spans="1:26" x14ac:dyDescent="0.3">
      <c r="A383">
        <v>10271</v>
      </c>
      <c r="B383">
        <v>31</v>
      </c>
      <c r="C383">
        <v>97.17</v>
      </c>
      <c r="D383">
        <v>5</v>
      </c>
      <c r="E383">
        <v>3012.27</v>
      </c>
      <c r="F383" s="1">
        <v>38188</v>
      </c>
      <c r="G383" t="s">
        <v>39</v>
      </c>
      <c r="H383">
        <v>3</v>
      </c>
      <c r="I383">
        <v>7</v>
      </c>
      <c r="J383" t="str">
        <f>TEXT(DATE(2012,Table1[[#This Row],[MONTH_ID]],10),"mmm")</f>
        <v>Jul</v>
      </c>
      <c r="K383">
        <v>2004</v>
      </c>
      <c r="L383" t="s">
        <v>518</v>
      </c>
      <c r="M383">
        <v>118</v>
      </c>
      <c r="N383" t="s">
        <v>533</v>
      </c>
      <c r="O383" t="s">
        <v>286</v>
      </c>
      <c r="P383">
        <v>4155551450</v>
      </c>
      <c r="Q383" t="s">
        <v>287</v>
      </c>
      <c r="S383" t="s">
        <v>288</v>
      </c>
      <c r="T383" t="s">
        <v>69</v>
      </c>
      <c r="U383">
        <v>97562</v>
      </c>
      <c r="V383" t="s">
        <v>46</v>
      </c>
      <c r="W383" t="s">
        <v>47</v>
      </c>
      <c r="X383" t="s">
        <v>289</v>
      </c>
      <c r="Y383" t="s">
        <v>290</v>
      </c>
      <c r="Z383" t="s">
        <v>65</v>
      </c>
    </row>
    <row r="384" spans="1:26" x14ac:dyDescent="0.3">
      <c r="A384">
        <v>10281</v>
      </c>
      <c r="B384">
        <v>41</v>
      </c>
      <c r="C384">
        <v>100</v>
      </c>
      <c r="D384">
        <v>1</v>
      </c>
      <c r="E384">
        <v>5247.18</v>
      </c>
      <c r="F384" s="1">
        <v>38218</v>
      </c>
      <c r="G384" t="s">
        <v>39</v>
      </c>
      <c r="H384">
        <v>3</v>
      </c>
      <c r="I384">
        <v>8</v>
      </c>
      <c r="J384" t="str">
        <f>TEXT(DATE(2012,Table1[[#This Row],[MONTH_ID]],10),"mmm")</f>
        <v>Aug</v>
      </c>
      <c r="K384">
        <v>2004</v>
      </c>
      <c r="L384" t="s">
        <v>518</v>
      </c>
      <c r="M384">
        <v>118</v>
      </c>
      <c r="N384" t="s">
        <v>533</v>
      </c>
      <c r="O384" t="s">
        <v>153</v>
      </c>
      <c r="P384">
        <v>2155551555</v>
      </c>
      <c r="Q384" t="s">
        <v>154</v>
      </c>
      <c r="S384" t="s">
        <v>155</v>
      </c>
      <c r="T384" t="s">
        <v>156</v>
      </c>
      <c r="U384">
        <v>70267</v>
      </c>
      <c r="V384" t="s">
        <v>46</v>
      </c>
      <c r="W384" t="s">
        <v>47</v>
      </c>
      <c r="X384" t="s">
        <v>48</v>
      </c>
      <c r="Y384" t="s">
        <v>157</v>
      </c>
      <c r="Z384" t="s">
        <v>65</v>
      </c>
    </row>
    <row r="385" spans="1:26" x14ac:dyDescent="0.3">
      <c r="A385">
        <v>10292</v>
      </c>
      <c r="B385">
        <v>21</v>
      </c>
      <c r="C385">
        <v>100</v>
      </c>
      <c r="D385">
        <v>8</v>
      </c>
      <c r="E385">
        <v>2214.87</v>
      </c>
      <c r="F385" s="1">
        <v>38238</v>
      </c>
      <c r="G385" t="s">
        <v>39</v>
      </c>
      <c r="H385">
        <v>3</v>
      </c>
      <c r="I385">
        <v>9</v>
      </c>
      <c r="J385" t="str">
        <f>TEXT(DATE(2012,Table1[[#This Row],[MONTH_ID]],10),"mmm")</f>
        <v>Sep</v>
      </c>
      <c r="K385">
        <v>2004</v>
      </c>
      <c r="L385" t="s">
        <v>518</v>
      </c>
      <c r="M385">
        <v>118</v>
      </c>
      <c r="N385" t="s">
        <v>533</v>
      </c>
      <c r="O385" t="s">
        <v>42</v>
      </c>
      <c r="P385">
        <v>2125557818</v>
      </c>
      <c r="Q385" t="s">
        <v>43</v>
      </c>
      <c r="S385" t="s">
        <v>44</v>
      </c>
      <c r="T385" t="s">
        <v>45</v>
      </c>
      <c r="U385">
        <v>10022</v>
      </c>
      <c r="V385" t="s">
        <v>46</v>
      </c>
      <c r="W385" t="s">
        <v>47</v>
      </c>
      <c r="X385" t="s">
        <v>48</v>
      </c>
      <c r="Y385" t="s">
        <v>49</v>
      </c>
      <c r="Z385" t="s">
        <v>50</v>
      </c>
    </row>
    <row r="386" spans="1:26" x14ac:dyDescent="0.3">
      <c r="A386">
        <v>10305</v>
      </c>
      <c r="B386">
        <v>38</v>
      </c>
      <c r="C386">
        <v>100</v>
      </c>
      <c r="D386">
        <v>5</v>
      </c>
      <c r="E386">
        <v>4773.18</v>
      </c>
      <c r="F386" s="1">
        <v>38273</v>
      </c>
      <c r="G386" t="s">
        <v>39</v>
      </c>
      <c r="H386">
        <v>4</v>
      </c>
      <c r="I386">
        <v>10</v>
      </c>
      <c r="J386" t="str">
        <f>TEXT(DATE(2012,Table1[[#This Row],[MONTH_ID]],10),"mmm")</f>
        <v>Oct</v>
      </c>
      <c r="K386">
        <v>2004</v>
      </c>
      <c r="L386" t="s">
        <v>518</v>
      </c>
      <c r="M386">
        <v>118</v>
      </c>
      <c r="N386" t="s">
        <v>533</v>
      </c>
      <c r="O386" t="s">
        <v>134</v>
      </c>
      <c r="P386">
        <v>6175558555</v>
      </c>
      <c r="Q386" t="s">
        <v>135</v>
      </c>
      <c r="S386" t="s">
        <v>136</v>
      </c>
      <c r="T386" t="s">
        <v>137</v>
      </c>
      <c r="U386">
        <v>51247</v>
      </c>
      <c r="V386" t="s">
        <v>46</v>
      </c>
      <c r="W386" t="s">
        <v>47</v>
      </c>
      <c r="X386" t="s">
        <v>138</v>
      </c>
      <c r="Y386" t="s">
        <v>139</v>
      </c>
      <c r="Z386" t="s">
        <v>65</v>
      </c>
    </row>
    <row r="387" spans="1:26" x14ac:dyDescent="0.3">
      <c r="A387">
        <v>10314</v>
      </c>
      <c r="B387">
        <v>45</v>
      </c>
      <c r="C387">
        <v>100</v>
      </c>
      <c r="D387">
        <v>14</v>
      </c>
      <c r="E387">
        <v>6185.7</v>
      </c>
      <c r="F387" s="1">
        <v>38282</v>
      </c>
      <c r="G387" t="s">
        <v>39</v>
      </c>
      <c r="H387">
        <v>4</v>
      </c>
      <c r="I387">
        <v>10</v>
      </c>
      <c r="J387" t="str">
        <f>TEXT(DATE(2012,Table1[[#This Row],[MONTH_ID]],10),"mmm")</f>
        <v>Oct</v>
      </c>
      <c r="K387">
        <v>2004</v>
      </c>
      <c r="L387" t="s">
        <v>518</v>
      </c>
      <c r="M387">
        <v>118</v>
      </c>
      <c r="N387" t="s">
        <v>533</v>
      </c>
      <c r="O387" t="s">
        <v>512</v>
      </c>
      <c r="P387" t="s">
        <v>513</v>
      </c>
      <c r="Q387" t="s">
        <v>514</v>
      </c>
      <c r="S387" t="s">
        <v>515</v>
      </c>
      <c r="U387">
        <v>8200</v>
      </c>
      <c r="V387" t="s">
        <v>340</v>
      </c>
      <c r="W387" t="s">
        <v>56</v>
      </c>
      <c r="X387" t="s">
        <v>516</v>
      </c>
      <c r="Y387" t="s">
        <v>517</v>
      </c>
      <c r="Z387" t="s">
        <v>65</v>
      </c>
    </row>
    <row r="388" spans="1:26" x14ac:dyDescent="0.3">
      <c r="A388">
        <v>10324</v>
      </c>
      <c r="B388">
        <v>26</v>
      </c>
      <c r="C388">
        <v>58.38</v>
      </c>
      <c r="D388">
        <v>7</v>
      </c>
      <c r="E388">
        <v>1517.88</v>
      </c>
      <c r="F388" s="1">
        <v>38296</v>
      </c>
      <c r="G388" t="s">
        <v>39</v>
      </c>
      <c r="H388">
        <v>4</v>
      </c>
      <c r="I388">
        <v>11</v>
      </c>
      <c r="J388" t="str">
        <f>TEXT(DATE(2012,Table1[[#This Row],[MONTH_ID]],10),"mmm")</f>
        <v>Nov</v>
      </c>
      <c r="K388">
        <v>2004</v>
      </c>
      <c r="L388" t="s">
        <v>518</v>
      </c>
      <c r="M388">
        <v>118</v>
      </c>
      <c r="N388" t="s">
        <v>533</v>
      </c>
      <c r="O388" t="s">
        <v>113</v>
      </c>
      <c r="P388">
        <v>2125551500</v>
      </c>
      <c r="Q388" t="s">
        <v>114</v>
      </c>
      <c r="R388" t="s">
        <v>115</v>
      </c>
      <c r="S388" t="s">
        <v>44</v>
      </c>
      <c r="T388" t="s">
        <v>45</v>
      </c>
      <c r="U388">
        <v>10022</v>
      </c>
      <c r="V388" t="s">
        <v>46</v>
      </c>
      <c r="W388" t="s">
        <v>47</v>
      </c>
      <c r="X388" t="s">
        <v>116</v>
      </c>
      <c r="Y388" t="s">
        <v>117</v>
      </c>
      <c r="Z388" t="s">
        <v>50</v>
      </c>
    </row>
    <row r="389" spans="1:26" x14ac:dyDescent="0.3">
      <c r="A389">
        <v>10336</v>
      </c>
      <c r="B389">
        <v>38</v>
      </c>
      <c r="C389">
        <v>100</v>
      </c>
      <c r="D389">
        <v>3</v>
      </c>
      <c r="E389">
        <v>6372.6</v>
      </c>
      <c r="F389" s="1">
        <v>38311</v>
      </c>
      <c r="G389" t="s">
        <v>39</v>
      </c>
      <c r="H389">
        <v>4</v>
      </c>
      <c r="I389">
        <v>11</v>
      </c>
      <c r="J389" t="str">
        <f>TEXT(DATE(2012,Table1[[#This Row],[MONTH_ID]],10),"mmm")</f>
        <v>Nov</v>
      </c>
      <c r="K389">
        <v>2004</v>
      </c>
      <c r="L389" t="s">
        <v>518</v>
      </c>
      <c r="M389">
        <v>118</v>
      </c>
      <c r="N389" t="s">
        <v>533</v>
      </c>
      <c r="O389" t="s">
        <v>417</v>
      </c>
      <c r="P389" t="s">
        <v>418</v>
      </c>
      <c r="Q389" t="s">
        <v>419</v>
      </c>
      <c r="S389" t="s">
        <v>62</v>
      </c>
      <c r="U389">
        <v>75012</v>
      </c>
      <c r="V389" t="s">
        <v>55</v>
      </c>
      <c r="W389" t="s">
        <v>56</v>
      </c>
      <c r="X389" t="s">
        <v>420</v>
      </c>
      <c r="Y389" t="s">
        <v>421</v>
      </c>
      <c r="Z389" t="s">
        <v>65</v>
      </c>
    </row>
    <row r="390" spans="1:26" x14ac:dyDescent="0.3">
      <c r="A390">
        <v>10349</v>
      </c>
      <c r="B390">
        <v>48</v>
      </c>
      <c r="C390">
        <v>100</v>
      </c>
      <c r="D390">
        <v>9</v>
      </c>
      <c r="E390">
        <v>5232.96</v>
      </c>
      <c r="F390" s="1">
        <v>38322</v>
      </c>
      <c r="G390" t="s">
        <v>39</v>
      </c>
      <c r="H390">
        <v>4</v>
      </c>
      <c r="I390">
        <v>12</v>
      </c>
      <c r="J390" t="str">
        <f>TEXT(DATE(2012,Table1[[#This Row],[MONTH_ID]],10),"mmm")</f>
        <v>Dec</v>
      </c>
      <c r="K390">
        <v>2004</v>
      </c>
      <c r="L390" t="s">
        <v>518</v>
      </c>
      <c r="M390">
        <v>118</v>
      </c>
      <c r="N390" t="s">
        <v>533</v>
      </c>
      <c r="O390" t="s">
        <v>489</v>
      </c>
      <c r="P390">
        <v>2125557413</v>
      </c>
      <c r="Q390" t="s">
        <v>490</v>
      </c>
      <c r="R390" t="s">
        <v>491</v>
      </c>
      <c r="S390" t="s">
        <v>44</v>
      </c>
      <c r="T390" t="s">
        <v>45</v>
      </c>
      <c r="U390">
        <v>10022</v>
      </c>
      <c r="V390" t="s">
        <v>46</v>
      </c>
      <c r="W390" t="s">
        <v>47</v>
      </c>
      <c r="X390" t="s">
        <v>70</v>
      </c>
      <c r="Y390" t="s">
        <v>492</v>
      </c>
      <c r="Z390" t="s">
        <v>65</v>
      </c>
    </row>
    <row r="391" spans="1:26" x14ac:dyDescent="0.3">
      <c r="A391">
        <v>10358</v>
      </c>
      <c r="B391">
        <v>42</v>
      </c>
      <c r="C391">
        <v>64.16</v>
      </c>
      <c r="D391">
        <v>9</v>
      </c>
      <c r="E391">
        <v>2694.72</v>
      </c>
      <c r="F391" s="1">
        <v>38331</v>
      </c>
      <c r="G391" t="s">
        <v>39</v>
      </c>
      <c r="H391">
        <v>4</v>
      </c>
      <c r="I391">
        <v>12</v>
      </c>
      <c r="J391" t="str">
        <f>TEXT(DATE(2012,Table1[[#This Row],[MONTH_ID]],10),"mmm")</f>
        <v>Dec</v>
      </c>
      <c r="K391">
        <v>2004</v>
      </c>
      <c r="L391" t="s">
        <v>518</v>
      </c>
      <c r="M391">
        <v>118</v>
      </c>
      <c r="N391" t="s">
        <v>533</v>
      </c>
      <c r="O391" t="s">
        <v>188</v>
      </c>
      <c r="P391" t="s">
        <v>189</v>
      </c>
      <c r="Q391" t="s">
        <v>190</v>
      </c>
      <c r="S391" t="s">
        <v>191</v>
      </c>
      <c r="U391">
        <v>28034</v>
      </c>
      <c r="V391" t="s">
        <v>192</v>
      </c>
      <c r="W391" t="s">
        <v>56</v>
      </c>
      <c r="X391" t="s">
        <v>193</v>
      </c>
      <c r="Y391" t="s">
        <v>194</v>
      </c>
      <c r="Z391" t="s">
        <v>50</v>
      </c>
    </row>
    <row r="392" spans="1:26" x14ac:dyDescent="0.3">
      <c r="A392">
        <v>10371</v>
      </c>
      <c r="B392">
        <v>49</v>
      </c>
      <c r="C392">
        <v>35.71</v>
      </c>
      <c r="D392">
        <v>4</v>
      </c>
      <c r="E392">
        <v>1749.79</v>
      </c>
      <c r="F392" s="1">
        <v>38375</v>
      </c>
      <c r="G392" t="s">
        <v>39</v>
      </c>
      <c r="H392">
        <v>1</v>
      </c>
      <c r="I392">
        <v>1</v>
      </c>
      <c r="J392" t="str">
        <f>TEXT(DATE(2012,Table1[[#This Row],[MONTH_ID]],10),"mmm")</f>
        <v>Jan</v>
      </c>
      <c r="K392">
        <v>2005</v>
      </c>
      <c r="L392" t="s">
        <v>518</v>
      </c>
      <c r="M392">
        <v>118</v>
      </c>
      <c r="N392" t="s">
        <v>533</v>
      </c>
      <c r="O392" t="s">
        <v>286</v>
      </c>
      <c r="P392">
        <v>4155551450</v>
      </c>
      <c r="Q392" t="s">
        <v>287</v>
      </c>
      <c r="S392" t="s">
        <v>288</v>
      </c>
      <c r="T392" t="s">
        <v>69</v>
      </c>
      <c r="U392">
        <v>97562</v>
      </c>
      <c r="V392" t="s">
        <v>46</v>
      </c>
      <c r="W392" t="s">
        <v>47</v>
      </c>
      <c r="X392" t="s">
        <v>289</v>
      </c>
      <c r="Y392" t="s">
        <v>290</v>
      </c>
      <c r="Z392" t="s">
        <v>50</v>
      </c>
    </row>
    <row r="393" spans="1:26" x14ac:dyDescent="0.3">
      <c r="A393">
        <v>10382</v>
      </c>
      <c r="B393">
        <v>32</v>
      </c>
      <c r="C393">
        <v>66.58</v>
      </c>
      <c r="D393">
        <v>13</v>
      </c>
      <c r="E393">
        <v>2130.56</v>
      </c>
      <c r="F393" s="1">
        <v>38400</v>
      </c>
      <c r="G393" t="s">
        <v>39</v>
      </c>
      <c r="H393">
        <v>1</v>
      </c>
      <c r="I393">
        <v>2</v>
      </c>
      <c r="J393" t="str">
        <f>TEXT(DATE(2012,Table1[[#This Row],[MONTH_ID]],10),"mmm")</f>
        <v>Feb</v>
      </c>
      <c r="K393">
        <v>2005</v>
      </c>
      <c r="L393" t="s">
        <v>518</v>
      </c>
      <c r="M393">
        <v>118</v>
      </c>
      <c r="N393" t="s">
        <v>533</v>
      </c>
      <c r="O393" t="s">
        <v>286</v>
      </c>
      <c r="P393">
        <v>4155551450</v>
      </c>
      <c r="Q393" t="s">
        <v>287</v>
      </c>
      <c r="S393" t="s">
        <v>288</v>
      </c>
      <c r="T393" t="s">
        <v>69</v>
      </c>
      <c r="U393">
        <v>97562</v>
      </c>
      <c r="V393" t="s">
        <v>46</v>
      </c>
      <c r="W393" t="s">
        <v>47</v>
      </c>
      <c r="X393" t="s">
        <v>289</v>
      </c>
      <c r="Y393" t="s">
        <v>290</v>
      </c>
      <c r="Z393" t="s">
        <v>50</v>
      </c>
    </row>
    <row r="394" spans="1:26" x14ac:dyDescent="0.3">
      <c r="A394">
        <v>10412</v>
      </c>
      <c r="B394">
        <v>54</v>
      </c>
      <c r="C394">
        <v>100</v>
      </c>
      <c r="D394">
        <v>5</v>
      </c>
      <c r="E394">
        <v>5951.34</v>
      </c>
      <c r="F394" s="1">
        <v>38475</v>
      </c>
      <c r="G394" t="s">
        <v>39</v>
      </c>
      <c r="H394">
        <v>2</v>
      </c>
      <c r="I394">
        <v>5</v>
      </c>
      <c r="J394" t="str">
        <f>TEXT(DATE(2012,Table1[[#This Row],[MONTH_ID]],10),"mmm")</f>
        <v>May</v>
      </c>
      <c r="K394">
        <v>2005</v>
      </c>
      <c r="L394" t="s">
        <v>518</v>
      </c>
      <c r="M394">
        <v>118</v>
      </c>
      <c r="N394" t="s">
        <v>533</v>
      </c>
      <c r="O394" t="s">
        <v>188</v>
      </c>
      <c r="P394" t="s">
        <v>189</v>
      </c>
      <c r="Q394" t="s">
        <v>190</v>
      </c>
      <c r="S394" t="s">
        <v>191</v>
      </c>
      <c r="U394">
        <v>28034</v>
      </c>
      <c r="V394" t="s">
        <v>192</v>
      </c>
      <c r="W394" t="s">
        <v>56</v>
      </c>
      <c r="X394" t="s">
        <v>193</v>
      </c>
      <c r="Y394" t="s">
        <v>194</v>
      </c>
      <c r="Z394" t="s">
        <v>65</v>
      </c>
    </row>
    <row r="395" spans="1:26" x14ac:dyDescent="0.3">
      <c r="A395">
        <v>10425</v>
      </c>
      <c r="B395">
        <v>33</v>
      </c>
      <c r="C395">
        <v>100</v>
      </c>
      <c r="D395">
        <v>4</v>
      </c>
      <c r="E395">
        <v>4692.6000000000004</v>
      </c>
      <c r="F395" s="1">
        <v>38503</v>
      </c>
      <c r="G395" t="s">
        <v>314</v>
      </c>
      <c r="H395">
        <v>2</v>
      </c>
      <c r="I395">
        <v>5</v>
      </c>
      <c r="J395" t="str">
        <f>TEXT(DATE(2012,Table1[[#This Row],[MONTH_ID]],10),"mmm")</f>
        <v>May</v>
      </c>
      <c r="K395">
        <v>2005</v>
      </c>
      <c r="L395" t="s">
        <v>518</v>
      </c>
      <c r="M395">
        <v>118</v>
      </c>
      <c r="N395" t="s">
        <v>533</v>
      </c>
      <c r="O395" t="s">
        <v>128</v>
      </c>
      <c r="P395" t="s">
        <v>129</v>
      </c>
      <c r="Q395" t="s">
        <v>130</v>
      </c>
      <c r="S395" t="s">
        <v>131</v>
      </c>
      <c r="U395">
        <v>44000</v>
      </c>
      <c r="V395" t="s">
        <v>55</v>
      </c>
      <c r="W395" t="s">
        <v>56</v>
      </c>
      <c r="X395" t="s">
        <v>132</v>
      </c>
      <c r="Y395" t="s">
        <v>133</v>
      </c>
      <c r="Z395" t="s">
        <v>65</v>
      </c>
    </row>
    <row r="396" spans="1:26" x14ac:dyDescent="0.3">
      <c r="A396">
        <v>10108</v>
      </c>
      <c r="B396">
        <v>36</v>
      </c>
      <c r="C396">
        <v>100</v>
      </c>
      <c r="D396">
        <v>3</v>
      </c>
      <c r="E396">
        <v>3731.04</v>
      </c>
      <c r="F396" s="1">
        <v>37683</v>
      </c>
      <c r="G396" t="s">
        <v>39</v>
      </c>
      <c r="H396">
        <v>1</v>
      </c>
      <c r="I396">
        <v>3</v>
      </c>
      <c r="J396" t="str">
        <f>TEXT(DATE(2012,Table1[[#This Row],[MONTH_ID]],10),"mmm")</f>
        <v>Mar</v>
      </c>
      <c r="K396">
        <v>2003</v>
      </c>
      <c r="L396" t="s">
        <v>195</v>
      </c>
      <c r="M396">
        <v>115</v>
      </c>
      <c r="N396" t="s">
        <v>544</v>
      </c>
      <c r="O396" t="s">
        <v>439</v>
      </c>
      <c r="P396" t="s">
        <v>440</v>
      </c>
      <c r="Q396" t="s">
        <v>441</v>
      </c>
      <c r="S396" t="s">
        <v>442</v>
      </c>
      <c r="U396" t="s">
        <v>443</v>
      </c>
      <c r="V396" t="s">
        <v>444</v>
      </c>
      <c r="W396" t="s">
        <v>214</v>
      </c>
      <c r="X396" t="s">
        <v>445</v>
      </c>
      <c r="Y396" t="s">
        <v>446</v>
      </c>
      <c r="Z396" t="s">
        <v>65</v>
      </c>
    </row>
    <row r="397" spans="1:26" x14ac:dyDescent="0.3">
      <c r="A397">
        <v>10122</v>
      </c>
      <c r="B397">
        <v>20</v>
      </c>
      <c r="C397">
        <v>100</v>
      </c>
      <c r="D397">
        <v>7</v>
      </c>
      <c r="E397">
        <v>2142</v>
      </c>
      <c r="F397" s="1">
        <v>37749</v>
      </c>
      <c r="G397" t="s">
        <v>39</v>
      </c>
      <c r="H397">
        <v>2</v>
      </c>
      <c r="I397">
        <v>5</v>
      </c>
      <c r="J397" t="str">
        <f>TEXT(DATE(2012,Table1[[#This Row],[MONTH_ID]],10),"mmm")</f>
        <v>May</v>
      </c>
      <c r="K397">
        <v>2003</v>
      </c>
      <c r="L397" t="s">
        <v>195</v>
      </c>
      <c r="M397">
        <v>115</v>
      </c>
      <c r="N397" t="s">
        <v>544</v>
      </c>
      <c r="O397" t="s">
        <v>447</v>
      </c>
      <c r="P397" t="s">
        <v>448</v>
      </c>
      <c r="Q397" t="s">
        <v>449</v>
      </c>
      <c r="S397" t="s">
        <v>450</v>
      </c>
      <c r="U397">
        <v>13008</v>
      </c>
      <c r="V397" t="s">
        <v>55</v>
      </c>
      <c r="W397" t="s">
        <v>56</v>
      </c>
      <c r="X397" t="s">
        <v>451</v>
      </c>
      <c r="Y397" t="s">
        <v>452</v>
      </c>
      <c r="Z397" t="s">
        <v>50</v>
      </c>
    </row>
    <row r="398" spans="1:26" x14ac:dyDescent="0.3">
      <c r="A398">
        <v>10135</v>
      </c>
      <c r="B398">
        <v>29</v>
      </c>
      <c r="C398">
        <v>97.89</v>
      </c>
      <c r="D398">
        <v>4</v>
      </c>
      <c r="E398">
        <v>2838.81</v>
      </c>
      <c r="F398" s="1">
        <v>37804</v>
      </c>
      <c r="G398" t="s">
        <v>39</v>
      </c>
      <c r="H398">
        <v>3</v>
      </c>
      <c r="I398">
        <v>7</v>
      </c>
      <c r="J398" t="str">
        <f>TEXT(DATE(2012,Table1[[#This Row],[MONTH_ID]],10),"mmm")</f>
        <v>Jul</v>
      </c>
      <c r="K398">
        <v>2003</v>
      </c>
      <c r="L398" t="s">
        <v>195</v>
      </c>
      <c r="M398">
        <v>115</v>
      </c>
      <c r="N398" t="s">
        <v>544</v>
      </c>
      <c r="O398" t="s">
        <v>286</v>
      </c>
      <c r="P398">
        <v>4155551450</v>
      </c>
      <c r="Q398" t="s">
        <v>287</v>
      </c>
      <c r="S398" t="s">
        <v>288</v>
      </c>
      <c r="T398" t="s">
        <v>69</v>
      </c>
      <c r="U398">
        <v>97562</v>
      </c>
      <c r="V398" t="s">
        <v>46</v>
      </c>
      <c r="W398" t="s">
        <v>47</v>
      </c>
      <c r="X398" t="s">
        <v>289</v>
      </c>
      <c r="Y398" t="s">
        <v>290</v>
      </c>
      <c r="Z398" t="s">
        <v>50</v>
      </c>
    </row>
    <row r="399" spans="1:26" x14ac:dyDescent="0.3">
      <c r="A399">
        <v>10147</v>
      </c>
      <c r="B399">
        <v>33</v>
      </c>
      <c r="C399">
        <v>97.89</v>
      </c>
      <c r="D399">
        <v>4</v>
      </c>
      <c r="E399">
        <v>3230.37</v>
      </c>
      <c r="F399" s="1">
        <v>37869</v>
      </c>
      <c r="G399" t="s">
        <v>39</v>
      </c>
      <c r="H399">
        <v>3</v>
      </c>
      <c r="I399">
        <v>9</v>
      </c>
      <c r="J399" t="str">
        <f>TEXT(DATE(2012,Table1[[#This Row],[MONTH_ID]],10),"mmm")</f>
        <v>Sep</v>
      </c>
      <c r="K399">
        <v>2003</v>
      </c>
      <c r="L399" t="s">
        <v>195</v>
      </c>
      <c r="M399">
        <v>115</v>
      </c>
      <c r="N399" t="s">
        <v>544</v>
      </c>
      <c r="O399" t="s">
        <v>295</v>
      </c>
      <c r="P399">
        <v>6175558555</v>
      </c>
      <c r="Q399" t="s">
        <v>296</v>
      </c>
      <c r="S399" t="s">
        <v>297</v>
      </c>
      <c r="T399" t="s">
        <v>137</v>
      </c>
      <c r="U399">
        <v>58339</v>
      </c>
      <c r="V399" t="s">
        <v>46</v>
      </c>
      <c r="W399" t="s">
        <v>47</v>
      </c>
      <c r="X399" t="s">
        <v>289</v>
      </c>
      <c r="Y399" t="s">
        <v>298</v>
      </c>
      <c r="Z399" t="s">
        <v>65</v>
      </c>
    </row>
    <row r="400" spans="1:26" x14ac:dyDescent="0.3">
      <c r="A400">
        <v>10160</v>
      </c>
      <c r="B400">
        <v>50</v>
      </c>
      <c r="C400">
        <v>100</v>
      </c>
      <c r="D400">
        <v>5</v>
      </c>
      <c r="E400">
        <v>5182</v>
      </c>
      <c r="F400" s="1">
        <v>37905</v>
      </c>
      <c r="G400" t="s">
        <v>39</v>
      </c>
      <c r="H400">
        <v>4</v>
      </c>
      <c r="I400">
        <v>10</v>
      </c>
      <c r="J400" t="str">
        <f>TEXT(DATE(2012,Table1[[#This Row],[MONTH_ID]],10),"mmm")</f>
        <v>Oct</v>
      </c>
      <c r="K400">
        <v>2003</v>
      </c>
      <c r="L400" t="s">
        <v>195</v>
      </c>
      <c r="M400">
        <v>115</v>
      </c>
      <c r="N400" t="s">
        <v>544</v>
      </c>
      <c r="O400" t="s">
        <v>372</v>
      </c>
      <c r="P400">
        <v>2155554369</v>
      </c>
      <c r="Q400" t="s">
        <v>373</v>
      </c>
      <c r="S400" t="s">
        <v>374</v>
      </c>
      <c r="T400" t="s">
        <v>69</v>
      </c>
      <c r="V400" t="s">
        <v>46</v>
      </c>
      <c r="W400" t="s">
        <v>47</v>
      </c>
      <c r="X400" t="s">
        <v>375</v>
      </c>
      <c r="Y400" t="s">
        <v>117</v>
      </c>
      <c r="Z400" t="s">
        <v>65</v>
      </c>
    </row>
    <row r="401" spans="1:26" x14ac:dyDescent="0.3">
      <c r="A401">
        <v>10170</v>
      </c>
      <c r="B401">
        <v>41</v>
      </c>
      <c r="C401">
        <v>100</v>
      </c>
      <c r="D401">
        <v>3</v>
      </c>
      <c r="E401">
        <v>4391.1000000000004</v>
      </c>
      <c r="F401" s="1">
        <v>37929</v>
      </c>
      <c r="G401" t="s">
        <v>39</v>
      </c>
      <c r="H401">
        <v>4</v>
      </c>
      <c r="I401">
        <v>11</v>
      </c>
      <c r="J401" t="str">
        <f>TEXT(DATE(2012,Table1[[#This Row],[MONTH_ID]],10),"mmm")</f>
        <v>Nov</v>
      </c>
      <c r="K401">
        <v>2003</v>
      </c>
      <c r="L401" t="s">
        <v>195</v>
      </c>
      <c r="M401">
        <v>115</v>
      </c>
      <c r="N401" t="s">
        <v>544</v>
      </c>
      <c r="O401" t="s">
        <v>423</v>
      </c>
      <c r="P401" t="s">
        <v>424</v>
      </c>
      <c r="Q401" t="s">
        <v>425</v>
      </c>
      <c r="S401" t="s">
        <v>426</v>
      </c>
      <c r="U401">
        <v>8010</v>
      </c>
      <c r="V401" t="s">
        <v>162</v>
      </c>
      <c r="W401" t="s">
        <v>56</v>
      </c>
      <c r="X401" t="s">
        <v>427</v>
      </c>
      <c r="Y401" t="s">
        <v>428</v>
      </c>
      <c r="Z401" t="s">
        <v>65</v>
      </c>
    </row>
    <row r="402" spans="1:26" x14ac:dyDescent="0.3">
      <c r="A402">
        <v>10181</v>
      </c>
      <c r="B402">
        <v>36</v>
      </c>
      <c r="C402">
        <v>100</v>
      </c>
      <c r="D402">
        <v>11</v>
      </c>
      <c r="E402">
        <v>4477.32</v>
      </c>
      <c r="F402" s="1">
        <v>37937</v>
      </c>
      <c r="G402" t="s">
        <v>39</v>
      </c>
      <c r="H402">
        <v>4</v>
      </c>
      <c r="I402">
        <v>11</v>
      </c>
      <c r="J402" t="str">
        <f>TEXT(DATE(2012,Table1[[#This Row],[MONTH_ID]],10),"mmm")</f>
        <v>Nov</v>
      </c>
      <c r="K402">
        <v>2003</v>
      </c>
      <c r="L402" t="s">
        <v>195</v>
      </c>
      <c r="M402">
        <v>115</v>
      </c>
      <c r="N402" t="s">
        <v>544</v>
      </c>
      <c r="O402" t="s">
        <v>87</v>
      </c>
      <c r="P402" t="s">
        <v>88</v>
      </c>
      <c r="Q402" t="s">
        <v>89</v>
      </c>
      <c r="S402" t="s">
        <v>90</v>
      </c>
      <c r="U402" t="s">
        <v>91</v>
      </c>
      <c r="V402" t="s">
        <v>92</v>
      </c>
      <c r="W402" t="s">
        <v>56</v>
      </c>
      <c r="X402" t="s">
        <v>93</v>
      </c>
      <c r="Y402" t="s">
        <v>94</v>
      </c>
      <c r="Z402" t="s">
        <v>65</v>
      </c>
    </row>
    <row r="403" spans="1:26" x14ac:dyDescent="0.3">
      <c r="A403">
        <v>10192</v>
      </c>
      <c r="B403">
        <v>27</v>
      </c>
      <c r="C403">
        <v>100</v>
      </c>
      <c r="D403">
        <v>16</v>
      </c>
      <c r="E403">
        <v>3544.56</v>
      </c>
      <c r="F403" s="1">
        <v>37945</v>
      </c>
      <c r="G403" t="s">
        <v>39</v>
      </c>
      <c r="H403">
        <v>4</v>
      </c>
      <c r="I403">
        <v>11</v>
      </c>
      <c r="J403" t="str">
        <f>TEXT(DATE(2012,Table1[[#This Row],[MONTH_ID]],10),"mmm")</f>
        <v>Nov</v>
      </c>
      <c r="K403">
        <v>2003</v>
      </c>
      <c r="L403" t="s">
        <v>195</v>
      </c>
      <c r="M403">
        <v>115</v>
      </c>
      <c r="N403" t="s">
        <v>544</v>
      </c>
      <c r="O403" t="s">
        <v>291</v>
      </c>
      <c r="P403">
        <v>6035558647</v>
      </c>
      <c r="Q403" t="s">
        <v>292</v>
      </c>
      <c r="S403" t="s">
        <v>293</v>
      </c>
      <c r="T403" t="s">
        <v>294</v>
      </c>
      <c r="U403">
        <v>62005</v>
      </c>
      <c r="V403" t="s">
        <v>46</v>
      </c>
      <c r="W403" t="s">
        <v>47</v>
      </c>
      <c r="X403" t="s">
        <v>70</v>
      </c>
      <c r="Y403" t="s">
        <v>290</v>
      </c>
      <c r="Z403" t="s">
        <v>65</v>
      </c>
    </row>
    <row r="404" spans="1:26" x14ac:dyDescent="0.3">
      <c r="A404">
        <v>10203</v>
      </c>
      <c r="B404">
        <v>47</v>
      </c>
      <c r="C404">
        <v>100</v>
      </c>
      <c r="D404">
        <v>5</v>
      </c>
      <c r="E404">
        <v>5195.8500000000004</v>
      </c>
      <c r="F404" s="1">
        <v>37957</v>
      </c>
      <c r="G404" t="s">
        <v>39</v>
      </c>
      <c r="H404">
        <v>4</v>
      </c>
      <c r="I404">
        <v>12</v>
      </c>
      <c r="J404" t="str">
        <f>TEXT(DATE(2012,Table1[[#This Row],[MONTH_ID]],10),"mmm")</f>
        <v>Dec</v>
      </c>
      <c r="K404">
        <v>2003</v>
      </c>
      <c r="L404" t="s">
        <v>195</v>
      </c>
      <c r="M404">
        <v>115</v>
      </c>
      <c r="N404" t="s">
        <v>544</v>
      </c>
      <c r="O404" t="s">
        <v>188</v>
      </c>
      <c r="P404" t="s">
        <v>189</v>
      </c>
      <c r="Q404" t="s">
        <v>190</v>
      </c>
      <c r="S404" t="s">
        <v>191</v>
      </c>
      <c r="U404">
        <v>28034</v>
      </c>
      <c r="V404" t="s">
        <v>192</v>
      </c>
      <c r="W404" t="s">
        <v>56</v>
      </c>
      <c r="X404" t="s">
        <v>193</v>
      </c>
      <c r="Y404" t="s">
        <v>194</v>
      </c>
      <c r="Z404" t="s">
        <v>65</v>
      </c>
    </row>
    <row r="405" spans="1:26" x14ac:dyDescent="0.3">
      <c r="A405">
        <v>10212</v>
      </c>
      <c r="B405">
        <v>33</v>
      </c>
      <c r="C405">
        <v>100</v>
      </c>
      <c r="D405">
        <v>15</v>
      </c>
      <c r="E405">
        <v>4180.4399999999996</v>
      </c>
      <c r="F405" s="1">
        <v>38002</v>
      </c>
      <c r="G405" t="s">
        <v>39</v>
      </c>
      <c r="H405">
        <v>1</v>
      </c>
      <c r="I405">
        <v>1</v>
      </c>
      <c r="J405" t="str">
        <f>TEXT(DATE(2012,Table1[[#This Row],[MONTH_ID]],10),"mmm")</f>
        <v>Jan</v>
      </c>
      <c r="K405">
        <v>2004</v>
      </c>
      <c r="L405" t="s">
        <v>195</v>
      </c>
      <c r="M405">
        <v>115</v>
      </c>
      <c r="N405" t="s">
        <v>544</v>
      </c>
      <c r="O405" t="s">
        <v>188</v>
      </c>
      <c r="P405" t="s">
        <v>189</v>
      </c>
      <c r="Q405" t="s">
        <v>190</v>
      </c>
      <c r="S405" t="s">
        <v>191</v>
      </c>
      <c r="U405">
        <v>28034</v>
      </c>
      <c r="V405" t="s">
        <v>192</v>
      </c>
      <c r="W405" t="s">
        <v>56</v>
      </c>
      <c r="X405" t="s">
        <v>193</v>
      </c>
      <c r="Y405" t="s">
        <v>194</v>
      </c>
      <c r="Z405" t="s">
        <v>65</v>
      </c>
    </row>
    <row r="406" spans="1:26" x14ac:dyDescent="0.3">
      <c r="A406">
        <v>10225</v>
      </c>
      <c r="B406">
        <v>21</v>
      </c>
      <c r="C406">
        <v>100</v>
      </c>
      <c r="D406">
        <v>6</v>
      </c>
      <c r="E406">
        <v>2684.43</v>
      </c>
      <c r="F406" s="1">
        <v>38039</v>
      </c>
      <c r="G406" t="s">
        <v>39</v>
      </c>
      <c r="H406">
        <v>1</v>
      </c>
      <c r="I406">
        <v>2</v>
      </c>
      <c r="J406" t="str">
        <f>TEXT(DATE(2012,Table1[[#This Row],[MONTH_ID]],10),"mmm")</f>
        <v>Feb</v>
      </c>
      <c r="K406">
        <v>2004</v>
      </c>
      <c r="L406" t="s">
        <v>195</v>
      </c>
      <c r="M406">
        <v>115</v>
      </c>
      <c r="N406" t="s">
        <v>544</v>
      </c>
      <c r="O406" t="s">
        <v>460</v>
      </c>
      <c r="P406" t="s">
        <v>461</v>
      </c>
      <c r="Q406" t="s">
        <v>462</v>
      </c>
      <c r="S406" t="s">
        <v>463</v>
      </c>
      <c r="U406">
        <v>1203</v>
      </c>
      <c r="V406" t="s">
        <v>464</v>
      </c>
      <c r="W406" t="s">
        <v>56</v>
      </c>
      <c r="X406" t="s">
        <v>465</v>
      </c>
      <c r="Y406" t="s">
        <v>117</v>
      </c>
      <c r="Z406" t="s">
        <v>50</v>
      </c>
    </row>
    <row r="407" spans="1:26" x14ac:dyDescent="0.3">
      <c r="A407">
        <v>10239</v>
      </c>
      <c r="B407">
        <v>21</v>
      </c>
      <c r="C407">
        <v>93.28</v>
      </c>
      <c r="D407">
        <v>5</v>
      </c>
      <c r="E407">
        <v>1958.88</v>
      </c>
      <c r="F407" s="1">
        <v>38089</v>
      </c>
      <c r="G407" t="s">
        <v>39</v>
      </c>
      <c r="H407">
        <v>2</v>
      </c>
      <c r="I407">
        <v>4</v>
      </c>
      <c r="J407" t="str">
        <f>TEXT(DATE(2012,Table1[[#This Row],[MONTH_ID]],10),"mmm")</f>
        <v>Apr</v>
      </c>
      <c r="K407">
        <v>2004</v>
      </c>
      <c r="L407" t="s">
        <v>195</v>
      </c>
      <c r="M407">
        <v>115</v>
      </c>
      <c r="N407" t="s">
        <v>544</v>
      </c>
      <c r="O407" t="s">
        <v>405</v>
      </c>
      <c r="P407" t="s">
        <v>406</v>
      </c>
      <c r="Q407" t="s">
        <v>407</v>
      </c>
      <c r="S407" t="s">
        <v>408</v>
      </c>
      <c r="U407">
        <v>90110</v>
      </c>
      <c r="V407" t="s">
        <v>144</v>
      </c>
      <c r="W407" t="s">
        <v>56</v>
      </c>
      <c r="X407" t="s">
        <v>409</v>
      </c>
      <c r="Y407" t="s">
        <v>410</v>
      </c>
      <c r="Z407" t="s">
        <v>50</v>
      </c>
    </row>
    <row r="408" spans="1:26" x14ac:dyDescent="0.3">
      <c r="A408">
        <v>10253</v>
      </c>
      <c r="B408">
        <v>41</v>
      </c>
      <c r="C408">
        <v>100</v>
      </c>
      <c r="D408">
        <v>10</v>
      </c>
      <c r="E408">
        <v>4910.57</v>
      </c>
      <c r="F408" s="1">
        <v>38139</v>
      </c>
      <c r="G408" t="s">
        <v>353</v>
      </c>
      <c r="H408">
        <v>2</v>
      </c>
      <c r="I408">
        <v>6</v>
      </c>
      <c r="J408" t="str">
        <f>TEXT(DATE(2012,Table1[[#This Row],[MONTH_ID]],10),"mmm")</f>
        <v>Jun</v>
      </c>
      <c r="K408">
        <v>2004</v>
      </c>
      <c r="L408" t="s">
        <v>195</v>
      </c>
      <c r="M408">
        <v>115</v>
      </c>
      <c r="N408" t="s">
        <v>544</v>
      </c>
      <c r="O408" t="s">
        <v>179</v>
      </c>
      <c r="P408" t="s">
        <v>180</v>
      </c>
      <c r="Q408" t="s">
        <v>181</v>
      </c>
      <c r="S408" t="s">
        <v>182</v>
      </c>
      <c r="U408" t="s">
        <v>183</v>
      </c>
      <c r="V408" t="s">
        <v>184</v>
      </c>
      <c r="W408" t="s">
        <v>56</v>
      </c>
      <c r="X408" t="s">
        <v>185</v>
      </c>
      <c r="Y408" t="s">
        <v>186</v>
      </c>
      <c r="Z408" t="s">
        <v>65</v>
      </c>
    </row>
    <row r="409" spans="1:26" x14ac:dyDescent="0.3">
      <c r="A409">
        <v>10266</v>
      </c>
      <c r="B409">
        <v>40</v>
      </c>
      <c r="C409">
        <v>100</v>
      </c>
      <c r="D409">
        <v>11</v>
      </c>
      <c r="E409">
        <v>4468.3999999999996</v>
      </c>
      <c r="F409" s="1">
        <v>38174</v>
      </c>
      <c r="G409" t="s">
        <v>39</v>
      </c>
      <c r="H409">
        <v>3</v>
      </c>
      <c r="I409">
        <v>7</v>
      </c>
      <c r="J409" t="str">
        <f>TEXT(DATE(2012,Table1[[#This Row],[MONTH_ID]],10),"mmm")</f>
        <v>Jul</v>
      </c>
      <c r="K409">
        <v>2004</v>
      </c>
      <c r="L409" t="s">
        <v>195</v>
      </c>
      <c r="M409">
        <v>115</v>
      </c>
      <c r="N409" t="s">
        <v>544</v>
      </c>
      <c r="O409" t="s">
        <v>466</v>
      </c>
      <c r="P409" t="s">
        <v>467</v>
      </c>
      <c r="Q409" t="s">
        <v>468</v>
      </c>
      <c r="S409" t="s">
        <v>469</v>
      </c>
      <c r="U409">
        <v>42100</v>
      </c>
      <c r="V409" t="s">
        <v>272</v>
      </c>
      <c r="W409" t="s">
        <v>56</v>
      </c>
      <c r="X409" t="s">
        <v>470</v>
      </c>
      <c r="Y409" t="s">
        <v>471</v>
      </c>
      <c r="Z409" t="s">
        <v>65</v>
      </c>
    </row>
    <row r="410" spans="1:26" x14ac:dyDescent="0.3">
      <c r="A410">
        <v>10277</v>
      </c>
      <c r="B410">
        <v>28</v>
      </c>
      <c r="C410">
        <v>100</v>
      </c>
      <c r="D410">
        <v>1</v>
      </c>
      <c r="E410">
        <v>3127.88</v>
      </c>
      <c r="F410" s="1">
        <v>38203</v>
      </c>
      <c r="G410" t="s">
        <v>39</v>
      </c>
      <c r="H410">
        <v>3</v>
      </c>
      <c r="I410">
        <v>8</v>
      </c>
      <c r="J410" t="str">
        <f>TEXT(DATE(2012,Table1[[#This Row],[MONTH_ID]],10),"mmm")</f>
        <v>Aug</v>
      </c>
      <c r="K410">
        <v>2004</v>
      </c>
      <c r="L410" t="s">
        <v>195</v>
      </c>
      <c r="M410">
        <v>115</v>
      </c>
      <c r="N410" t="s">
        <v>544</v>
      </c>
      <c r="O410" t="s">
        <v>210</v>
      </c>
      <c r="P410" t="s">
        <v>211</v>
      </c>
      <c r="Q410" t="s">
        <v>212</v>
      </c>
      <c r="S410" t="s">
        <v>213</v>
      </c>
      <c r="U410">
        <v>79903</v>
      </c>
      <c r="V410" t="s">
        <v>213</v>
      </c>
      <c r="W410" t="s">
        <v>214</v>
      </c>
      <c r="X410" t="s">
        <v>215</v>
      </c>
      <c r="Y410" t="s">
        <v>216</v>
      </c>
      <c r="Z410" t="s">
        <v>65</v>
      </c>
    </row>
    <row r="411" spans="1:26" x14ac:dyDescent="0.3">
      <c r="A411">
        <v>10287</v>
      </c>
      <c r="B411">
        <v>23</v>
      </c>
      <c r="C411">
        <v>100</v>
      </c>
      <c r="D411">
        <v>9</v>
      </c>
      <c r="E411">
        <v>2675.13</v>
      </c>
      <c r="F411" s="1">
        <v>38229</v>
      </c>
      <c r="G411" t="s">
        <v>39</v>
      </c>
      <c r="H411">
        <v>3</v>
      </c>
      <c r="I411">
        <v>8</v>
      </c>
      <c r="J411" t="str">
        <f>TEXT(DATE(2012,Table1[[#This Row],[MONTH_ID]],10),"mmm")</f>
        <v>Aug</v>
      </c>
      <c r="K411">
        <v>2004</v>
      </c>
      <c r="L411" t="s">
        <v>195</v>
      </c>
      <c r="M411">
        <v>115</v>
      </c>
      <c r="N411" t="s">
        <v>544</v>
      </c>
      <c r="O411" t="s">
        <v>460</v>
      </c>
      <c r="P411" t="s">
        <v>461</v>
      </c>
      <c r="Q411" t="s">
        <v>462</v>
      </c>
      <c r="S411" t="s">
        <v>463</v>
      </c>
      <c r="U411">
        <v>1203</v>
      </c>
      <c r="V411" t="s">
        <v>464</v>
      </c>
      <c r="W411" t="s">
        <v>56</v>
      </c>
      <c r="X411" t="s">
        <v>465</v>
      </c>
      <c r="Y411" t="s">
        <v>117</v>
      </c>
      <c r="Z411" t="s">
        <v>50</v>
      </c>
    </row>
    <row r="412" spans="1:26" x14ac:dyDescent="0.3">
      <c r="A412">
        <v>10300</v>
      </c>
      <c r="B412">
        <v>23</v>
      </c>
      <c r="C412">
        <v>100</v>
      </c>
      <c r="D412">
        <v>2</v>
      </c>
      <c r="E412">
        <v>2807.61</v>
      </c>
      <c r="F412" s="1">
        <v>37898</v>
      </c>
      <c r="G412" t="s">
        <v>39</v>
      </c>
      <c r="H412">
        <v>4</v>
      </c>
      <c r="I412">
        <v>10</v>
      </c>
      <c r="J412" t="str">
        <f>TEXT(DATE(2012,Table1[[#This Row],[MONTH_ID]],10),"mmm")</f>
        <v>Oct</v>
      </c>
      <c r="K412">
        <v>2003</v>
      </c>
      <c r="L412" t="s">
        <v>195</v>
      </c>
      <c r="M412">
        <v>115</v>
      </c>
      <c r="N412" t="s">
        <v>544</v>
      </c>
      <c r="O412" t="s">
        <v>476</v>
      </c>
      <c r="P412" t="s">
        <v>477</v>
      </c>
      <c r="Q412" t="s">
        <v>478</v>
      </c>
      <c r="S412" t="s">
        <v>479</v>
      </c>
      <c r="U412">
        <v>60528</v>
      </c>
      <c r="V412" t="s">
        <v>457</v>
      </c>
      <c r="W412" t="s">
        <v>56</v>
      </c>
      <c r="X412" t="s">
        <v>480</v>
      </c>
      <c r="Y412" t="s">
        <v>428</v>
      </c>
      <c r="Z412" t="s">
        <v>50</v>
      </c>
    </row>
    <row r="413" spans="1:26" x14ac:dyDescent="0.3">
      <c r="A413">
        <v>10310</v>
      </c>
      <c r="B413">
        <v>25</v>
      </c>
      <c r="C413">
        <v>100</v>
      </c>
      <c r="D413">
        <v>7</v>
      </c>
      <c r="E413">
        <v>2504.75</v>
      </c>
      <c r="F413" s="1">
        <v>38276</v>
      </c>
      <c r="G413" t="s">
        <v>39</v>
      </c>
      <c r="H413">
        <v>4</v>
      </c>
      <c r="I413">
        <v>10</v>
      </c>
      <c r="J413" t="str">
        <f>TEXT(DATE(2012,Table1[[#This Row],[MONTH_ID]],10),"mmm")</f>
        <v>Oct</v>
      </c>
      <c r="K413">
        <v>2004</v>
      </c>
      <c r="L413" t="s">
        <v>195</v>
      </c>
      <c r="M413">
        <v>115</v>
      </c>
      <c r="N413" t="s">
        <v>544</v>
      </c>
      <c r="O413" t="s">
        <v>453</v>
      </c>
      <c r="P413" t="s">
        <v>454</v>
      </c>
      <c r="Q413" t="s">
        <v>455</v>
      </c>
      <c r="S413" t="s">
        <v>456</v>
      </c>
      <c r="U413">
        <v>50739</v>
      </c>
      <c r="V413" t="s">
        <v>457</v>
      </c>
      <c r="W413" t="s">
        <v>56</v>
      </c>
      <c r="X413" t="s">
        <v>458</v>
      </c>
      <c r="Y413" t="s">
        <v>459</v>
      </c>
      <c r="Z413" t="s">
        <v>50</v>
      </c>
    </row>
    <row r="414" spans="1:26" x14ac:dyDescent="0.3">
      <c r="A414">
        <v>10321</v>
      </c>
      <c r="B414">
        <v>24</v>
      </c>
      <c r="C414">
        <v>100</v>
      </c>
      <c r="D414">
        <v>15</v>
      </c>
      <c r="E414">
        <v>2984.88</v>
      </c>
      <c r="F414" s="1">
        <v>38295</v>
      </c>
      <c r="G414" t="s">
        <v>39</v>
      </c>
      <c r="H414">
        <v>4</v>
      </c>
      <c r="I414">
        <v>11</v>
      </c>
      <c r="J414" t="str">
        <f>TEXT(DATE(2012,Table1[[#This Row],[MONTH_ID]],10),"mmm")</f>
        <v>Nov</v>
      </c>
      <c r="K414">
        <v>2004</v>
      </c>
      <c r="L414" t="s">
        <v>195</v>
      </c>
      <c r="M414">
        <v>115</v>
      </c>
      <c r="N414" t="s">
        <v>544</v>
      </c>
      <c r="O414" t="s">
        <v>174</v>
      </c>
      <c r="P414">
        <v>5085552555</v>
      </c>
      <c r="Q414" t="s">
        <v>175</v>
      </c>
      <c r="S414" t="s">
        <v>176</v>
      </c>
      <c r="T414" t="s">
        <v>137</v>
      </c>
      <c r="U414">
        <v>50553</v>
      </c>
      <c r="V414" t="s">
        <v>46</v>
      </c>
      <c r="W414" t="s">
        <v>47</v>
      </c>
      <c r="X414" t="s">
        <v>177</v>
      </c>
      <c r="Y414" t="s">
        <v>178</v>
      </c>
      <c r="Z414" t="s">
        <v>50</v>
      </c>
    </row>
    <row r="415" spans="1:26" x14ac:dyDescent="0.3">
      <c r="A415">
        <v>10329</v>
      </c>
      <c r="B415">
        <v>39</v>
      </c>
      <c r="C415">
        <v>64.739999999999995</v>
      </c>
      <c r="D415">
        <v>15</v>
      </c>
      <c r="E415">
        <v>2524.86</v>
      </c>
      <c r="F415" s="1">
        <v>38306</v>
      </c>
      <c r="G415" t="s">
        <v>39</v>
      </c>
      <c r="H415">
        <v>4</v>
      </c>
      <c r="I415">
        <v>11</v>
      </c>
      <c r="J415" t="str">
        <f>TEXT(DATE(2012,Table1[[#This Row],[MONTH_ID]],10),"mmm")</f>
        <v>Nov</v>
      </c>
      <c r="K415">
        <v>2004</v>
      </c>
      <c r="L415" t="s">
        <v>195</v>
      </c>
      <c r="M415">
        <v>115</v>
      </c>
      <c r="N415" t="s">
        <v>544</v>
      </c>
      <c r="O415" t="s">
        <v>42</v>
      </c>
      <c r="P415">
        <v>2125557818</v>
      </c>
      <c r="Q415" t="s">
        <v>43</v>
      </c>
      <c r="S415" t="s">
        <v>44</v>
      </c>
      <c r="T415" t="s">
        <v>45</v>
      </c>
      <c r="U415">
        <v>10022</v>
      </c>
      <c r="V415" t="s">
        <v>46</v>
      </c>
      <c r="W415" t="s">
        <v>47</v>
      </c>
      <c r="X415" t="s">
        <v>48</v>
      </c>
      <c r="Y415" t="s">
        <v>49</v>
      </c>
      <c r="Z415" t="s">
        <v>50</v>
      </c>
    </row>
    <row r="416" spans="1:26" x14ac:dyDescent="0.3">
      <c r="A416">
        <v>10341</v>
      </c>
      <c r="B416">
        <v>55</v>
      </c>
      <c r="C416">
        <v>75.2</v>
      </c>
      <c r="D416">
        <v>7</v>
      </c>
      <c r="E416">
        <v>4136</v>
      </c>
      <c r="F416" s="1">
        <v>38315</v>
      </c>
      <c r="G416" t="s">
        <v>39</v>
      </c>
      <c r="H416">
        <v>4</v>
      </c>
      <c r="I416">
        <v>11</v>
      </c>
      <c r="J416" t="str">
        <f>TEXT(DATE(2012,Table1[[#This Row],[MONTH_ID]],10),"mmm")</f>
        <v>Nov</v>
      </c>
      <c r="K416">
        <v>2004</v>
      </c>
      <c r="L416" t="s">
        <v>195</v>
      </c>
      <c r="M416">
        <v>115</v>
      </c>
      <c r="N416" t="s">
        <v>544</v>
      </c>
      <c r="O416" t="s">
        <v>158</v>
      </c>
      <c r="P416" t="s">
        <v>159</v>
      </c>
      <c r="Q416" t="s">
        <v>160</v>
      </c>
      <c r="S416" t="s">
        <v>161</v>
      </c>
      <c r="U416">
        <v>5020</v>
      </c>
      <c r="V416" t="s">
        <v>162</v>
      </c>
      <c r="W416" t="s">
        <v>56</v>
      </c>
      <c r="X416" t="s">
        <v>163</v>
      </c>
      <c r="Y416" t="s">
        <v>164</v>
      </c>
      <c r="Z416" t="s">
        <v>65</v>
      </c>
    </row>
    <row r="417" spans="1:26" x14ac:dyDescent="0.3">
      <c r="A417">
        <v>10363</v>
      </c>
      <c r="B417">
        <v>46</v>
      </c>
      <c r="C417">
        <v>88.45</v>
      </c>
      <c r="D417">
        <v>6</v>
      </c>
      <c r="E417">
        <v>4068.7</v>
      </c>
      <c r="F417" s="1">
        <v>38358</v>
      </c>
      <c r="G417" t="s">
        <v>39</v>
      </c>
      <c r="H417">
        <v>1</v>
      </c>
      <c r="I417">
        <v>1</v>
      </c>
      <c r="J417" t="str">
        <f>TEXT(DATE(2012,Table1[[#This Row],[MONTH_ID]],10),"mmm")</f>
        <v>Jan</v>
      </c>
      <c r="K417">
        <v>2005</v>
      </c>
      <c r="L417" t="s">
        <v>195</v>
      </c>
      <c r="M417">
        <v>115</v>
      </c>
      <c r="N417" t="s">
        <v>544</v>
      </c>
      <c r="O417" t="s">
        <v>481</v>
      </c>
      <c r="P417" t="s">
        <v>482</v>
      </c>
      <c r="Q417" t="s">
        <v>483</v>
      </c>
      <c r="S417" t="s">
        <v>484</v>
      </c>
      <c r="U417" t="s">
        <v>485</v>
      </c>
      <c r="V417" t="s">
        <v>144</v>
      </c>
      <c r="W417" t="s">
        <v>56</v>
      </c>
      <c r="X417" t="s">
        <v>486</v>
      </c>
      <c r="Y417" t="s">
        <v>487</v>
      </c>
      <c r="Z417" t="s">
        <v>65</v>
      </c>
    </row>
    <row r="418" spans="1:26" x14ac:dyDescent="0.3">
      <c r="A418">
        <v>10377</v>
      </c>
      <c r="B418">
        <v>50</v>
      </c>
      <c r="C418">
        <v>100</v>
      </c>
      <c r="D418">
        <v>1</v>
      </c>
      <c r="E418">
        <v>5182</v>
      </c>
      <c r="F418" s="1">
        <v>38392</v>
      </c>
      <c r="G418" t="s">
        <v>39</v>
      </c>
      <c r="H418">
        <v>1</v>
      </c>
      <c r="I418">
        <v>2</v>
      </c>
      <c r="J418" t="str">
        <f>TEXT(DATE(2012,Table1[[#This Row],[MONTH_ID]],10),"mmm")</f>
        <v>Feb</v>
      </c>
      <c r="K418">
        <v>2005</v>
      </c>
      <c r="L418" t="s">
        <v>195</v>
      </c>
      <c r="M418">
        <v>115</v>
      </c>
      <c r="N418" t="s">
        <v>544</v>
      </c>
      <c r="O418" t="s">
        <v>140</v>
      </c>
      <c r="P418" t="s">
        <v>141</v>
      </c>
      <c r="Q418" t="s">
        <v>142</v>
      </c>
      <c r="S418" t="s">
        <v>143</v>
      </c>
      <c r="U418">
        <v>21240</v>
      </c>
      <c r="V418" t="s">
        <v>144</v>
      </c>
      <c r="W418" t="s">
        <v>56</v>
      </c>
      <c r="X418" t="s">
        <v>145</v>
      </c>
      <c r="Y418" t="s">
        <v>146</v>
      </c>
      <c r="Z418" t="s">
        <v>65</v>
      </c>
    </row>
    <row r="419" spans="1:26" x14ac:dyDescent="0.3">
      <c r="A419">
        <v>10389</v>
      </c>
      <c r="B419">
        <v>47</v>
      </c>
      <c r="C419">
        <v>100</v>
      </c>
      <c r="D419">
        <v>8</v>
      </c>
      <c r="E419">
        <v>5243.79</v>
      </c>
      <c r="F419" s="1">
        <v>38414</v>
      </c>
      <c r="G419" t="s">
        <v>39</v>
      </c>
      <c r="H419">
        <v>1</v>
      </c>
      <c r="I419">
        <v>3</v>
      </c>
      <c r="J419" t="str">
        <f>TEXT(DATE(2012,Table1[[#This Row],[MONTH_ID]],10),"mmm")</f>
        <v>Mar</v>
      </c>
      <c r="K419">
        <v>2005</v>
      </c>
      <c r="L419" t="s">
        <v>195</v>
      </c>
      <c r="M419">
        <v>115</v>
      </c>
      <c r="N419" t="s">
        <v>544</v>
      </c>
      <c r="O419" t="s">
        <v>275</v>
      </c>
      <c r="P419" t="s">
        <v>276</v>
      </c>
      <c r="Q419" t="s">
        <v>277</v>
      </c>
      <c r="S419" t="s">
        <v>278</v>
      </c>
      <c r="U419" t="s">
        <v>279</v>
      </c>
      <c r="V419" t="s">
        <v>202</v>
      </c>
      <c r="W419" t="s">
        <v>56</v>
      </c>
      <c r="X419" t="s">
        <v>280</v>
      </c>
      <c r="Y419" t="s">
        <v>220</v>
      </c>
      <c r="Z419" t="s">
        <v>65</v>
      </c>
    </row>
    <row r="420" spans="1:26" x14ac:dyDescent="0.3">
      <c r="A420">
        <v>10405</v>
      </c>
      <c r="B420">
        <v>97</v>
      </c>
      <c r="C420">
        <v>93.28</v>
      </c>
      <c r="D420">
        <v>5</v>
      </c>
      <c r="E420">
        <v>9048.16</v>
      </c>
      <c r="F420" s="1">
        <v>38456</v>
      </c>
      <c r="G420" t="s">
        <v>39</v>
      </c>
      <c r="H420">
        <v>2</v>
      </c>
      <c r="I420">
        <v>4</v>
      </c>
      <c r="J420" t="str">
        <f>TEXT(DATE(2012,Table1[[#This Row],[MONTH_ID]],10),"mmm")</f>
        <v>Apr</v>
      </c>
      <c r="K420">
        <v>2005</v>
      </c>
      <c r="L420" t="s">
        <v>195</v>
      </c>
      <c r="M420">
        <v>115</v>
      </c>
      <c r="N420" t="s">
        <v>544</v>
      </c>
      <c r="O420" t="s">
        <v>545</v>
      </c>
      <c r="P420" t="s">
        <v>546</v>
      </c>
      <c r="Q420" t="s">
        <v>547</v>
      </c>
      <c r="S420" t="s">
        <v>548</v>
      </c>
      <c r="U420">
        <v>67000</v>
      </c>
      <c r="V420" t="s">
        <v>55</v>
      </c>
      <c r="W420" t="s">
        <v>56</v>
      </c>
      <c r="X420" t="s">
        <v>549</v>
      </c>
      <c r="Y420" t="s">
        <v>550</v>
      </c>
      <c r="Z420" t="s">
        <v>165</v>
      </c>
    </row>
    <row r="421" spans="1:26" x14ac:dyDescent="0.3">
      <c r="A421">
        <v>10419</v>
      </c>
      <c r="B421">
        <v>32</v>
      </c>
      <c r="C421">
        <v>100</v>
      </c>
      <c r="D421">
        <v>10</v>
      </c>
      <c r="E421">
        <v>3832.64</v>
      </c>
      <c r="F421" s="1">
        <v>38489</v>
      </c>
      <c r="G421" t="s">
        <v>39</v>
      </c>
      <c r="H421">
        <v>2</v>
      </c>
      <c r="I421">
        <v>5</v>
      </c>
      <c r="J421" t="str">
        <f>TEXT(DATE(2012,Table1[[#This Row],[MONTH_ID]],10),"mmm")</f>
        <v>May</v>
      </c>
      <c r="K421">
        <v>2005</v>
      </c>
      <c r="L421" t="s">
        <v>195</v>
      </c>
      <c r="M421">
        <v>115</v>
      </c>
      <c r="N421" t="s">
        <v>544</v>
      </c>
      <c r="O421" t="s">
        <v>158</v>
      </c>
      <c r="P421" t="s">
        <v>159</v>
      </c>
      <c r="Q421" t="s">
        <v>160</v>
      </c>
      <c r="S421" t="s">
        <v>161</v>
      </c>
      <c r="U421">
        <v>5020</v>
      </c>
      <c r="V421" t="s">
        <v>162</v>
      </c>
      <c r="W421" t="s">
        <v>56</v>
      </c>
      <c r="X421" t="s">
        <v>163</v>
      </c>
      <c r="Y421" t="s">
        <v>164</v>
      </c>
      <c r="Z421" t="s">
        <v>65</v>
      </c>
    </row>
    <row r="422" spans="1:26" x14ac:dyDescent="0.3">
      <c r="A422">
        <v>10103</v>
      </c>
      <c r="B422">
        <v>35</v>
      </c>
      <c r="C422">
        <v>100</v>
      </c>
      <c r="D422">
        <v>10</v>
      </c>
      <c r="E422">
        <v>3920</v>
      </c>
      <c r="F422" s="1">
        <v>37650</v>
      </c>
      <c r="G422" t="s">
        <v>39</v>
      </c>
      <c r="H422">
        <v>1</v>
      </c>
      <c r="I422">
        <v>1</v>
      </c>
      <c r="J422" t="str">
        <f>TEXT(DATE(2012,Table1[[#This Row],[MONTH_ID]],10),"mmm")</f>
        <v>Jan</v>
      </c>
      <c r="K422">
        <v>2003</v>
      </c>
      <c r="L422" t="s">
        <v>518</v>
      </c>
      <c r="M422">
        <v>116</v>
      </c>
      <c r="N422" t="s">
        <v>551</v>
      </c>
      <c r="O422" t="s">
        <v>147</v>
      </c>
      <c r="P422" t="s">
        <v>148</v>
      </c>
      <c r="Q422" t="s">
        <v>149</v>
      </c>
      <c r="S422" t="s">
        <v>150</v>
      </c>
      <c r="U422">
        <v>4110</v>
      </c>
      <c r="V422" t="s">
        <v>92</v>
      </c>
      <c r="W422" t="s">
        <v>56</v>
      </c>
      <c r="X422" t="s">
        <v>151</v>
      </c>
      <c r="Y422" t="s">
        <v>152</v>
      </c>
      <c r="Z422" t="s">
        <v>65</v>
      </c>
    </row>
    <row r="423" spans="1:26" x14ac:dyDescent="0.3">
      <c r="A423">
        <v>10113</v>
      </c>
      <c r="B423">
        <v>49</v>
      </c>
      <c r="C423">
        <v>100</v>
      </c>
      <c r="D423">
        <v>4</v>
      </c>
      <c r="E423">
        <v>4916.66</v>
      </c>
      <c r="F423" s="1">
        <v>37706</v>
      </c>
      <c r="G423" t="s">
        <v>39</v>
      </c>
      <c r="H423">
        <v>1</v>
      </c>
      <c r="I423">
        <v>3</v>
      </c>
      <c r="J423" t="str">
        <f>TEXT(DATE(2012,Table1[[#This Row],[MONTH_ID]],10),"mmm")</f>
        <v>Mar</v>
      </c>
      <c r="K423">
        <v>2003</v>
      </c>
      <c r="L423" t="s">
        <v>518</v>
      </c>
      <c r="M423">
        <v>116</v>
      </c>
      <c r="N423" t="s">
        <v>551</v>
      </c>
      <c r="O423" t="s">
        <v>286</v>
      </c>
      <c r="P423">
        <v>4155551450</v>
      </c>
      <c r="Q423" t="s">
        <v>287</v>
      </c>
      <c r="S423" t="s">
        <v>288</v>
      </c>
      <c r="T423" t="s">
        <v>69</v>
      </c>
      <c r="U423">
        <v>97562</v>
      </c>
      <c r="V423" t="s">
        <v>46</v>
      </c>
      <c r="W423" t="s">
        <v>47</v>
      </c>
      <c r="X423" t="s">
        <v>289</v>
      </c>
      <c r="Y423" t="s">
        <v>290</v>
      </c>
      <c r="Z423" t="s">
        <v>65</v>
      </c>
    </row>
    <row r="424" spans="1:26" x14ac:dyDescent="0.3">
      <c r="A424">
        <v>10126</v>
      </c>
      <c r="B424">
        <v>38</v>
      </c>
      <c r="C424">
        <v>100</v>
      </c>
      <c r="D424">
        <v>10</v>
      </c>
      <c r="E424">
        <v>3857</v>
      </c>
      <c r="F424" s="1">
        <v>37769</v>
      </c>
      <c r="G424" t="s">
        <v>39</v>
      </c>
      <c r="H424">
        <v>2</v>
      </c>
      <c r="I424">
        <v>5</v>
      </c>
      <c r="J424" t="str">
        <f>TEXT(DATE(2012,Table1[[#This Row],[MONTH_ID]],10),"mmm")</f>
        <v>May</v>
      </c>
      <c r="K424">
        <v>2003</v>
      </c>
      <c r="L424" t="s">
        <v>518</v>
      </c>
      <c r="M424">
        <v>116</v>
      </c>
      <c r="N424" t="s">
        <v>551</v>
      </c>
      <c r="O424" t="s">
        <v>205</v>
      </c>
      <c r="P424" t="s">
        <v>206</v>
      </c>
      <c r="Q424" t="s">
        <v>207</v>
      </c>
      <c r="S424" t="s">
        <v>191</v>
      </c>
      <c r="U424">
        <v>28023</v>
      </c>
      <c r="V424" t="s">
        <v>192</v>
      </c>
      <c r="W424" t="s">
        <v>56</v>
      </c>
      <c r="X424" t="s">
        <v>208</v>
      </c>
      <c r="Y424" t="s">
        <v>209</v>
      </c>
      <c r="Z424" t="s">
        <v>65</v>
      </c>
    </row>
    <row r="425" spans="1:26" x14ac:dyDescent="0.3">
      <c r="A425">
        <v>10140</v>
      </c>
      <c r="B425">
        <v>32</v>
      </c>
      <c r="C425">
        <v>100</v>
      </c>
      <c r="D425">
        <v>10</v>
      </c>
      <c r="E425">
        <v>4181.4399999999996</v>
      </c>
      <c r="F425" s="1">
        <v>37826</v>
      </c>
      <c r="G425" t="s">
        <v>39</v>
      </c>
      <c r="H425">
        <v>3</v>
      </c>
      <c r="I425">
        <v>7</v>
      </c>
      <c r="J425" t="str">
        <f>TEXT(DATE(2012,Table1[[#This Row],[MONTH_ID]],10),"mmm")</f>
        <v>Jul</v>
      </c>
      <c r="K425">
        <v>2003</v>
      </c>
      <c r="L425" t="s">
        <v>518</v>
      </c>
      <c r="M425">
        <v>116</v>
      </c>
      <c r="N425" t="s">
        <v>551</v>
      </c>
      <c r="O425" t="s">
        <v>76</v>
      </c>
      <c r="P425">
        <v>6505556809</v>
      </c>
      <c r="Q425" t="s">
        <v>77</v>
      </c>
      <c r="S425" t="s">
        <v>78</v>
      </c>
      <c r="T425" t="s">
        <v>69</v>
      </c>
      <c r="U425">
        <v>94217</v>
      </c>
      <c r="V425" t="s">
        <v>46</v>
      </c>
      <c r="W425" t="s">
        <v>47</v>
      </c>
      <c r="X425" t="s">
        <v>79</v>
      </c>
      <c r="Y425" t="s">
        <v>80</v>
      </c>
      <c r="Z425" t="s">
        <v>65</v>
      </c>
    </row>
    <row r="426" spans="1:26" x14ac:dyDescent="0.3">
      <c r="A426">
        <v>10150</v>
      </c>
      <c r="B426">
        <v>34</v>
      </c>
      <c r="C426">
        <v>100</v>
      </c>
      <c r="D426">
        <v>7</v>
      </c>
      <c r="E426">
        <v>4641</v>
      </c>
      <c r="F426" s="1">
        <v>37883</v>
      </c>
      <c r="G426" t="s">
        <v>39</v>
      </c>
      <c r="H426">
        <v>3</v>
      </c>
      <c r="I426">
        <v>9</v>
      </c>
      <c r="J426" t="str">
        <f>TEXT(DATE(2012,Table1[[#This Row],[MONTH_ID]],10),"mmm")</f>
        <v>Sep</v>
      </c>
      <c r="K426">
        <v>2003</v>
      </c>
      <c r="L426" t="s">
        <v>518</v>
      </c>
      <c r="M426">
        <v>116</v>
      </c>
      <c r="N426" t="s">
        <v>551</v>
      </c>
      <c r="O426" t="s">
        <v>210</v>
      </c>
      <c r="P426" t="s">
        <v>211</v>
      </c>
      <c r="Q426" t="s">
        <v>212</v>
      </c>
      <c r="S426" t="s">
        <v>213</v>
      </c>
      <c r="U426">
        <v>79903</v>
      </c>
      <c r="V426" t="s">
        <v>213</v>
      </c>
      <c r="W426" t="s">
        <v>214</v>
      </c>
      <c r="X426" t="s">
        <v>215</v>
      </c>
      <c r="Y426" t="s">
        <v>216</v>
      </c>
      <c r="Z426" t="s">
        <v>65</v>
      </c>
    </row>
    <row r="427" spans="1:26" x14ac:dyDescent="0.3">
      <c r="A427">
        <v>10164</v>
      </c>
      <c r="B427">
        <v>36</v>
      </c>
      <c r="C427">
        <v>99.17</v>
      </c>
      <c r="D427">
        <v>8</v>
      </c>
      <c r="E427">
        <v>3570.12</v>
      </c>
      <c r="F427" s="1">
        <v>37915</v>
      </c>
      <c r="G427" t="s">
        <v>422</v>
      </c>
      <c r="H427">
        <v>4</v>
      </c>
      <c r="I427">
        <v>10</v>
      </c>
      <c r="J427" t="str">
        <f>TEXT(DATE(2012,Table1[[#This Row],[MONTH_ID]],10),"mmm")</f>
        <v>Oct</v>
      </c>
      <c r="K427">
        <v>2003</v>
      </c>
      <c r="L427" t="s">
        <v>518</v>
      </c>
      <c r="M427">
        <v>116</v>
      </c>
      <c r="N427" t="s">
        <v>551</v>
      </c>
      <c r="O427" t="s">
        <v>423</v>
      </c>
      <c r="P427" t="s">
        <v>424</v>
      </c>
      <c r="Q427" t="s">
        <v>425</v>
      </c>
      <c r="S427" t="s">
        <v>426</v>
      </c>
      <c r="U427">
        <v>8010</v>
      </c>
      <c r="V427" t="s">
        <v>162</v>
      </c>
      <c r="W427" t="s">
        <v>56</v>
      </c>
      <c r="X427" t="s">
        <v>427</v>
      </c>
      <c r="Y427" t="s">
        <v>428</v>
      </c>
      <c r="Z427" t="s">
        <v>65</v>
      </c>
    </row>
    <row r="428" spans="1:26" x14ac:dyDescent="0.3">
      <c r="A428">
        <v>10174</v>
      </c>
      <c r="B428">
        <v>48</v>
      </c>
      <c r="C428">
        <v>93.34</v>
      </c>
      <c r="D428">
        <v>3</v>
      </c>
      <c r="E428">
        <v>4480.32</v>
      </c>
      <c r="F428" s="1">
        <v>37931</v>
      </c>
      <c r="G428" t="s">
        <v>39</v>
      </c>
      <c r="H428">
        <v>4</v>
      </c>
      <c r="I428">
        <v>11</v>
      </c>
      <c r="J428" t="str">
        <f>TEXT(DATE(2012,Table1[[#This Row],[MONTH_ID]],10),"mmm")</f>
        <v>Nov</v>
      </c>
      <c r="K428">
        <v>2003</v>
      </c>
      <c r="L428" t="s">
        <v>518</v>
      </c>
      <c r="M428">
        <v>116</v>
      </c>
      <c r="N428" t="s">
        <v>551</v>
      </c>
      <c r="O428" t="s">
        <v>221</v>
      </c>
      <c r="P428" t="s">
        <v>222</v>
      </c>
      <c r="Q428" t="s">
        <v>223</v>
      </c>
      <c r="S428" t="s">
        <v>224</v>
      </c>
      <c r="T428" t="s">
        <v>225</v>
      </c>
      <c r="U428">
        <v>4101</v>
      </c>
      <c r="V428" t="s">
        <v>109</v>
      </c>
      <c r="W428" t="s">
        <v>110</v>
      </c>
      <c r="X428" t="s">
        <v>226</v>
      </c>
      <c r="Y428" t="s">
        <v>227</v>
      </c>
      <c r="Z428" t="s">
        <v>65</v>
      </c>
    </row>
    <row r="429" spans="1:26" x14ac:dyDescent="0.3">
      <c r="A429">
        <v>10183</v>
      </c>
      <c r="B429">
        <v>21</v>
      </c>
      <c r="C429">
        <v>96.84</v>
      </c>
      <c r="D429">
        <v>7</v>
      </c>
      <c r="E429">
        <v>2033.64</v>
      </c>
      <c r="F429" s="1">
        <v>37938</v>
      </c>
      <c r="G429" t="s">
        <v>39</v>
      </c>
      <c r="H429">
        <v>4</v>
      </c>
      <c r="I429">
        <v>11</v>
      </c>
      <c r="J429" t="str">
        <f>TEXT(DATE(2012,Table1[[#This Row],[MONTH_ID]],10),"mmm")</f>
        <v>Nov</v>
      </c>
      <c r="K429">
        <v>2003</v>
      </c>
      <c r="L429" t="s">
        <v>518</v>
      </c>
      <c r="M429">
        <v>116</v>
      </c>
      <c r="N429" t="s">
        <v>551</v>
      </c>
      <c r="O429" t="s">
        <v>228</v>
      </c>
      <c r="P429">
        <v>2155554695</v>
      </c>
      <c r="Q429" t="s">
        <v>229</v>
      </c>
      <c r="S429" t="s">
        <v>230</v>
      </c>
      <c r="T429" t="s">
        <v>156</v>
      </c>
      <c r="U429">
        <v>71270</v>
      </c>
      <c r="V429" t="s">
        <v>46</v>
      </c>
      <c r="W429" t="s">
        <v>47</v>
      </c>
      <c r="X429" t="s">
        <v>231</v>
      </c>
      <c r="Y429" t="s">
        <v>232</v>
      </c>
      <c r="Z429" t="s">
        <v>50</v>
      </c>
    </row>
    <row r="430" spans="1:26" x14ac:dyDescent="0.3">
      <c r="A430">
        <v>10194</v>
      </c>
      <c r="B430">
        <v>21</v>
      </c>
      <c r="C430">
        <v>93.34</v>
      </c>
      <c r="D430">
        <v>10</v>
      </c>
      <c r="E430">
        <v>1960.14</v>
      </c>
      <c r="F430" s="1">
        <v>37950</v>
      </c>
      <c r="G430" t="s">
        <v>39</v>
      </c>
      <c r="H430">
        <v>4</v>
      </c>
      <c r="I430">
        <v>11</v>
      </c>
      <c r="J430" t="str">
        <f>TEXT(DATE(2012,Table1[[#This Row],[MONTH_ID]],10),"mmm")</f>
        <v>Nov</v>
      </c>
      <c r="K430">
        <v>2003</v>
      </c>
      <c r="L430" t="s">
        <v>518</v>
      </c>
      <c r="M430">
        <v>116</v>
      </c>
      <c r="N430" t="s">
        <v>551</v>
      </c>
      <c r="O430" t="s">
        <v>233</v>
      </c>
      <c r="P430" t="s">
        <v>234</v>
      </c>
      <c r="Q430" t="s">
        <v>235</v>
      </c>
      <c r="S430" t="s">
        <v>236</v>
      </c>
      <c r="U430">
        <v>69004</v>
      </c>
      <c r="V430" t="s">
        <v>55</v>
      </c>
      <c r="W430" t="s">
        <v>56</v>
      </c>
      <c r="X430" t="s">
        <v>237</v>
      </c>
      <c r="Y430" t="s">
        <v>238</v>
      </c>
      <c r="Z430" t="s">
        <v>50</v>
      </c>
    </row>
    <row r="431" spans="1:26" x14ac:dyDescent="0.3">
      <c r="A431">
        <v>10206</v>
      </c>
      <c r="B431">
        <v>34</v>
      </c>
      <c r="C431">
        <v>100</v>
      </c>
      <c r="D431">
        <v>5</v>
      </c>
      <c r="E431">
        <v>3966.78</v>
      </c>
      <c r="F431" s="1">
        <v>37960</v>
      </c>
      <c r="G431" t="s">
        <v>39</v>
      </c>
      <c r="H431">
        <v>4</v>
      </c>
      <c r="I431">
        <v>12</v>
      </c>
      <c r="J431" t="str">
        <f>TEXT(DATE(2012,Table1[[#This Row],[MONTH_ID]],10),"mmm")</f>
        <v>Dec</v>
      </c>
      <c r="K431">
        <v>2003</v>
      </c>
      <c r="L431" t="s">
        <v>518</v>
      </c>
      <c r="M431">
        <v>116</v>
      </c>
      <c r="N431" t="s">
        <v>551</v>
      </c>
      <c r="O431" t="s">
        <v>239</v>
      </c>
      <c r="P431" t="s">
        <v>240</v>
      </c>
      <c r="Q431" t="s">
        <v>241</v>
      </c>
      <c r="S431" t="s">
        <v>242</v>
      </c>
      <c r="T431" t="s">
        <v>243</v>
      </c>
      <c r="U431" t="s">
        <v>244</v>
      </c>
      <c r="V431" t="s">
        <v>245</v>
      </c>
      <c r="W431" t="s">
        <v>47</v>
      </c>
      <c r="X431" t="s">
        <v>246</v>
      </c>
      <c r="Y431" t="s">
        <v>247</v>
      </c>
      <c r="Z431" t="s">
        <v>65</v>
      </c>
    </row>
    <row r="432" spans="1:26" x14ac:dyDescent="0.3">
      <c r="A432">
        <v>10215</v>
      </c>
      <c r="B432">
        <v>46</v>
      </c>
      <c r="C432">
        <v>100</v>
      </c>
      <c r="D432">
        <v>2</v>
      </c>
      <c r="E432">
        <v>5152</v>
      </c>
      <c r="F432" s="1">
        <v>38015</v>
      </c>
      <c r="G432" t="s">
        <v>39</v>
      </c>
      <c r="H432">
        <v>1</v>
      </c>
      <c r="I432">
        <v>1</v>
      </c>
      <c r="J432" t="str">
        <f>TEXT(DATE(2012,Table1[[#This Row],[MONTH_ID]],10),"mmm")</f>
        <v>Jan</v>
      </c>
      <c r="K432">
        <v>2004</v>
      </c>
      <c r="L432" t="s">
        <v>518</v>
      </c>
      <c r="M432">
        <v>116</v>
      </c>
      <c r="N432" t="s">
        <v>551</v>
      </c>
      <c r="O432" t="s">
        <v>248</v>
      </c>
      <c r="P432">
        <v>3105553722</v>
      </c>
      <c r="Q432" t="s">
        <v>249</v>
      </c>
      <c r="S432" t="s">
        <v>250</v>
      </c>
      <c r="T432" t="s">
        <v>69</v>
      </c>
      <c r="U432">
        <v>94019</v>
      </c>
      <c r="V432" t="s">
        <v>46</v>
      </c>
      <c r="W432" t="s">
        <v>47</v>
      </c>
      <c r="X432" t="s">
        <v>251</v>
      </c>
      <c r="Y432" t="s">
        <v>252</v>
      </c>
      <c r="Z432" t="s">
        <v>65</v>
      </c>
    </row>
    <row r="433" spans="1:26" x14ac:dyDescent="0.3">
      <c r="A433">
        <v>10228</v>
      </c>
      <c r="B433">
        <v>32</v>
      </c>
      <c r="C433">
        <v>100</v>
      </c>
      <c r="D433">
        <v>1</v>
      </c>
      <c r="E433">
        <v>3360</v>
      </c>
      <c r="F433" s="1">
        <v>38056</v>
      </c>
      <c r="G433" t="s">
        <v>39</v>
      </c>
      <c r="H433">
        <v>1</v>
      </c>
      <c r="I433">
        <v>3</v>
      </c>
      <c r="J433" t="str">
        <f>TEXT(DATE(2012,Table1[[#This Row],[MONTH_ID]],10),"mmm")</f>
        <v>Mar</v>
      </c>
      <c r="K433">
        <v>2004</v>
      </c>
      <c r="L433" t="s">
        <v>518</v>
      </c>
      <c r="M433">
        <v>116</v>
      </c>
      <c r="N433" t="s">
        <v>551</v>
      </c>
      <c r="O433" t="s">
        <v>253</v>
      </c>
      <c r="P433">
        <v>6175555555</v>
      </c>
      <c r="Q433" t="s">
        <v>254</v>
      </c>
      <c r="S433" t="s">
        <v>136</v>
      </c>
      <c r="T433" t="s">
        <v>137</v>
      </c>
      <c r="U433">
        <v>51247</v>
      </c>
      <c r="V433" t="s">
        <v>46</v>
      </c>
      <c r="W433" t="s">
        <v>47</v>
      </c>
      <c r="X433" t="s">
        <v>255</v>
      </c>
      <c r="Y433" t="s">
        <v>157</v>
      </c>
      <c r="Z433" t="s">
        <v>65</v>
      </c>
    </row>
    <row r="434" spans="1:26" x14ac:dyDescent="0.3">
      <c r="A434">
        <v>10245</v>
      </c>
      <c r="B434">
        <v>29</v>
      </c>
      <c r="C434">
        <v>100</v>
      </c>
      <c r="D434">
        <v>8</v>
      </c>
      <c r="E434">
        <v>3451</v>
      </c>
      <c r="F434" s="1">
        <v>38111</v>
      </c>
      <c r="G434" t="s">
        <v>39</v>
      </c>
      <c r="H434">
        <v>2</v>
      </c>
      <c r="I434">
        <v>5</v>
      </c>
      <c r="J434" t="str">
        <f>TEXT(DATE(2012,Table1[[#This Row],[MONTH_ID]],10),"mmm")</f>
        <v>May</v>
      </c>
      <c r="K434">
        <v>2004</v>
      </c>
      <c r="L434" t="s">
        <v>518</v>
      </c>
      <c r="M434">
        <v>116</v>
      </c>
      <c r="N434" t="s">
        <v>551</v>
      </c>
      <c r="O434" t="s">
        <v>256</v>
      </c>
      <c r="P434">
        <v>2035559545</v>
      </c>
      <c r="Q434" t="s">
        <v>257</v>
      </c>
      <c r="S434" t="s">
        <v>258</v>
      </c>
      <c r="T434" t="s">
        <v>126</v>
      </c>
      <c r="U434">
        <v>97823</v>
      </c>
      <c r="V434" t="s">
        <v>46</v>
      </c>
      <c r="W434" t="s">
        <v>47</v>
      </c>
      <c r="X434" t="s">
        <v>97</v>
      </c>
      <c r="Y434" t="s">
        <v>259</v>
      </c>
      <c r="Z434" t="s">
        <v>65</v>
      </c>
    </row>
    <row r="435" spans="1:26" x14ac:dyDescent="0.3">
      <c r="A435">
        <v>10258</v>
      </c>
      <c r="B435">
        <v>41</v>
      </c>
      <c r="C435">
        <v>100</v>
      </c>
      <c r="D435">
        <v>5</v>
      </c>
      <c r="E435">
        <v>5453</v>
      </c>
      <c r="F435" s="1">
        <v>38153</v>
      </c>
      <c r="G435" t="s">
        <v>39</v>
      </c>
      <c r="H435">
        <v>2</v>
      </c>
      <c r="I435">
        <v>6</v>
      </c>
      <c r="J435" t="str">
        <f>TEXT(DATE(2012,Table1[[#This Row],[MONTH_ID]],10),"mmm")</f>
        <v>Jun</v>
      </c>
      <c r="K435">
        <v>2004</v>
      </c>
      <c r="L435" t="s">
        <v>518</v>
      </c>
      <c r="M435">
        <v>116</v>
      </c>
      <c r="N435" t="s">
        <v>551</v>
      </c>
      <c r="O435" t="s">
        <v>260</v>
      </c>
      <c r="P435" t="s">
        <v>261</v>
      </c>
      <c r="Q435" t="s">
        <v>262</v>
      </c>
      <c r="S435" t="s">
        <v>263</v>
      </c>
      <c r="T435" t="s">
        <v>264</v>
      </c>
      <c r="U435" t="s">
        <v>265</v>
      </c>
      <c r="V435" t="s">
        <v>214</v>
      </c>
      <c r="W435" t="s">
        <v>214</v>
      </c>
      <c r="X435" t="s">
        <v>266</v>
      </c>
      <c r="Y435" t="s">
        <v>267</v>
      </c>
      <c r="Z435" t="s">
        <v>65</v>
      </c>
    </row>
    <row r="436" spans="1:26" x14ac:dyDescent="0.3">
      <c r="A436">
        <v>10270</v>
      </c>
      <c r="B436">
        <v>43</v>
      </c>
      <c r="C436">
        <v>96.84</v>
      </c>
      <c r="D436">
        <v>8</v>
      </c>
      <c r="E436">
        <v>4164.12</v>
      </c>
      <c r="F436" s="1">
        <v>38187</v>
      </c>
      <c r="G436" t="s">
        <v>39</v>
      </c>
      <c r="H436">
        <v>3</v>
      </c>
      <c r="I436">
        <v>7</v>
      </c>
      <c r="J436" t="str">
        <f>TEXT(DATE(2012,Table1[[#This Row],[MONTH_ID]],10),"mmm")</f>
        <v>Jul</v>
      </c>
      <c r="K436">
        <v>2004</v>
      </c>
      <c r="L436" t="s">
        <v>518</v>
      </c>
      <c r="M436">
        <v>116</v>
      </c>
      <c r="N436" t="s">
        <v>551</v>
      </c>
      <c r="O436" t="s">
        <v>166</v>
      </c>
      <c r="P436" t="s">
        <v>167</v>
      </c>
      <c r="Q436" t="s">
        <v>168</v>
      </c>
      <c r="R436" t="s">
        <v>169</v>
      </c>
      <c r="S436" t="s">
        <v>170</v>
      </c>
      <c r="T436" t="s">
        <v>171</v>
      </c>
      <c r="U436">
        <v>2067</v>
      </c>
      <c r="V436" t="s">
        <v>109</v>
      </c>
      <c r="W436" t="s">
        <v>110</v>
      </c>
      <c r="X436" t="s">
        <v>172</v>
      </c>
      <c r="Y436" t="s">
        <v>173</v>
      </c>
      <c r="Z436" t="s">
        <v>65</v>
      </c>
    </row>
    <row r="437" spans="1:26" x14ac:dyDescent="0.3">
      <c r="A437">
        <v>10280</v>
      </c>
      <c r="B437">
        <v>24</v>
      </c>
      <c r="C437">
        <v>100</v>
      </c>
      <c r="D437">
        <v>1</v>
      </c>
      <c r="E437">
        <v>2800.08</v>
      </c>
      <c r="F437" s="1">
        <v>38216</v>
      </c>
      <c r="G437" t="s">
        <v>39</v>
      </c>
      <c r="H437">
        <v>3</v>
      </c>
      <c r="I437">
        <v>8</v>
      </c>
      <c r="J437" t="str">
        <f>TEXT(DATE(2012,Table1[[#This Row],[MONTH_ID]],10),"mmm")</f>
        <v>Aug</v>
      </c>
      <c r="K437">
        <v>2004</v>
      </c>
      <c r="L437" t="s">
        <v>518</v>
      </c>
      <c r="M437">
        <v>116</v>
      </c>
      <c r="N437" t="s">
        <v>551</v>
      </c>
      <c r="O437" t="s">
        <v>268</v>
      </c>
      <c r="P437" t="s">
        <v>269</v>
      </c>
      <c r="Q437" t="s">
        <v>270</v>
      </c>
      <c r="S437" t="s">
        <v>271</v>
      </c>
      <c r="U437">
        <v>10100</v>
      </c>
      <c r="V437" t="s">
        <v>272</v>
      </c>
      <c r="W437" t="s">
        <v>56</v>
      </c>
      <c r="X437" t="s">
        <v>273</v>
      </c>
      <c r="Y437" t="s">
        <v>274</v>
      </c>
      <c r="Z437" t="s">
        <v>50</v>
      </c>
    </row>
    <row r="438" spans="1:26" x14ac:dyDescent="0.3">
      <c r="A438">
        <v>10291</v>
      </c>
      <c r="B438">
        <v>41</v>
      </c>
      <c r="C438">
        <v>100</v>
      </c>
      <c r="D438">
        <v>10</v>
      </c>
      <c r="E438">
        <v>4687.9399999999996</v>
      </c>
      <c r="F438" s="1">
        <v>38238</v>
      </c>
      <c r="G438" t="s">
        <v>39</v>
      </c>
      <c r="H438">
        <v>3</v>
      </c>
      <c r="I438">
        <v>9</v>
      </c>
      <c r="J438" t="str">
        <f>TEXT(DATE(2012,Table1[[#This Row],[MONTH_ID]],10),"mmm")</f>
        <v>Sep</v>
      </c>
      <c r="K438">
        <v>2004</v>
      </c>
      <c r="L438" t="s">
        <v>518</v>
      </c>
      <c r="M438">
        <v>116</v>
      </c>
      <c r="N438" t="s">
        <v>551</v>
      </c>
      <c r="O438" t="s">
        <v>275</v>
      </c>
      <c r="P438" t="s">
        <v>276</v>
      </c>
      <c r="Q438" t="s">
        <v>277</v>
      </c>
      <c r="S438" t="s">
        <v>278</v>
      </c>
      <c r="U438" t="s">
        <v>279</v>
      </c>
      <c r="V438" t="s">
        <v>202</v>
      </c>
      <c r="W438" t="s">
        <v>56</v>
      </c>
      <c r="X438" t="s">
        <v>280</v>
      </c>
      <c r="Y438" t="s">
        <v>220</v>
      </c>
      <c r="Z438" t="s">
        <v>65</v>
      </c>
    </row>
    <row r="439" spans="1:26" x14ac:dyDescent="0.3">
      <c r="A439">
        <v>10304</v>
      </c>
      <c r="B439">
        <v>46</v>
      </c>
      <c r="C439">
        <v>98</v>
      </c>
      <c r="D439">
        <v>5</v>
      </c>
      <c r="E439">
        <v>4508</v>
      </c>
      <c r="F439" s="1">
        <v>38271</v>
      </c>
      <c r="G439" t="s">
        <v>39</v>
      </c>
      <c r="H439">
        <v>4</v>
      </c>
      <c r="I439">
        <v>10</v>
      </c>
      <c r="J439" t="str">
        <f>TEXT(DATE(2012,Table1[[#This Row],[MONTH_ID]],10),"mmm")</f>
        <v>Oct</v>
      </c>
      <c r="K439">
        <v>2004</v>
      </c>
      <c r="L439" t="s">
        <v>518</v>
      </c>
      <c r="M439">
        <v>116</v>
      </c>
      <c r="N439" t="s">
        <v>551</v>
      </c>
      <c r="O439" t="s">
        <v>281</v>
      </c>
      <c r="P439" t="s">
        <v>282</v>
      </c>
      <c r="Q439" t="s">
        <v>283</v>
      </c>
      <c r="S439" t="s">
        <v>284</v>
      </c>
      <c r="U439">
        <v>78000</v>
      </c>
      <c r="V439" t="s">
        <v>55</v>
      </c>
      <c r="W439" t="s">
        <v>56</v>
      </c>
      <c r="X439" t="s">
        <v>285</v>
      </c>
      <c r="Y439" t="s">
        <v>64</v>
      </c>
      <c r="Z439" t="s">
        <v>65</v>
      </c>
    </row>
    <row r="440" spans="1:26" x14ac:dyDescent="0.3">
      <c r="A440">
        <v>10312</v>
      </c>
      <c r="B440">
        <v>32</v>
      </c>
      <c r="C440">
        <v>100</v>
      </c>
      <c r="D440">
        <v>2</v>
      </c>
      <c r="E440">
        <v>4181.4399999999996</v>
      </c>
      <c r="F440" s="1">
        <v>38281</v>
      </c>
      <c r="G440" t="s">
        <v>39</v>
      </c>
      <c r="H440">
        <v>4</v>
      </c>
      <c r="I440">
        <v>10</v>
      </c>
      <c r="J440" t="str">
        <f>TEXT(DATE(2012,Table1[[#This Row],[MONTH_ID]],10),"mmm")</f>
        <v>Oct</v>
      </c>
      <c r="K440">
        <v>2004</v>
      </c>
      <c r="L440" t="s">
        <v>518</v>
      </c>
      <c r="M440">
        <v>116</v>
      </c>
      <c r="N440" t="s">
        <v>551</v>
      </c>
      <c r="O440" t="s">
        <v>286</v>
      </c>
      <c r="P440">
        <v>4155551450</v>
      </c>
      <c r="Q440" t="s">
        <v>287</v>
      </c>
      <c r="S440" t="s">
        <v>288</v>
      </c>
      <c r="T440" t="s">
        <v>69</v>
      </c>
      <c r="U440">
        <v>97562</v>
      </c>
      <c r="V440" t="s">
        <v>46</v>
      </c>
      <c r="W440" t="s">
        <v>47</v>
      </c>
      <c r="X440" t="s">
        <v>289</v>
      </c>
      <c r="Y440" t="s">
        <v>290</v>
      </c>
      <c r="Z440" t="s">
        <v>65</v>
      </c>
    </row>
    <row r="441" spans="1:26" x14ac:dyDescent="0.3">
      <c r="A441">
        <v>10322</v>
      </c>
      <c r="B441">
        <v>22</v>
      </c>
      <c r="C441">
        <v>100</v>
      </c>
      <c r="D441">
        <v>10</v>
      </c>
      <c r="E441">
        <v>2251.04</v>
      </c>
      <c r="F441" s="1">
        <v>38295</v>
      </c>
      <c r="G441" t="s">
        <v>39</v>
      </c>
      <c r="H441">
        <v>4</v>
      </c>
      <c r="I441">
        <v>11</v>
      </c>
      <c r="J441" t="str">
        <f>TEXT(DATE(2012,Table1[[#This Row],[MONTH_ID]],10),"mmm")</f>
        <v>Nov</v>
      </c>
      <c r="K441">
        <v>2004</v>
      </c>
      <c r="L441" t="s">
        <v>518</v>
      </c>
      <c r="M441">
        <v>116</v>
      </c>
      <c r="N441" t="s">
        <v>551</v>
      </c>
      <c r="O441" t="s">
        <v>291</v>
      </c>
      <c r="P441">
        <v>6035558647</v>
      </c>
      <c r="Q441" t="s">
        <v>292</v>
      </c>
      <c r="S441" t="s">
        <v>293</v>
      </c>
      <c r="T441" t="s">
        <v>294</v>
      </c>
      <c r="U441">
        <v>62005</v>
      </c>
      <c r="V441" t="s">
        <v>46</v>
      </c>
      <c r="W441" t="s">
        <v>47</v>
      </c>
      <c r="X441" t="s">
        <v>70</v>
      </c>
      <c r="Y441" t="s">
        <v>290</v>
      </c>
      <c r="Z441" t="s">
        <v>50</v>
      </c>
    </row>
    <row r="442" spans="1:26" x14ac:dyDescent="0.3">
      <c r="A442">
        <v>10333</v>
      </c>
      <c r="B442">
        <v>29</v>
      </c>
      <c r="C442">
        <v>40.25</v>
      </c>
      <c r="D442">
        <v>7</v>
      </c>
      <c r="E442">
        <v>1167.25</v>
      </c>
      <c r="F442" s="1">
        <v>38309</v>
      </c>
      <c r="G442" t="s">
        <v>39</v>
      </c>
      <c r="H442">
        <v>4</v>
      </c>
      <c r="I442">
        <v>11</v>
      </c>
      <c r="J442" t="str">
        <f>TEXT(DATE(2012,Table1[[#This Row],[MONTH_ID]],10),"mmm")</f>
        <v>Nov</v>
      </c>
      <c r="K442">
        <v>2004</v>
      </c>
      <c r="L442" t="s">
        <v>518</v>
      </c>
      <c r="M442">
        <v>116</v>
      </c>
      <c r="N442" t="s">
        <v>551</v>
      </c>
      <c r="O442" t="s">
        <v>95</v>
      </c>
      <c r="P442">
        <v>6505555787</v>
      </c>
      <c r="Q442" t="s">
        <v>96</v>
      </c>
      <c r="S442" t="s">
        <v>74</v>
      </c>
      <c r="T442" t="s">
        <v>69</v>
      </c>
      <c r="V442" t="s">
        <v>46</v>
      </c>
      <c r="W442" t="s">
        <v>47</v>
      </c>
      <c r="X442" t="s">
        <v>97</v>
      </c>
      <c r="Y442" t="s">
        <v>71</v>
      </c>
      <c r="Z442" t="s">
        <v>50</v>
      </c>
    </row>
    <row r="443" spans="1:26" x14ac:dyDescent="0.3">
      <c r="A443">
        <v>10347</v>
      </c>
      <c r="B443">
        <v>42</v>
      </c>
      <c r="C443">
        <v>49.6</v>
      </c>
      <c r="D443">
        <v>5</v>
      </c>
      <c r="E443">
        <v>2083.1999999999998</v>
      </c>
      <c r="F443" s="1">
        <v>38320</v>
      </c>
      <c r="G443" t="s">
        <v>39</v>
      </c>
      <c r="H443">
        <v>4</v>
      </c>
      <c r="I443">
        <v>11</v>
      </c>
      <c r="J443" t="str">
        <f>TEXT(DATE(2012,Table1[[#This Row],[MONTH_ID]],10),"mmm")</f>
        <v>Nov</v>
      </c>
      <c r="K443">
        <v>2004</v>
      </c>
      <c r="L443" t="s">
        <v>518</v>
      </c>
      <c r="M443">
        <v>116</v>
      </c>
      <c r="N443" t="s">
        <v>551</v>
      </c>
      <c r="O443" t="s">
        <v>103</v>
      </c>
      <c r="P443" t="s">
        <v>104</v>
      </c>
      <c r="Q443" t="s">
        <v>105</v>
      </c>
      <c r="R443" t="s">
        <v>106</v>
      </c>
      <c r="S443" t="s">
        <v>107</v>
      </c>
      <c r="T443" t="s">
        <v>108</v>
      </c>
      <c r="U443">
        <v>3004</v>
      </c>
      <c r="V443" t="s">
        <v>109</v>
      </c>
      <c r="W443" t="s">
        <v>110</v>
      </c>
      <c r="X443" t="s">
        <v>111</v>
      </c>
      <c r="Y443" t="s">
        <v>112</v>
      </c>
      <c r="Z443" t="s">
        <v>50</v>
      </c>
    </row>
    <row r="444" spans="1:26" x14ac:dyDescent="0.3">
      <c r="A444">
        <v>10357</v>
      </c>
      <c r="B444">
        <v>39</v>
      </c>
      <c r="C444">
        <v>98</v>
      </c>
      <c r="D444">
        <v>1</v>
      </c>
      <c r="E444">
        <v>3822</v>
      </c>
      <c r="F444" s="1">
        <v>38331</v>
      </c>
      <c r="G444" t="s">
        <v>39</v>
      </c>
      <c r="H444">
        <v>4</v>
      </c>
      <c r="I444">
        <v>12</v>
      </c>
      <c r="J444" t="str">
        <f>TEXT(DATE(2012,Table1[[#This Row],[MONTH_ID]],10),"mmm")</f>
        <v>Dec</v>
      </c>
      <c r="K444">
        <v>2004</v>
      </c>
      <c r="L444" t="s">
        <v>518</v>
      </c>
      <c r="M444">
        <v>116</v>
      </c>
      <c r="N444" t="s">
        <v>551</v>
      </c>
      <c r="O444" t="s">
        <v>286</v>
      </c>
      <c r="P444">
        <v>4155551450</v>
      </c>
      <c r="Q444" t="s">
        <v>287</v>
      </c>
      <c r="S444" t="s">
        <v>288</v>
      </c>
      <c r="T444" t="s">
        <v>69</v>
      </c>
      <c r="U444">
        <v>97562</v>
      </c>
      <c r="V444" t="s">
        <v>46</v>
      </c>
      <c r="W444" t="s">
        <v>47</v>
      </c>
      <c r="X444" t="s">
        <v>289</v>
      </c>
      <c r="Y444" t="s">
        <v>290</v>
      </c>
      <c r="Z444" t="s">
        <v>65</v>
      </c>
    </row>
    <row r="445" spans="1:26" x14ac:dyDescent="0.3">
      <c r="A445">
        <v>10370</v>
      </c>
      <c r="B445">
        <v>27</v>
      </c>
      <c r="C445">
        <v>100</v>
      </c>
      <c r="D445">
        <v>1</v>
      </c>
      <c r="E445">
        <v>3911.49</v>
      </c>
      <c r="F445" s="1">
        <v>38372</v>
      </c>
      <c r="G445" t="s">
        <v>39</v>
      </c>
      <c r="H445">
        <v>1</v>
      </c>
      <c r="I445">
        <v>1</v>
      </c>
      <c r="J445" t="str">
        <f>TEXT(DATE(2012,Table1[[#This Row],[MONTH_ID]],10),"mmm")</f>
        <v>Jan</v>
      </c>
      <c r="K445">
        <v>2005</v>
      </c>
      <c r="L445" t="s">
        <v>518</v>
      </c>
      <c r="M445">
        <v>116</v>
      </c>
      <c r="N445" t="s">
        <v>551</v>
      </c>
      <c r="O445" t="s">
        <v>299</v>
      </c>
      <c r="P445" t="s">
        <v>300</v>
      </c>
      <c r="Q445" t="s">
        <v>301</v>
      </c>
      <c r="R445" t="s">
        <v>302</v>
      </c>
      <c r="S445" t="s">
        <v>303</v>
      </c>
      <c r="T445" t="s">
        <v>171</v>
      </c>
      <c r="U445">
        <v>2060</v>
      </c>
      <c r="V445" t="s">
        <v>109</v>
      </c>
      <c r="W445" t="s">
        <v>110</v>
      </c>
      <c r="X445" t="s">
        <v>304</v>
      </c>
      <c r="Y445" t="s">
        <v>305</v>
      </c>
      <c r="Z445" t="s">
        <v>65</v>
      </c>
    </row>
    <row r="446" spans="1:26" x14ac:dyDescent="0.3">
      <c r="A446">
        <v>10381</v>
      </c>
      <c r="B446">
        <v>48</v>
      </c>
      <c r="C446">
        <v>98</v>
      </c>
      <c r="D446">
        <v>2</v>
      </c>
      <c r="E446">
        <v>4704</v>
      </c>
      <c r="F446" s="1">
        <v>38400</v>
      </c>
      <c r="G446" t="s">
        <v>39</v>
      </c>
      <c r="H446">
        <v>1</v>
      </c>
      <c r="I446">
        <v>2</v>
      </c>
      <c r="J446" t="str">
        <f>TEXT(DATE(2012,Table1[[#This Row],[MONTH_ID]],10),"mmm")</f>
        <v>Feb</v>
      </c>
      <c r="K446">
        <v>2005</v>
      </c>
      <c r="L446" t="s">
        <v>518</v>
      </c>
      <c r="M446">
        <v>116</v>
      </c>
      <c r="N446" t="s">
        <v>551</v>
      </c>
      <c r="O446" t="s">
        <v>72</v>
      </c>
      <c r="P446">
        <v>6505551386</v>
      </c>
      <c r="Q446" t="s">
        <v>73</v>
      </c>
      <c r="S446" t="s">
        <v>74</v>
      </c>
      <c r="T446" t="s">
        <v>69</v>
      </c>
      <c r="V446" t="s">
        <v>46</v>
      </c>
      <c r="W446" t="s">
        <v>47</v>
      </c>
      <c r="X446" t="s">
        <v>75</v>
      </c>
      <c r="Y446" t="s">
        <v>71</v>
      </c>
      <c r="Z446" t="s">
        <v>65</v>
      </c>
    </row>
    <row r="447" spans="1:26" x14ac:dyDescent="0.3">
      <c r="A447">
        <v>10391</v>
      </c>
      <c r="B447">
        <v>29</v>
      </c>
      <c r="C447">
        <v>85.1</v>
      </c>
      <c r="D447">
        <v>10</v>
      </c>
      <c r="E447">
        <v>2467.9</v>
      </c>
      <c r="F447" s="1">
        <v>38420</v>
      </c>
      <c r="G447" t="s">
        <v>39</v>
      </c>
      <c r="H447">
        <v>1</v>
      </c>
      <c r="I447">
        <v>3</v>
      </c>
      <c r="J447" t="str">
        <f>TEXT(DATE(2012,Table1[[#This Row],[MONTH_ID]],10),"mmm")</f>
        <v>Mar</v>
      </c>
      <c r="K447">
        <v>2005</v>
      </c>
      <c r="L447" t="s">
        <v>518</v>
      </c>
      <c r="M447">
        <v>116</v>
      </c>
      <c r="N447" t="s">
        <v>551</v>
      </c>
      <c r="O447" t="s">
        <v>299</v>
      </c>
      <c r="P447" t="s">
        <v>300</v>
      </c>
      <c r="Q447" t="s">
        <v>301</v>
      </c>
      <c r="R447" t="s">
        <v>302</v>
      </c>
      <c r="S447" t="s">
        <v>303</v>
      </c>
      <c r="T447" t="s">
        <v>171</v>
      </c>
      <c r="U447">
        <v>2060</v>
      </c>
      <c r="V447" t="s">
        <v>109</v>
      </c>
      <c r="W447" t="s">
        <v>110</v>
      </c>
      <c r="X447" t="s">
        <v>304</v>
      </c>
      <c r="Y447" t="s">
        <v>305</v>
      </c>
      <c r="Z447" t="s">
        <v>50</v>
      </c>
    </row>
    <row r="448" spans="1:26" x14ac:dyDescent="0.3">
      <c r="A448">
        <v>10411</v>
      </c>
      <c r="B448">
        <v>27</v>
      </c>
      <c r="C448">
        <v>100</v>
      </c>
      <c r="D448">
        <v>8</v>
      </c>
      <c r="E448">
        <v>3213</v>
      </c>
      <c r="F448" s="1">
        <v>38473</v>
      </c>
      <c r="G448" t="s">
        <v>39</v>
      </c>
      <c r="H448">
        <v>2</v>
      </c>
      <c r="I448">
        <v>5</v>
      </c>
      <c r="J448" t="str">
        <f>TEXT(DATE(2012,Table1[[#This Row],[MONTH_ID]],10),"mmm")</f>
        <v>May</v>
      </c>
      <c r="K448">
        <v>2005</v>
      </c>
      <c r="L448" t="s">
        <v>518</v>
      </c>
      <c r="M448">
        <v>116</v>
      </c>
      <c r="N448" t="s">
        <v>551</v>
      </c>
      <c r="O448" t="s">
        <v>306</v>
      </c>
      <c r="P448" t="s">
        <v>307</v>
      </c>
      <c r="Q448" t="s">
        <v>308</v>
      </c>
      <c r="S448" t="s">
        <v>309</v>
      </c>
      <c r="T448" t="s">
        <v>310</v>
      </c>
      <c r="U448" t="s">
        <v>311</v>
      </c>
      <c r="V448" t="s">
        <v>245</v>
      </c>
      <c r="W448" t="s">
        <v>47</v>
      </c>
      <c r="X448" t="s">
        <v>312</v>
      </c>
      <c r="Y448" t="s">
        <v>313</v>
      </c>
      <c r="Z448" t="s">
        <v>65</v>
      </c>
    </row>
    <row r="449" spans="1:26" x14ac:dyDescent="0.3">
      <c r="A449">
        <v>10424</v>
      </c>
      <c r="B449">
        <v>54</v>
      </c>
      <c r="C449">
        <v>100</v>
      </c>
      <c r="D449">
        <v>5</v>
      </c>
      <c r="E449">
        <v>7182</v>
      </c>
      <c r="F449" s="1">
        <v>38503</v>
      </c>
      <c r="G449" t="s">
        <v>314</v>
      </c>
      <c r="H449">
        <v>2</v>
      </c>
      <c r="I449">
        <v>5</v>
      </c>
      <c r="J449" t="str">
        <f>TEXT(DATE(2012,Table1[[#This Row],[MONTH_ID]],10),"mmm")</f>
        <v>May</v>
      </c>
      <c r="K449">
        <v>2005</v>
      </c>
      <c r="L449" t="s">
        <v>518</v>
      </c>
      <c r="M449">
        <v>116</v>
      </c>
      <c r="N449" t="s">
        <v>551</v>
      </c>
      <c r="O449" t="s">
        <v>188</v>
      </c>
      <c r="P449" t="s">
        <v>189</v>
      </c>
      <c r="Q449" t="s">
        <v>190</v>
      </c>
      <c r="S449" t="s">
        <v>191</v>
      </c>
      <c r="U449">
        <v>28034</v>
      </c>
      <c r="V449" t="s">
        <v>192</v>
      </c>
      <c r="W449" t="s">
        <v>56</v>
      </c>
      <c r="X449" t="s">
        <v>193</v>
      </c>
      <c r="Y449" t="s">
        <v>194</v>
      </c>
      <c r="Z449" t="s">
        <v>165</v>
      </c>
    </row>
    <row r="450" spans="1:26" x14ac:dyDescent="0.3">
      <c r="A450">
        <v>10109</v>
      </c>
      <c r="B450">
        <v>26</v>
      </c>
      <c r="C450">
        <v>100</v>
      </c>
      <c r="D450">
        <v>4</v>
      </c>
      <c r="E450">
        <v>4379.18</v>
      </c>
      <c r="F450" s="1">
        <v>37690</v>
      </c>
      <c r="G450" t="s">
        <v>39</v>
      </c>
      <c r="H450">
        <v>1</v>
      </c>
      <c r="I450">
        <v>3</v>
      </c>
      <c r="J450" t="str">
        <f>TEXT(DATE(2012,Table1[[#This Row],[MONTH_ID]],10),"mmm")</f>
        <v>Mar</v>
      </c>
      <c r="K450">
        <v>2003</v>
      </c>
      <c r="L450" t="s">
        <v>195</v>
      </c>
      <c r="M450">
        <v>141</v>
      </c>
      <c r="N450" t="s">
        <v>552</v>
      </c>
      <c r="O450" t="s">
        <v>323</v>
      </c>
      <c r="P450">
        <v>2155559857</v>
      </c>
      <c r="Q450" t="s">
        <v>324</v>
      </c>
      <c r="S450" t="s">
        <v>230</v>
      </c>
      <c r="T450" t="s">
        <v>156</v>
      </c>
      <c r="U450">
        <v>71270</v>
      </c>
      <c r="V450" t="s">
        <v>46</v>
      </c>
      <c r="W450" t="s">
        <v>47</v>
      </c>
      <c r="X450" t="s">
        <v>138</v>
      </c>
      <c r="Y450" t="s">
        <v>325</v>
      </c>
      <c r="Z450" t="s">
        <v>65</v>
      </c>
    </row>
    <row r="451" spans="1:26" x14ac:dyDescent="0.3">
      <c r="A451">
        <v>10122</v>
      </c>
      <c r="B451">
        <v>34</v>
      </c>
      <c r="C451">
        <v>100</v>
      </c>
      <c r="D451">
        <v>2</v>
      </c>
      <c r="E451">
        <v>5004.8</v>
      </c>
      <c r="F451" s="1">
        <v>37749</v>
      </c>
      <c r="G451" t="s">
        <v>39</v>
      </c>
      <c r="H451">
        <v>2</v>
      </c>
      <c r="I451">
        <v>5</v>
      </c>
      <c r="J451" t="str">
        <f>TEXT(DATE(2012,Table1[[#This Row],[MONTH_ID]],10),"mmm")</f>
        <v>May</v>
      </c>
      <c r="K451">
        <v>2003</v>
      </c>
      <c r="L451" t="s">
        <v>195</v>
      </c>
      <c r="M451">
        <v>141</v>
      </c>
      <c r="N451" t="s">
        <v>552</v>
      </c>
      <c r="O451" t="s">
        <v>447</v>
      </c>
      <c r="P451" t="s">
        <v>448</v>
      </c>
      <c r="Q451" t="s">
        <v>449</v>
      </c>
      <c r="S451" t="s">
        <v>450</v>
      </c>
      <c r="U451">
        <v>13008</v>
      </c>
      <c r="V451" t="s">
        <v>55</v>
      </c>
      <c r="W451" t="s">
        <v>56</v>
      </c>
      <c r="X451" t="s">
        <v>451</v>
      </c>
      <c r="Y451" t="s">
        <v>452</v>
      </c>
      <c r="Z451" t="s">
        <v>65</v>
      </c>
    </row>
    <row r="452" spans="1:26" x14ac:dyDescent="0.3">
      <c r="A452">
        <v>10136</v>
      </c>
      <c r="B452">
        <v>25</v>
      </c>
      <c r="C452">
        <v>100</v>
      </c>
      <c r="D452">
        <v>2</v>
      </c>
      <c r="E452">
        <v>3644.75</v>
      </c>
      <c r="F452" s="1">
        <v>37806</v>
      </c>
      <c r="G452" t="s">
        <v>39</v>
      </c>
      <c r="H452">
        <v>3</v>
      </c>
      <c r="I452">
        <v>7</v>
      </c>
      <c r="J452" t="str">
        <f>TEXT(DATE(2012,Table1[[#This Row],[MONTH_ID]],10),"mmm")</f>
        <v>Jul</v>
      </c>
      <c r="K452">
        <v>2003</v>
      </c>
      <c r="L452" t="s">
        <v>195</v>
      </c>
      <c r="M452">
        <v>141</v>
      </c>
      <c r="N452" t="s">
        <v>552</v>
      </c>
      <c r="O452" t="s">
        <v>354</v>
      </c>
      <c r="P452" t="s">
        <v>355</v>
      </c>
      <c r="Q452" t="s">
        <v>356</v>
      </c>
      <c r="S452" t="s">
        <v>357</v>
      </c>
      <c r="U452">
        <v>31000</v>
      </c>
      <c r="V452" t="s">
        <v>55</v>
      </c>
      <c r="W452" t="s">
        <v>56</v>
      </c>
      <c r="X452" t="s">
        <v>358</v>
      </c>
      <c r="Y452" t="s">
        <v>359</v>
      </c>
      <c r="Z452" t="s">
        <v>65</v>
      </c>
    </row>
    <row r="453" spans="1:26" x14ac:dyDescent="0.3">
      <c r="A453">
        <v>10148</v>
      </c>
      <c r="B453">
        <v>23</v>
      </c>
      <c r="C453">
        <v>100</v>
      </c>
      <c r="D453">
        <v>13</v>
      </c>
      <c r="E453">
        <v>2702.04</v>
      </c>
      <c r="F453" s="1">
        <v>37875</v>
      </c>
      <c r="G453" t="s">
        <v>39</v>
      </c>
      <c r="H453">
        <v>3</v>
      </c>
      <c r="I453">
        <v>9</v>
      </c>
      <c r="J453" t="str">
        <f>TEXT(DATE(2012,Table1[[#This Row],[MONTH_ID]],10),"mmm")</f>
        <v>Sep</v>
      </c>
      <c r="K453">
        <v>2003</v>
      </c>
      <c r="L453" t="s">
        <v>195</v>
      </c>
      <c r="M453">
        <v>141</v>
      </c>
      <c r="N453" t="s">
        <v>552</v>
      </c>
      <c r="O453" t="s">
        <v>299</v>
      </c>
      <c r="P453" t="s">
        <v>300</v>
      </c>
      <c r="Q453" t="s">
        <v>301</v>
      </c>
      <c r="R453" t="s">
        <v>302</v>
      </c>
      <c r="S453" t="s">
        <v>303</v>
      </c>
      <c r="T453" t="s">
        <v>171</v>
      </c>
      <c r="U453">
        <v>2060</v>
      </c>
      <c r="V453" t="s">
        <v>109</v>
      </c>
      <c r="W453" t="s">
        <v>110</v>
      </c>
      <c r="X453" t="s">
        <v>304</v>
      </c>
      <c r="Y453" t="s">
        <v>305</v>
      </c>
      <c r="Z453" t="s">
        <v>50</v>
      </c>
    </row>
    <row r="454" spans="1:26" x14ac:dyDescent="0.3">
      <c r="A454">
        <v>10161</v>
      </c>
      <c r="B454">
        <v>28</v>
      </c>
      <c r="C454">
        <v>100</v>
      </c>
      <c r="D454">
        <v>12</v>
      </c>
      <c r="E454">
        <v>3764.88</v>
      </c>
      <c r="F454" s="1">
        <v>37911</v>
      </c>
      <c r="G454" t="s">
        <v>39</v>
      </c>
      <c r="H454">
        <v>4</v>
      </c>
      <c r="I454">
        <v>10</v>
      </c>
      <c r="J454" t="str">
        <f>TEXT(DATE(2012,Table1[[#This Row],[MONTH_ID]],10),"mmm")</f>
        <v>Oct</v>
      </c>
      <c r="K454">
        <v>2003</v>
      </c>
      <c r="L454" t="s">
        <v>195</v>
      </c>
      <c r="M454">
        <v>141</v>
      </c>
      <c r="N454" t="s">
        <v>552</v>
      </c>
      <c r="O454" t="s">
        <v>512</v>
      </c>
      <c r="P454" t="s">
        <v>513</v>
      </c>
      <c r="Q454" t="s">
        <v>514</v>
      </c>
      <c r="S454" t="s">
        <v>515</v>
      </c>
      <c r="U454">
        <v>8200</v>
      </c>
      <c r="V454" t="s">
        <v>340</v>
      </c>
      <c r="W454" t="s">
        <v>56</v>
      </c>
      <c r="X454" t="s">
        <v>516</v>
      </c>
      <c r="Y454" t="s">
        <v>517</v>
      </c>
      <c r="Z454" t="s">
        <v>65</v>
      </c>
    </row>
    <row r="455" spans="1:26" x14ac:dyDescent="0.3">
      <c r="A455">
        <v>10171</v>
      </c>
      <c r="B455">
        <v>35</v>
      </c>
      <c r="C455">
        <v>100</v>
      </c>
      <c r="D455">
        <v>2</v>
      </c>
      <c r="E455">
        <v>4508</v>
      </c>
      <c r="F455" s="1">
        <v>37930</v>
      </c>
      <c r="G455" t="s">
        <v>39</v>
      </c>
      <c r="H455">
        <v>4</v>
      </c>
      <c r="I455">
        <v>11</v>
      </c>
      <c r="J455" t="str">
        <f>TEXT(DATE(2012,Table1[[#This Row],[MONTH_ID]],10),"mmm")</f>
        <v>Nov</v>
      </c>
      <c r="K455">
        <v>2003</v>
      </c>
      <c r="L455" t="s">
        <v>195</v>
      </c>
      <c r="M455">
        <v>141</v>
      </c>
      <c r="N455" t="s">
        <v>552</v>
      </c>
      <c r="O455" t="s">
        <v>306</v>
      </c>
      <c r="P455" t="s">
        <v>307</v>
      </c>
      <c r="Q455" t="s">
        <v>308</v>
      </c>
      <c r="S455" t="s">
        <v>309</v>
      </c>
      <c r="T455" t="s">
        <v>310</v>
      </c>
      <c r="U455" t="s">
        <v>311</v>
      </c>
      <c r="V455" t="s">
        <v>245</v>
      </c>
      <c r="W455" t="s">
        <v>47</v>
      </c>
      <c r="X455" t="s">
        <v>312</v>
      </c>
      <c r="Y455" t="s">
        <v>313</v>
      </c>
      <c r="Z455" t="s">
        <v>65</v>
      </c>
    </row>
    <row r="456" spans="1:26" x14ac:dyDescent="0.3">
      <c r="A456">
        <v>10181</v>
      </c>
      <c r="B456">
        <v>44</v>
      </c>
      <c r="C456">
        <v>100</v>
      </c>
      <c r="D456">
        <v>6</v>
      </c>
      <c r="E456">
        <v>5418.16</v>
      </c>
      <c r="F456" s="1">
        <v>37937</v>
      </c>
      <c r="G456" t="s">
        <v>39</v>
      </c>
      <c r="H456">
        <v>4</v>
      </c>
      <c r="I456">
        <v>11</v>
      </c>
      <c r="J456" t="str">
        <f>TEXT(DATE(2012,Table1[[#This Row],[MONTH_ID]],10),"mmm")</f>
        <v>Nov</v>
      </c>
      <c r="K456">
        <v>2003</v>
      </c>
      <c r="L456" t="s">
        <v>195</v>
      </c>
      <c r="M456">
        <v>141</v>
      </c>
      <c r="N456" t="s">
        <v>552</v>
      </c>
      <c r="O456" t="s">
        <v>87</v>
      </c>
      <c r="P456" t="s">
        <v>88</v>
      </c>
      <c r="Q456" t="s">
        <v>89</v>
      </c>
      <c r="S456" t="s">
        <v>90</v>
      </c>
      <c r="U456" t="s">
        <v>91</v>
      </c>
      <c r="V456" t="s">
        <v>92</v>
      </c>
      <c r="W456" t="s">
        <v>56</v>
      </c>
      <c r="X456" t="s">
        <v>93</v>
      </c>
      <c r="Y456" t="s">
        <v>94</v>
      </c>
      <c r="Z456" t="s">
        <v>65</v>
      </c>
    </row>
    <row r="457" spans="1:26" x14ac:dyDescent="0.3">
      <c r="A457">
        <v>10192</v>
      </c>
      <c r="B457">
        <v>22</v>
      </c>
      <c r="C457">
        <v>100</v>
      </c>
      <c r="D457">
        <v>11</v>
      </c>
      <c r="E457">
        <v>3300.66</v>
      </c>
      <c r="F457" s="1">
        <v>37945</v>
      </c>
      <c r="G457" t="s">
        <v>39</v>
      </c>
      <c r="H457">
        <v>4</v>
      </c>
      <c r="I457">
        <v>11</v>
      </c>
      <c r="J457" t="str">
        <f>TEXT(DATE(2012,Table1[[#This Row],[MONTH_ID]],10),"mmm")</f>
        <v>Nov</v>
      </c>
      <c r="K457">
        <v>2003</v>
      </c>
      <c r="L457" t="s">
        <v>195</v>
      </c>
      <c r="M457">
        <v>141</v>
      </c>
      <c r="N457" t="s">
        <v>552</v>
      </c>
      <c r="O457" t="s">
        <v>291</v>
      </c>
      <c r="P457">
        <v>6035558647</v>
      </c>
      <c r="Q457" t="s">
        <v>292</v>
      </c>
      <c r="S457" t="s">
        <v>293</v>
      </c>
      <c r="T457" t="s">
        <v>294</v>
      </c>
      <c r="U457">
        <v>62005</v>
      </c>
      <c r="V457" t="s">
        <v>46</v>
      </c>
      <c r="W457" t="s">
        <v>47</v>
      </c>
      <c r="X457" t="s">
        <v>70</v>
      </c>
      <c r="Y457" t="s">
        <v>290</v>
      </c>
      <c r="Z457" t="s">
        <v>65</v>
      </c>
    </row>
    <row r="458" spans="1:26" x14ac:dyDescent="0.3">
      <c r="A458">
        <v>10204</v>
      </c>
      <c r="B458">
        <v>42</v>
      </c>
      <c r="C458">
        <v>100</v>
      </c>
      <c r="D458">
        <v>17</v>
      </c>
      <c r="E458">
        <v>6182.4</v>
      </c>
      <c r="F458" s="1">
        <v>37957</v>
      </c>
      <c r="G458" t="s">
        <v>39</v>
      </c>
      <c r="H458">
        <v>4</v>
      </c>
      <c r="I458">
        <v>12</v>
      </c>
      <c r="J458" t="str">
        <f>TEXT(DATE(2012,Table1[[#This Row],[MONTH_ID]],10),"mmm")</f>
        <v>Dec</v>
      </c>
      <c r="K458">
        <v>2003</v>
      </c>
      <c r="L458" t="s">
        <v>195</v>
      </c>
      <c r="M458">
        <v>141</v>
      </c>
      <c r="N458" t="s">
        <v>552</v>
      </c>
      <c r="O458" t="s">
        <v>489</v>
      </c>
      <c r="P458">
        <v>2125557413</v>
      </c>
      <c r="Q458" t="s">
        <v>490</v>
      </c>
      <c r="R458" t="s">
        <v>491</v>
      </c>
      <c r="S458" t="s">
        <v>44</v>
      </c>
      <c r="T458" t="s">
        <v>45</v>
      </c>
      <c r="U458">
        <v>10022</v>
      </c>
      <c r="V458" t="s">
        <v>46</v>
      </c>
      <c r="W458" t="s">
        <v>47</v>
      </c>
      <c r="X458" t="s">
        <v>70</v>
      </c>
      <c r="Y458" t="s">
        <v>492</v>
      </c>
      <c r="Z458" t="s">
        <v>65</v>
      </c>
    </row>
    <row r="459" spans="1:26" x14ac:dyDescent="0.3">
      <c r="A459">
        <v>10212</v>
      </c>
      <c r="B459">
        <v>29</v>
      </c>
      <c r="C459">
        <v>100</v>
      </c>
      <c r="D459">
        <v>10</v>
      </c>
      <c r="E459">
        <v>4186.7299999999996</v>
      </c>
      <c r="F459" s="1">
        <v>38002</v>
      </c>
      <c r="G459" t="s">
        <v>39</v>
      </c>
      <c r="H459">
        <v>1</v>
      </c>
      <c r="I459">
        <v>1</v>
      </c>
      <c r="J459" t="str">
        <f>TEXT(DATE(2012,Table1[[#This Row],[MONTH_ID]],10),"mmm")</f>
        <v>Jan</v>
      </c>
      <c r="K459">
        <v>2004</v>
      </c>
      <c r="L459" t="s">
        <v>195</v>
      </c>
      <c r="M459">
        <v>141</v>
      </c>
      <c r="N459" t="s">
        <v>552</v>
      </c>
      <c r="O459" t="s">
        <v>188</v>
      </c>
      <c r="P459" t="s">
        <v>189</v>
      </c>
      <c r="Q459" t="s">
        <v>190</v>
      </c>
      <c r="S459" t="s">
        <v>191</v>
      </c>
      <c r="U459">
        <v>28034</v>
      </c>
      <c r="V459" t="s">
        <v>192</v>
      </c>
      <c r="W459" t="s">
        <v>56</v>
      </c>
      <c r="X459" t="s">
        <v>193</v>
      </c>
      <c r="Y459" t="s">
        <v>194</v>
      </c>
      <c r="Z459" t="s">
        <v>65</v>
      </c>
    </row>
    <row r="460" spans="1:26" x14ac:dyDescent="0.3">
      <c r="A460">
        <v>10225</v>
      </c>
      <c r="B460">
        <v>32</v>
      </c>
      <c r="C460">
        <v>100</v>
      </c>
      <c r="D460">
        <v>1</v>
      </c>
      <c r="E460">
        <v>4529.28</v>
      </c>
      <c r="F460" s="1">
        <v>38039</v>
      </c>
      <c r="G460" t="s">
        <v>39</v>
      </c>
      <c r="H460">
        <v>1</v>
      </c>
      <c r="I460">
        <v>2</v>
      </c>
      <c r="J460" t="str">
        <f>TEXT(DATE(2012,Table1[[#This Row],[MONTH_ID]],10),"mmm")</f>
        <v>Feb</v>
      </c>
      <c r="K460">
        <v>2004</v>
      </c>
      <c r="L460" t="s">
        <v>195</v>
      </c>
      <c r="M460">
        <v>141</v>
      </c>
      <c r="N460" t="s">
        <v>552</v>
      </c>
      <c r="O460" t="s">
        <v>460</v>
      </c>
      <c r="P460" t="s">
        <v>461</v>
      </c>
      <c r="Q460" t="s">
        <v>462</v>
      </c>
      <c r="S460" t="s">
        <v>463</v>
      </c>
      <c r="U460">
        <v>1203</v>
      </c>
      <c r="V460" t="s">
        <v>464</v>
      </c>
      <c r="W460" t="s">
        <v>56</v>
      </c>
      <c r="X460" t="s">
        <v>465</v>
      </c>
      <c r="Y460" t="s">
        <v>117</v>
      </c>
      <c r="Z460" t="s">
        <v>65</v>
      </c>
    </row>
    <row r="461" spans="1:26" x14ac:dyDescent="0.3">
      <c r="A461">
        <v>10240</v>
      </c>
      <c r="B461">
        <v>41</v>
      </c>
      <c r="C461">
        <v>100</v>
      </c>
      <c r="D461">
        <v>3</v>
      </c>
      <c r="E461">
        <v>5628.89</v>
      </c>
      <c r="F461" s="1">
        <v>38090</v>
      </c>
      <c r="G461" t="s">
        <v>39</v>
      </c>
      <c r="H461">
        <v>2</v>
      </c>
      <c r="I461">
        <v>4</v>
      </c>
      <c r="J461" t="str">
        <f>TEXT(DATE(2012,Table1[[#This Row],[MONTH_ID]],10),"mmm")</f>
        <v>Apr</v>
      </c>
      <c r="K461">
        <v>2004</v>
      </c>
      <c r="L461" t="s">
        <v>195</v>
      </c>
      <c r="M461">
        <v>141</v>
      </c>
      <c r="N461" t="s">
        <v>552</v>
      </c>
      <c r="O461" t="s">
        <v>316</v>
      </c>
      <c r="P461" t="s">
        <v>317</v>
      </c>
      <c r="Q461" t="s">
        <v>318</v>
      </c>
      <c r="S461" t="s">
        <v>319</v>
      </c>
      <c r="T461" t="s">
        <v>319</v>
      </c>
      <c r="U461" t="s">
        <v>320</v>
      </c>
      <c r="V461" t="s">
        <v>214</v>
      </c>
      <c r="W461" t="s">
        <v>214</v>
      </c>
      <c r="X461" t="s">
        <v>321</v>
      </c>
      <c r="Y461" t="s">
        <v>322</v>
      </c>
      <c r="Z461" t="s">
        <v>65</v>
      </c>
    </row>
    <row r="462" spans="1:26" x14ac:dyDescent="0.3">
      <c r="A462">
        <v>10253</v>
      </c>
      <c r="B462">
        <v>26</v>
      </c>
      <c r="C462">
        <v>100</v>
      </c>
      <c r="D462">
        <v>5</v>
      </c>
      <c r="E462">
        <v>3054.48</v>
      </c>
      <c r="F462" s="1">
        <v>38139</v>
      </c>
      <c r="G462" t="s">
        <v>353</v>
      </c>
      <c r="H462">
        <v>2</v>
      </c>
      <c r="I462">
        <v>6</v>
      </c>
      <c r="J462" t="str">
        <f>TEXT(DATE(2012,Table1[[#This Row],[MONTH_ID]],10),"mmm")</f>
        <v>Jun</v>
      </c>
      <c r="K462">
        <v>2004</v>
      </c>
      <c r="L462" t="s">
        <v>195</v>
      </c>
      <c r="M462">
        <v>141</v>
      </c>
      <c r="N462" t="s">
        <v>552</v>
      </c>
      <c r="O462" t="s">
        <v>179</v>
      </c>
      <c r="P462" t="s">
        <v>180</v>
      </c>
      <c r="Q462" t="s">
        <v>181</v>
      </c>
      <c r="S462" t="s">
        <v>182</v>
      </c>
      <c r="U462" t="s">
        <v>183</v>
      </c>
      <c r="V462" t="s">
        <v>184</v>
      </c>
      <c r="W462" t="s">
        <v>56</v>
      </c>
      <c r="X462" t="s">
        <v>185</v>
      </c>
      <c r="Y462" t="s">
        <v>186</v>
      </c>
      <c r="Z462" t="s">
        <v>65</v>
      </c>
    </row>
    <row r="463" spans="1:26" x14ac:dyDescent="0.3">
      <c r="A463">
        <v>10266</v>
      </c>
      <c r="B463">
        <v>21</v>
      </c>
      <c r="C463">
        <v>100</v>
      </c>
      <c r="D463">
        <v>6</v>
      </c>
      <c r="E463">
        <v>2526.5100000000002</v>
      </c>
      <c r="F463" s="1">
        <v>38174</v>
      </c>
      <c r="G463" t="s">
        <v>39</v>
      </c>
      <c r="H463">
        <v>3</v>
      </c>
      <c r="I463">
        <v>7</v>
      </c>
      <c r="J463" t="str">
        <f>TEXT(DATE(2012,Table1[[#This Row],[MONTH_ID]],10),"mmm")</f>
        <v>Jul</v>
      </c>
      <c r="K463">
        <v>2004</v>
      </c>
      <c r="L463" t="s">
        <v>195</v>
      </c>
      <c r="M463">
        <v>141</v>
      </c>
      <c r="N463" t="s">
        <v>552</v>
      </c>
      <c r="O463" t="s">
        <v>466</v>
      </c>
      <c r="P463" t="s">
        <v>467</v>
      </c>
      <c r="Q463" t="s">
        <v>468</v>
      </c>
      <c r="S463" t="s">
        <v>469</v>
      </c>
      <c r="U463">
        <v>42100</v>
      </c>
      <c r="V463" t="s">
        <v>272</v>
      </c>
      <c r="W463" t="s">
        <v>56</v>
      </c>
      <c r="X463" t="s">
        <v>470</v>
      </c>
      <c r="Y463" t="s">
        <v>471</v>
      </c>
      <c r="Z463" t="s">
        <v>50</v>
      </c>
    </row>
    <row r="464" spans="1:26" x14ac:dyDescent="0.3">
      <c r="A464">
        <v>10278</v>
      </c>
      <c r="B464">
        <v>34</v>
      </c>
      <c r="C464">
        <v>100</v>
      </c>
      <c r="D464">
        <v>6</v>
      </c>
      <c r="E464">
        <v>4667.8599999999997</v>
      </c>
      <c r="F464" s="1">
        <v>38205</v>
      </c>
      <c r="G464" t="s">
        <v>39</v>
      </c>
      <c r="H464">
        <v>3</v>
      </c>
      <c r="I464">
        <v>8</v>
      </c>
      <c r="J464" t="str">
        <f>TEXT(DATE(2012,Table1[[#This Row],[MONTH_ID]],10),"mmm")</f>
        <v>Aug</v>
      </c>
      <c r="K464">
        <v>2004</v>
      </c>
      <c r="L464" t="s">
        <v>195</v>
      </c>
      <c r="M464">
        <v>141</v>
      </c>
      <c r="N464" t="s">
        <v>552</v>
      </c>
      <c r="O464" t="s">
        <v>553</v>
      </c>
      <c r="P464">
        <v>7025551838</v>
      </c>
      <c r="Q464" t="s">
        <v>554</v>
      </c>
      <c r="S464" t="s">
        <v>555</v>
      </c>
      <c r="T464" t="s">
        <v>556</v>
      </c>
      <c r="U464">
        <v>83030</v>
      </c>
      <c r="V464" t="s">
        <v>46</v>
      </c>
      <c r="W464" t="s">
        <v>47</v>
      </c>
      <c r="X464" t="s">
        <v>127</v>
      </c>
      <c r="Y464" t="s">
        <v>414</v>
      </c>
      <c r="Z464" t="s">
        <v>65</v>
      </c>
    </row>
    <row r="465" spans="1:26" x14ac:dyDescent="0.3">
      <c r="A465">
        <v>10287</v>
      </c>
      <c r="B465">
        <v>41</v>
      </c>
      <c r="C465">
        <v>100</v>
      </c>
      <c r="D465">
        <v>4</v>
      </c>
      <c r="E465">
        <v>6499.32</v>
      </c>
      <c r="F465" s="1">
        <v>38229</v>
      </c>
      <c r="G465" t="s">
        <v>39</v>
      </c>
      <c r="H465">
        <v>3</v>
      </c>
      <c r="I465">
        <v>8</v>
      </c>
      <c r="J465" t="str">
        <f>TEXT(DATE(2012,Table1[[#This Row],[MONTH_ID]],10),"mmm")</f>
        <v>Aug</v>
      </c>
      <c r="K465">
        <v>2004</v>
      </c>
      <c r="L465" t="s">
        <v>195</v>
      </c>
      <c r="M465">
        <v>141</v>
      </c>
      <c r="N465" t="s">
        <v>552</v>
      </c>
      <c r="O465" t="s">
        <v>460</v>
      </c>
      <c r="P465" t="s">
        <v>461</v>
      </c>
      <c r="Q465" t="s">
        <v>462</v>
      </c>
      <c r="S465" t="s">
        <v>463</v>
      </c>
      <c r="U465">
        <v>1203</v>
      </c>
      <c r="V465" t="s">
        <v>464</v>
      </c>
      <c r="W465" t="s">
        <v>56</v>
      </c>
      <c r="X465" t="s">
        <v>465</v>
      </c>
      <c r="Y465" t="s">
        <v>117</v>
      </c>
      <c r="Z465" t="s">
        <v>65</v>
      </c>
    </row>
    <row r="466" spans="1:26" x14ac:dyDescent="0.3">
      <c r="A466">
        <v>10301</v>
      </c>
      <c r="B466">
        <v>37</v>
      </c>
      <c r="C466">
        <v>100</v>
      </c>
      <c r="D466">
        <v>8</v>
      </c>
      <c r="E466">
        <v>5917.78</v>
      </c>
      <c r="F466" s="1">
        <v>37899</v>
      </c>
      <c r="G466" t="s">
        <v>39</v>
      </c>
      <c r="H466">
        <v>4</v>
      </c>
      <c r="I466">
        <v>10</v>
      </c>
      <c r="J466" t="str">
        <f>TEXT(DATE(2012,Table1[[#This Row],[MONTH_ID]],10),"mmm")</f>
        <v>Oct</v>
      </c>
      <c r="K466">
        <v>2003</v>
      </c>
      <c r="L466" t="s">
        <v>195</v>
      </c>
      <c r="M466">
        <v>141</v>
      </c>
      <c r="N466" t="s">
        <v>552</v>
      </c>
      <c r="O466" t="s">
        <v>557</v>
      </c>
      <c r="P466" t="s">
        <v>558</v>
      </c>
      <c r="Q466" t="s">
        <v>559</v>
      </c>
      <c r="S466" t="s">
        <v>560</v>
      </c>
      <c r="U466" t="s">
        <v>561</v>
      </c>
      <c r="V466" t="s">
        <v>92</v>
      </c>
      <c r="W466" t="s">
        <v>56</v>
      </c>
      <c r="X466" t="s">
        <v>562</v>
      </c>
      <c r="Y466" t="s">
        <v>563</v>
      </c>
      <c r="Z466" t="s">
        <v>65</v>
      </c>
    </row>
    <row r="467" spans="1:26" x14ac:dyDescent="0.3">
      <c r="A467">
        <v>10310</v>
      </c>
      <c r="B467">
        <v>37</v>
      </c>
      <c r="C467">
        <v>100</v>
      </c>
      <c r="D467">
        <v>2</v>
      </c>
      <c r="E467">
        <v>6231.91</v>
      </c>
      <c r="F467" s="1">
        <v>38276</v>
      </c>
      <c r="G467" t="s">
        <v>39</v>
      </c>
      <c r="H467">
        <v>4</v>
      </c>
      <c r="I467">
        <v>10</v>
      </c>
      <c r="J467" t="str">
        <f>TEXT(DATE(2012,Table1[[#This Row],[MONTH_ID]],10),"mmm")</f>
        <v>Oct</v>
      </c>
      <c r="K467">
        <v>2004</v>
      </c>
      <c r="L467" t="s">
        <v>195</v>
      </c>
      <c r="M467">
        <v>141</v>
      </c>
      <c r="N467" t="s">
        <v>552</v>
      </c>
      <c r="O467" t="s">
        <v>453</v>
      </c>
      <c r="P467" t="s">
        <v>454</v>
      </c>
      <c r="Q467" t="s">
        <v>455</v>
      </c>
      <c r="S467" t="s">
        <v>456</v>
      </c>
      <c r="U467">
        <v>50739</v>
      </c>
      <c r="V467" t="s">
        <v>457</v>
      </c>
      <c r="W467" t="s">
        <v>56</v>
      </c>
      <c r="X467" t="s">
        <v>458</v>
      </c>
      <c r="Y467" t="s">
        <v>459</v>
      </c>
      <c r="Z467" t="s">
        <v>65</v>
      </c>
    </row>
    <row r="468" spans="1:26" x14ac:dyDescent="0.3">
      <c r="A468">
        <v>10321</v>
      </c>
      <c r="B468">
        <v>41</v>
      </c>
      <c r="C468">
        <v>100</v>
      </c>
      <c r="D468">
        <v>10</v>
      </c>
      <c r="E468">
        <v>5803.14</v>
      </c>
      <c r="F468" s="1">
        <v>38295</v>
      </c>
      <c r="G468" t="s">
        <v>39</v>
      </c>
      <c r="H468">
        <v>4</v>
      </c>
      <c r="I468">
        <v>11</v>
      </c>
      <c r="J468" t="str">
        <f>TEXT(DATE(2012,Table1[[#This Row],[MONTH_ID]],10),"mmm")</f>
        <v>Nov</v>
      </c>
      <c r="K468">
        <v>2004</v>
      </c>
      <c r="L468" t="s">
        <v>195</v>
      </c>
      <c r="M468">
        <v>141</v>
      </c>
      <c r="N468" t="s">
        <v>552</v>
      </c>
      <c r="O468" t="s">
        <v>174</v>
      </c>
      <c r="P468">
        <v>5085552555</v>
      </c>
      <c r="Q468" t="s">
        <v>175</v>
      </c>
      <c r="S468" t="s">
        <v>176</v>
      </c>
      <c r="T468" t="s">
        <v>137</v>
      </c>
      <c r="U468">
        <v>50553</v>
      </c>
      <c r="V468" t="s">
        <v>46</v>
      </c>
      <c r="W468" t="s">
        <v>47</v>
      </c>
      <c r="X468" t="s">
        <v>177</v>
      </c>
      <c r="Y468" t="s">
        <v>178</v>
      </c>
      <c r="Z468" t="s">
        <v>65</v>
      </c>
    </row>
    <row r="469" spans="1:26" x14ac:dyDescent="0.3">
      <c r="A469">
        <v>10331</v>
      </c>
      <c r="B469">
        <v>46</v>
      </c>
      <c r="C469">
        <v>100</v>
      </c>
      <c r="D469">
        <v>6</v>
      </c>
      <c r="E469">
        <v>6434.02</v>
      </c>
      <c r="F469" s="1">
        <v>38308</v>
      </c>
      <c r="G469" t="s">
        <v>39</v>
      </c>
      <c r="H469">
        <v>4</v>
      </c>
      <c r="I469">
        <v>11</v>
      </c>
      <c r="J469" t="str">
        <f>TEXT(DATE(2012,Table1[[#This Row],[MONTH_ID]],10),"mmm")</f>
        <v>Nov</v>
      </c>
      <c r="K469">
        <v>2004</v>
      </c>
      <c r="L469" t="s">
        <v>195</v>
      </c>
      <c r="M469">
        <v>141</v>
      </c>
      <c r="N469" t="s">
        <v>552</v>
      </c>
      <c r="O469" t="s">
        <v>323</v>
      </c>
      <c r="P469">
        <v>2155559857</v>
      </c>
      <c r="Q469" t="s">
        <v>324</v>
      </c>
      <c r="S469" t="s">
        <v>230</v>
      </c>
      <c r="T469" t="s">
        <v>156</v>
      </c>
      <c r="U469">
        <v>71270</v>
      </c>
      <c r="V469" t="s">
        <v>46</v>
      </c>
      <c r="W469" t="s">
        <v>47</v>
      </c>
      <c r="X469" t="s">
        <v>138</v>
      </c>
      <c r="Y469" t="s">
        <v>325</v>
      </c>
      <c r="Z469" t="s">
        <v>65</v>
      </c>
    </row>
    <row r="470" spans="1:26" x14ac:dyDescent="0.3">
      <c r="A470">
        <v>10342</v>
      </c>
      <c r="B470">
        <v>40</v>
      </c>
      <c r="C470">
        <v>100</v>
      </c>
      <c r="D470">
        <v>2</v>
      </c>
      <c r="E470">
        <v>6454.4</v>
      </c>
      <c r="F470" s="1">
        <v>38315</v>
      </c>
      <c r="G470" t="s">
        <v>39</v>
      </c>
      <c r="H470">
        <v>4</v>
      </c>
      <c r="I470">
        <v>11</v>
      </c>
      <c r="J470" t="str">
        <f>TEXT(DATE(2012,Table1[[#This Row],[MONTH_ID]],10),"mmm")</f>
        <v>Nov</v>
      </c>
      <c r="K470">
        <v>2004</v>
      </c>
      <c r="L470" t="s">
        <v>195</v>
      </c>
      <c r="M470">
        <v>141</v>
      </c>
      <c r="N470" t="s">
        <v>552</v>
      </c>
      <c r="O470" t="s">
        <v>103</v>
      </c>
      <c r="P470" t="s">
        <v>104</v>
      </c>
      <c r="Q470" t="s">
        <v>105</v>
      </c>
      <c r="R470" t="s">
        <v>106</v>
      </c>
      <c r="S470" t="s">
        <v>107</v>
      </c>
      <c r="T470" t="s">
        <v>108</v>
      </c>
      <c r="U470">
        <v>3004</v>
      </c>
      <c r="V470" t="s">
        <v>109</v>
      </c>
      <c r="W470" t="s">
        <v>110</v>
      </c>
      <c r="X470" t="s">
        <v>111</v>
      </c>
      <c r="Y470" t="s">
        <v>112</v>
      </c>
      <c r="Z470" t="s">
        <v>65</v>
      </c>
    </row>
    <row r="471" spans="1:26" x14ac:dyDescent="0.3">
      <c r="A471">
        <v>10356</v>
      </c>
      <c r="B471">
        <v>43</v>
      </c>
      <c r="C471">
        <v>97.6</v>
      </c>
      <c r="D471">
        <v>8</v>
      </c>
      <c r="E471">
        <v>4196.8</v>
      </c>
      <c r="F471" s="1">
        <v>38330</v>
      </c>
      <c r="G471" t="s">
        <v>39</v>
      </c>
      <c r="H471">
        <v>4</v>
      </c>
      <c r="I471">
        <v>12</v>
      </c>
      <c r="J471" t="str">
        <f>TEXT(DATE(2012,Table1[[#This Row],[MONTH_ID]],10),"mmm")</f>
        <v>Dec</v>
      </c>
      <c r="K471">
        <v>2004</v>
      </c>
      <c r="L471" t="s">
        <v>195</v>
      </c>
      <c r="M471">
        <v>141</v>
      </c>
      <c r="N471" t="s">
        <v>552</v>
      </c>
      <c r="O471" t="s">
        <v>59</v>
      </c>
      <c r="P471" t="s">
        <v>60</v>
      </c>
      <c r="Q471" t="s">
        <v>61</v>
      </c>
      <c r="S471" t="s">
        <v>62</v>
      </c>
      <c r="U471">
        <v>75508</v>
      </c>
      <c r="V471" t="s">
        <v>55</v>
      </c>
      <c r="W471" t="s">
        <v>56</v>
      </c>
      <c r="X471" t="s">
        <v>63</v>
      </c>
      <c r="Y471" t="s">
        <v>64</v>
      </c>
      <c r="Z471" t="s">
        <v>65</v>
      </c>
    </row>
    <row r="472" spans="1:26" x14ac:dyDescent="0.3">
      <c r="A472">
        <v>10365</v>
      </c>
      <c r="B472">
        <v>30</v>
      </c>
      <c r="C472">
        <v>87.06</v>
      </c>
      <c r="D472">
        <v>1</v>
      </c>
      <c r="E472">
        <v>2611.8000000000002</v>
      </c>
      <c r="F472" s="1">
        <v>38359</v>
      </c>
      <c r="G472" t="s">
        <v>39</v>
      </c>
      <c r="H472">
        <v>1</v>
      </c>
      <c r="I472">
        <v>1</v>
      </c>
      <c r="J472" t="str">
        <f>TEXT(DATE(2012,Table1[[#This Row],[MONTH_ID]],10),"mmm")</f>
        <v>Jan</v>
      </c>
      <c r="K472">
        <v>2005</v>
      </c>
      <c r="L472" t="s">
        <v>195</v>
      </c>
      <c r="M472">
        <v>141</v>
      </c>
      <c r="N472" t="s">
        <v>552</v>
      </c>
      <c r="O472" t="s">
        <v>349</v>
      </c>
      <c r="P472">
        <v>5085559555</v>
      </c>
      <c r="Q472" t="s">
        <v>350</v>
      </c>
      <c r="S472" t="s">
        <v>176</v>
      </c>
      <c r="T472" t="s">
        <v>137</v>
      </c>
      <c r="U472">
        <v>50553</v>
      </c>
      <c r="V472" t="s">
        <v>46</v>
      </c>
      <c r="W472" t="s">
        <v>47</v>
      </c>
      <c r="X472" t="s">
        <v>351</v>
      </c>
      <c r="Y472" t="s">
        <v>352</v>
      </c>
      <c r="Z472" t="s">
        <v>50</v>
      </c>
    </row>
    <row r="473" spans="1:26" x14ac:dyDescent="0.3">
      <c r="A473">
        <v>10377</v>
      </c>
      <c r="B473">
        <v>35</v>
      </c>
      <c r="C473">
        <v>100</v>
      </c>
      <c r="D473">
        <v>2</v>
      </c>
      <c r="E473">
        <v>5895.05</v>
      </c>
      <c r="F473" s="1">
        <v>38392</v>
      </c>
      <c r="G473" t="s">
        <v>39</v>
      </c>
      <c r="H473">
        <v>1</v>
      </c>
      <c r="I473">
        <v>2</v>
      </c>
      <c r="J473" t="str">
        <f>TEXT(DATE(2012,Table1[[#This Row],[MONTH_ID]],10),"mmm")</f>
        <v>Feb</v>
      </c>
      <c r="K473">
        <v>2005</v>
      </c>
      <c r="L473" t="s">
        <v>195</v>
      </c>
      <c r="M473">
        <v>141</v>
      </c>
      <c r="N473" t="s">
        <v>552</v>
      </c>
      <c r="O473" t="s">
        <v>140</v>
      </c>
      <c r="P473" t="s">
        <v>141</v>
      </c>
      <c r="Q473" t="s">
        <v>142</v>
      </c>
      <c r="S473" t="s">
        <v>143</v>
      </c>
      <c r="U473">
        <v>21240</v>
      </c>
      <c r="V473" t="s">
        <v>144</v>
      </c>
      <c r="W473" t="s">
        <v>56</v>
      </c>
      <c r="X473" t="s">
        <v>145</v>
      </c>
      <c r="Y473" t="s">
        <v>146</v>
      </c>
      <c r="Z473" t="s">
        <v>65</v>
      </c>
    </row>
    <row r="474" spans="1:26" x14ac:dyDescent="0.3">
      <c r="A474">
        <v>10390</v>
      </c>
      <c r="B474">
        <v>36</v>
      </c>
      <c r="C474">
        <v>93.77</v>
      </c>
      <c r="D474">
        <v>14</v>
      </c>
      <c r="E474">
        <v>3375.72</v>
      </c>
      <c r="F474" s="1">
        <v>38415</v>
      </c>
      <c r="G474" t="s">
        <v>39</v>
      </c>
      <c r="H474">
        <v>1</v>
      </c>
      <c r="I474">
        <v>3</v>
      </c>
      <c r="J474" t="str">
        <f>TEXT(DATE(2012,Table1[[#This Row],[MONTH_ID]],10),"mmm")</f>
        <v>Mar</v>
      </c>
      <c r="K474">
        <v>2005</v>
      </c>
      <c r="L474" t="s">
        <v>195</v>
      </c>
      <c r="M474">
        <v>141</v>
      </c>
      <c r="N474" t="s">
        <v>552</v>
      </c>
      <c r="O474" t="s">
        <v>286</v>
      </c>
      <c r="P474">
        <v>4155551450</v>
      </c>
      <c r="Q474" t="s">
        <v>287</v>
      </c>
      <c r="S474" t="s">
        <v>288</v>
      </c>
      <c r="T474" t="s">
        <v>69</v>
      </c>
      <c r="U474">
        <v>97562</v>
      </c>
      <c r="V474" t="s">
        <v>46</v>
      </c>
      <c r="W474" t="s">
        <v>47</v>
      </c>
      <c r="X474" t="s">
        <v>289</v>
      </c>
      <c r="Y474" t="s">
        <v>290</v>
      </c>
      <c r="Z474" t="s">
        <v>65</v>
      </c>
    </row>
    <row r="475" spans="1:26" x14ac:dyDescent="0.3">
      <c r="A475">
        <v>10406</v>
      </c>
      <c r="B475">
        <v>61</v>
      </c>
      <c r="C475">
        <v>100</v>
      </c>
      <c r="D475">
        <v>3</v>
      </c>
      <c r="E475">
        <v>8374.69</v>
      </c>
      <c r="F475" s="1">
        <v>38457</v>
      </c>
      <c r="G475" t="s">
        <v>187</v>
      </c>
      <c r="H475">
        <v>2</v>
      </c>
      <c r="I475">
        <v>4</v>
      </c>
      <c r="J475" t="str">
        <f>TEXT(DATE(2012,Table1[[#This Row],[MONTH_ID]],10),"mmm")</f>
        <v>Apr</v>
      </c>
      <c r="K475">
        <v>2005</v>
      </c>
      <c r="L475" t="s">
        <v>195</v>
      </c>
      <c r="M475">
        <v>141</v>
      </c>
      <c r="N475" t="s">
        <v>552</v>
      </c>
      <c r="O475" t="s">
        <v>336</v>
      </c>
      <c r="P475" t="s">
        <v>337</v>
      </c>
      <c r="Q475" t="s">
        <v>338</v>
      </c>
      <c r="S475" t="s">
        <v>339</v>
      </c>
      <c r="U475">
        <v>1734</v>
      </c>
      <c r="V475" t="s">
        <v>340</v>
      </c>
      <c r="W475" t="s">
        <v>56</v>
      </c>
      <c r="X475" t="s">
        <v>341</v>
      </c>
      <c r="Y475" t="s">
        <v>342</v>
      </c>
      <c r="Z475" t="s">
        <v>165</v>
      </c>
    </row>
    <row r="476" spans="1:26" x14ac:dyDescent="0.3">
      <c r="A476">
        <v>10419</v>
      </c>
      <c r="B476">
        <v>38</v>
      </c>
      <c r="C476">
        <v>100</v>
      </c>
      <c r="D476">
        <v>5</v>
      </c>
      <c r="E476">
        <v>4464.24</v>
      </c>
      <c r="F476" s="1">
        <v>38489</v>
      </c>
      <c r="G476" t="s">
        <v>39</v>
      </c>
      <c r="H476">
        <v>2</v>
      </c>
      <c r="I476">
        <v>5</v>
      </c>
      <c r="J476" t="str">
        <f>TEXT(DATE(2012,Table1[[#This Row],[MONTH_ID]],10),"mmm")</f>
        <v>May</v>
      </c>
      <c r="K476">
        <v>2005</v>
      </c>
      <c r="L476" t="s">
        <v>195</v>
      </c>
      <c r="M476">
        <v>141</v>
      </c>
      <c r="N476" t="s">
        <v>552</v>
      </c>
      <c r="O476" t="s">
        <v>158</v>
      </c>
      <c r="P476" t="s">
        <v>159</v>
      </c>
      <c r="Q476" t="s">
        <v>160</v>
      </c>
      <c r="S476" t="s">
        <v>161</v>
      </c>
      <c r="U476">
        <v>5020</v>
      </c>
      <c r="V476" t="s">
        <v>162</v>
      </c>
      <c r="W476" t="s">
        <v>56</v>
      </c>
      <c r="X476" t="s">
        <v>163</v>
      </c>
      <c r="Y476" t="s">
        <v>164</v>
      </c>
      <c r="Z476" t="s">
        <v>65</v>
      </c>
    </row>
    <row r="477" spans="1:26" x14ac:dyDescent="0.3">
      <c r="A477">
        <v>10102</v>
      </c>
      <c r="B477">
        <v>39</v>
      </c>
      <c r="C477">
        <v>100</v>
      </c>
      <c r="D477">
        <v>2</v>
      </c>
      <c r="E477">
        <v>4808.3100000000004</v>
      </c>
      <c r="F477" s="1">
        <v>37631</v>
      </c>
      <c r="G477" t="s">
        <v>39</v>
      </c>
      <c r="H477">
        <v>1</v>
      </c>
      <c r="I477">
        <v>1</v>
      </c>
      <c r="J477" t="str">
        <f>TEXT(DATE(2012,Table1[[#This Row],[MONTH_ID]],10),"mmm")</f>
        <v>Jan</v>
      </c>
      <c r="K477">
        <v>2003</v>
      </c>
      <c r="L477" t="s">
        <v>564</v>
      </c>
      <c r="M477">
        <v>102</v>
      </c>
      <c r="N477" t="s">
        <v>565</v>
      </c>
      <c r="O477" t="s">
        <v>113</v>
      </c>
      <c r="P477">
        <v>2125551500</v>
      </c>
      <c r="Q477" t="s">
        <v>114</v>
      </c>
      <c r="R477" t="s">
        <v>115</v>
      </c>
      <c r="S477" t="s">
        <v>44</v>
      </c>
      <c r="T477" t="s">
        <v>45</v>
      </c>
      <c r="U477">
        <v>10022</v>
      </c>
      <c r="V477" t="s">
        <v>46</v>
      </c>
      <c r="W477" t="s">
        <v>47</v>
      </c>
      <c r="X477" t="s">
        <v>116</v>
      </c>
      <c r="Y477" t="s">
        <v>117</v>
      </c>
      <c r="Z477" t="s">
        <v>65</v>
      </c>
    </row>
    <row r="478" spans="1:26" x14ac:dyDescent="0.3">
      <c r="A478">
        <v>10111</v>
      </c>
      <c r="B478">
        <v>33</v>
      </c>
      <c r="C478">
        <v>99.66</v>
      </c>
      <c r="D478">
        <v>6</v>
      </c>
      <c r="E478">
        <v>3288.78</v>
      </c>
      <c r="F478" s="1">
        <v>37705</v>
      </c>
      <c r="G478" t="s">
        <v>39</v>
      </c>
      <c r="H478">
        <v>1</v>
      </c>
      <c r="I478">
        <v>3</v>
      </c>
      <c r="J478" t="str">
        <f>TEXT(DATE(2012,Table1[[#This Row],[MONTH_ID]],10),"mmm")</f>
        <v>Mar</v>
      </c>
      <c r="K478">
        <v>2003</v>
      </c>
      <c r="L478" t="s">
        <v>564</v>
      </c>
      <c r="M478">
        <v>102</v>
      </c>
      <c r="N478" t="s">
        <v>565</v>
      </c>
      <c r="O478" t="s">
        <v>95</v>
      </c>
      <c r="P478">
        <v>6505555787</v>
      </c>
      <c r="Q478" t="s">
        <v>96</v>
      </c>
      <c r="S478" t="s">
        <v>74</v>
      </c>
      <c r="T478" t="s">
        <v>69</v>
      </c>
      <c r="V478" t="s">
        <v>46</v>
      </c>
      <c r="W478" t="s">
        <v>47</v>
      </c>
      <c r="X478" t="s">
        <v>97</v>
      </c>
      <c r="Y478" t="s">
        <v>71</v>
      </c>
      <c r="Z478" t="s">
        <v>65</v>
      </c>
    </row>
    <row r="479" spans="1:26" x14ac:dyDescent="0.3">
      <c r="A479">
        <v>10125</v>
      </c>
      <c r="B479">
        <v>32</v>
      </c>
      <c r="C479">
        <v>100</v>
      </c>
      <c r="D479">
        <v>1</v>
      </c>
      <c r="E479">
        <v>3254.72</v>
      </c>
      <c r="F479" s="1">
        <v>37762</v>
      </c>
      <c r="G479" t="s">
        <v>39</v>
      </c>
      <c r="H479">
        <v>2</v>
      </c>
      <c r="I479">
        <v>5</v>
      </c>
      <c r="J479" t="str">
        <f>TEXT(DATE(2012,Table1[[#This Row],[MONTH_ID]],10),"mmm")</f>
        <v>May</v>
      </c>
      <c r="K479">
        <v>2003</v>
      </c>
      <c r="L479" t="s">
        <v>564</v>
      </c>
      <c r="M479">
        <v>102</v>
      </c>
      <c r="N479" t="s">
        <v>565</v>
      </c>
      <c r="O479" t="s">
        <v>103</v>
      </c>
      <c r="P479" t="s">
        <v>104</v>
      </c>
      <c r="Q479" t="s">
        <v>105</v>
      </c>
      <c r="R479" t="s">
        <v>106</v>
      </c>
      <c r="S479" t="s">
        <v>107</v>
      </c>
      <c r="T479" t="s">
        <v>108</v>
      </c>
      <c r="U479">
        <v>3004</v>
      </c>
      <c r="V479" t="s">
        <v>109</v>
      </c>
      <c r="W479" t="s">
        <v>110</v>
      </c>
      <c r="X479" t="s">
        <v>111</v>
      </c>
      <c r="Y479" t="s">
        <v>112</v>
      </c>
      <c r="Z479" t="s">
        <v>65</v>
      </c>
    </row>
    <row r="480" spans="1:26" x14ac:dyDescent="0.3">
      <c r="A480">
        <v>10139</v>
      </c>
      <c r="B480">
        <v>31</v>
      </c>
      <c r="C480">
        <v>100</v>
      </c>
      <c r="D480">
        <v>7</v>
      </c>
      <c r="E480">
        <v>3184.94</v>
      </c>
      <c r="F480" s="1">
        <v>37818</v>
      </c>
      <c r="G480" t="s">
        <v>39</v>
      </c>
      <c r="H480">
        <v>3</v>
      </c>
      <c r="I480">
        <v>7</v>
      </c>
      <c r="J480" t="str">
        <f>TEXT(DATE(2012,Table1[[#This Row],[MONTH_ID]],10),"mmm")</f>
        <v>Jul</v>
      </c>
      <c r="K480">
        <v>2003</v>
      </c>
      <c r="L480" t="s">
        <v>564</v>
      </c>
      <c r="M480">
        <v>102</v>
      </c>
      <c r="N480" t="s">
        <v>565</v>
      </c>
      <c r="O480" t="s">
        <v>166</v>
      </c>
      <c r="P480" t="s">
        <v>167</v>
      </c>
      <c r="Q480" t="s">
        <v>168</v>
      </c>
      <c r="R480" t="s">
        <v>169</v>
      </c>
      <c r="S480" t="s">
        <v>170</v>
      </c>
      <c r="T480" t="s">
        <v>171</v>
      </c>
      <c r="U480">
        <v>2067</v>
      </c>
      <c r="V480" t="s">
        <v>109</v>
      </c>
      <c r="W480" t="s">
        <v>110</v>
      </c>
      <c r="X480" t="s">
        <v>172</v>
      </c>
      <c r="Y480" t="s">
        <v>173</v>
      </c>
      <c r="Z480" t="s">
        <v>65</v>
      </c>
    </row>
    <row r="481" spans="1:26" x14ac:dyDescent="0.3">
      <c r="A481">
        <v>10149</v>
      </c>
      <c r="B481">
        <v>50</v>
      </c>
      <c r="C481">
        <v>100</v>
      </c>
      <c r="D481">
        <v>4</v>
      </c>
      <c r="E481">
        <v>5907.5</v>
      </c>
      <c r="F481" s="1">
        <v>37876</v>
      </c>
      <c r="G481" t="s">
        <v>39</v>
      </c>
      <c r="H481">
        <v>3</v>
      </c>
      <c r="I481">
        <v>9</v>
      </c>
      <c r="J481" t="str">
        <f>TEXT(DATE(2012,Table1[[#This Row],[MONTH_ID]],10),"mmm")</f>
        <v>Sep</v>
      </c>
      <c r="K481">
        <v>2003</v>
      </c>
      <c r="L481" t="s">
        <v>564</v>
      </c>
      <c r="M481">
        <v>102</v>
      </c>
      <c r="N481" t="s">
        <v>565</v>
      </c>
      <c r="O481" t="s">
        <v>540</v>
      </c>
      <c r="P481">
        <v>4155554312</v>
      </c>
      <c r="Q481" t="s">
        <v>541</v>
      </c>
      <c r="S481" t="s">
        <v>542</v>
      </c>
      <c r="T481" t="s">
        <v>69</v>
      </c>
      <c r="U481">
        <v>94217</v>
      </c>
      <c r="V481" t="s">
        <v>46</v>
      </c>
      <c r="W481" t="s">
        <v>47</v>
      </c>
      <c r="X481" t="s">
        <v>543</v>
      </c>
      <c r="Y481" t="s">
        <v>414</v>
      </c>
      <c r="Z481" t="s">
        <v>65</v>
      </c>
    </row>
    <row r="482" spans="1:26" x14ac:dyDescent="0.3">
      <c r="A482">
        <v>10162</v>
      </c>
      <c r="B482">
        <v>48</v>
      </c>
      <c r="C482">
        <v>91.44</v>
      </c>
      <c r="D482">
        <v>2</v>
      </c>
      <c r="E482">
        <v>4389.12</v>
      </c>
      <c r="F482" s="1">
        <v>37912</v>
      </c>
      <c r="G482" t="s">
        <v>39</v>
      </c>
      <c r="H482">
        <v>4</v>
      </c>
      <c r="I482">
        <v>10</v>
      </c>
      <c r="J482" t="str">
        <f>TEXT(DATE(2012,Table1[[#This Row],[MONTH_ID]],10),"mmm")</f>
        <v>Oct</v>
      </c>
      <c r="K482">
        <v>2003</v>
      </c>
      <c r="L482" t="s">
        <v>564</v>
      </c>
      <c r="M482">
        <v>102</v>
      </c>
      <c r="N482" t="s">
        <v>565</v>
      </c>
      <c r="O482" t="s">
        <v>72</v>
      </c>
      <c r="P482">
        <v>6505551386</v>
      </c>
      <c r="Q482" t="s">
        <v>73</v>
      </c>
      <c r="S482" t="s">
        <v>74</v>
      </c>
      <c r="T482" t="s">
        <v>69</v>
      </c>
      <c r="V482" t="s">
        <v>46</v>
      </c>
      <c r="W482" t="s">
        <v>47</v>
      </c>
      <c r="X482" t="s">
        <v>75</v>
      </c>
      <c r="Y482" t="s">
        <v>71</v>
      </c>
      <c r="Z482" t="s">
        <v>65</v>
      </c>
    </row>
    <row r="483" spans="1:26" x14ac:dyDescent="0.3">
      <c r="A483">
        <v>10173</v>
      </c>
      <c r="B483">
        <v>43</v>
      </c>
      <c r="C483">
        <v>100</v>
      </c>
      <c r="D483">
        <v>6</v>
      </c>
      <c r="E483">
        <v>5036.16</v>
      </c>
      <c r="F483" s="1">
        <v>37930</v>
      </c>
      <c r="G483" t="s">
        <v>39</v>
      </c>
      <c r="H483">
        <v>4</v>
      </c>
      <c r="I483">
        <v>11</v>
      </c>
      <c r="J483" t="str">
        <f>TEXT(DATE(2012,Table1[[#This Row],[MONTH_ID]],10),"mmm")</f>
        <v>Nov</v>
      </c>
      <c r="K483">
        <v>2003</v>
      </c>
      <c r="L483" t="s">
        <v>564</v>
      </c>
      <c r="M483">
        <v>102</v>
      </c>
      <c r="N483" t="s">
        <v>565</v>
      </c>
      <c r="O483" t="s">
        <v>566</v>
      </c>
      <c r="P483" t="s">
        <v>567</v>
      </c>
      <c r="Q483" t="s">
        <v>568</v>
      </c>
      <c r="S483" t="s">
        <v>569</v>
      </c>
      <c r="U483">
        <v>24100</v>
      </c>
      <c r="V483" t="s">
        <v>272</v>
      </c>
      <c r="W483" t="s">
        <v>56</v>
      </c>
      <c r="X483" t="s">
        <v>570</v>
      </c>
      <c r="Y483" t="s">
        <v>571</v>
      </c>
      <c r="Z483" t="s">
        <v>65</v>
      </c>
    </row>
    <row r="484" spans="1:26" x14ac:dyDescent="0.3">
      <c r="A484">
        <v>10182</v>
      </c>
      <c r="B484">
        <v>25</v>
      </c>
      <c r="C484">
        <v>87.33</v>
      </c>
      <c r="D484">
        <v>3</v>
      </c>
      <c r="E484">
        <v>2183.25</v>
      </c>
      <c r="F484" s="1">
        <v>37937</v>
      </c>
      <c r="G484" t="s">
        <v>39</v>
      </c>
      <c r="H484">
        <v>4</v>
      </c>
      <c r="I484">
        <v>11</v>
      </c>
      <c r="J484" t="str">
        <f>TEXT(DATE(2012,Table1[[#This Row],[MONTH_ID]],10),"mmm")</f>
        <v>Nov</v>
      </c>
      <c r="K484">
        <v>2003</v>
      </c>
      <c r="L484" t="s">
        <v>564</v>
      </c>
      <c r="M484">
        <v>102</v>
      </c>
      <c r="N484" t="s">
        <v>565</v>
      </c>
      <c r="O484" t="s">
        <v>286</v>
      </c>
      <c r="P484">
        <v>4155551450</v>
      </c>
      <c r="Q484" t="s">
        <v>287</v>
      </c>
      <c r="S484" t="s">
        <v>288</v>
      </c>
      <c r="T484" t="s">
        <v>69</v>
      </c>
      <c r="U484">
        <v>97562</v>
      </c>
      <c r="V484" t="s">
        <v>46</v>
      </c>
      <c r="W484" t="s">
        <v>47</v>
      </c>
      <c r="X484" t="s">
        <v>289</v>
      </c>
      <c r="Y484" t="s">
        <v>290</v>
      </c>
      <c r="Z484" t="s">
        <v>50</v>
      </c>
    </row>
    <row r="485" spans="1:26" x14ac:dyDescent="0.3">
      <c r="A485">
        <v>10193</v>
      </c>
      <c r="B485">
        <v>28</v>
      </c>
      <c r="C485">
        <v>100</v>
      </c>
      <c r="D485">
        <v>7</v>
      </c>
      <c r="E485">
        <v>3106.88</v>
      </c>
      <c r="F485" s="1">
        <v>37946</v>
      </c>
      <c r="G485" t="s">
        <v>39</v>
      </c>
      <c r="H485">
        <v>4</v>
      </c>
      <c r="I485">
        <v>11</v>
      </c>
      <c r="J485" t="str">
        <f>TEXT(DATE(2012,Table1[[#This Row],[MONTH_ID]],10),"mmm")</f>
        <v>Nov</v>
      </c>
      <c r="K485">
        <v>2003</v>
      </c>
      <c r="L485" t="s">
        <v>564</v>
      </c>
      <c r="M485">
        <v>102</v>
      </c>
      <c r="N485" t="s">
        <v>565</v>
      </c>
      <c r="O485" t="s">
        <v>572</v>
      </c>
      <c r="P485" t="s">
        <v>573</v>
      </c>
      <c r="Q485" t="s">
        <v>574</v>
      </c>
      <c r="S485" t="s">
        <v>575</v>
      </c>
      <c r="T485" t="s">
        <v>108</v>
      </c>
      <c r="U485">
        <v>3150</v>
      </c>
      <c r="V485" t="s">
        <v>109</v>
      </c>
      <c r="W485" t="s">
        <v>110</v>
      </c>
      <c r="X485" t="s">
        <v>576</v>
      </c>
      <c r="Y485" t="s">
        <v>577</v>
      </c>
      <c r="Z485" t="s">
        <v>65</v>
      </c>
    </row>
    <row r="486" spans="1:26" x14ac:dyDescent="0.3">
      <c r="A486">
        <v>10205</v>
      </c>
      <c r="B486">
        <v>36</v>
      </c>
      <c r="C486">
        <v>100</v>
      </c>
      <c r="D486">
        <v>2</v>
      </c>
      <c r="E486">
        <v>3735.72</v>
      </c>
      <c r="F486" s="1">
        <v>37958</v>
      </c>
      <c r="G486" t="s">
        <v>39</v>
      </c>
      <c r="H486">
        <v>4</v>
      </c>
      <c r="I486">
        <v>12</v>
      </c>
      <c r="J486" t="str">
        <f>TEXT(DATE(2012,Table1[[#This Row],[MONTH_ID]],10),"mmm")</f>
        <v>Dec</v>
      </c>
      <c r="K486">
        <v>2003</v>
      </c>
      <c r="L486" t="s">
        <v>564</v>
      </c>
      <c r="M486">
        <v>102</v>
      </c>
      <c r="N486" t="s">
        <v>565</v>
      </c>
      <c r="O486" t="s">
        <v>188</v>
      </c>
      <c r="P486" t="s">
        <v>189</v>
      </c>
      <c r="Q486" t="s">
        <v>190</v>
      </c>
      <c r="S486" t="s">
        <v>191</v>
      </c>
      <c r="U486">
        <v>28034</v>
      </c>
      <c r="V486" t="s">
        <v>192</v>
      </c>
      <c r="W486" t="s">
        <v>56</v>
      </c>
      <c r="X486" t="s">
        <v>193</v>
      </c>
      <c r="Y486" t="s">
        <v>194</v>
      </c>
      <c r="Z486" t="s">
        <v>65</v>
      </c>
    </row>
    <row r="487" spans="1:26" x14ac:dyDescent="0.3">
      <c r="A487">
        <v>10215</v>
      </c>
      <c r="B487">
        <v>27</v>
      </c>
      <c r="C487">
        <v>89.38</v>
      </c>
      <c r="D487">
        <v>10</v>
      </c>
      <c r="E487">
        <v>2413.2600000000002</v>
      </c>
      <c r="F487" s="1">
        <v>38015</v>
      </c>
      <c r="G487" t="s">
        <v>39</v>
      </c>
      <c r="H487">
        <v>1</v>
      </c>
      <c r="I487">
        <v>1</v>
      </c>
      <c r="J487" t="str">
        <f>TEXT(DATE(2012,Table1[[#This Row],[MONTH_ID]],10),"mmm")</f>
        <v>Jan</v>
      </c>
      <c r="K487">
        <v>2004</v>
      </c>
      <c r="L487" t="s">
        <v>564</v>
      </c>
      <c r="M487">
        <v>102</v>
      </c>
      <c r="N487" t="s">
        <v>565</v>
      </c>
      <c r="O487" t="s">
        <v>248</v>
      </c>
      <c r="P487">
        <v>3105553722</v>
      </c>
      <c r="Q487" t="s">
        <v>249</v>
      </c>
      <c r="S487" t="s">
        <v>250</v>
      </c>
      <c r="T487" t="s">
        <v>69</v>
      </c>
      <c r="U487">
        <v>94019</v>
      </c>
      <c r="V487" t="s">
        <v>46</v>
      </c>
      <c r="W487" t="s">
        <v>47</v>
      </c>
      <c r="X487" t="s">
        <v>251</v>
      </c>
      <c r="Y487" t="s">
        <v>252</v>
      </c>
      <c r="Z487" t="s">
        <v>50</v>
      </c>
    </row>
    <row r="488" spans="1:26" x14ac:dyDescent="0.3">
      <c r="A488">
        <v>10227</v>
      </c>
      <c r="B488">
        <v>25</v>
      </c>
      <c r="C488">
        <v>100</v>
      </c>
      <c r="D488">
        <v>3</v>
      </c>
      <c r="E488">
        <v>2953.75</v>
      </c>
      <c r="F488" s="1">
        <v>38048</v>
      </c>
      <c r="G488" t="s">
        <v>39</v>
      </c>
      <c r="H488">
        <v>1</v>
      </c>
      <c r="I488">
        <v>3</v>
      </c>
      <c r="J488" t="str">
        <f>TEXT(DATE(2012,Table1[[#This Row],[MONTH_ID]],10),"mmm")</f>
        <v>Mar</v>
      </c>
      <c r="K488">
        <v>2004</v>
      </c>
      <c r="L488" t="s">
        <v>564</v>
      </c>
      <c r="M488">
        <v>102</v>
      </c>
      <c r="N488" t="s">
        <v>565</v>
      </c>
      <c r="O488" t="s">
        <v>233</v>
      </c>
      <c r="P488" t="s">
        <v>234</v>
      </c>
      <c r="Q488" t="s">
        <v>235</v>
      </c>
      <c r="S488" t="s">
        <v>236</v>
      </c>
      <c r="U488">
        <v>69004</v>
      </c>
      <c r="V488" t="s">
        <v>55</v>
      </c>
      <c r="W488" t="s">
        <v>56</v>
      </c>
      <c r="X488" t="s">
        <v>237</v>
      </c>
      <c r="Y488" t="s">
        <v>238</v>
      </c>
      <c r="Z488" t="s">
        <v>50</v>
      </c>
    </row>
    <row r="489" spans="1:26" x14ac:dyDescent="0.3">
      <c r="A489">
        <v>10244</v>
      </c>
      <c r="B489">
        <v>40</v>
      </c>
      <c r="C489">
        <v>100</v>
      </c>
      <c r="D489">
        <v>7</v>
      </c>
      <c r="E489">
        <v>4684.8</v>
      </c>
      <c r="F489" s="1">
        <v>38106</v>
      </c>
      <c r="G489" t="s">
        <v>39</v>
      </c>
      <c r="H489">
        <v>2</v>
      </c>
      <c r="I489">
        <v>4</v>
      </c>
      <c r="J489" t="str">
        <f>TEXT(DATE(2012,Table1[[#This Row],[MONTH_ID]],10),"mmm")</f>
        <v>Apr</v>
      </c>
      <c r="K489">
        <v>2004</v>
      </c>
      <c r="L489" t="s">
        <v>564</v>
      </c>
      <c r="M489">
        <v>102</v>
      </c>
      <c r="N489" t="s">
        <v>565</v>
      </c>
      <c r="O489" t="s">
        <v>188</v>
      </c>
      <c r="P489" t="s">
        <v>189</v>
      </c>
      <c r="Q489" t="s">
        <v>190</v>
      </c>
      <c r="S489" t="s">
        <v>191</v>
      </c>
      <c r="U489">
        <v>28034</v>
      </c>
      <c r="V489" t="s">
        <v>192</v>
      </c>
      <c r="W489" t="s">
        <v>56</v>
      </c>
      <c r="X489" t="s">
        <v>193</v>
      </c>
      <c r="Y489" t="s">
        <v>194</v>
      </c>
      <c r="Z489" t="s">
        <v>65</v>
      </c>
    </row>
    <row r="490" spans="1:26" x14ac:dyDescent="0.3">
      <c r="A490">
        <v>10256</v>
      </c>
      <c r="B490">
        <v>34</v>
      </c>
      <c r="C490">
        <v>95.55</v>
      </c>
      <c r="D490">
        <v>2</v>
      </c>
      <c r="E490">
        <v>3248.7</v>
      </c>
      <c r="F490" s="1">
        <v>38146</v>
      </c>
      <c r="G490" t="s">
        <v>39</v>
      </c>
      <c r="H490">
        <v>2</v>
      </c>
      <c r="I490">
        <v>6</v>
      </c>
      <c r="J490" t="str">
        <f>TEXT(DATE(2012,Table1[[#This Row],[MONTH_ID]],10),"mmm")</f>
        <v>Jun</v>
      </c>
      <c r="K490">
        <v>2004</v>
      </c>
      <c r="L490" t="s">
        <v>564</v>
      </c>
      <c r="M490">
        <v>102</v>
      </c>
      <c r="N490" t="s">
        <v>565</v>
      </c>
      <c r="O490" t="s">
        <v>336</v>
      </c>
      <c r="P490" t="s">
        <v>337</v>
      </c>
      <c r="Q490" t="s">
        <v>338</v>
      </c>
      <c r="S490" t="s">
        <v>339</v>
      </c>
      <c r="U490">
        <v>1734</v>
      </c>
      <c r="V490" t="s">
        <v>340</v>
      </c>
      <c r="W490" t="s">
        <v>56</v>
      </c>
      <c r="X490" t="s">
        <v>341</v>
      </c>
      <c r="Y490" t="s">
        <v>342</v>
      </c>
      <c r="Z490" t="s">
        <v>65</v>
      </c>
    </row>
    <row r="491" spans="1:26" x14ac:dyDescent="0.3">
      <c r="A491">
        <v>10280</v>
      </c>
      <c r="B491">
        <v>50</v>
      </c>
      <c r="C491">
        <v>100</v>
      </c>
      <c r="D491">
        <v>9</v>
      </c>
      <c r="E491">
        <v>5239.5</v>
      </c>
      <c r="F491" s="1">
        <v>38216</v>
      </c>
      <c r="G491" t="s">
        <v>39</v>
      </c>
      <c r="H491">
        <v>3</v>
      </c>
      <c r="I491">
        <v>8</v>
      </c>
      <c r="J491" t="str">
        <f>TEXT(DATE(2012,Table1[[#This Row],[MONTH_ID]],10),"mmm")</f>
        <v>Aug</v>
      </c>
      <c r="K491">
        <v>2004</v>
      </c>
      <c r="L491" t="s">
        <v>564</v>
      </c>
      <c r="M491">
        <v>102</v>
      </c>
      <c r="N491" t="s">
        <v>565</v>
      </c>
      <c r="O491" t="s">
        <v>268</v>
      </c>
      <c r="P491" t="s">
        <v>269</v>
      </c>
      <c r="Q491" t="s">
        <v>270</v>
      </c>
      <c r="S491" t="s">
        <v>271</v>
      </c>
      <c r="U491">
        <v>10100</v>
      </c>
      <c r="V491" t="s">
        <v>272</v>
      </c>
      <c r="W491" t="s">
        <v>56</v>
      </c>
      <c r="X491" t="s">
        <v>273</v>
      </c>
      <c r="Y491" t="s">
        <v>274</v>
      </c>
      <c r="Z491" t="s">
        <v>65</v>
      </c>
    </row>
    <row r="492" spans="1:26" x14ac:dyDescent="0.3">
      <c r="A492">
        <v>10289</v>
      </c>
      <c r="B492">
        <v>38</v>
      </c>
      <c r="C492">
        <v>100</v>
      </c>
      <c r="D492">
        <v>2</v>
      </c>
      <c r="E492">
        <v>4567.9799999999996</v>
      </c>
      <c r="F492" s="1">
        <v>38233</v>
      </c>
      <c r="G492" t="s">
        <v>39</v>
      </c>
      <c r="H492">
        <v>3</v>
      </c>
      <c r="I492">
        <v>9</v>
      </c>
      <c r="J492" t="str">
        <f>TEXT(DATE(2012,Table1[[#This Row],[MONTH_ID]],10),"mmm")</f>
        <v>Sep</v>
      </c>
      <c r="K492">
        <v>2004</v>
      </c>
      <c r="L492" t="s">
        <v>564</v>
      </c>
      <c r="M492">
        <v>102</v>
      </c>
      <c r="N492" t="s">
        <v>565</v>
      </c>
      <c r="O492" t="s">
        <v>87</v>
      </c>
      <c r="P492" t="s">
        <v>88</v>
      </c>
      <c r="Q492" t="s">
        <v>89</v>
      </c>
      <c r="S492" t="s">
        <v>90</v>
      </c>
      <c r="U492" t="s">
        <v>91</v>
      </c>
      <c r="V492" t="s">
        <v>92</v>
      </c>
      <c r="W492" t="s">
        <v>56</v>
      </c>
      <c r="X492" t="s">
        <v>93</v>
      </c>
      <c r="Y492" t="s">
        <v>94</v>
      </c>
      <c r="Z492" t="s">
        <v>65</v>
      </c>
    </row>
    <row r="493" spans="1:26" x14ac:dyDescent="0.3">
      <c r="A493">
        <v>10304</v>
      </c>
      <c r="B493">
        <v>37</v>
      </c>
      <c r="C493">
        <v>95.55</v>
      </c>
      <c r="D493">
        <v>13</v>
      </c>
      <c r="E493">
        <v>3535.35</v>
      </c>
      <c r="F493" s="1">
        <v>38271</v>
      </c>
      <c r="G493" t="s">
        <v>39</v>
      </c>
      <c r="H493">
        <v>4</v>
      </c>
      <c r="I493">
        <v>10</v>
      </c>
      <c r="J493" t="str">
        <f>TEXT(DATE(2012,Table1[[#This Row],[MONTH_ID]],10),"mmm")</f>
        <v>Oct</v>
      </c>
      <c r="K493">
        <v>2004</v>
      </c>
      <c r="L493" t="s">
        <v>564</v>
      </c>
      <c r="M493">
        <v>102</v>
      </c>
      <c r="N493" t="s">
        <v>565</v>
      </c>
      <c r="O493" t="s">
        <v>281</v>
      </c>
      <c r="P493" t="s">
        <v>282</v>
      </c>
      <c r="Q493" t="s">
        <v>283</v>
      </c>
      <c r="S493" t="s">
        <v>284</v>
      </c>
      <c r="U493">
        <v>78000</v>
      </c>
      <c r="V493" t="s">
        <v>55</v>
      </c>
      <c r="W493" t="s">
        <v>56</v>
      </c>
      <c r="X493" t="s">
        <v>285</v>
      </c>
      <c r="Y493" t="s">
        <v>64</v>
      </c>
      <c r="Z493" t="s">
        <v>65</v>
      </c>
    </row>
    <row r="494" spans="1:26" x14ac:dyDescent="0.3">
      <c r="A494">
        <v>10312</v>
      </c>
      <c r="B494">
        <v>43</v>
      </c>
      <c r="C494">
        <v>89.38</v>
      </c>
      <c r="D494">
        <v>10</v>
      </c>
      <c r="E494">
        <v>3843.34</v>
      </c>
      <c r="F494" s="1">
        <v>38281</v>
      </c>
      <c r="G494" t="s">
        <v>39</v>
      </c>
      <c r="H494">
        <v>4</v>
      </c>
      <c r="I494">
        <v>10</v>
      </c>
      <c r="J494" t="str">
        <f>TEXT(DATE(2012,Table1[[#This Row],[MONTH_ID]],10),"mmm")</f>
        <v>Oct</v>
      </c>
      <c r="K494">
        <v>2004</v>
      </c>
      <c r="L494" t="s">
        <v>564</v>
      </c>
      <c r="M494">
        <v>102</v>
      </c>
      <c r="N494" t="s">
        <v>565</v>
      </c>
      <c r="O494" t="s">
        <v>286</v>
      </c>
      <c r="P494">
        <v>4155551450</v>
      </c>
      <c r="Q494" t="s">
        <v>287</v>
      </c>
      <c r="S494" t="s">
        <v>288</v>
      </c>
      <c r="T494" t="s">
        <v>69</v>
      </c>
      <c r="U494">
        <v>97562</v>
      </c>
      <c r="V494" t="s">
        <v>46</v>
      </c>
      <c r="W494" t="s">
        <v>47</v>
      </c>
      <c r="X494" t="s">
        <v>289</v>
      </c>
      <c r="Y494" t="s">
        <v>290</v>
      </c>
      <c r="Z494" t="s">
        <v>65</v>
      </c>
    </row>
    <row r="495" spans="1:26" x14ac:dyDescent="0.3">
      <c r="A495">
        <v>10322</v>
      </c>
      <c r="B495">
        <v>43</v>
      </c>
      <c r="C495">
        <v>86.3</v>
      </c>
      <c r="D495">
        <v>14</v>
      </c>
      <c r="E495">
        <v>3710.9</v>
      </c>
      <c r="F495" s="1">
        <v>38295</v>
      </c>
      <c r="G495" t="s">
        <v>39</v>
      </c>
      <c r="H495">
        <v>4</v>
      </c>
      <c r="I495">
        <v>11</v>
      </c>
      <c r="J495" t="str">
        <f>TEXT(DATE(2012,Table1[[#This Row],[MONTH_ID]],10),"mmm")</f>
        <v>Nov</v>
      </c>
      <c r="K495">
        <v>2004</v>
      </c>
      <c r="L495" t="s">
        <v>564</v>
      </c>
      <c r="M495">
        <v>102</v>
      </c>
      <c r="N495" t="s">
        <v>565</v>
      </c>
      <c r="O495" t="s">
        <v>291</v>
      </c>
      <c r="P495">
        <v>6035558647</v>
      </c>
      <c r="Q495" t="s">
        <v>292</v>
      </c>
      <c r="S495" t="s">
        <v>293</v>
      </c>
      <c r="T495" t="s">
        <v>294</v>
      </c>
      <c r="U495">
        <v>62005</v>
      </c>
      <c r="V495" t="s">
        <v>46</v>
      </c>
      <c r="W495" t="s">
        <v>47</v>
      </c>
      <c r="X495" t="s">
        <v>70</v>
      </c>
      <c r="Y495" t="s">
        <v>290</v>
      </c>
      <c r="Z495" t="s">
        <v>65</v>
      </c>
    </row>
    <row r="496" spans="1:26" x14ac:dyDescent="0.3">
      <c r="A496">
        <v>10332</v>
      </c>
      <c r="B496">
        <v>46</v>
      </c>
      <c r="C496">
        <v>95.13</v>
      </c>
      <c r="D496">
        <v>15</v>
      </c>
      <c r="E496">
        <v>4375.9799999999996</v>
      </c>
      <c r="F496" s="1">
        <v>38308</v>
      </c>
      <c r="G496" t="s">
        <v>39</v>
      </c>
      <c r="H496">
        <v>4</v>
      </c>
      <c r="I496">
        <v>11</v>
      </c>
      <c r="J496" t="str">
        <f>TEXT(DATE(2012,Table1[[#This Row],[MONTH_ID]],10),"mmm")</f>
        <v>Nov</v>
      </c>
      <c r="K496">
        <v>2004</v>
      </c>
      <c r="L496" t="s">
        <v>564</v>
      </c>
      <c r="M496">
        <v>102</v>
      </c>
      <c r="N496" t="s">
        <v>565</v>
      </c>
      <c r="O496" t="s">
        <v>506</v>
      </c>
      <c r="P496" t="s">
        <v>507</v>
      </c>
      <c r="Q496" t="s">
        <v>508</v>
      </c>
      <c r="S496" t="s">
        <v>509</v>
      </c>
      <c r="U496" t="s">
        <v>510</v>
      </c>
      <c r="V496" t="s">
        <v>184</v>
      </c>
      <c r="W496" t="s">
        <v>56</v>
      </c>
      <c r="X496" t="s">
        <v>511</v>
      </c>
      <c r="Y496" t="s">
        <v>108</v>
      </c>
      <c r="Z496" t="s">
        <v>65</v>
      </c>
    </row>
    <row r="497" spans="1:26" x14ac:dyDescent="0.3">
      <c r="A497">
        <v>10346</v>
      </c>
      <c r="B497">
        <v>42</v>
      </c>
      <c r="C497">
        <v>36.11</v>
      </c>
      <c r="D497">
        <v>3</v>
      </c>
      <c r="E497">
        <v>1516.62</v>
      </c>
      <c r="F497" s="1">
        <v>38320</v>
      </c>
      <c r="G497" t="s">
        <v>39</v>
      </c>
      <c r="H497">
        <v>4</v>
      </c>
      <c r="I497">
        <v>11</v>
      </c>
      <c r="J497" t="str">
        <f>TEXT(DATE(2012,Table1[[#This Row],[MONTH_ID]],10),"mmm")</f>
        <v>Nov</v>
      </c>
      <c r="K497">
        <v>2004</v>
      </c>
      <c r="L497" t="s">
        <v>564</v>
      </c>
      <c r="M497">
        <v>102</v>
      </c>
      <c r="N497" t="s">
        <v>565</v>
      </c>
      <c r="O497" t="s">
        <v>553</v>
      </c>
      <c r="P497">
        <v>7025551838</v>
      </c>
      <c r="Q497" t="s">
        <v>554</v>
      </c>
      <c r="S497" t="s">
        <v>555</v>
      </c>
      <c r="T497" t="s">
        <v>556</v>
      </c>
      <c r="U497">
        <v>83030</v>
      </c>
      <c r="V497" t="s">
        <v>46</v>
      </c>
      <c r="W497" t="s">
        <v>47</v>
      </c>
      <c r="X497" t="s">
        <v>127</v>
      </c>
      <c r="Y497" t="s">
        <v>414</v>
      </c>
      <c r="Z497" t="s">
        <v>50</v>
      </c>
    </row>
    <row r="498" spans="1:26" x14ac:dyDescent="0.3">
      <c r="A498">
        <v>10356</v>
      </c>
      <c r="B498">
        <v>50</v>
      </c>
      <c r="C498">
        <v>50.18</v>
      </c>
      <c r="D498">
        <v>9</v>
      </c>
      <c r="E498">
        <v>2509</v>
      </c>
      <c r="F498" s="1">
        <v>38330</v>
      </c>
      <c r="G498" t="s">
        <v>39</v>
      </c>
      <c r="H498">
        <v>4</v>
      </c>
      <c r="I498">
        <v>12</v>
      </c>
      <c r="J498" t="str">
        <f>TEXT(DATE(2012,Table1[[#This Row],[MONTH_ID]],10),"mmm")</f>
        <v>Dec</v>
      </c>
      <c r="K498">
        <v>2004</v>
      </c>
      <c r="L498" t="s">
        <v>564</v>
      </c>
      <c r="M498">
        <v>102</v>
      </c>
      <c r="N498" t="s">
        <v>565</v>
      </c>
      <c r="O498" t="s">
        <v>59</v>
      </c>
      <c r="P498" t="s">
        <v>60</v>
      </c>
      <c r="Q498" t="s">
        <v>61</v>
      </c>
      <c r="S498" t="s">
        <v>62</v>
      </c>
      <c r="U498">
        <v>75508</v>
      </c>
      <c r="V498" t="s">
        <v>55</v>
      </c>
      <c r="W498" t="s">
        <v>56</v>
      </c>
      <c r="X498" t="s">
        <v>63</v>
      </c>
      <c r="Y498" t="s">
        <v>64</v>
      </c>
      <c r="Z498" t="s">
        <v>50</v>
      </c>
    </row>
    <row r="499" spans="1:26" x14ac:dyDescent="0.3">
      <c r="A499">
        <v>10369</v>
      </c>
      <c r="B499">
        <v>44</v>
      </c>
      <c r="C499">
        <v>100</v>
      </c>
      <c r="D499">
        <v>8</v>
      </c>
      <c r="E499">
        <v>9240.44</v>
      </c>
      <c r="F499" s="1">
        <v>38372</v>
      </c>
      <c r="G499" t="s">
        <v>39</v>
      </c>
      <c r="H499">
        <v>1</v>
      </c>
      <c r="I499">
        <v>1</v>
      </c>
      <c r="J499" t="str">
        <f>TEXT(DATE(2012,Table1[[#This Row],[MONTH_ID]],10),"mmm")</f>
        <v>Jan</v>
      </c>
      <c r="K499">
        <v>2005</v>
      </c>
      <c r="L499" t="s">
        <v>564</v>
      </c>
      <c r="M499">
        <v>102</v>
      </c>
      <c r="N499" t="s">
        <v>565</v>
      </c>
      <c r="O499" t="s">
        <v>295</v>
      </c>
      <c r="P499">
        <v>6175558555</v>
      </c>
      <c r="Q499" t="s">
        <v>296</v>
      </c>
      <c r="S499" t="s">
        <v>297</v>
      </c>
      <c r="T499" t="s">
        <v>137</v>
      </c>
      <c r="U499">
        <v>58339</v>
      </c>
      <c r="V499" t="s">
        <v>46</v>
      </c>
      <c r="W499" t="s">
        <v>47</v>
      </c>
      <c r="X499" t="s">
        <v>289</v>
      </c>
      <c r="Y499" t="s">
        <v>298</v>
      </c>
      <c r="Z499" t="s">
        <v>165</v>
      </c>
    </row>
    <row r="500" spans="1:26" x14ac:dyDescent="0.3">
      <c r="A500">
        <v>10380</v>
      </c>
      <c r="B500">
        <v>27</v>
      </c>
      <c r="C500">
        <v>93.16</v>
      </c>
      <c r="D500">
        <v>13</v>
      </c>
      <c r="E500">
        <v>2515.3200000000002</v>
      </c>
      <c r="F500" s="1">
        <v>38399</v>
      </c>
      <c r="G500" t="s">
        <v>39</v>
      </c>
      <c r="H500">
        <v>1</v>
      </c>
      <c r="I500">
        <v>2</v>
      </c>
      <c r="J500" t="str">
        <f>TEXT(DATE(2012,Table1[[#This Row],[MONTH_ID]],10),"mmm")</f>
        <v>Feb</v>
      </c>
      <c r="K500">
        <v>2005</v>
      </c>
      <c r="L500" t="s">
        <v>564</v>
      </c>
      <c r="M500">
        <v>102</v>
      </c>
      <c r="N500" t="s">
        <v>565</v>
      </c>
      <c r="O500" t="s">
        <v>188</v>
      </c>
      <c r="P500" t="s">
        <v>189</v>
      </c>
      <c r="Q500" t="s">
        <v>190</v>
      </c>
      <c r="S500" t="s">
        <v>191</v>
      </c>
      <c r="U500">
        <v>28034</v>
      </c>
      <c r="V500" t="s">
        <v>192</v>
      </c>
      <c r="W500" t="s">
        <v>56</v>
      </c>
      <c r="X500" t="s">
        <v>193</v>
      </c>
      <c r="Y500" t="s">
        <v>194</v>
      </c>
      <c r="Z500" t="s">
        <v>50</v>
      </c>
    </row>
    <row r="501" spans="1:26" x14ac:dyDescent="0.3">
      <c r="A501">
        <v>10391</v>
      </c>
      <c r="B501">
        <v>35</v>
      </c>
      <c r="C501">
        <v>100</v>
      </c>
      <c r="D501">
        <v>2</v>
      </c>
      <c r="E501">
        <v>5548.9</v>
      </c>
      <c r="F501" s="1">
        <v>38420</v>
      </c>
      <c r="G501" t="s">
        <v>39</v>
      </c>
      <c r="H501">
        <v>1</v>
      </c>
      <c r="I501">
        <v>3</v>
      </c>
      <c r="J501" t="str">
        <f>TEXT(DATE(2012,Table1[[#This Row],[MONTH_ID]],10),"mmm")</f>
        <v>Mar</v>
      </c>
      <c r="K501">
        <v>2005</v>
      </c>
      <c r="L501" t="s">
        <v>564</v>
      </c>
      <c r="M501">
        <v>102</v>
      </c>
      <c r="N501" t="s">
        <v>565</v>
      </c>
      <c r="O501" t="s">
        <v>299</v>
      </c>
      <c r="P501" t="s">
        <v>300</v>
      </c>
      <c r="Q501" t="s">
        <v>301</v>
      </c>
      <c r="R501" t="s">
        <v>302</v>
      </c>
      <c r="S501" t="s">
        <v>303</v>
      </c>
      <c r="T501" t="s">
        <v>171</v>
      </c>
      <c r="U501">
        <v>2060</v>
      </c>
      <c r="V501" t="s">
        <v>109</v>
      </c>
      <c r="W501" t="s">
        <v>110</v>
      </c>
      <c r="X501" t="s">
        <v>304</v>
      </c>
      <c r="Y501" t="s">
        <v>305</v>
      </c>
      <c r="Z501" t="s">
        <v>65</v>
      </c>
    </row>
    <row r="502" spans="1:26" x14ac:dyDescent="0.3">
      <c r="A502">
        <v>10422</v>
      </c>
      <c r="B502">
        <v>51</v>
      </c>
      <c r="C502">
        <v>95.55</v>
      </c>
      <c r="D502">
        <v>2</v>
      </c>
      <c r="E502">
        <v>4873.05</v>
      </c>
      <c r="F502" s="1">
        <v>38502</v>
      </c>
      <c r="G502" t="s">
        <v>314</v>
      </c>
      <c r="H502">
        <v>2</v>
      </c>
      <c r="I502">
        <v>5</v>
      </c>
      <c r="J502" t="str">
        <f>TEXT(DATE(2012,Table1[[#This Row],[MONTH_ID]],10),"mmm")</f>
        <v>May</v>
      </c>
      <c r="K502">
        <v>2005</v>
      </c>
      <c r="L502" t="s">
        <v>564</v>
      </c>
      <c r="M502">
        <v>102</v>
      </c>
      <c r="N502" t="s">
        <v>565</v>
      </c>
      <c r="O502" t="s">
        <v>153</v>
      </c>
      <c r="P502">
        <v>2155551555</v>
      </c>
      <c r="Q502" t="s">
        <v>154</v>
      </c>
      <c r="S502" t="s">
        <v>155</v>
      </c>
      <c r="T502" t="s">
        <v>156</v>
      </c>
      <c r="U502">
        <v>70267</v>
      </c>
      <c r="V502" t="s">
        <v>46</v>
      </c>
      <c r="W502" t="s">
        <v>47</v>
      </c>
      <c r="X502" t="s">
        <v>48</v>
      </c>
      <c r="Y502" t="s">
        <v>157</v>
      </c>
      <c r="Z502" t="s">
        <v>65</v>
      </c>
    </row>
    <row r="503" spans="1:26" x14ac:dyDescent="0.3">
      <c r="A503">
        <v>10102</v>
      </c>
      <c r="B503">
        <v>41</v>
      </c>
      <c r="C503">
        <v>50.14</v>
      </c>
      <c r="D503">
        <v>1</v>
      </c>
      <c r="E503">
        <v>2055.7399999999998</v>
      </c>
      <c r="F503" s="1">
        <v>37631</v>
      </c>
      <c r="G503" t="s">
        <v>39</v>
      </c>
      <c r="H503">
        <v>1</v>
      </c>
      <c r="I503">
        <v>1</v>
      </c>
      <c r="J503" t="str">
        <f>TEXT(DATE(2012,Table1[[#This Row],[MONTH_ID]],10),"mmm")</f>
        <v>Jan</v>
      </c>
      <c r="K503">
        <v>2003</v>
      </c>
      <c r="L503" t="s">
        <v>564</v>
      </c>
      <c r="M503">
        <v>53</v>
      </c>
      <c r="N503" t="s">
        <v>578</v>
      </c>
      <c r="O503" t="s">
        <v>113</v>
      </c>
      <c r="P503">
        <v>2125551500</v>
      </c>
      <c r="Q503" t="s">
        <v>114</v>
      </c>
      <c r="R503" t="s">
        <v>115</v>
      </c>
      <c r="S503" t="s">
        <v>44</v>
      </c>
      <c r="T503" t="s">
        <v>45</v>
      </c>
      <c r="U503">
        <v>10022</v>
      </c>
      <c r="V503" t="s">
        <v>46</v>
      </c>
      <c r="W503" t="s">
        <v>47</v>
      </c>
      <c r="X503" t="s">
        <v>116</v>
      </c>
      <c r="Y503" t="s">
        <v>117</v>
      </c>
      <c r="Z503" t="s">
        <v>50</v>
      </c>
    </row>
    <row r="504" spans="1:26" x14ac:dyDescent="0.3">
      <c r="A504">
        <v>10111</v>
      </c>
      <c r="B504">
        <v>48</v>
      </c>
      <c r="C504">
        <v>49.06</v>
      </c>
      <c r="D504">
        <v>5</v>
      </c>
      <c r="E504">
        <v>2354.88</v>
      </c>
      <c r="F504" s="1">
        <v>37705</v>
      </c>
      <c r="G504" t="s">
        <v>39</v>
      </c>
      <c r="H504">
        <v>1</v>
      </c>
      <c r="I504">
        <v>3</v>
      </c>
      <c r="J504" t="str">
        <f>TEXT(DATE(2012,Table1[[#This Row],[MONTH_ID]],10),"mmm")</f>
        <v>Mar</v>
      </c>
      <c r="K504">
        <v>2003</v>
      </c>
      <c r="L504" t="s">
        <v>564</v>
      </c>
      <c r="M504">
        <v>53</v>
      </c>
      <c r="N504" t="s">
        <v>578</v>
      </c>
      <c r="O504" t="s">
        <v>95</v>
      </c>
      <c r="P504">
        <v>6505555787</v>
      </c>
      <c r="Q504" t="s">
        <v>96</v>
      </c>
      <c r="S504" t="s">
        <v>74</v>
      </c>
      <c r="T504" t="s">
        <v>69</v>
      </c>
      <c r="V504" t="s">
        <v>46</v>
      </c>
      <c r="W504" t="s">
        <v>47</v>
      </c>
      <c r="X504" t="s">
        <v>97</v>
      </c>
      <c r="Y504" t="s">
        <v>71</v>
      </c>
      <c r="Z504" t="s">
        <v>50</v>
      </c>
    </row>
    <row r="505" spans="1:26" x14ac:dyDescent="0.3">
      <c r="A505">
        <v>10126</v>
      </c>
      <c r="B505">
        <v>42</v>
      </c>
      <c r="C505">
        <v>54.99</v>
      </c>
      <c r="D505">
        <v>17</v>
      </c>
      <c r="E505">
        <v>2309.58</v>
      </c>
      <c r="F505" s="1">
        <v>37769</v>
      </c>
      <c r="G505" t="s">
        <v>39</v>
      </c>
      <c r="H505">
        <v>2</v>
      </c>
      <c r="I505">
        <v>5</v>
      </c>
      <c r="J505" t="str">
        <f>TEXT(DATE(2012,Table1[[#This Row],[MONTH_ID]],10),"mmm")</f>
        <v>May</v>
      </c>
      <c r="K505">
        <v>2003</v>
      </c>
      <c r="L505" t="s">
        <v>564</v>
      </c>
      <c r="M505">
        <v>53</v>
      </c>
      <c r="N505" t="s">
        <v>578</v>
      </c>
      <c r="O505" t="s">
        <v>205</v>
      </c>
      <c r="P505" t="s">
        <v>206</v>
      </c>
      <c r="Q505" t="s">
        <v>207</v>
      </c>
      <c r="S505" t="s">
        <v>191</v>
      </c>
      <c r="U505">
        <v>28023</v>
      </c>
      <c r="V505" t="s">
        <v>192</v>
      </c>
      <c r="W505" t="s">
        <v>56</v>
      </c>
      <c r="X505" t="s">
        <v>208</v>
      </c>
      <c r="Y505" t="s">
        <v>209</v>
      </c>
      <c r="Z505" t="s">
        <v>50</v>
      </c>
    </row>
    <row r="506" spans="1:26" x14ac:dyDescent="0.3">
      <c r="A506">
        <v>10139</v>
      </c>
      <c r="B506">
        <v>49</v>
      </c>
      <c r="C506">
        <v>43.13</v>
      </c>
      <c r="D506">
        <v>6</v>
      </c>
      <c r="E506">
        <v>2113.37</v>
      </c>
      <c r="F506" s="1">
        <v>37818</v>
      </c>
      <c r="G506" t="s">
        <v>39</v>
      </c>
      <c r="H506">
        <v>3</v>
      </c>
      <c r="I506">
        <v>7</v>
      </c>
      <c r="J506" t="str">
        <f>TEXT(DATE(2012,Table1[[#This Row],[MONTH_ID]],10),"mmm")</f>
        <v>Jul</v>
      </c>
      <c r="K506">
        <v>2003</v>
      </c>
      <c r="L506" t="s">
        <v>564</v>
      </c>
      <c r="M506">
        <v>53</v>
      </c>
      <c r="N506" t="s">
        <v>578</v>
      </c>
      <c r="O506" t="s">
        <v>166</v>
      </c>
      <c r="P506" t="s">
        <v>167</v>
      </c>
      <c r="Q506" t="s">
        <v>168</v>
      </c>
      <c r="R506" t="s">
        <v>169</v>
      </c>
      <c r="S506" t="s">
        <v>170</v>
      </c>
      <c r="T506" t="s">
        <v>171</v>
      </c>
      <c r="U506">
        <v>2067</v>
      </c>
      <c r="V506" t="s">
        <v>109</v>
      </c>
      <c r="W506" t="s">
        <v>110</v>
      </c>
      <c r="X506" t="s">
        <v>172</v>
      </c>
      <c r="Y506" t="s">
        <v>173</v>
      </c>
      <c r="Z506" t="s">
        <v>50</v>
      </c>
    </row>
    <row r="507" spans="1:26" x14ac:dyDescent="0.3">
      <c r="A507">
        <v>10149</v>
      </c>
      <c r="B507">
        <v>30</v>
      </c>
      <c r="C507">
        <v>58.22</v>
      </c>
      <c r="D507">
        <v>3</v>
      </c>
      <c r="E507">
        <v>1746.6</v>
      </c>
      <c r="F507" s="1">
        <v>37876</v>
      </c>
      <c r="G507" t="s">
        <v>39</v>
      </c>
      <c r="H507">
        <v>3</v>
      </c>
      <c r="I507">
        <v>9</v>
      </c>
      <c r="J507" t="str">
        <f>TEXT(DATE(2012,Table1[[#This Row],[MONTH_ID]],10),"mmm")</f>
        <v>Sep</v>
      </c>
      <c r="K507">
        <v>2003</v>
      </c>
      <c r="L507" t="s">
        <v>564</v>
      </c>
      <c r="M507">
        <v>53</v>
      </c>
      <c r="N507" t="s">
        <v>578</v>
      </c>
      <c r="O507" t="s">
        <v>540</v>
      </c>
      <c r="P507">
        <v>4155554312</v>
      </c>
      <c r="Q507" t="s">
        <v>541</v>
      </c>
      <c r="S507" t="s">
        <v>542</v>
      </c>
      <c r="T507" t="s">
        <v>69</v>
      </c>
      <c r="U507">
        <v>94217</v>
      </c>
      <c r="V507" t="s">
        <v>46</v>
      </c>
      <c r="W507" t="s">
        <v>47</v>
      </c>
      <c r="X507" t="s">
        <v>543</v>
      </c>
      <c r="Y507" t="s">
        <v>414</v>
      </c>
      <c r="Z507" t="s">
        <v>50</v>
      </c>
    </row>
    <row r="508" spans="1:26" x14ac:dyDescent="0.3">
      <c r="A508">
        <v>10162</v>
      </c>
      <c r="B508">
        <v>45</v>
      </c>
      <c r="C508">
        <v>51.21</v>
      </c>
      <c r="D508">
        <v>1</v>
      </c>
      <c r="E508">
        <v>2304.4499999999998</v>
      </c>
      <c r="F508" s="1">
        <v>37912</v>
      </c>
      <c r="G508" t="s">
        <v>39</v>
      </c>
      <c r="H508">
        <v>4</v>
      </c>
      <c r="I508">
        <v>10</v>
      </c>
      <c r="J508" t="str">
        <f>TEXT(DATE(2012,Table1[[#This Row],[MONTH_ID]],10),"mmm")</f>
        <v>Oct</v>
      </c>
      <c r="K508">
        <v>2003</v>
      </c>
      <c r="L508" t="s">
        <v>564</v>
      </c>
      <c r="M508">
        <v>53</v>
      </c>
      <c r="N508" t="s">
        <v>578</v>
      </c>
      <c r="O508" t="s">
        <v>72</v>
      </c>
      <c r="P508">
        <v>6505551386</v>
      </c>
      <c r="Q508" t="s">
        <v>73</v>
      </c>
      <c r="S508" t="s">
        <v>74</v>
      </c>
      <c r="T508" t="s">
        <v>69</v>
      </c>
      <c r="V508" t="s">
        <v>46</v>
      </c>
      <c r="W508" t="s">
        <v>47</v>
      </c>
      <c r="X508" t="s">
        <v>75</v>
      </c>
      <c r="Y508" t="s">
        <v>71</v>
      </c>
      <c r="Z508" t="s">
        <v>50</v>
      </c>
    </row>
    <row r="509" spans="1:26" x14ac:dyDescent="0.3">
      <c r="A509">
        <v>10173</v>
      </c>
      <c r="B509">
        <v>48</v>
      </c>
      <c r="C509">
        <v>44.21</v>
      </c>
      <c r="D509">
        <v>5</v>
      </c>
      <c r="E509">
        <v>2122.08</v>
      </c>
      <c r="F509" s="1">
        <v>37930</v>
      </c>
      <c r="G509" t="s">
        <v>39</v>
      </c>
      <c r="H509">
        <v>4</v>
      </c>
      <c r="I509">
        <v>11</v>
      </c>
      <c r="J509" t="str">
        <f>TEXT(DATE(2012,Table1[[#This Row],[MONTH_ID]],10),"mmm")</f>
        <v>Nov</v>
      </c>
      <c r="K509">
        <v>2003</v>
      </c>
      <c r="L509" t="s">
        <v>564</v>
      </c>
      <c r="M509">
        <v>53</v>
      </c>
      <c r="N509" t="s">
        <v>578</v>
      </c>
      <c r="O509" t="s">
        <v>566</v>
      </c>
      <c r="P509" t="s">
        <v>567</v>
      </c>
      <c r="Q509" t="s">
        <v>568</v>
      </c>
      <c r="S509" t="s">
        <v>569</v>
      </c>
      <c r="U509">
        <v>24100</v>
      </c>
      <c r="V509" t="s">
        <v>272</v>
      </c>
      <c r="W509" t="s">
        <v>56</v>
      </c>
      <c r="X509" t="s">
        <v>570</v>
      </c>
      <c r="Y509" t="s">
        <v>571</v>
      </c>
      <c r="Z509" t="s">
        <v>50</v>
      </c>
    </row>
    <row r="510" spans="1:26" x14ac:dyDescent="0.3">
      <c r="A510">
        <v>10182</v>
      </c>
      <c r="B510">
        <v>32</v>
      </c>
      <c r="C510">
        <v>54.45</v>
      </c>
      <c r="D510">
        <v>2</v>
      </c>
      <c r="E510">
        <v>1742.4</v>
      </c>
      <c r="F510" s="1">
        <v>37937</v>
      </c>
      <c r="G510" t="s">
        <v>39</v>
      </c>
      <c r="H510">
        <v>4</v>
      </c>
      <c r="I510">
        <v>11</v>
      </c>
      <c r="J510" t="str">
        <f>TEXT(DATE(2012,Table1[[#This Row],[MONTH_ID]],10),"mmm")</f>
        <v>Nov</v>
      </c>
      <c r="K510">
        <v>2003</v>
      </c>
      <c r="L510" t="s">
        <v>564</v>
      </c>
      <c r="M510">
        <v>53</v>
      </c>
      <c r="N510" t="s">
        <v>578</v>
      </c>
      <c r="O510" t="s">
        <v>286</v>
      </c>
      <c r="P510">
        <v>4155551450</v>
      </c>
      <c r="Q510" t="s">
        <v>287</v>
      </c>
      <c r="S510" t="s">
        <v>288</v>
      </c>
      <c r="T510" t="s">
        <v>69</v>
      </c>
      <c r="U510">
        <v>97562</v>
      </c>
      <c r="V510" t="s">
        <v>46</v>
      </c>
      <c r="W510" t="s">
        <v>47</v>
      </c>
      <c r="X510" t="s">
        <v>289</v>
      </c>
      <c r="Y510" t="s">
        <v>290</v>
      </c>
      <c r="Z510" t="s">
        <v>50</v>
      </c>
    </row>
    <row r="511" spans="1:26" x14ac:dyDescent="0.3">
      <c r="A511">
        <v>10193</v>
      </c>
      <c r="B511">
        <v>46</v>
      </c>
      <c r="C511">
        <v>53.37</v>
      </c>
      <c r="D511">
        <v>6</v>
      </c>
      <c r="E511">
        <v>2455.02</v>
      </c>
      <c r="F511" s="1">
        <v>37946</v>
      </c>
      <c r="G511" t="s">
        <v>39</v>
      </c>
      <c r="H511">
        <v>4</v>
      </c>
      <c r="I511">
        <v>11</v>
      </c>
      <c r="J511" t="str">
        <f>TEXT(DATE(2012,Table1[[#This Row],[MONTH_ID]],10),"mmm")</f>
        <v>Nov</v>
      </c>
      <c r="K511">
        <v>2003</v>
      </c>
      <c r="L511" t="s">
        <v>564</v>
      </c>
      <c r="M511">
        <v>53</v>
      </c>
      <c r="N511" t="s">
        <v>578</v>
      </c>
      <c r="O511" t="s">
        <v>572</v>
      </c>
      <c r="P511" t="s">
        <v>573</v>
      </c>
      <c r="Q511" t="s">
        <v>574</v>
      </c>
      <c r="S511" t="s">
        <v>575</v>
      </c>
      <c r="T511" t="s">
        <v>108</v>
      </c>
      <c r="U511">
        <v>3150</v>
      </c>
      <c r="V511" t="s">
        <v>109</v>
      </c>
      <c r="W511" t="s">
        <v>110</v>
      </c>
      <c r="X511" t="s">
        <v>576</v>
      </c>
      <c r="Y511" t="s">
        <v>577</v>
      </c>
      <c r="Z511" t="s">
        <v>50</v>
      </c>
    </row>
    <row r="512" spans="1:26" x14ac:dyDescent="0.3">
      <c r="A512">
        <v>10205</v>
      </c>
      <c r="B512">
        <v>48</v>
      </c>
      <c r="C512">
        <v>63.61</v>
      </c>
      <c r="D512">
        <v>1</v>
      </c>
      <c r="E512">
        <v>3053.28</v>
      </c>
      <c r="F512" s="1">
        <v>37958</v>
      </c>
      <c r="G512" t="s">
        <v>39</v>
      </c>
      <c r="H512">
        <v>4</v>
      </c>
      <c r="I512">
        <v>12</v>
      </c>
      <c r="J512" t="str">
        <f>TEXT(DATE(2012,Table1[[#This Row],[MONTH_ID]],10),"mmm")</f>
        <v>Dec</v>
      </c>
      <c r="K512">
        <v>2003</v>
      </c>
      <c r="L512" t="s">
        <v>564</v>
      </c>
      <c r="M512">
        <v>53</v>
      </c>
      <c r="N512" t="s">
        <v>578</v>
      </c>
      <c r="O512" t="s">
        <v>188</v>
      </c>
      <c r="P512" t="s">
        <v>189</v>
      </c>
      <c r="Q512" t="s">
        <v>190</v>
      </c>
      <c r="S512" t="s">
        <v>191</v>
      </c>
      <c r="U512">
        <v>28034</v>
      </c>
      <c r="V512" t="s">
        <v>192</v>
      </c>
      <c r="W512" t="s">
        <v>56</v>
      </c>
      <c r="X512" t="s">
        <v>193</v>
      </c>
      <c r="Y512" t="s">
        <v>194</v>
      </c>
      <c r="Z512" t="s">
        <v>65</v>
      </c>
    </row>
    <row r="513" spans="1:26" x14ac:dyDescent="0.3">
      <c r="A513">
        <v>10215</v>
      </c>
      <c r="B513">
        <v>33</v>
      </c>
      <c r="C513">
        <v>43.13</v>
      </c>
      <c r="D513">
        <v>9</v>
      </c>
      <c r="E513">
        <v>1423.29</v>
      </c>
      <c r="F513" s="1">
        <v>38015</v>
      </c>
      <c r="G513" t="s">
        <v>39</v>
      </c>
      <c r="H513">
        <v>1</v>
      </c>
      <c r="I513">
        <v>1</v>
      </c>
      <c r="J513" t="str">
        <f>TEXT(DATE(2012,Table1[[#This Row],[MONTH_ID]],10),"mmm")</f>
        <v>Jan</v>
      </c>
      <c r="K513">
        <v>2004</v>
      </c>
      <c r="L513" t="s">
        <v>564</v>
      </c>
      <c r="M513">
        <v>53</v>
      </c>
      <c r="N513" t="s">
        <v>578</v>
      </c>
      <c r="O513" t="s">
        <v>248</v>
      </c>
      <c r="P513">
        <v>3105553722</v>
      </c>
      <c r="Q513" t="s">
        <v>249</v>
      </c>
      <c r="S513" t="s">
        <v>250</v>
      </c>
      <c r="T513" t="s">
        <v>69</v>
      </c>
      <c r="U513">
        <v>94019</v>
      </c>
      <c r="V513" t="s">
        <v>46</v>
      </c>
      <c r="W513" t="s">
        <v>47</v>
      </c>
      <c r="X513" t="s">
        <v>251</v>
      </c>
      <c r="Y513" t="s">
        <v>252</v>
      </c>
      <c r="Z513" t="s">
        <v>50</v>
      </c>
    </row>
    <row r="514" spans="1:26" x14ac:dyDescent="0.3">
      <c r="A514">
        <v>10227</v>
      </c>
      <c r="B514">
        <v>31</v>
      </c>
      <c r="C514">
        <v>48.52</v>
      </c>
      <c r="D514">
        <v>2</v>
      </c>
      <c r="E514">
        <v>1504.12</v>
      </c>
      <c r="F514" s="1">
        <v>38048</v>
      </c>
      <c r="G514" t="s">
        <v>39</v>
      </c>
      <c r="H514">
        <v>1</v>
      </c>
      <c r="I514">
        <v>3</v>
      </c>
      <c r="J514" t="str">
        <f>TEXT(DATE(2012,Table1[[#This Row],[MONTH_ID]],10),"mmm")</f>
        <v>Mar</v>
      </c>
      <c r="K514">
        <v>2004</v>
      </c>
      <c r="L514" t="s">
        <v>564</v>
      </c>
      <c r="M514">
        <v>53</v>
      </c>
      <c r="N514" t="s">
        <v>578</v>
      </c>
      <c r="O514" t="s">
        <v>233</v>
      </c>
      <c r="P514" t="s">
        <v>234</v>
      </c>
      <c r="Q514" t="s">
        <v>235</v>
      </c>
      <c r="S514" t="s">
        <v>236</v>
      </c>
      <c r="U514">
        <v>69004</v>
      </c>
      <c r="V514" t="s">
        <v>55</v>
      </c>
      <c r="W514" t="s">
        <v>56</v>
      </c>
      <c r="X514" t="s">
        <v>237</v>
      </c>
      <c r="Y514" t="s">
        <v>238</v>
      </c>
      <c r="Z514" t="s">
        <v>50</v>
      </c>
    </row>
    <row r="515" spans="1:26" x14ac:dyDescent="0.3">
      <c r="A515">
        <v>10244</v>
      </c>
      <c r="B515">
        <v>20</v>
      </c>
      <c r="C515">
        <v>58.22</v>
      </c>
      <c r="D515">
        <v>6</v>
      </c>
      <c r="E515">
        <v>1164.4000000000001</v>
      </c>
      <c r="F515" s="1">
        <v>38106</v>
      </c>
      <c r="G515" t="s">
        <v>39</v>
      </c>
      <c r="H515">
        <v>2</v>
      </c>
      <c r="I515">
        <v>4</v>
      </c>
      <c r="J515" t="str">
        <f>TEXT(DATE(2012,Table1[[#This Row],[MONTH_ID]],10),"mmm")</f>
        <v>Apr</v>
      </c>
      <c r="K515">
        <v>2004</v>
      </c>
      <c r="L515" t="s">
        <v>564</v>
      </c>
      <c r="M515">
        <v>53</v>
      </c>
      <c r="N515" t="s">
        <v>578</v>
      </c>
      <c r="O515" t="s">
        <v>188</v>
      </c>
      <c r="P515" t="s">
        <v>189</v>
      </c>
      <c r="Q515" t="s">
        <v>190</v>
      </c>
      <c r="S515" t="s">
        <v>191</v>
      </c>
      <c r="U515">
        <v>28034</v>
      </c>
      <c r="V515" t="s">
        <v>192</v>
      </c>
      <c r="W515" t="s">
        <v>56</v>
      </c>
      <c r="X515" t="s">
        <v>193</v>
      </c>
      <c r="Y515" t="s">
        <v>194</v>
      </c>
      <c r="Z515" t="s">
        <v>50</v>
      </c>
    </row>
    <row r="516" spans="1:26" x14ac:dyDescent="0.3">
      <c r="A516">
        <v>10256</v>
      </c>
      <c r="B516">
        <v>29</v>
      </c>
      <c r="C516">
        <v>51.75</v>
      </c>
      <c r="D516">
        <v>1</v>
      </c>
      <c r="E516">
        <v>1500.75</v>
      </c>
      <c r="F516" s="1">
        <v>38146</v>
      </c>
      <c r="G516" t="s">
        <v>39</v>
      </c>
      <c r="H516">
        <v>2</v>
      </c>
      <c r="I516">
        <v>6</v>
      </c>
      <c r="J516" t="str">
        <f>TEXT(DATE(2012,Table1[[#This Row],[MONTH_ID]],10),"mmm")</f>
        <v>Jun</v>
      </c>
      <c r="K516">
        <v>2004</v>
      </c>
      <c r="L516" t="s">
        <v>564</v>
      </c>
      <c r="M516">
        <v>53</v>
      </c>
      <c r="N516" t="s">
        <v>578</v>
      </c>
      <c r="O516" t="s">
        <v>336</v>
      </c>
      <c r="P516" t="s">
        <v>337</v>
      </c>
      <c r="Q516" t="s">
        <v>338</v>
      </c>
      <c r="S516" t="s">
        <v>339</v>
      </c>
      <c r="U516">
        <v>1734</v>
      </c>
      <c r="V516" t="s">
        <v>340</v>
      </c>
      <c r="W516" t="s">
        <v>56</v>
      </c>
      <c r="X516" t="s">
        <v>341</v>
      </c>
      <c r="Y516" t="s">
        <v>342</v>
      </c>
      <c r="Z516" t="s">
        <v>50</v>
      </c>
    </row>
    <row r="517" spans="1:26" x14ac:dyDescent="0.3">
      <c r="A517">
        <v>10280</v>
      </c>
      <c r="B517">
        <v>27</v>
      </c>
      <c r="C517">
        <v>57.68</v>
      </c>
      <c r="D517">
        <v>8</v>
      </c>
      <c r="E517">
        <v>1557.36</v>
      </c>
      <c r="F517" s="1">
        <v>38216</v>
      </c>
      <c r="G517" t="s">
        <v>39</v>
      </c>
      <c r="H517">
        <v>3</v>
      </c>
      <c r="I517">
        <v>8</v>
      </c>
      <c r="J517" t="str">
        <f>TEXT(DATE(2012,Table1[[#This Row],[MONTH_ID]],10),"mmm")</f>
        <v>Aug</v>
      </c>
      <c r="K517">
        <v>2004</v>
      </c>
      <c r="L517" t="s">
        <v>564</v>
      </c>
      <c r="M517">
        <v>53</v>
      </c>
      <c r="N517" t="s">
        <v>578</v>
      </c>
      <c r="O517" t="s">
        <v>268</v>
      </c>
      <c r="P517" t="s">
        <v>269</v>
      </c>
      <c r="Q517" t="s">
        <v>270</v>
      </c>
      <c r="S517" t="s">
        <v>271</v>
      </c>
      <c r="U517">
        <v>10100</v>
      </c>
      <c r="V517" t="s">
        <v>272</v>
      </c>
      <c r="W517" t="s">
        <v>56</v>
      </c>
      <c r="X517" t="s">
        <v>273</v>
      </c>
      <c r="Y517" t="s">
        <v>274</v>
      </c>
      <c r="Z517" t="s">
        <v>50</v>
      </c>
    </row>
    <row r="518" spans="1:26" x14ac:dyDescent="0.3">
      <c r="A518">
        <v>10289</v>
      </c>
      <c r="B518">
        <v>24</v>
      </c>
      <c r="C518">
        <v>56.07</v>
      </c>
      <c r="D518">
        <v>1</v>
      </c>
      <c r="E518">
        <v>1345.68</v>
      </c>
      <c r="F518" s="1">
        <v>38233</v>
      </c>
      <c r="G518" t="s">
        <v>39</v>
      </c>
      <c r="H518">
        <v>3</v>
      </c>
      <c r="I518">
        <v>9</v>
      </c>
      <c r="J518" t="str">
        <f>TEXT(DATE(2012,Table1[[#This Row],[MONTH_ID]],10),"mmm")</f>
        <v>Sep</v>
      </c>
      <c r="K518">
        <v>2004</v>
      </c>
      <c r="L518" t="s">
        <v>564</v>
      </c>
      <c r="M518">
        <v>53</v>
      </c>
      <c r="N518" t="s">
        <v>578</v>
      </c>
      <c r="O518" t="s">
        <v>87</v>
      </c>
      <c r="P518" t="s">
        <v>88</v>
      </c>
      <c r="Q518" t="s">
        <v>89</v>
      </c>
      <c r="S518" t="s">
        <v>90</v>
      </c>
      <c r="U518" t="s">
        <v>91</v>
      </c>
      <c r="V518" t="s">
        <v>92</v>
      </c>
      <c r="W518" t="s">
        <v>56</v>
      </c>
      <c r="X518" t="s">
        <v>93</v>
      </c>
      <c r="Y518" t="s">
        <v>94</v>
      </c>
      <c r="Z518" t="s">
        <v>50</v>
      </c>
    </row>
    <row r="519" spans="1:26" x14ac:dyDescent="0.3">
      <c r="A519">
        <v>10304</v>
      </c>
      <c r="B519">
        <v>37</v>
      </c>
      <c r="C519">
        <v>48.52</v>
      </c>
      <c r="D519">
        <v>12</v>
      </c>
      <c r="E519">
        <v>1795.24</v>
      </c>
      <c r="F519" s="1">
        <v>38271</v>
      </c>
      <c r="G519" t="s">
        <v>39</v>
      </c>
      <c r="H519">
        <v>4</v>
      </c>
      <c r="I519">
        <v>10</v>
      </c>
      <c r="J519" t="str">
        <f>TEXT(DATE(2012,Table1[[#This Row],[MONTH_ID]],10),"mmm")</f>
        <v>Oct</v>
      </c>
      <c r="K519">
        <v>2004</v>
      </c>
      <c r="L519" t="s">
        <v>564</v>
      </c>
      <c r="M519">
        <v>53</v>
      </c>
      <c r="N519" t="s">
        <v>578</v>
      </c>
      <c r="O519" t="s">
        <v>281</v>
      </c>
      <c r="P519" t="s">
        <v>282</v>
      </c>
      <c r="Q519" t="s">
        <v>283</v>
      </c>
      <c r="S519" t="s">
        <v>284</v>
      </c>
      <c r="U519">
        <v>78000</v>
      </c>
      <c r="V519" t="s">
        <v>55</v>
      </c>
      <c r="W519" t="s">
        <v>56</v>
      </c>
      <c r="X519" t="s">
        <v>285</v>
      </c>
      <c r="Y519" t="s">
        <v>64</v>
      </c>
      <c r="Z519" t="s">
        <v>50</v>
      </c>
    </row>
    <row r="520" spans="1:26" x14ac:dyDescent="0.3">
      <c r="A520">
        <v>10312</v>
      </c>
      <c r="B520">
        <v>25</v>
      </c>
      <c r="C520">
        <v>44.21</v>
      </c>
      <c r="D520">
        <v>9</v>
      </c>
      <c r="E520">
        <v>1105.25</v>
      </c>
      <c r="F520" s="1">
        <v>38281</v>
      </c>
      <c r="G520" t="s">
        <v>39</v>
      </c>
      <c r="H520">
        <v>4</v>
      </c>
      <c r="I520">
        <v>10</v>
      </c>
      <c r="J520" t="str">
        <f>TEXT(DATE(2012,Table1[[#This Row],[MONTH_ID]],10),"mmm")</f>
        <v>Oct</v>
      </c>
      <c r="K520">
        <v>2004</v>
      </c>
      <c r="L520" t="s">
        <v>564</v>
      </c>
      <c r="M520">
        <v>53</v>
      </c>
      <c r="N520" t="s">
        <v>578</v>
      </c>
      <c r="O520" t="s">
        <v>286</v>
      </c>
      <c r="P520">
        <v>4155551450</v>
      </c>
      <c r="Q520" t="s">
        <v>287</v>
      </c>
      <c r="S520" t="s">
        <v>288</v>
      </c>
      <c r="T520" t="s">
        <v>69</v>
      </c>
      <c r="U520">
        <v>97562</v>
      </c>
      <c r="V520" t="s">
        <v>46</v>
      </c>
      <c r="W520" t="s">
        <v>47</v>
      </c>
      <c r="X520" t="s">
        <v>289</v>
      </c>
      <c r="Y520" t="s">
        <v>290</v>
      </c>
      <c r="Z520" t="s">
        <v>50</v>
      </c>
    </row>
    <row r="521" spans="1:26" x14ac:dyDescent="0.3">
      <c r="A521">
        <v>10322</v>
      </c>
      <c r="B521">
        <v>41</v>
      </c>
      <c r="C521">
        <v>57.68</v>
      </c>
      <c r="D521">
        <v>5</v>
      </c>
      <c r="E521">
        <v>2364.88</v>
      </c>
      <c r="F521" s="1">
        <v>38295</v>
      </c>
      <c r="G521" t="s">
        <v>39</v>
      </c>
      <c r="H521">
        <v>4</v>
      </c>
      <c r="I521">
        <v>11</v>
      </c>
      <c r="J521" t="str">
        <f>TEXT(DATE(2012,Table1[[#This Row],[MONTH_ID]],10),"mmm")</f>
        <v>Nov</v>
      </c>
      <c r="K521">
        <v>2004</v>
      </c>
      <c r="L521" t="s">
        <v>564</v>
      </c>
      <c r="M521">
        <v>53</v>
      </c>
      <c r="N521" t="s">
        <v>578</v>
      </c>
      <c r="O521" t="s">
        <v>291</v>
      </c>
      <c r="P521">
        <v>6035558647</v>
      </c>
      <c r="Q521" t="s">
        <v>292</v>
      </c>
      <c r="S521" t="s">
        <v>293</v>
      </c>
      <c r="T521" t="s">
        <v>294</v>
      </c>
      <c r="U521">
        <v>62005</v>
      </c>
      <c r="V521" t="s">
        <v>46</v>
      </c>
      <c r="W521" t="s">
        <v>47</v>
      </c>
      <c r="X521" t="s">
        <v>70</v>
      </c>
      <c r="Y521" t="s">
        <v>290</v>
      </c>
      <c r="Z521" t="s">
        <v>50</v>
      </c>
    </row>
    <row r="522" spans="1:26" x14ac:dyDescent="0.3">
      <c r="A522">
        <v>10332</v>
      </c>
      <c r="B522">
        <v>27</v>
      </c>
      <c r="C522">
        <v>89.89</v>
      </c>
      <c r="D522">
        <v>16</v>
      </c>
      <c r="E522">
        <v>2427.0300000000002</v>
      </c>
      <c r="F522" s="1">
        <v>38308</v>
      </c>
      <c r="G522" t="s">
        <v>39</v>
      </c>
      <c r="H522">
        <v>4</v>
      </c>
      <c r="I522">
        <v>11</v>
      </c>
      <c r="J522" t="str">
        <f>TEXT(DATE(2012,Table1[[#This Row],[MONTH_ID]],10),"mmm")</f>
        <v>Nov</v>
      </c>
      <c r="K522">
        <v>2004</v>
      </c>
      <c r="L522" t="s">
        <v>564</v>
      </c>
      <c r="M522">
        <v>53</v>
      </c>
      <c r="N522" t="s">
        <v>578</v>
      </c>
      <c r="O522" t="s">
        <v>506</v>
      </c>
      <c r="P522" t="s">
        <v>507</v>
      </c>
      <c r="Q522" t="s">
        <v>508</v>
      </c>
      <c r="S522" t="s">
        <v>509</v>
      </c>
      <c r="U522" t="s">
        <v>510</v>
      </c>
      <c r="V522" t="s">
        <v>184</v>
      </c>
      <c r="W522" t="s">
        <v>56</v>
      </c>
      <c r="X522" t="s">
        <v>511</v>
      </c>
      <c r="Y522" t="s">
        <v>108</v>
      </c>
      <c r="Z522" t="s">
        <v>50</v>
      </c>
    </row>
    <row r="523" spans="1:26" x14ac:dyDescent="0.3">
      <c r="A523">
        <v>10347</v>
      </c>
      <c r="B523">
        <v>21</v>
      </c>
      <c r="C523">
        <v>58.95</v>
      </c>
      <c r="D523">
        <v>7</v>
      </c>
      <c r="E523">
        <v>1237.95</v>
      </c>
      <c r="F523" s="1">
        <v>38320</v>
      </c>
      <c r="G523" t="s">
        <v>39</v>
      </c>
      <c r="H523">
        <v>4</v>
      </c>
      <c r="I523">
        <v>11</v>
      </c>
      <c r="J523" t="str">
        <f>TEXT(DATE(2012,Table1[[#This Row],[MONTH_ID]],10),"mmm")</f>
        <v>Nov</v>
      </c>
      <c r="K523">
        <v>2004</v>
      </c>
      <c r="L523" t="s">
        <v>564</v>
      </c>
      <c r="M523">
        <v>53</v>
      </c>
      <c r="N523" t="s">
        <v>578</v>
      </c>
      <c r="O523" t="s">
        <v>103</v>
      </c>
      <c r="P523" t="s">
        <v>104</v>
      </c>
      <c r="Q523" t="s">
        <v>105</v>
      </c>
      <c r="R523" t="s">
        <v>106</v>
      </c>
      <c r="S523" t="s">
        <v>107</v>
      </c>
      <c r="T523" t="s">
        <v>108</v>
      </c>
      <c r="U523">
        <v>3004</v>
      </c>
      <c r="V523" t="s">
        <v>109</v>
      </c>
      <c r="W523" t="s">
        <v>110</v>
      </c>
      <c r="X523" t="s">
        <v>111</v>
      </c>
      <c r="Y523" t="s">
        <v>112</v>
      </c>
      <c r="Z523" t="s">
        <v>50</v>
      </c>
    </row>
    <row r="524" spans="1:26" x14ac:dyDescent="0.3">
      <c r="A524">
        <v>10356</v>
      </c>
      <c r="B524">
        <v>22</v>
      </c>
      <c r="C524">
        <v>72.41</v>
      </c>
      <c r="D524">
        <v>6</v>
      </c>
      <c r="E524">
        <v>1593.02</v>
      </c>
      <c r="F524" s="1">
        <v>38330</v>
      </c>
      <c r="G524" t="s">
        <v>39</v>
      </c>
      <c r="H524">
        <v>4</v>
      </c>
      <c r="I524">
        <v>12</v>
      </c>
      <c r="J524" t="str">
        <f>TEXT(DATE(2012,Table1[[#This Row],[MONTH_ID]],10),"mmm")</f>
        <v>Dec</v>
      </c>
      <c r="K524">
        <v>2004</v>
      </c>
      <c r="L524" t="s">
        <v>564</v>
      </c>
      <c r="M524">
        <v>53</v>
      </c>
      <c r="N524" t="s">
        <v>578</v>
      </c>
      <c r="O524" t="s">
        <v>59</v>
      </c>
      <c r="P524" t="s">
        <v>60</v>
      </c>
      <c r="Q524" t="s">
        <v>61</v>
      </c>
      <c r="S524" t="s">
        <v>62</v>
      </c>
      <c r="U524">
        <v>75508</v>
      </c>
      <c r="V524" t="s">
        <v>55</v>
      </c>
      <c r="W524" t="s">
        <v>56</v>
      </c>
      <c r="X524" t="s">
        <v>63</v>
      </c>
      <c r="Y524" t="s">
        <v>64</v>
      </c>
      <c r="Z524" t="s">
        <v>50</v>
      </c>
    </row>
    <row r="525" spans="1:26" x14ac:dyDescent="0.3">
      <c r="A525">
        <v>10369</v>
      </c>
      <c r="B525">
        <v>32</v>
      </c>
      <c r="C525">
        <v>98.63</v>
      </c>
      <c r="D525">
        <v>7</v>
      </c>
      <c r="E525">
        <v>3156.16</v>
      </c>
      <c r="F525" s="1">
        <v>38372</v>
      </c>
      <c r="G525" t="s">
        <v>39</v>
      </c>
      <c r="H525">
        <v>1</v>
      </c>
      <c r="I525">
        <v>1</v>
      </c>
      <c r="J525" t="str">
        <f>TEXT(DATE(2012,Table1[[#This Row],[MONTH_ID]],10),"mmm")</f>
        <v>Jan</v>
      </c>
      <c r="K525">
        <v>2005</v>
      </c>
      <c r="L525" t="s">
        <v>564</v>
      </c>
      <c r="M525">
        <v>53</v>
      </c>
      <c r="N525" t="s">
        <v>578</v>
      </c>
      <c r="O525" t="s">
        <v>295</v>
      </c>
      <c r="P525">
        <v>6175558555</v>
      </c>
      <c r="Q525" t="s">
        <v>296</v>
      </c>
      <c r="S525" t="s">
        <v>297</v>
      </c>
      <c r="T525" t="s">
        <v>137</v>
      </c>
      <c r="U525">
        <v>58339</v>
      </c>
      <c r="V525" t="s">
        <v>46</v>
      </c>
      <c r="W525" t="s">
        <v>47</v>
      </c>
      <c r="X525" t="s">
        <v>289</v>
      </c>
      <c r="Y525" t="s">
        <v>298</v>
      </c>
      <c r="Z525" t="s">
        <v>65</v>
      </c>
    </row>
    <row r="526" spans="1:26" x14ac:dyDescent="0.3">
      <c r="A526">
        <v>10381</v>
      </c>
      <c r="B526">
        <v>25</v>
      </c>
      <c r="C526">
        <v>52.83</v>
      </c>
      <c r="D526">
        <v>9</v>
      </c>
      <c r="E526">
        <v>1320.75</v>
      </c>
      <c r="F526" s="1">
        <v>38400</v>
      </c>
      <c r="G526" t="s">
        <v>39</v>
      </c>
      <c r="H526">
        <v>1</v>
      </c>
      <c r="I526">
        <v>2</v>
      </c>
      <c r="J526" t="str">
        <f>TEXT(DATE(2012,Table1[[#This Row],[MONTH_ID]],10),"mmm")</f>
        <v>Feb</v>
      </c>
      <c r="K526">
        <v>2005</v>
      </c>
      <c r="L526" t="s">
        <v>564</v>
      </c>
      <c r="M526">
        <v>53</v>
      </c>
      <c r="N526" t="s">
        <v>578</v>
      </c>
      <c r="O526" t="s">
        <v>72</v>
      </c>
      <c r="P526">
        <v>6505551386</v>
      </c>
      <c r="Q526" t="s">
        <v>73</v>
      </c>
      <c r="S526" t="s">
        <v>74</v>
      </c>
      <c r="T526" t="s">
        <v>69</v>
      </c>
      <c r="V526" t="s">
        <v>46</v>
      </c>
      <c r="W526" t="s">
        <v>47</v>
      </c>
      <c r="X526" t="s">
        <v>75</v>
      </c>
      <c r="Y526" t="s">
        <v>71</v>
      </c>
      <c r="Z526" t="s">
        <v>50</v>
      </c>
    </row>
    <row r="527" spans="1:26" x14ac:dyDescent="0.3">
      <c r="A527">
        <v>10391</v>
      </c>
      <c r="B527">
        <v>42</v>
      </c>
      <c r="C527">
        <v>100</v>
      </c>
      <c r="D527">
        <v>3</v>
      </c>
      <c r="E527">
        <v>4998</v>
      </c>
      <c r="F527" s="1">
        <v>38420</v>
      </c>
      <c r="G527" t="s">
        <v>39</v>
      </c>
      <c r="H527">
        <v>1</v>
      </c>
      <c r="I527">
        <v>3</v>
      </c>
      <c r="J527" t="str">
        <f>TEXT(DATE(2012,Table1[[#This Row],[MONTH_ID]],10),"mmm")</f>
        <v>Mar</v>
      </c>
      <c r="K527">
        <v>2005</v>
      </c>
      <c r="L527" t="s">
        <v>564</v>
      </c>
      <c r="M527">
        <v>53</v>
      </c>
      <c r="N527" t="s">
        <v>578</v>
      </c>
      <c r="O527" t="s">
        <v>299</v>
      </c>
      <c r="P527" t="s">
        <v>300</v>
      </c>
      <c r="Q527" t="s">
        <v>301</v>
      </c>
      <c r="R527" t="s">
        <v>302</v>
      </c>
      <c r="S527" t="s">
        <v>303</v>
      </c>
      <c r="T527" t="s">
        <v>171</v>
      </c>
      <c r="U527">
        <v>2060</v>
      </c>
      <c r="V527" t="s">
        <v>109</v>
      </c>
      <c r="W527" t="s">
        <v>110</v>
      </c>
      <c r="X527" t="s">
        <v>304</v>
      </c>
      <c r="Y527" t="s">
        <v>305</v>
      </c>
      <c r="Z527" t="s">
        <v>65</v>
      </c>
    </row>
    <row r="528" spans="1:26" x14ac:dyDescent="0.3">
      <c r="A528">
        <v>10422</v>
      </c>
      <c r="B528">
        <v>25</v>
      </c>
      <c r="C528">
        <v>51.75</v>
      </c>
      <c r="D528">
        <v>1</v>
      </c>
      <c r="E528">
        <v>1293.75</v>
      </c>
      <c r="F528" s="1">
        <v>38502</v>
      </c>
      <c r="G528" t="s">
        <v>314</v>
      </c>
      <c r="H528">
        <v>2</v>
      </c>
      <c r="I528">
        <v>5</v>
      </c>
      <c r="J528" t="str">
        <f>TEXT(DATE(2012,Table1[[#This Row],[MONTH_ID]],10),"mmm")</f>
        <v>May</v>
      </c>
      <c r="K528">
        <v>2005</v>
      </c>
      <c r="L528" t="s">
        <v>564</v>
      </c>
      <c r="M528">
        <v>53</v>
      </c>
      <c r="N528" t="s">
        <v>578</v>
      </c>
      <c r="O528" t="s">
        <v>153</v>
      </c>
      <c r="P528">
        <v>2155551555</v>
      </c>
      <c r="Q528" t="s">
        <v>154</v>
      </c>
      <c r="S528" t="s">
        <v>155</v>
      </c>
      <c r="T528" t="s">
        <v>156</v>
      </c>
      <c r="U528">
        <v>70267</v>
      </c>
      <c r="V528" t="s">
        <v>46</v>
      </c>
      <c r="W528" t="s">
        <v>47</v>
      </c>
      <c r="X528" t="s">
        <v>48</v>
      </c>
      <c r="Y528" t="s">
        <v>157</v>
      </c>
      <c r="Z528" t="s">
        <v>50</v>
      </c>
    </row>
    <row r="529" spans="1:26" x14ac:dyDescent="0.3">
      <c r="A529">
        <v>10110</v>
      </c>
      <c r="B529">
        <v>37</v>
      </c>
      <c r="C529">
        <v>100</v>
      </c>
      <c r="D529">
        <v>16</v>
      </c>
      <c r="E529">
        <v>5433.08</v>
      </c>
      <c r="F529" s="1">
        <v>37698</v>
      </c>
      <c r="G529" t="s">
        <v>39</v>
      </c>
      <c r="H529">
        <v>1</v>
      </c>
      <c r="I529">
        <v>3</v>
      </c>
      <c r="J529" t="str">
        <f>TEXT(DATE(2012,Table1[[#This Row],[MONTH_ID]],10),"mmm")</f>
        <v>Mar</v>
      </c>
      <c r="K529">
        <v>2003</v>
      </c>
      <c r="L529" t="s">
        <v>195</v>
      </c>
      <c r="M529">
        <v>124</v>
      </c>
      <c r="N529" t="s">
        <v>579</v>
      </c>
      <c r="O529" t="s">
        <v>506</v>
      </c>
      <c r="P529" t="s">
        <v>507</v>
      </c>
      <c r="Q529" t="s">
        <v>508</v>
      </c>
      <c r="S529" t="s">
        <v>509</v>
      </c>
      <c r="U529" t="s">
        <v>510</v>
      </c>
      <c r="V529" t="s">
        <v>184</v>
      </c>
      <c r="W529" t="s">
        <v>56</v>
      </c>
      <c r="X529" t="s">
        <v>511</v>
      </c>
      <c r="Y529" t="s">
        <v>108</v>
      </c>
      <c r="Z529" t="s">
        <v>65</v>
      </c>
    </row>
    <row r="530" spans="1:26" x14ac:dyDescent="0.3">
      <c r="A530">
        <v>10123</v>
      </c>
      <c r="B530">
        <v>26</v>
      </c>
      <c r="C530">
        <v>100</v>
      </c>
      <c r="D530">
        <v>2</v>
      </c>
      <c r="E530">
        <v>3073.72</v>
      </c>
      <c r="F530" s="1">
        <v>37761</v>
      </c>
      <c r="G530" t="s">
        <v>39</v>
      </c>
      <c r="H530">
        <v>2</v>
      </c>
      <c r="I530">
        <v>5</v>
      </c>
      <c r="J530" t="str">
        <f>TEXT(DATE(2012,Table1[[#This Row],[MONTH_ID]],10),"mmm")</f>
        <v>May</v>
      </c>
      <c r="K530">
        <v>2003</v>
      </c>
      <c r="L530" t="s">
        <v>195</v>
      </c>
      <c r="M530">
        <v>124</v>
      </c>
      <c r="N530" t="s">
        <v>579</v>
      </c>
      <c r="O530" t="s">
        <v>326</v>
      </c>
      <c r="P530" t="s">
        <v>327</v>
      </c>
      <c r="Q530" t="s">
        <v>328</v>
      </c>
      <c r="S530" t="s">
        <v>131</v>
      </c>
      <c r="U530">
        <v>44000</v>
      </c>
      <c r="V530" t="s">
        <v>55</v>
      </c>
      <c r="W530" t="s">
        <v>56</v>
      </c>
      <c r="X530" t="s">
        <v>329</v>
      </c>
      <c r="Y530" t="s">
        <v>330</v>
      </c>
      <c r="Z530" t="s">
        <v>65</v>
      </c>
    </row>
    <row r="531" spans="1:26" x14ac:dyDescent="0.3">
      <c r="A531">
        <v>10137</v>
      </c>
      <c r="B531">
        <v>44</v>
      </c>
      <c r="C531">
        <v>99.55</v>
      </c>
      <c r="D531">
        <v>2</v>
      </c>
      <c r="E531">
        <v>4380.2</v>
      </c>
      <c r="F531" s="1">
        <v>37812</v>
      </c>
      <c r="G531" t="s">
        <v>39</v>
      </c>
      <c r="H531">
        <v>3</v>
      </c>
      <c r="I531">
        <v>7</v>
      </c>
      <c r="J531" t="str">
        <f>TEXT(DATE(2012,Table1[[#This Row],[MONTH_ID]],10),"mmm")</f>
        <v>Jul</v>
      </c>
      <c r="K531">
        <v>2003</v>
      </c>
      <c r="L531" t="s">
        <v>195</v>
      </c>
      <c r="M531">
        <v>124</v>
      </c>
      <c r="N531" t="s">
        <v>579</v>
      </c>
      <c r="O531" t="s">
        <v>51</v>
      </c>
      <c r="P531" t="s">
        <v>52</v>
      </c>
      <c r="Q531" t="s">
        <v>53</v>
      </c>
      <c r="S531" t="s">
        <v>54</v>
      </c>
      <c r="U531">
        <v>51100</v>
      </c>
      <c r="V531" t="s">
        <v>55</v>
      </c>
      <c r="W531" t="s">
        <v>56</v>
      </c>
      <c r="X531" t="s">
        <v>57</v>
      </c>
      <c r="Y531" t="s">
        <v>58</v>
      </c>
      <c r="Z531" t="s">
        <v>65</v>
      </c>
    </row>
    <row r="532" spans="1:26" x14ac:dyDescent="0.3">
      <c r="A532">
        <v>10148</v>
      </c>
      <c r="B532">
        <v>47</v>
      </c>
      <c r="C532">
        <v>100</v>
      </c>
      <c r="D532">
        <v>9</v>
      </c>
      <c r="E532">
        <v>5848.68</v>
      </c>
      <c r="F532" s="1">
        <v>37875</v>
      </c>
      <c r="G532" t="s">
        <v>39</v>
      </c>
      <c r="H532">
        <v>3</v>
      </c>
      <c r="I532">
        <v>9</v>
      </c>
      <c r="J532" t="str">
        <f>TEXT(DATE(2012,Table1[[#This Row],[MONTH_ID]],10),"mmm")</f>
        <v>Sep</v>
      </c>
      <c r="K532">
        <v>2003</v>
      </c>
      <c r="L532" t="s">
        <v>195</v>
      </c>
      <c r="M532">
        <v>124</v>
      </c>
      <c r="N532" t="s">
        <v>579</v>
      </c>
      <c r="O532" t="s">
        <v>299</v>
      </c>
      <c r="P532" t="s">
        <v>300</v>
      </c>
      <c r="Q532" t="s">
        <v>301</v>
      </c>
      <c r="R532" t="s">
        <v>302</v>
      </c>
      <c r="S532" t="s">
        <v>303</v>
      </c>
      <c r="T532" t="s">
        <v>171</v>
      </c>
      <c r="U532">
        <v>2060</v>
      </c>
      <c r="V532" t="s">
        <v>109</v>
      </c>
      <c r="W532" t="s">
        <v>110</v>
      </c>
      <c r="X532" t="s">
        <v>304</v>
      </c>
      <c r="Y532" t="s">
        <v>305</v>
      </c>
      <c r="Z532" t="s">
        <v>65</v>
      </c>
    </row>
    <row r="533" spans="1:26" x14ac:dyDescent="0.3">
      <c r="A533">
        <v>10161</v>
      </c>
      <c r="B533">
        <v>43</v>
      </c>
      <c r="C533">
        <v>100</v>
      </c>
      <c r="D533">
        <v>8</v>
      </c>
      <c r="E533">
        <v>6153.73</v>
      </c>
      <c r="F533" s="1">
        <v>37911</v>
      </c>
      <c r="G533" t="s">
        <v>39</v>
      </c>
      <c r="H533">
        <v>4</v>
      </c>
      <c r="I533">
        <v>10</v>
      </c>
      <c r="J533" t="str">
        <f>TEXT(DATE(2012,Table1[[#This Row],[MONTH_ID]],10),"mmm")</f>
        <v>Oct</v>
      </c>
      <c r="K533">
        <v>2003</v>
      </c>
      <c r="L533" t="s">
        <v>195</v>
      </c>
      <c r="M533">
        <v>124</v>
      </c>
      <c r="N533" t="s">
        <v>579</v>
      </c>
      <c r="O533" t="s">
        <v>512</v>
      </c>
      <c r="P533" t="s">
        <v>513</v>
      </c>
      <c r="Q533" t="s">
        <v>514</v>
      </c>
      <c r="S533" t="s">
        <v>515</v>
      </c>
      <c r="U533">
        <v>8200</v>
      </c>
      <c r="V533" t="s">
        <v>340</v>
      </c>
      <c r="W533" t="s">
        <v>56</v>
      </c>
      <c r="X533" t="s">
        <v>516</v>
      </c>
      <c r="Y533" t="s">
        <v>517</v>
      </c>
      <c r="Z533" t="s">
        <v>65</v>
      </c>
    </row>
    <row r="534" spans="1:26" x14ac:dyDescent="0.3">
      <c r="A534">
        <v>10172</v>
      </c>
      <c r="B534">
        <v>42</v>
      </c>
      <c r="C534">
        <v>100</v>
      </c>
      <c r="D534">
        <v>6</v>
      </c>
      <c r="E534">
        <v>4965.24</v>
      </c>
      <c r="F534" s="1">
        <v>37930</v>
      </c>
      <c r="G534" t="s">
        <v>39</v>
      </c>
      <c r="H534">
        <v>4</v>
      </c>
      <c r="I534">
        <v>11</v>
      </c>
      <c r="J534" t="str">
        <f>TEXT(DATE(2012,Table1[[#This Row],[MONTH_ID]],10),"mmm")</f>
        <v>Nov</v>
      </c>
      <c r="K534">
        <v>2003</v>
      </c>
      <c r="L534" t="s">
        <v>195</v>
      </c>
      <c r="M534">
        <v>124</v>
      </c>
      <c r="N534" t="s">
        <v>579</v>
      </c>
      <c r="O534" t="s">
        <v>123</v>
      </c>
      <c r="P534">
        <v>2035552570</v>
      </c>
      <c r="Q534" t="s">
        <v>124</v>
      </c>
      <c r="S534" t="s">
        <v>125</v>
      </c>
      <c r="T534" t="s">
        <v>126</v>
      </c>
      <c r="U534">
        <v>97562</v>
      </c>
      <c r="V534" t="s">
        <v>46</v>
      </c>
      <c r="W534" t="s">
        <v>47</v>
      </c>
      <c r="X534" t="s">
        <v>127</v>
      </c>
      <c r="Y534" t="s">
        <v>71</v>
      </c>
      <c r="Z534" t="s">
        <v>65</v>
      </c>
    </row>
    <row r="535" spans="1:26" x14ac:dyDescent="0.3">
      <c r="A535">
        <v>10181</v>
      </c>
      <c r="B535">
        <v>42</v>
      </c>
      <c r="C535">
        <v>100</v>
      </c>
      <c r="D535">
        <v>2</v>
      </c>
      <c r="E535">
        <v>5435.64</v>
      </c>
      <c r="F535" s="1">
        <v>37937</v>
      </c>
      <c r="G535" t="s">
        <v>39</v>
      </c>
      <c r="H535">
        <v>4</v>
      </c>
      <c r="I535">
        <v>11</v>
      </c>
      <c r="J535" t="str">
        <f>TEXT(DATE(2012,Table1[[#This Row],[MONTH_ID]],10),"mmm")</f>
        <v>Nov</v>
      </c>
      <c r="K535">
        <v>2003</v>
      </c>
      <c r="L535" t="s">
        <v>195</v>
      </c>
      <c r="M535">
        <v>124</v>
      </c>
      <c r="N535" t="s">
        <v>579</v>
      </c>
      <c r="O535" t="s">
        <v>87</v>
      </c>
      <c r="P535" t="s">
        <v>88</v>
      </c>
      <c r="Q535" t="s">
        <v>89</v>
      </c>
      <c r="S535" t="s">
        <v>90</v>
      </c>
      <c r="U535" t="s">
        <v>91</v>
      </c>
      <c r="V535" t="s">
        <v>92</v>
      </c>
      <c r="W535" t="s">
        <v>56</v>
      </c>
      <c r="X535" t="s">
        <v>93</v>
      </c>
      <c r="Y535" t="s">
        <v>94</v>
      </c>
      <c r="Z535" t="s">
        <v>65</v>
      </c>
    </row>
    <row r="536" spans="1:26" x14ac:dyDescent="0.3">
      <c r="A536">
        <v>10192</v>
      </c>
      <c r="B536">
        <v>29</v>
      </c>
      <c r="C536">
        <v>100</v>
      </c>
      <c r="D536">
        <v>7</v>
      </c>
      <c r="E536">
        <v>4258.3599999999997</v>
      </c>
      <c r="F536" s="1">
        <v>37945</v>
      </c>
      <c r="G536" t="s">
        <v>39</v>
      </c>
      <c r="H536">
        <v>4</v>
      </c>
      <c r="I536">
        <v>11</v>
      </c>
      <c r="J536" t="str">
        <f>TEXT(DATE(2012,Table1[[#This Row],[MONTH_ID]],10),"mmm")</f>
        <v>Nov</v>
      </c>
      <c r="K536">
        <v>2003</v>
      </c>
      <c r="L536" t="s">
        <v>195</v>
      </c>
      <c r="M536">
        <v>124</v>
      </c>
      <c r="N536" t="s">
        <v>579</v>
      </c>
      <c r="O536" t="s">
        <v>291</v>
      </c>
      <c r="P536">
        <v>6035558647</v>
      </c>
      <c r="Q536" t="s">
        <v>292</v>
      </c>
      <c r="S536" t="s">
        <v>293</v>
      </c>
      <c r="T536" t="s">
        <v>294</v>
      </c>
      <c r="U536">
        <v>62005</v>
      </c>
      <c r="V536" t="s">
        <v>46</v>
      </c>
      <c r="W536" t="s">
        <v>47</v>
      </c>
      <c r="X536" t="s">
        <v>70</v>
      </c>
      <c r="Y536" t="s">
        <v>290</v>
      </c>
      <c r="Z536" t="s">
        <v>65</v>
      </c>
    </row>
    <row r="537" spans="1:26" x14ac:dyDescent="0.3">
      <c r="A537">
        <v>10204</v>
      </c>
      <c r="B537">
        <v>40</v>
      </c>
      <c r="C537">
        <v>100</v>
      </c>
      <c r="D537">
        <v>13</v>
      </c>
      <c r="E537">
        <v>4032</v>
      </c>
      <c r="F537" s="1">
        <v>37957</v>
      </c>
      <c r="G537" t="s">
        <v>39</v>
      </c>
      <c r="H537">
        <v>4</v>
      </c>
      <c r="I537">
        <v>12</v>
      </c>
      <c r="J537" t="str">
        <f>TEXT(DATE(2012,Table1[[#This Row],[MONTH_ID]],10),"mmm")</f>
        <v>Dec</v>
      </c>
      <c r="K537">
        <v>2003</v>
      </c>
      <c r="L537" t="s">
        <v>195</v>
      </c>
      <c r="M537">
        <v>124</v>
      </c>
      <c r="N537" t="s">
        <v>579</v>
      </c>
      <c r="O537" t="s">
        <v>489</v>
      </c>
      <c r="P537">
        <v>2125557413</v>
      </c>
      <c r="Q537" t="s">
        <v>490</v>
      </c>
      <c r="R537" t="s">
        <v>491</v>
      </c>
      <c r="S537" t="s">
        <v>44</v>
      </c>
      <c r="T537" t="s">
        <v>45</v>
      </c>
      <c r="U537">
        <v>10022</v>
      </c>
      <c r="V537" t="s">
        <v>46</v>
      </c>
      <c r="W537" t="s">
        <v>47</v>
      </c>
      <c r="X537" t="s">
        <v>70</v>
      </c>
      <c r="Y537" t="s">
        <v>492</v>
      </c>
      <c r="Z537" t="s">
        <v>65</v>
      </c>
    </row>
    <row r="538" spans="1:26" x14ac:dyDescent="0.3">
      <c r="A538">
        <v>10212</v>
      </c>
      <c r="B538">
        <v>38</v>
      </c>
      <c r="C538">
        <v>100</v>
      </c>
      <c r="D538">
        <v>6</v>
      </c>
      <c r="E538">
        <v>4492.3599999999997</v>
      </c>
      <c r="F538" s="1">
        <v>38002</v>
      </c>
      <c r="G538" t="s">
        <v>39</v>
      </c>
      <c r="H538">
        <v>1</v>
      </c>
      <c r="I538">
        <v>1</v>
      </c>
      <c r="J538" t="str">
        <f>TEXT(DATE(2012,Table1[[#This Row],[MONTH_ID]],10),"mmm")</f>
        <v>Jan</v>
      </c>
      <c r="K538">
        <v>2004</v>
      </c>
      <c r="L538" t="s">
        <v>195</v>
      </c>
      <c r="M538">
        <v>124</v>
      </c>
      <c r="N538" t="s">
        <v>579</v>
      </c>
      <c r="O538" t="s">
        <v>188</v>
      </c>
      <c r="P538" t="s">
        <v>189</v>
      </c>
      <c r="Q538" t="s">
        <v>190</v>
      </c>
      <c r="S538" t="s">
        <v>191</v>
      </c>
      <c r="U538">
        <v>28034</v>
      </c>
      <c r="V538" t="s">
        <v>192</v>
      </c>
      <c r="W538" t="s">
        <v>56</v>
      </c>
      <c r="X538" t="s">
        <v>193</v>
      </c>
      <c r="Y538" t="s">
        <v>194</v>
      </c>
      <c r="Z538" t="s">
        <v>65</v>
      </c>
    </row>
    <row r="539" spans="1:26" x14ac:dyDescent="0.3">
      <c r="A539">
        <v>10226</v>
      </c>
      <c r="B539">
        <v>38</v>
      </c>
      <c r="C539">
        <v>100</v>
      </c>
      <c r="D539">
        <v>4</v>
      </c>
      <c r="E539">
        <v>4161.38</v>
      </c>
      <c r="F539" s="1">
        <v>38043</v>
      </c>
      <c r="G539" t="s">
        <v>39</v>
      </c>
      <c r="H539">
        <v>1</v>
      </c>
      <c r="I539">
        <v>2</v>
      </c>
      <c r="J539" t="str">
        <f>TEXT(DATE(2012,Table1[[#This Row],[MONTH_ID]],10),"mmm")</f>
        <v>Feb</v>
      </c>
      <c r="K539">
        <v>2004</v>
      </c>
      <c r="L539" t="s">
        <v>195</v>
      </c>
      <c r="M539">
        <v>124</v>
      </c>
      <c r="N539" t="s">
        <v>579</v>
      </c>
      <c r="O539" t="s">
        <v>376</v>
      </c>
      <c r="P539">
        <v>7605558146</v>
      </c>
      <c r="Q539" t="s">
        <v>377</v>
      </c>
      <c r="S539" t="s">
        <v>378</v>
      </c>
      <c r="T539" t="s">
        <v>69</v>
      </c>
      <c r="U539">
        <v>91217</v>
      </c>
      <c r="V539" t="s">
        <v>46</v>
      </c>
      <c r="W539" t="s">
        <v>47</v>
      </c>
      <c r="X539" t="s">
        <v>251</v>
      </c>
      <c r="Y539" t="s">
        <v>290</v>
      </c>
      <c r="Z539" t="s">
        <v>65</v>
      </c>
    </row>
    <row r="540" spans="1:26" x14ac:dyDescent="0.3">
      <c r="A540">
        <v>10241</v>
      </c>
      <c r="B540">
        <v>21</v>
      </c>
      <c r="C540">
        <v>100</v>
      </c>
      <c r="D540">
        <v>11</v>
      </c>
      <c r="E540">
        <v>2508.66</v>
      </c>
      <c r="F540" s="1">
        <v>38090</v>
      </c>
      <c r="G540" t="s">
        <v>39</v>
      </c>
      <c r="H540">
        <v>2</v>
      </c>
      <c r="I540">
        <v>4</v>
      </c>
      <c r="J540" t="str">
        <f>TEXT(DATE(2012,Table1[[#This Row],[MONTH_ID]],10),"mmm")</f>
        <v>Apr</v>
      </c>
      <c r="K540">
        <v>2004</v>
      </c>
      <c r="L540" t="s">
        <v>195</v>
      </c>
      <c r="M540">
        <v>124</v>
      </c>
      <c r="N540" t="s">
        <v>579</v>
      </c>
      <c r="O540" t="s">
        <v>545</v>
      </c>
      <c r="P540" t="s">
        <v>546</v>
      </c>
      <c r="Q540" t="s">
        <v>547</v>
      </c>
      <c r="S540" t="s">
        <v>548</v>
      </c>
      <c r="U540">
        <v>67000</v>
      </c>
      <c r="V540" t="s">
        <v>55</v>
      </c>
      <c r="W540" t="s">
        <v>56</v>
      </c>
      <c r="X540" t="s">
        <v>549</v>
      </c>
      <c r="Y540" t="s">
        <v>550</v>
      </c>
      <c r="Z540" t="s">
        <v>50</v>
      </c>
    </row>
    <row r="541" spans="1:26" x14ac:dyDescent="0.3">
      <c r="A541">
        <v>10253</v>
      </c>
      <c r="B541">
        <v>24</v>
      </c>
      <c r="C541">
        <v>100</v>
      </c>
      <c r="D541">
        <v>1</v>
      </c>
      <c r="E541">
        <v>3374.88</v>
      </c>
      <c r="F541" s="1">
        <v>38139</v>
      </c>
      <c r="G541" t="s">
        <v>353</v>
      </c>
      <c r="H541">
        <v>2</v>
      </c>
      <c r="I541">
        <v>6</v>
      </c>
      <c r="J541" t="str">
        <f>TEXT(DATE(2012,Table1[[#This Row],[MONTH_ID]],10),"mmm")</f>
        <v>Jun</v>
      </c>
      <c r="K541">
        <v>2004</v>
      </c>
      <c r="L541" t="s">
        <v>195</v>
      </c>
      <c r="M541">
        <v>124</v>
      </c>
      <c r="N541" t="s">
        <v>579</v>
      </c>
      <c r="O541" t="s">
        <v>179</v>
      </c>
      <c r="P541" t="s">
        <v>180</v>
      </c>
      <c r="Q541" t="s">
        <v>181</v>
      </c>
      <c r="S541" t="s">
        <v>182</v>
      </c>
      <c r="U541" t="s">
        <v>183</v>
      </c>
      <c r="V541" t="s">
        <v>184</v>
      </c>
      <c r="W541" t="s">
        <v>56</v>
      </c>
      <c r="X541" t="s">
        <v>185</v>
      </c>
      <c r="Y541" t="s">
        <v>186</v>
      </c>
      <c r="Z541" t="s">
        <v>65</v>
      </c>
    </row>
    <row r="542" spans="1:26" x14ac:dyDescent="0.3">
      <c r="A542">
        <v>10266</v>
      </c>
      <c r="B542">
        <v>36</v>
      </c>
      <c r="C542">
        <v>100</v>
      </c>
      <c r="D542">
        <v>2</v>
      </c>
      <c r="E542">
        <v>5196.6000000000004</v>
      </c>
      <c r="F542" s="1">
        <v>38174</v>
      </c>
      <c r="G542" t="s">
        <v>39</v>
      </c>
      <c r="H542">
        <v>3</v>
      </c>
      <c r="I542">
        <v>7</v>
      </c>
      <c r="J542" t="str">
        <f>TEXT(DATE(2012,Table1[[#This Row],[MONTH_ID]],10),"mmm")</f>
        <v>Jul</v>
      </c>
      <c r="K542">
        <v>2004</v>
      </c>
      <c r="L542" t="s">
        <v>195</v>
      </c>
      <c r="M542">
        <v>124</v>
      </c>
      <c r="N542" t="s">
        <v>579</v>
      </c>
      <c r="O542" t="s">
        <v>466</v>
      </c>
      <c r="P542" t="s">
        <v>467</v>
      </c>
      <c r="Q542" t="s">
        <v>468</v>
      </c>
      <c r="S542" t="s">
        <v>469</v>
      </c>
      <c r="U542">
        <v>42100</v>
      </c>
      <c r="V542" t="s">
        <v>272</v>
      </c>
      <c r="W542" t="s">
        <v>56</v>
      </c>
      <c r="X542" t="s">
        <v>470</v>
      </c>
      <c r="Y542" t="s">
        <v>471</v>
      </c>
      <c r="Z542" t="s">
        <v>65</v>
      </c>
    </row>
    <row r="543" spans="1:26" x14ac:dyDescent="0.3">
      <c r="A543">
        <v>10278</v>
      </c>
      <c r="B543">
        <v>23</v>
      </c>
      <c r="C543">
        <v>100</v>
      </c>
      <c r="D543">
        <v>2</v>
      </c>
      <c r="E543">
        <v>2604.52</v>
      </c>
      <c r="F543" s="1">
        <v>38205</v>
      </c>
      <c r="G543" t="s">
        <v>39</v>
      </c>
      <c r="H543">
        <v>3</v>
      </c>
      <c r="I543">
        <v>8</v>
      </c>
      <c r="J543" t="str">
        <f>TEXT(DATE(2012,Table1[[#This Row],[MONTH_ID]],10),"mmm")</f>
        <v>Aug</v>
      </c>
      <c r="K543">
        <v>2004</v>
      </c>
      <c r="L543" t="s">
        <v>195</v>
      </c>
      <c r="M543">
        <v>124</v>
      </c>
      <c r="N543" t="s">
        <v>579</v>
      </c>
      <c r="O543" t="s">
        <v>553</v>
      </c>
      <c r="P543">
        <v>7025551838</v>
      </c>
      <c r="Q543" t="s">
        <v>554</v>
      </c>
      <c r="S543" t="s">
        <v>555</v>
      </c>
      <c r="T543" t="s">
        <v>556</v>
      </c>
      <c r="U543">
        <v>83030</v>
      </c>
      <c r="V543" t="s">
        <v>46</v>
      </c>
      <c r="W543" t="s">
        <v>47</v>
      </c>
      <c r="X543" t="s">
        <v>127</v>
      </c>
      <c r="Y543" t="s">
        <v>414</v>
      </c>
      <c r="Z543" t="s">
        <v>50</v>
      </c>
    </row>
    <row r="544" spans="1:26" x14ac:dyDescent="0.3">
      <c r="A544">
        <v>10288</v>
      </c>
      <c r="B544">
        <v>20</v>
      </c>
      <c r="C544">
        <v>100</v>
      </c>
      <c r="D544">
        <v>14</v>
      </c>
      <c r="E544">
        <v>2936.8</v>
      </c>
      <c r="F544" s="1">
        <v>38231</v>
      </c>
      <c r="G544" t="s">
        <v>39</v>
      </c>
      <c r="H544">
        <v>3</v>
      </c>
      <c r="I544">
        <v>9</v>
      </c>
      <c r="J544" t="str">
        <f>TEXT(DATE(2012,Table1[[#This Row],[MONTH_ID]],10),"mmm")</f>
        <v>Sep</v>
      </c>
      <c r="K544">
        <v>2004</v>
      </c>
      <c r="L544" t="s">
        <v>195</v>
      </c>
      <c r="M544">
        <v>124</v>
      </c>
      <c r="N544" t="s">
        <v>579</v>
      </c>
      <c r="O544" t="s">
        <v>432</v>
      </c>
      <c r="P544" t="s">
        <v>433</v>
      </c>
      <c r="Q544" t="s">
        <v>434</v>
      </c>
      <c r="R544" t="s">
        <v>435</v>
      </c>
      <c r="S544" t="s">
        <v>213</v>
      </c>
      <c r="U544">
        <v>69045</v>
      </c>
      <c r="V544" t="s">
        <v>213</v>
      </c>
      <c r="W544" t="s">
        <v>110</v>
      </c>
      <c r="X544" t="s">
        <v>436</v>
      </c>
      <c r="Y544" t="s">
        <v>437</v>
      </c>
      <c r="Z544" t="s">
        <v>50</v>
      </c>
    </row>
    <row r="545" spans="1:26" x14ac:dyDescent="0.3">
      <c r="A545">
        <v>10301</v>
      </c>
      <c r="B545">
        <v>32</v>
      </c>
      <c r="C545">
        <v>100</v>
      </c>
      <c r="D545">
        <v>4</v>
      </c>
      <c r="E545">
        <v>3424.64</v>
      </c>
      <c r="F545" s="1">
        <v>37899</v>
      </c>
      <c r="G545" t="s">
        <v>39</v>
      </c>
      <c r="H545">
        <v>4</v>
      </c>
      <c r="I545">
        <v>10</v>
      </c>
      <c r="J545" t="str">
        <f>TEXT(DATE(2012,Table1[[#This Row],[MONTH_ID]],10),"mmm")</f>
        <v>Oct</v>
      </c>
      <c r="K545">
        <v>2003</v>
      </c>
      <c r="L545" t="s">
        <v>195</v>
      </c>
      <c r="M545">
        <v>124</v>
      </c>
      <c r="N545" t="s">
        <v>579</v>
      </c>
      <c r="O545" t="s">
        <v>557</v>
      </c>
      <c r="P545" t="s">
        <v>558</v>
      </c>
      <c r="Q545" t="s">
        <v>559</v>
      </c>
      <c r="S545" t="s">
        <v>560</v>
      </c>
      <c r="U545" t="s">
        <v>561</v>
      </c>
      <c r="V545" t="s">
        <v>92</v>
      </c>
      <c r="W545" t="s">
        <v>56</v>
      </c>
      <c r="X545" t="s">
        <v>562</v>
      </c>
      <c r="Y545" t="s">
        <v>563</v>
      </c>
      <c r="Z545" t="s">
        <v>65</v>
      </c>
    </row>
    <row r="546" spans="1:26" x14ac:dyDescent="0.3">
      <c r="A546">
        <v>10311</v>
      </c>
      <c r="B546">
        <v>29</v>
      </c>
      <c r="C546">
        <v>100</v>
      </c>
      <c r="D546">
        <v>9</v>
      </c>
      <c r="E546">
        <v>2923.2</v>
      </c>
      <c r="F546" s="1">
        <v>38276</v>
      </c>
      <c r="G546" t="s">
        <v>39</v>
      </c>
      <c r="H546">
        <v>4</v>
      </c>
      <c r="I546">
        <v>10</v>
      </c>
      <c r="J546" t="str">
        <f>TEXT(DATE(2012,Table1[[#This Row],[MONTH_ID]],10),"mmm")</f>
        <v>Oct</v>
      </c>
      <c r="K546">
        <v>2004</v>
      </c>
      <c r="L546" t="s">
        <v>195</v>
      </c>
      <c r="M546">
        <v>124</v>
      </c>
      <c r="N546" t="s">
        <v>579</v>
      </c>
      <c r="O546" t="s">
        <v>188</v>
      </c>
      <c r="P546" t="s">
        <v>189</v>
      </c>
      <c r="Q546" t="s">
        <v>190</v>
      </c>
      <c r="S546" t="s">
        <v>191</v>
      </c>
      <c r="U546">
        <v>28034</v>
      </c>
      <c r="V546" t="s">
        <v>192</v>
      </c>
      <c r="W546" t="s">
        <v>56</v>
      </c>
      <c r="X546" t="s">
        <v>193</v>
      </c>
      <c r="Y546" t="s">
        <v>194</v>
      </c>
      <c r="Z546" t="s">
        <v>50</v>
      </c>
    </row>
    <row r="547" spans="1:26" x14ac:dyDescent="0.3">
      <c r="A547">
        <v>10321</v>
      </c>
      <c r="B547">
        <v>44</v>
      </c>
      <c r="C547">
        <v>100</v>
      </c>
      <c r="D547">
        <v>6</v>
      </c>
      <c r="E547">
        <v>4489.76</v>
      </c>
      <c r="F547" s="1">
        <v>38295</v>
      </c>
      <c r="G547" t="s">
        <v>39</v>
      </c>
      <c r="H547">
        <v>4</v>
      </c>
      <c r="I547">
        <v>11</v>
      </c>
      <c r="J547" t="str">
        <f>TEXT(DATE(2012,Table1[[#This Row],[MONTH_ID]],10),"mmm")</f>
        <v>Nov</v>
      </c>
      <c r="K547">
        <v>2004</v>
      </c>
      <c r="L547" t="s">
        <v>195</v>
      </c>
      <c r="M547">
        <v>124</v>
      </c>
      <c r="N547" t="s">
        <v>579</v>
      </c>
      <c r="O547" t="s">
        <v>174</v>
      </c>
      <c r="P547">
        <v>5085552555</v>
      </c>
      <c r="Q547" t="s">
        <v>175</v>
      </c>
      <c r="S547" t="s">
        <v>176</v>
      </c>
      <c r="T547" t="s">
        <v>137</v>
      </c>
      <c r="U547">
        <v>50553</v>
      </c>
      <c r="V547" t="s">
        <v>46</v>
      </c>
      <c r="W547" t="s">
        <v>47</v>
      </c>
      <c r="X547" t="s">
        <v>177</v>
      </c>
      <c r="Y547" t="s">
        <v>178</v>
      </c>
      <c r="Z547" t="s">
        <v>65</v>
      </c>
    </row>
    <row r="548" spans="1:26" x14ac:dyDescent="0.3">
      <c r="A548">
        <v>10331</v>
      </c>
      <c r="B548">
        <v>44</v>
      </c>
      <c r="C548">
        <v>100</v>
      </c>
      <c r="D548">
        <v>14</v>
      </c>
      <c r="E548">
        <v>4849.24</v>
      </c>
      <c r="F548" s="1">
        <v>38308</v>
      </c>
      <c r="G548" t="s">
        <v>39</v>
      </c>
      <c r="H548">
        <v>4</v>
      </c>
      <c r="I548">
        <v>11</v>
      </c>
      <c r="J548" t="str">
        <f>TEXT(DATE(2012,Table1[[#This Row],[MONTH_ID]],10),"mmm")</f>
        <v>Nov</v>
      </c>
      <c r="K548">
        <v>2004</v>
      </c>
      <c r="L548" t="s">
        <v>195</v>
      </c>
      <c r="M548">
        <v>124</v>
      </c>
      <c r="N548" t="s">
        <v>579</v>
      </c>
      <c r="O548" t="s">
        <v>323</v>
      </c>
      <c r="P548">
        <v>2155559857</v>
      </c>
      <c r="Q548" t="s">
        <v>324</v>
      </c>
      <c r="S548" t="s">
        <v>230</v>
      </c>
      <c r="T548" t="s">
        <v>156</v>
      </c>
      <c r="U548">
        <v>71270</v>
      </c>
      <c r="V548" t="s">
        <v>46</v>
      </c>
      <c r="W548" t="s">
        <v>47</v>
      </c>
      <c r="X548" t="s">
        <v>138</v>
      </c>
      <c r="Y548" t="s">
        <v>325</v>
      </c>
      <c r="Z548" t="s">
        <v>65</v>
      </c>
    </row>
    <row r="549" spans="1:26" x14ac:dyDescent="0.3">
      <c r="A549">
        <v>10343</v>
      </c>
      <c r="B549">
        <v>36</v>
      </c>
      <c r="C549">
        <v>100</v>
      </c>
      <c r="D549">
        <v>4</v>
      </c>
      <c r="E549">
        <v>5848.92</v>
      </c>
      <c r="F549" s="1">
        <v>38315</v>
      </c>
      <c r="G549" t="s">
        <v>39</v>
      </c>
      <c r="H549">
        <v>4</v>
      </c>
      <c r="I549">
        <v>11</v>
      </c>
      <c r="J549" t="str">
        <f>TEXT(DATE(2012,Table1[[#This Row],[MONTH_ID]],10),"mmm")</f>
        <v>Nov</v>
      </c>
      <c r="K549">
        <v>2004</v>
      </c>
      <c r="L549" t="s">
        <v>195</v>
      </c>
      <c r="M549">
        <v>124</v>
      </c>
      <c r="N549" t="s">
        <v>579</v>
      </c>
      <c r="O549" t="s">
        <v>51</v>
      </c>
      <c r="P549" t="s">
        <v>52</v>
      </c>
      <c r="Q549" t="s">
        <v>53</v>
      </c>
      <c r="S549" t="s">
        <v>54</v>
      </c>
      <c r="U549">
        <v>51100</v>
      </c>
      <c r="V549" t="s">
        <v>55</v>
      </c>
      <c r="W549" t="s">
        <v>56</v>
      </c>
      <c r="X549" t="s">
        <v>57</v>
      </c>
      <c r="Y549" t="s">
        <v>58</v>
      </c>
      <c r="Z549" t="s">
        <v>65</v>
      </c>
    </row>
    <row r="550" spans="1:26" x14ac:dyDescent="0.3">
      <c r="A550">
        <v>10367</v>
      </c>
      <c r="B550">
        <v>49</v>
      </c>
      <c r="C550">
        <v>56.3</v>
      </c>
      <c r="D550">
        <v>1</v>
      </c>
      <c r="E550">
        <v>2758.7</v>
      </c>
      <c r="F550" s="1">
        <v>38364</v>
      </c>
      <c r="G550" t="s">
        <v>422</v>
      </c>
      <c r="H550">
        <v>1</v>
      </c>
      <c r="I550">
        <v>1</v>
      </c>
      <c r="J550" t="str">
        <f>TEXT(DATE(2012,Table1[[#This Row],[MONTH_ID]],10),"mmm")</f>
        <v>Jan</v>
      </c>
      <c r="K550">
        <v>2005</v>
      </c>
      <c r="L550" t="s">
        <v>195</v>
      </c>
      <c r="M550">
        <v>124</v>
      </c>
      <c r="N550" t="s">
        <v>579</v>
      </c>
      <c r="O550" t="s">
        <v>66</v>
      </c>
      <c r="P550">
        <v>6265557265</v>
      </c>
      <c r="Q550" t="s">
        <v>67</v>
      </c>
      <c r="S550" t="s">
        <v>68</v>
      </c>
      <c r="T550" t="s">
        <v>69</v>
      </c>
      <c r="U550">
        <v>90003</v>
      </c>
      <c r="V550" t="s">
        <v>46</v>
      </c>
      <c r="W550" t="s">
        <v>47</v>
      </c>
      <c r="X550" t="s">
        <v>70</v>
      </c>
      <c r="Y550" t="s">
        <v>71</v>
      </c>
      <c r="Z550" t="s">
        <v>50</v>
      </c>
    </row>
    <row r="551" spans="1:26" x14ac:dyDescent="0.3">
      <c r="A551">
        <v>10378</v>
      </c>
      <c r="B551">
        <v>34</v>
      </c>
      <c r="C551">
        <v>42.64</v>
      </c>
      <c r="D551">
        <v>5</v>
      </c>
      <c r="E551">
        <v>1449.76</v>
      </c>
      <c r="F551" s="1">
        <v>38393</v>
      </c>
      <c r="G551" t="s">
        <v>39</v>
      </c>
      <c r="H551">
        <v>1</v>
      </c>
      <c r="I551">
        <v>2</v>
      </c>
      <c r="J551" t="str">
        <f>TEXT(DATE(2012,Table1[[#This Row],[MONTH_ID]],10),"mmm")</f>
        <v>Feb</v>
      </c>
      <c r="K551">
        <v>2005</v>
      </c>
      <c r="L551" t="s">
        <v>195</v>
      </c>
      <c r="M551">
        <v>124</v>
      </c>
      <c r="N551" t="s">
        <v>579</v>
      </c>
      <c r="O551" t="s">
        <v>188</v>
      </c>
      <c r="P551" t="s">
        <v>189</v>
      </c>
      <c r="Q551" t="s">
        <v>190</v>
      </c>
      <c r="S551" t="s">
        <v>191</v>
      </c>
      <c r="U551">
        <v>28034</v>
      </c>
      <c r="V551" t="s">
        <v>192</v>
      </c>
      <c r="W551" t="s">
        <v>56</v>
      </c>
      <c r="X551" t="s">
        <v>193</v>
      </c>
      <c r="Y551" t="s">
        <v>194</v>
      </c>
      <c r="Z551" t="s">
        <v>50</v>
      </c>
    </row>
    <row r="552" spans="1:26" x14ac:dyDescent="0.3">
      <c r="A552">
        <v>10407</v>
      </c>
      <c r="B552">
        <v>59</v>
      </c>
      <c r="C552">
        <v>100</v>
      </c>
      <c r="D552">
        <v>11</v>
      </c>
      <c r="E552">
        <v>7048.14</v>
      </c>
      <c r="F552" s="1">
        <v>38464</v>
      </c>
      <c r="G552" t="s">
        <v>415</v>
      </c>
      <c r="H552">
        <v>2</v>
      </c>
      <c r="I552">
        <v>4</v>
      </c>
      <c r="J552" t="str">
        <f>TEXT(DATE(2012,Table1[[#This Row],[MONTH_ID]],10),"mmm")</f>
        <v>Apr</v>
      </c>
      <c r="K552">
        <v>2005</v>
      </c>
      <c r="L552" t="s">
        <v>195</v>
      </c>
      <c r="M552">
        <v>124</v>
      </c>
      <c r="N552" t="s">
        <v>579</v>
      </c>
      <c r="O552" t="s">
        <v>411</v>
      </c>
      <c r="P552">
        <v>4085553659</v>
      </c>
      <c r="Q552" t="s">
        <v>412</v>
      </c>
      <c r="S552" t="s">
        <v>413</v>
      </c>
      <c r="T552" t="s">
        <v>69</v>
      </c>
      <c r="U552">
        <v>94217</v>
      </c>
      <c r="V552" t="s">
        <v>46</v>
      </c>
      <c r="W552" t="s">
        <v>47</v>
      </c>
      <c r="X552" t="s">
        <v>116</v>
      </c>
      <c r="Y552" t="s">
        <v>414</v>
      </c>
      <c r="Z552" t="s">
        <v>165</v>
      </c>
    </row>
    <row r="553" spans="1:26" x14ac:dyDescent="0.3">
      <c r="A553">
        <v>10419</v>
      </c>
      <c r="B553">
        <v>37</v>
      </c>
      <c r="C553">
        <v>100</v>
      </c>
      <c r="D553">
        <v>1</v>
      </c>
      <c r="E553">
        <v>5202.9399999999996</v>
      </c>
      <c r="F553" s="1">
        <v>38489</v>
      </c>
      <c r="G553" t="s">
        <v>39</v>
      </c>
      <c r="H553">
        <v>2</v>
      </c>
      <c r="I553">
        <v>5</v>
      </c>
      <c r="J553" t="str">
        <f>TEXT(DATE(2012,Table1[[#This Row],[MONTH_ID]],10),"mmm")</f>
        <v>May</v>
      </c>
      <c r="K553">
        <v>2005</v>
      </c>
      <c r="L553" t="s">
        <v>195</v>
      </c>
      <c r="M553">
        <v>124</v>
      </c>
      <c r="N553" t="s">
        <v>579</v>
      </c>
      <c r="O553" t="s">
        <v>158</v>
      </c>
      <c r="P553" t="s">
        <v>159</v>
      </c>
      <c r="Q553" t="s">
        <v>160</v>
      </c>
      <c r="S553" t="s">
        <v>161</v>
      </c>
      <c r="U553">
        <v>5020</v>
      </c>
      <c r="V553" t="s">
        <v>162</v>
      </c>
      <c r="W553" t="s">
        <v>56</v>
      </c>
      <c r="X553" t="s">
        <v>163</v>
      </c>
      <c r="Y553" t="s">
        <v>164</v>
      </c>
      <c r="Z553" t="s">
        <v>65</v>
      </c>
    </row>
    <row r="554" spans="1:26" x14ac:dyDescent="0.3">
      <c r="A554">
        <v>10106</v>
      </c>
      <c r="B554">
        <v>36</v>
      </c>
      <c r="C554">
        <v>100</v>
      </c>
      <c r="D554">
        <v>12</v>
      </c>
      <c r="E554">
        <v>5279.4</v>
      </c>
      <c r="F554" s="1">
        <v>37669</v>
      </c>
      <c r="G554" t="s">
        <v>39</v>
      </c>
      <c r="H554">
        <v>1</v>
      </c>
      <c r="I554">
        <v>2</v>
      </c>
      <c r="J554" t="str">
        <f>TEXT(DATE(2012,Table1[[#This Row],[MONTH_ID]],10),"mmm")</f>
        <v>Feb</v>
      </c>
      <c r="K554">
        <v>2003</v>
      </c>
      <c r="L554" t="s">
        <v>580</v>
      </c>
      <c r="M554">
        <v>157</v>
      </c>
      <c r="N554" t="s">
        <v>581</v>
      </c>
      <c r="O554" t="s">
        <v>566</v>
      </c>
      <c r="P554" t="s">
        <v>567</v>
      </c>
      <c r="Q554" t="s">
        <v>568</v>
      </c>
      <c r="S554" t="s">
        <v>569</v>
      </c>
      <c r="U554">
        <v>24100</v>
      </c>
      <c r="V554" t="s">
        <v>272</v>
      </c>
      <c r="W554" t="s">
        <v>56</v>
      </c>
      <c r="X554" t="s">
        <v>570</v>
      </c>
      <c r="Y554" t="s">
        <v>571</v>
      </c>
      <c r="Z554" t="s">
        <v>65</v>
      </c>
    </row>
    <row r="555" spans="1:26" x14ac:dyDescent="0.3">
      <c r="A555">
        <v>10119</v>
      </c>
      <c r="B555">
        <v>43</v>
      </c>
      <c r="C555">
        <v>100</v>
      </c>
      <c r="D555">
        <v>3</v>
      </c>
      <c r="E555">
        <v>6916.12</v>
      </c>
      <c r="F555" s="1">
        <v>37739</v>
      </c>
      <c r="G555" t="s">
        <v>39</v>
      </c>
      <c r="H555">
        <v>2</v>
      </c>
      <c r="I555">
        <v>4</v>
      </c>
      <c r="J555" t="str">
        <f>TEXT(DATE(2012,Table1[[#This Row],[MONTH_ID]],10),"mmm")</f>
        <v>Apr</v>
      </c>
      <c r="K555">
        <v>2003</v>
      </c>
      <c r="L555" t="s">
        <v>580</v>
      </c>
      <c r="M555">
        <v>157</v>
      </c>
      <c r="N555" t="s">
        <v>581</v>
      </c>
      <c r="O555" t="s">
        <v>158</v>
      </c>
      <c r="P555" t="s">
        <v>159</v>
      </c>
      <c r="Q555" t="s">
        <v>160</v>
      </c>
      <c r="S555" t="s">
        <v>161</v>
      </c>
      <c r="U555">
        <v>5020</v>
      </c>
      <c r="V555" t="s">
        <v>162</v>
      </c>
      <c r="W555" t="s">
        <v>56</v>
      </c>
      <c r="X555" t="s">
        <v>163</v>
      </c>
      <c r="Y555" t="s">
        <v>164</v>
      </c>
      <c r="Z555" t="s">
        <v>65</v>
      </c>
    </row>
    <row r="556" spans="1:26" x14ac:dyDescent="0.3">
      <c r="A556">
        <v>10131</v>
      </c>
      <c r="B556">
        <v>21</v>
      </c>
      <c r="C556">
        <v>100</v>
      </c>
      <c r="D556">
        <v>4</v>
      </c>
      <c r="E556">
        <v>2781.66</v>
      </c>
      <c r="F556" s="1">
        <v>37788</v>
      </c>
      <c r="G556" t="s">
        <v>39</v>
      </c>
      <c r="H556">
        <v>2</v>
      </c>
      <c r="I556">
        <v>6</v>
      </c>
      <c r="J556" t="str">
        <f>TEXT(DATE(2012,Table1[[#This Row],[MONTH_ID]],10),"mmm")</f>
        <v>Jun</v>
      </c>
      <c r="K556">
        <v>2003</v>
      </c>
      <c r="L556" t="s">
        <v>580</v>
      </c>
      <c r="M556">
        <v>157</v>
      </c>
      <c r="N556" t="s">
        <v>581</v>
      </c>
      <c r="O556" t="s">
        <v>582</v>
      </c>
      <c r="P556">
        <v>2035554407</v>
      </c>
      <c r="Q556" t="s">
        <v>583</v>
      </c>
      <c r="S556" t="s">
        <v>530</v>
      </c>
      <c r="T556" t="s">
        <v>126</v>
      </c>
      <c r="U556">
        <v>97561</v>
      </c>
      <c r="V556" t="s">
        <v>46</v>
      </c>
      <c r="W556" t="s">
        <v>47</v>
      </c>
      <c r="X556" t="s">
        <v>584</v>
      </c>
      <c r="Y556" t="s">
        <v>585</v>
      </c>
      <c r="Z556" t="s">
        <v>50</v>
      </c>
    </row>
    <row r="557" spans="1:26" x14ac:dyDescent="0.3">
      <c r="A557">
        <v>10143</v>
      </c>
      <c r="B557">
        <v>32</v>
      </c>
      <c r="C557">
        <v>100</v>
      </c>
      <c r="D557">
        <v>7</v>
      </c>
      <c r="E557">
        <v>5248</v>
      </c>
      <c r="F557" s="1">
        <v>37843</v>
      </c>
      <c r="G557" t="s">
        <v>39</v>
      </c>
      <c r="H557">
        <v>3</v>
      </c>
      <c r="I557">
        <v>8</v>
      </c>
      <c r="J557" t="str">
        <f>TEXT(DATE(2012,Table1[[#This Row],[MONTH_ID]],10),"mmm")</f>
        <v>Aug</v>
      </c>
      <c r="K557">
        <v>2003</v>
      </c>
      <c r="L557" t="s">
        <v>580</v>
      </c>
      <c r="M557">
        <v>157</v>
      </c>
      <c r="N557" t="s">
        <v>581</v>
      </c>
      <c r="O557" t="s">
        <v>349</v>
      </c>
      <c r="P557">
        <v>5085559555</v>
      </c>
      <c r="Q557" t="s">
        <v>350</v>
      </c>
      <c r="S557" t="s">
        <v>176</v>
      </c>
      <c r="T557" t="s">
        <v>137</v>
      </c>
      <c r="U557">
        <v>50553</v>
      </c>
      <c r="V557" t="s">
        <v>46</v>
      </c>
      <c r="W557" t="s">
        <v>47</v>
      </c>
      <c r="X557" t="s">
        <v>351</v>
      </c>
      <c r="Y557" t="s">
        <v>352</v>
      </c>
      <c r="Z557" t="s">
        <v>65</v>
      </c>
    </row>
    <row r="558" spans="1:26" x14ac:dyDescent="0.3">
      <c r="A558">
        <v>10155</v>
      </c>
      <c r="B558">
        <v>38</v>
      </c>
      <c r="C558">
        <v>100</v>
      </c>
      <c r="D558">
        <v>5</v>
      </c>
      <c r="E558">
        <v>6531.44</v>
      </c>
      <c r="F558" s="1">
        <v>37900</v>
      </c>
      <c r="G558" t="s">
        <v>39</v>
      </c>
      <c r="H558">
        <v>4</v>
      </c>
      <c r="I558">
        <v>10</v>
      </c>
      <c r="J558" t="str">
        <f>TEXT(DATE(2012,Table1[[#This Row],[MONTH_ID]],10),"mmm")</f>
        <v>Oct</v>
      </c>
      <c r="K558">
        <v>2003</v>
      </c>
      <c r="L558" t="s">
        <v>580</v>
      </c>
      <c r="M558">
        <v>157</v>
      </c>
      <c r="N558" t="s">
        <v>581</v>
      </c>
      <c r="O558" t="s">
        <v>140</v>
      </c>
      <c r="P558" t="s">
        <v>141</v>
      </c>
      <c r="Q558" t="s">
        <v>142</v>
      </c>
      <c r="S558" t="s">
        <v>143</v>
      </c>
      <c r="U558">
        <v>21240</v>
      </c>
      <c r="V558" t="s">
        <v>144</v>
      </c>
      <c r="W558" t="s">
        <v>56</v>
      </c>
      <c r="X558" t="s">
        <v>145</v>
      </c>
      <c r="Y558" t="s">
        <v>146</v>
      </c>
      <c r="Z558" t="s">
        <v>65</v>
      </c>
    </row>
    <row r="559" spans="1:26" x14ac:dyDescent="0.3">
      <c r="A559">
        <v>10167</v>
      </c>
      <c r="B559">
        <v>43</v>
      </c>
      <c r="C559">
        <v>100</v>
      </c>
      <c r="D559">
        <v>1</v>
      </c>
      <c r="E559">
        <v>5763.72</v>
      </c>
      <c r="F559" s="1">
        <v>37917</v>
      </c>
      <c r="G559" t="s">
        <v>353</v>
      </c>
      <c r="H559">
        <v>4</v>
      </c>
      <c r="I559">
        <v>10</v>
      </c>
      <c r="J559" t="str">
        <f>TEXT(DATE(2012,Table1[[#This Row],[MONTH_ID]],10),"mmm")</f>
        <v>Oct</v>
      </c>
      <c r="K559">
        <v>2003</v>
      </c>
      <c r="L559" t="s">
        <v>580</v>
      </c>
      <c r="M559">
        <v>157</v>
      </c>
      <c r="N559" t="s">
        <v>581</v>
      </c>
      <c r="O559" t="s">
        <v>275</v>
      </c>
      <c r="P559" t="s">
        <v>276</v>
      </c>
      <c r="Q559" t="s">
        <v>277</v>
      </c>
      <c r="S559" t="s">
        <v>278</v>
      </c>
      <c r="U559" t="s">
        <v>279</v>
      </c>
      <c r="V559" t="s">
        <v>202</v>
      </c>
      <c r="W559" t="s">
        <v>56</v>
      </c>
      <c r="X559" t="s">
        <v>280</v>
      </c>
      <c r="Y559" t="s">
        <v>220</v>
      </c>
      <c r="Z559" t="s">
        <v>65</v>
      </c>
    </row>
    <row r="560" spans="1:26" x14ac:dyDescent="0.3">
      <c r="A560">
        <v>10178</v>
      </c>
      <c r="B560">
        <v>42</v>
      </c>
      <c r="C560">
        <v>100</v>
      </c>
      <c r="D560">
        <v>4</v>
      </c>
      <c r="E560">
        <v>6490.68</v>
      </c>
      <c r="F560" s="1">
        <v>37933</v>
      </c>
      <c r="G560" t="s">
        <v>39</v>
      </c>
      <c r="H560">
        <v>4</v>
      </c>
      <c r="I560">
        <v>11</v>
      </c>
      <c r="J560" t="str">
        <f>TEXT(DATE(2012,Table1[[#This Row],[MONTH_ID]],10),"mmm")</f>
        <v>Nov</v>
      </c>
      <c r="K560">
        <v>2003</v>
      </c>
      <c r="L560" t="s">
        <v>580</v>
      </c>
      <c r="M560">
        <v>157</v>
      </c>
      <c r="N560" t="s">
        <v>581</v>
      </c>
      <c r="O560" t="s">
        <v>354</v>
      </c>
      <c r="P560" t="s">
        <v>355</v>
      </c>
      <c r="Q560" t="s">
        <v>356</v>
      </c>
      <c r="S560" t="s">
        <v>357</v>
      </c>
      <c r="U560">
        <v>31000</v>
      </c>
      <c r="V560" t="s">
        <v>55</v>
      </c>
      <c r="W560" t="s">
        <v>56</v>
      </c>
      <c r="X560" t="s">
        <v>358</v>
      </c>
      <c r="Y560" t="s">
        <v>359</v>
      </c>
      <c r="Z560" t="s">
        <v>65</v>
      </c>
    </row>
    <row r="561" spans="1:26" x14ac:dyDescent="0.3">
      <c r="A561">
        <v>10186</v>
      </c>
      <c r="B561">
        <v>32</v>
      </c>
      <c r="C561">
        <v>100</v>
      </c>
      <c r="D561">
        <v>1</v>
      </c>
      <c r="E561">
        <v>6004.8</v>
      </c>
      <c r="F561" s="1">
        <v>37939</v>
      </c>
      <c r="G561" t="s">
        <v>39</v>
      </c>
      <c r="H561">
        <v>4</v>
      </c>
      <c r="I561">
        <v>11</v>
      </c>
      <c r="J561" t="str">
        <f>TEXT(DATE(2012,Table1[[#This Row],[MONTH_ID]],10),"mmm")</f>
        <v>Nov</v>
      </c>
      <c r="K561">
        <v>2003</v>
      </c>
      <c r="L561" t="s">
        <v>580</v>
      </c>
      <c r="M561">
        <v>157</v>
      </c>
      <c r="N561" t="s">
        <v>581</v>
      </c>
      <c r="O561" t="s">
        <v>360</v>
      </c>
      <c r="P561" t="s">
        <v>361</v>
      </c>
      <c r="Q561" t="s">
        <v>362</v>
      </c>
      <c r="S561" t="s">
        <v>346</v>
      </c>
      <c r="U561" t="s">
        <v>363</v>
      </c>
      <c r="V561" t="s">
        <v>184</v>
      </c>
      <c r="W561" t="s">
        <v>56</v>
      </c>
      <c r="X561" t="s">
        <v>364</v>
      </c>
      <c r="Y561" t="s">
        <v>365</v>
      </c>
      <c r="Z561" t="s">
        <v>65</v>
      </c>
    </row>
    <row r="562" spans="1:26" x14ac:dyDescent="0.3">
      <c r="A562">
        <v>10198</v>
      </c>
      <c r="B562">
        <v>42</v>
      </c>
      <c r="C562">
        <v>100</v>
      </c>
      <c r="D562">
        <v>4</v>
      </c>
      <c r="E562">
        <v>7483.98</v>
      </c>
      <c r="F562" s="1">
        <v>37952</v>
      </c>
      <c r="G562" t="s">
        <v>39</v>
      </c>
      <c r="H562">
        <v>4</v>
      </c>
      <c r="I562">
        <v>11</v>
      </c>
      <c r="J562" t="str">
        <f>TEXT(DATE(2012,Table1[[#This Row],[MONTH_ID]],10),"mmm")</f>
        <v>Nov</v>
      </c>
      <c r="K562">
        <v>2003</v>
      </c>
      <c r="L562" t="s">
        <v>580</v>
      </c>
      <c r="M562">
        <v>157</v>
      </c>
      <c r="N562" t="s">
        <v>581</v>
      </c>
      <c r="O562" t="s">
        <v>439</v>
      </c>
      <c r="P562" t="s">
        <v>440</v>
      </c>
      <c r="Q562" t="s">
        <v>441</v>
      </c>
      <c r="S562" t="s">
        <v>442</v>
      </c>
      <c r="U562" t="s">
        <v>443</v>
      </c>
      <c r="V562" t="s">
        <v>444</v>
      </c>
      <c r="W562" t="s">
        <v>214</v>
      </c>
      <c r="X562" t="s">
        <v>445</v>
      </c>
      <c r="Y562" t="s">
        <v>446</v>
      </c>
      <c r="Z562" t="s">
        <v>165</v>
      </c>
    </row>
    <row r="563" spans="1:26" x14ac:dyDescent="0.3">
      <c r="A563">
        <v>10210</v>
      </c>
      <c r="B563">
        <v>31</v>
      </c>
      <c r="C563">
        <v>100</v>
      </c>
      <c r="D563">
        <v>17</v>
      </c>
      <c r="E563">
        <v>5719.5</v>
      </c>
      <c r="F563" s="1">
        <v>37998</v>
      </c>
      <c r="G563" t="s">
        <v>39</v>
      </c>
      <c r="H563">
        <v>1</v>
      </c>
      <c r="I563">
        <v>1</v>
      </c>
      <c r="J563" t="str">
        <f>TEXT(DATE(2012,Table1[[#This Row],[MONTH_ID]],10),"mmm")</f>
        <v>Jan</v>
      </c>
      <c r="K563">
        <v>2004</v>
      </c>
      <c r="L563" t="s">
        <v>580</v>
      </c>
      <c r="M563">
        <v>157</v>
      </c>
      <c r="N563" t="s">
        <v>581</v>
      </c>
      <c r="O563" t="s">
        <v>316</v>
      </c>
      <c r="P563" t="s">
        <v>317</v>
      </c>
      <c r="Q563" t="s">
        <v>318</v>
      </c>
      <c r="S563" t="s">
        <v>319</v>
      </c>
      <c r="T563" t="s">
        <v>319</v>
      </c>
      <c r="U563" t="s">
        <v>320</v>
      </c>
      <c r="V563" t="s">
        <v>214</v>
      </c>
      <c r="W563" t="s">
        <v>214</v>
      </c>
      <c r="X563" t="s">
        <v>321</v>
      </c>
      <c r="Y563" t="s">
        <v>322</v>
      </c>
      <c r="Z563" t="s">
        <v>65</v>
      </c>
    </row>
    <row r="564" spans="1:26" x14ac:dyDescent="0.3">
      <c r="A564">
        <v>10222</v>
      </c>
      <c r="B564">
        <v>49</v>
      </c>
      <c r="C564">
        <v>100</v>
      </c>
      <c r="D564">
        <v>4</v>
      </c>
      <c r="E564">
        <v>6954.08</v>
      </c>
      <c r="F564" s="1">
        <v>38036</v>
      </c>
      <c r="G564" t="s">
        <v>39</v>
      </c>
      <c r="H564">
        <v>1</v>
      </c>
      <c r="I564">
        <v>2</v>
      </c>
      <c r="J564" t="str">
        <f>TEXT(DATE(2012,Table1[[#This Row],[MONTH_ID]],10),"mmm")</f>
        <v>Feb</v>
      </c>
      <c r="K564">
        <v>2004</v>
      </c>
      <c r="L564" t="s">
        <v>580</v>
      </c>
      <c r="M564">
        <v>157</v>
      </c>
      <c r="N564" t="s">
        <v>581</v>
      </c>
      <c r="O564" t="s">
        <v>376</v>
      </c>
      <c r="P564">
        <v>7605558146</v>
      </c>
      <c r="Q564" t="s">
        <v>377</v>
      </c>
      <c r="S564" t="s">
        <v>378</v>
      </c>
      <c r="T564" t="s">
        <v>69</v>
      </c>
      <c r="U564">
        <v>91217</v>
      </c>
      <c r="V564" t="s">
        <v>46</v>
      </c>
      <c r="W564" t="s">
        <v>47</v>
      </c>
      <c r="X564" t="s">
        <v>251</v>
      </c>
      <c r="Y564" t="s">
        <v>290</v>
      </c>
      <c r="Z564" t="s">
        <v>65</v>
      </c>
    </row>
    <row r="565" spans="1:26" x14ac:dyDescent="0.3">
      <c r="A565">
        <v>10250</v>
      </c>
      <c r="B565">
        <v>45</v>
      </c>
      <c r="C565">
        <v>100</v>
      </c>
      <c r="D565">
        <v>14</v>
      </c>
      <c r="E565">
        <v>8160.3</v>
      </c>
      <c r="F565" s="1">
        <v>38118</v>
      </c>
      <c r="G565" t="s">
        <v>39</v>
      </c>
      <c r="H565">
        <v>2</v>
      </c>
      <c r="I565">
        <v>5</v>
      </c>
      <c r="J565" t="str">
        <f>TEXT(DATE(2012,Table1[[#This Row],[MONTH_ID]],10),"mmm")</f>
        <v>May</v>
      </c>
      <c r="K565">
        <v>2004</v>
      </c>
      <c r="L565" t="s">
        <v>580</v>
      </c>
      <c r="M565">
        <v>157</v>
      </c>
      <c r="N565" t="s">
        <v>581</v>
      </c>
      <c r="O565" t="s">
        <v>411</v>
      </c>
      <c r="P565">
        <v>4085553659</v>
      </c>
      <c r="Q565" t="s">
        <v>412</v>
      </c>
      <c r="S565" t="s">
        <v>413</v>
      </c>
      <c r="T565" t="s">
        <v>69</v>
      </c>
      <c r="U565">
        <v>94217</v>
      </c>
      <c r="V565" t="s">
        <v>46</v>
      </c>
      <c r="W565" t="s">
        <v>47</v>
      </c>
      <c r="X565" t="s">
        <v>116</v>
      </c>
      <c r="Y565" t="s">
        <v>414</v>
      </c>
      <c r="Z565" t="s">
        <v>165</v>
      </c>
    </row>
    <row r="566" spans="1:26" x14ac:dyDescent="0.3">
      <c r="A566">
        <v>10262</v>
      </c>
      <c r="B566">
        <v>49</v>
      </c>
      <c r="C566">
        <v>100</v>
      </c>
      <c r="D566">
        <v>9</v>
      </c>
      <c r="E566">
        <v>6567.96</v>
      </c>
      <c r="F566" s="1">
        <v>38162</v>
      </c>
      <c r="G566" t="s">
        <v>353</v>
      </c>
      <c r="H566">
        <v>2</v>
      </c>
      <c r="I566">
        <v>6</v>
      </c>
      <c r="J566" t="str">
        <f>TEXT(DATE(2012,Table1[[#This Row],[MONTH_ID]],10),"mmm")</f>
        <v>Jun</v>
      </c>
      <c r="K566">
        <v>2004</v>
      </c>
      <c r="L566" t="s">
        <v>580</v>
      </c>
      <c r="M566">
        <v>157</v>
      </c>
      <c r="N566" t="s">
        <v>581</v>
      </c>
      <c r="O566" t="s">
        <v>188</v>
      </c>
      <c r="P566" t="s">
        <v>189</v>
      </c>
      <c r="Q566" t="s">
        <v>190</v>
      </c>
      <c r="S566" t="s">
        <v>191</v>
      </c>
      <c r="U566">
        <v>28034</v>
      </c>
      <c r="V566" t="s">
        <v>192</v>
      </c>
      <c r="W566" t="s">
        <v>56</v>
      </c>
      <c r="X566" t="s">
        <v>193</v>
      </c>
      <c r="Y566" t="s">
        <v>194</v>
      </c>
      <c r="Z566" t="s">
        <v>65</v>
      </c>
    </row>
    <row r="567" spans="1:26" x14ac:dyDescent="0.3">
      <c r="A567">
        <v>10274</v>
      </c>
      <c r="B567">
        <v>41</v>
      </c>
      <c r="C567">
        <v>100</v>
      </c>
      <c r="D567">
        <v>1</v>
      </c>
      <c r="E567">
        <v>6724</v>
      </c>
      <c r="F567" s="1">
        <v>38189</v>
      </c>
      <c r="G567" t="s">
        <v>39</v>
      </c>
      <c r="H567">
        <v>3</v>
      </c>
      <c r="I567">
        <v>7</v>
      </c>
      <c r="J567" t="str">
        <f>TEXT(DATE(2012,Table1[[#This Row],[MONTH_ID]],10),"mmm")</f>
        <v>Jul</v>
      </c>
      <c r="K567">
        <v>2004</v>
      </c>
      <c r="L567" t="s">
        <v>580</v>
      </c>
      <c r="M567">
        <v>157</v>
      </c>
      <c r="N567" t="s">
        <v>581</v>
      </c>
      <c r="O567" t="s">
        <v>295</v>
      </c>
      <c r="P567">
        <v>6175558555</v>
      </c>
      <c r="Q567" t="s">
        <v>296</v>
      </c>
      <c r="S567" t="s">
        <v>297</v>
      </c>
      <c r="T567" t="s">
        <v>137</v>
      </c>
      <c r="U567">
        <v>58339</v>
      </c>
      <c r="V567" t="s">
        <v>46</v>
      </c>
      <c r="W567" t="s">
        <v>47</v>
      </c>
      <c r="X567" t="s">
        <v>289</v>
      </c>
      <c r="Y567" t="s">
        <v>298</v>
      </c>
      <c r="Z567" t="s">
        <v>65</v>
      </c>
    </row>
    <row r="568" spans="1:26" x14ac:dyDescent="0.3">
      <c r="A568">
        <v>10284</v>
      </c>
      <c r="B568">
        <v>45</v>
      </c>
      <c r="C568">
        <v>100</v>
      </c>
      <c r="D568">
        <v>11</v>
      </c>
      <c r="E568">
        <v>5747.85</v>
      </c>
      <c r="F568" s="1">
        <v>38220</v>
      </c>
      <c r="G568" t="s">
        <v>39</v>
      </c>
      <c r="H568">
        <v>3</v>
      </c>
      <c r="I568">
        <v>8</v>
      </c>
      <c r="J568" t="str">
        <f>TEXT(DATE(2012,Table1[[#This Row],[MONTH_ID]],10),"mmm")</f>
        <v>Aug</v>
      </c>
      <c r="K568">
        <v>2004</v>
      </c>
      <c r="L568" t="s">
        <v>580</v>
      </c>
      <c r="M568">
        <v>157</v>
      </c>
      <c r="N568" t="s">
        <v>581</v>
      </c>
      <c r="O568" t="s">
        <v>557</v>
      </c>
      <c r="P568" t="s">
        <v>558</v>
      </c>
      <c r="Q568" t="s">
        <v>559</v>
      </c>
      <c r="S568" t="s">
        <v>560</v>
      </c>
      <c r="U568" t="s">
        <v>561</v>
      </c>
      <c r="V568" t="s">
        <v>92</v>
      </c>
      <c r="W568" t="s">
        <v>56</v>
      </c>
      <c r="X568" t="s">
        <v>562</v>
      </c>
      <c r="Y568" t="s">
        <v>563</v>
      </c>
      <c r="Z568" t="s">
        <v>65</v>
      </c>
    </row>
    <row r="569" spans="1:26" x14ac:dyDescent="0.3">
      <c r="A569">
        <v>10296</v>
      </c>
      <c r="B569">
        <v>36</v>
      </c>
      <c r="C569">
        <v>100</v>
      </c>
      <c r="D569">
        <v>7</v>
      </c>
      <c r="E569">
        <v>5676.84</v>
      </c>
      <c r="F569" s="1">
        <v>38245</v>
      </c>
      <c r="G569" t="s">
        <v>39</v>
      </c>
      <c r="H569">
        <v>3</v>
      </c>
      <c r="I569">
        <v>9</v>
      </c>
      <c r="J569" t="str">
        <f>TEXT(DATE(2012,Table1[[#This Row],[MONTH_ID]],10),"mmm")</f>
        <v>Sep</v>
      </c>
      <c r="K569">
        <v>2004</v>
      </c>
      <c r="L569" t="s">
        <v>580</v>
      </c>
      <c r="M569">
        <v>157</v>
      </c>
      <c r="N569" t="s">
        <v>581</v>
      </c>
      <c r="O569" t="s">
        <v>586</v>
      </c>
      <c r="P569" t="s">
        <v>587</v>
      </c>
      <c r="Q569" t="s">
        <v>588</v>
      </c>
      <c r="S569" t="s">
        <v>589</v>
      </c>
      <c r="U569">
        <v>80686</v>
      </c>
      <c r="V569" t="s">
        <v>457</v>
      </c>
      <c r="W569" t="s">
        <v>56</v>
      </c>
      <c r="X569" t="s">
        <v>590</v>
      </c>
      <c r="Y569" t="s">
        <v>117</v>
      </c>
      <c r="Z569" t="s">
        <v>65</v>
      </c>
    </row>
    <row r="570" spans="1:26" x14ac:dyDescent="0.3">
      <c r="A570">
        <v>10307</v>
      </c>
      <c r="B570">
        <v>39</v>
      </c>
      <c r="C570">
        <v>100</v>
      </c>
      <c r="D570">
        <v>1</v>
      </c>
      <c r="E570">
        <v>7379.97</v>
      </c>
      <c r="F570" s="1">
        <v>38274</v>
      </c>
      <c r="G570" t="s">
        <v>39</v>
      </c>
      <c r="H570">
        <v>4</v>
      </c>
      <c r="I570">
        <v>10</v>
      </c>
      <c r="J570" t="str">
        <f>TEXT(DATE(2012,Table1[[#This Row],[MONTH_ID]],10),"mmm")</f>
        <v>Oct</v>
      </c>
      <c r="K570">
        <v>2004</v>
      </c>
      <c r="L570" t="s">
        <v>580</v>
      </c>
      <c r="M570">
        <v>157</v>
      </c>
      <c r="N570" t="s">
        <v>581</v>
      </c>
      <c r="O570" t="s">
        <v>228</v>
      </c>
      <c r="P570">
        <v>2155554695</v>
      </c>
      <c r="Q570" t="s">
        <v>229</v>
      </c>
      <c r="S570" t="s">
        <v>230</v>
      </c>
      <c r="T570" t="s">
        <v>156</v>
      </c>
      <c r="U570">
        <v>71270</v>
      </c>
      <c r="V570" t="s">
        <v>46</v>
      </c>
      <c r="W570" t="s">
        <v>47</v>
      </c>
      <c r="X570" t="s">
        <v>231</v>
      </c>
      <c r="Y570" t="s">
        <v>232</v>
      </c>
      <c r="Z570" t="s">
        <v>165</v>
      </c>
    </row>
    <row r="571" spans="1:26" x14ac:dyDescent="0.3">
      <c r="A571">
        <v>10316</v>
      </c>
      <c r="B571">
        <v>27</v>
      </c>
      <c r="C571">
        <v>100</v>
      </c>
      <c r="D571">
        <v>9</v>
      </c>
      <c r="E571">
        <v>3704.13</v>
      </c>
      <c r="F571" s="1">
        <v>38292</v>
      </c>
      <c r="G571" t="s">
        <v>39</v>
      </c>
      <c r="H571">
        <v>4</v>
      </c>
      <c r="I571">
        <v>11</v>
      </c>
      <c r="J571" t="str">
        <f>TEXT(DATE(2012,Table1[[#This Row],[MONTH_ID]],10),"mmm")</f>
        <v>Nov</v>
      </c>
      <c r="K571">
        <v>2004</v>
      </c>
      <c r="L571" t="s">
        <v>580</v>
      </c>
      <c r="M571">
        <v>157</v>
      </c>
      <c r="N571" t="s">
        <v>581</v>
      </c>
      <c r="O571" t="s">
        <v>397</v>
      </c>
      <c r="P571" t="s">
        <v>398</v>
      </c>
      <c r="Q571" t="s">
        <v>399</v>
      </c>
      <c r="S571" t="s">
        <v>400</v>
      </c>
      <c r="T571" t="s">
        <v>401</v>
      </c>
      <c r="U571" t="s">
        <v>402</v>
      </c>
      <c r="V571" t="s">
        <v>184</v>
      </c>
      <c r="W571" t="s">
        <v>56</v>
      </c>
      <c r="X571" t="s">
        <v>403</v>
      </c>
      <c r="Y571" t="s">
        <v>404</v>
      </c>
      <c r="Z571" t="s">
        <v>65</v>
      </c>
    </row>
    <row r="572" spans="1:26" x14ac:dyDescent="0.3">
      <c r="A572">
        <v>10327</v>
      </c>
      <c r="B572">
        <v>25</v>
      </c>
      <c r="C572">
        <v>100</v>
      </c>
      <c r="D572">
        <v>6</v>
      </c>
      <c r="E572">
        <v>2804.75</v>
      </c>
      <c r="F572" s="1">
        <v>38301</v>
      </c>
      <c r="G572" t="s">
        <v>422</v>
      </c>
      <c r="H572">
        <v>4</v>
      </c>
      <c r="I572">
        <v>11</v>
      </c>
      <c r="J572" t="str">
        <f>TEXT(DATE(2012,Table1[[#This Row],[MONTH_ID]],10),"mmm")</f>
        <v>Nov</v>
      </c>
      <c r="K572">
        <v>2004</v>
      </c>
      <c r="L572" t="s">
        <v>580</v>
      </c>
      <c r="M572">
        <v>157</v>
      </c>
      <c r="N572" t="s">
        <v>581</v>
      </c>
      <c r="O572" t="s">
        <v>336</v>
      </c>
      <c r="P572" t="s">
        <v>337</v>
      </c>
      <c r="Q572" t="s">
        <v>338</v>
      </c>
      <c r="S572" t="s">
        <v>339</v>
      </c>
      <c r="U572">
        <v>1734</v>
      </c>
      <c r="V572" t="s">
        <v>340</v>
      </c>
      <c r="W572" t="s">
        <v>56</v>
      </c>
      <c r="X572" t="s">
        <v>341</v>
      </c>
      <c r="Y572" t="s">
        <v>342</v>
      </c>
      <c r="Z572" t="s">
        <v>50</v>
      </c>
    </row>
    <row r="573" spans="1:26" x14ac:dyDescent="0.3">
      <c r="A573">
        <v>10338</v>
      </c>
      <c r="B573">
        <v>41</v>
      </c>
      <c r="C573">
        <v>100</v>
      </c>
      <c r="D573">
        <v>1</v>
      </c>
      <c r="E573">
        <v>5624.79</v>
      </c>
      <c r="F573" s="1">
        <v>38313</v>
      </c>
      <c r="G573" t="s">
        <v>39</v>
      </c>
      <c r="H573">
        <v>4</v>
      </c>
      <c r="I573">
        <v>11</v>
      </c>
      <c r="J573" t="str">
        <f>TEXT(DATE(2012,Table1[[#This Row],[MONTH_ID]],10),"mmm")</f>
        <v>Nov</v>
      </c>
      <c r="K573">
        <v>2004</v>
      </c>
      <c r="L573" t="s">
        <v>580</v>
      </c>
      <c r="M573">
        <v>157</v>
      </c>
      <c r="N573" t="s">
        <v>581</v>
      </c>
      <c r="O573" t="s">
        <v>591</v>
      </c>
      <c r="P573" t="s">
        <v>592</v>
      </c>
      <c r="Q573" t="s">
        <v>593</v>
      </c>
      <c r="S573" t="s">
        <v>594</v>
      </c>
      <c r="U573" t="s">
        <v>595</v>
      </c>
      <c r="V573" t="s">
        <v>384</v>
      </c>
      <c r="W573" t="s">
        <v>56</v>
      </c>
      <c r="X573" t="s">
        <v>596</v>
      </c>
      <c r="Y573" t="s">
        <v>597</v>
      </c>
      <c r="Z573" t="s">
        <v>65</v>
      </c>
    </row>
    <row r="574" spans="1:26" x14ac:dyDescent="0.3">
      <c r="A574">
        <v>10351</v>
      </c>
      <c r="B574">
        <v>39</v>
      </c>
      <c r="C574">
        <v>99.52</v>
      </c>
      <c r="D574">
        <v>1</v>
      </c>
      <c r="E574">
        <v>3881.28</v>
      </c>
      <c r="F574" s="1">
        <v>38324</v>
      </c>
      <c r="G574" t="s">
        <v>39</v>
      </c>
      <c r="H574">
        <v>4</v>
      </c>
      <c r="I574">
        <v>12</v>
      </c>
      <c r="J574" t="str">
        <f>TEXT(DATE(2012,Table1[[#This Row],[MONTH_ID]],10),"mmm")</f>
        <v>Dec</v>
      </c>
      <c r="K574">
        <v>2004</v>
      </c>
      <c r="L574" t="s">
        <v>580</v>
      </c>
      <c r="M574">
        <v>157</v>
      </c>
      <c r="N574" t="s">
        <v>581</v>
      </c>
      <c r="O574" t="s">
        <v>343</v>
      </c>
      <c r="P574" t="s">
        <v>344</v>
      </c>
      <c r="Q574" t="s">
        <v>345</v>
      </c>
      <c r="S574" t="s">
        <v>346</v>
      </c>
      <c r="U574" t="s">
        <v>347</v>
      </c>
      <c r="V574" t="s">
        <v>184</v>
      </c>
      <c r="W574" t="s">
        <v>56</v>
      </c>
      <c r="X574" t="s">
        <v>75</v>
      </c>
      <c r="Y574" t="s">
        <v>348</v>
      </c>
      <c r="Z574" t="s">
        <v>65</v>
      </c>
    </row>
    <row r="575" spans="1:26" x14ac:dyDescent="0.3">
      <c r="A575">
        <v>10373</v>
      </c>
      <c r="B575">
        <v>28</v>
      </c>
      <c r="C575">
        <v>57.55</v>
      </c>
      <c r="D575">
        <v>4</v>
      </c>
      <c r="E575">
        <v>1611.4</v>
      </c>
      <c r="F575" s="1">
        <v>38383</v>
      </c>
      <c r="G575" t="s">
        <v>39</v>
      </c>
      <c r="H575">
        <v>1</v>
      </c>
      <c r="I575">
        <v>1</v>
      </c>
      <c r="J575" t="str">
        <f>TEXT(DATE(2012,Table1[[#This Row],[MONTH_ID]],10),"mmm")</f>
        <v>Jan</v>
      </c>
      <c r="K575">
        <v>2005</v>
      </c>
      <c r="L575" t="s">
        <v>580</v>
      </c>
      <c r="M575">
        <v>157</v>
      </c>
      <c r="N575" t="s">
        <v>581</v>
      </c>
      <c r="O575" t="s">
        <v>405</v>
      </c>
      <c r="P575" t="s">
        <v>406</v>
      </c>
      <c r="Q575" t="s">
        <v>407</v>
      </c>
      <c r="S575" t="s">
        <v>408</v>
      </c>
      <c r="U575">
        <v>90110</v>
      </c>
      <c r="V575" t="s">
        <v>144</v>
      </c>
      <c r="W575" t="s">
        <v>56</v>
      </c>
      <c r="X575" t="s">
        <v>409</v>
      </c>
      <c r="Y575" t="s">
        <v>410</v>
      </c>
      <c r="Z575" t="s">
        <v>50</v>
      </c>
    </row>
    <row r="576" spans="1:26" x14ac:dyDescent="0.3">
      <c r="A576">
        <v>10386</v>
      </c>
      <c r="B576">
        <v>25</v>
      </c>
      <c r="C576">
        <v>54.57</v>
      </c>
      <c r="D576">
        <v>7</v>
      </c>
      <c r="E576">
        <v>1364.25</v>
      </c>
      <c r="F576" s="1">
        <v>38412</v>
      </c>
      <c r="G576" t="s">
        <v>422</v>
      </c>
      <c r="H576">
        <v>1</v>
      </c>
      <c r="I576">
        <v>3</v>
      </c>
      <c r="J576" t="str">
        <f>TEXT(DATE(2012,Table1[[#This Row],[MONTH_ID]],10),"mmm")</f>
        <v>Mar</v>
      </c>
      <c r="K576">
        <v>2005</v>
      </c>
      <c r="L576" t="s">
        <v>580</v>
      </c>
      <c r="M576">
        <v>157</v>
      </c>
      <c r="N576" t="s">
        <v>581</v>
      </c>
      <c r="O576" t="s">
        <v>188</v>
      </c>
      <c r="P576" t="s">
        <v>189</v>
      </c>
      <c r="Q576" t="s">
        <v>190</v>
      </c>
      <c r="S576" t="s">
        <v>191</v>
      </c>
      <c r="U576">
        <v>28034</v>
      </c>
      <c r="V576" t="s">
        <v>192</v>
      </c>
      <c r="W576" t="s">
        <v>56</v>
      </c>
      <c r="X576" t="s">
        <v>193</v>
      </c>
      <c r="Y576" t="s">
        <v>194</v>
      </c>
      <c r="Z576" t="s">
        <v>50</v>
      </c>
    </row>
    <row r="577" spans="1:26" x14ac:dyDescent="0.3">
      <c r="A577">
        <v>10398</v>
      </c>
      <c r="B577">
        <v>33</v>
      </c>
      <c r="C577">
        <v>100</v>
      </c>
      <c r="D577">
        <v>11</v>
      </c>
      <c r="E577">
        <v>4215.09</v>
      </c>
      <c r="F577" s="1">
        <v>38441</v>
      </c>
      <c r="G577" t="s">
        <v>39</v>
      </c>
      <c r="H577">
        <v>1</v>
      </c>
      <c r="I577">
        <v>3</v>
      </c>
      <c r="J577" t="str">
        <f>TEXT(DATE(2012,Table1[[#This Row],[MONTH_ID]],10),"mmm")</f>
        <v>Mar</v>
      </c>
      <c r="K577">
        <v>2005</v>
      </c>
      <c r="L577" t="s">
        <v>580</v>
      </c>
      <c r="M577">
        <v>157</v>
      </c>
      <c r="N577" t="s">
        <v>581</v>
      </c>
      <c r="O577" t="s">
        <v>51</v>
      </c>
      <c r="P577" t="s">
        <v>52</v>
      </c>
      <c r="Q577" t="s">
        <v>53</v>
      </c>
      <c r="S577" t="s">
        <v>54</v>
      </c>
      <c r="U577">
        <v>51100</v>
      </c>
      <c r="V577" t="s">
        <v>55</v>
      </c>
      <c r="W577" t="s">
        <v>56</v>
      </c>
      <c r="X577" t="s">
        <v>57</v>
      </c>
      <c r="Y577" t="s">
        <v>58</v>
      </c>
      <c r="Z577" t="s">
        <v>65</v>
      </c>
    </row>
    <row r="578" spans="1:26" x14ac:dyDescent="0.3">
      <c r="A578">
        <v>10400</v>
      </c>
      <c r="B578">
        <v>34</v>
      </c>
      <c r="C578">
        <v>100</v>
      </c>
      <c r="D578">
        <v>1</v>
      </c>
      <c r="E578">
        <v>6433.82</v>
      </c>
      <c r="F578" s="1">
        <v>38443</v>
      </c>
      <c r="G578" t="s">
        <v>39</v>
      </c>
      <c r="H578">
        <v>2</v>
      </c>
      <c r="I578">
        <v>4</v>
      </c>
      <c r="J578" t="str">
        <f>TEXT(DATE(2012,Table1[[#This Row],[MONTH_ID]],10),"mmm")</f>
        <v>Apr</v>
      </c>
      <c r="K578">
        <v>2005</v>
      </c>
      <c r="L578" t="s">
        <v>580</v>
      </c>
      <c r="M578">
        <v>157</v>
      </c>
      <c r="N578" t="s">
        <v>581</v>
      </c>
      <c r="O578" t="s">
        <v>411</v>
      </c>
      <c r="P578">
        <v>4085553659</v>
      </c>
      <c r="Q578" t="s">
        <v>412</v>
      </c>
      <c r="S578" t="s">
        <v>413</v>
      </c>
      <c r="T578" t="s">
        <v>69</v>
      </c>
      <c r="U578">
        <v>94217</v>
      </c>
      <c r="V578" t="s">
        <v>46</v>
      </c>
      <c r="W578" t="s">
        <v>47</v>
      </c>
      <c r="X578" t="s">
        <v>116</v>
      </c>
      <c r="Y578" t="s">
        <v>414</v>
      </c>
      <c r="Z578" t="s">
        <v>65</v>
      </c>
    </row>
    <row r="579" spans="1:26" x14ac:dyDescent="0.3">
      <c r="A579">
        <v>10416</v>
      </c>
      <c r="B579">
        <v>24</v>
      </c>
      <c r="C579">
        <v>100</v>
      </c>
      <c r="D579">
        <v>14</v>
      </c>
      <c r="E579">
        <v>4352.16</v>
      </c>
      <c r="F579" s="1">
        <v>38482</v>
      </c>
      <c r="G579" t="s">
        <v>39</v>
      </c>
      <c r="H579">
        <v>2</v>
      </c>
      <c r="I579">
        <v>5</v>
      </c>
      <c r="J579" t="str">
        <f>TEXT(DATE(2012,Table1[[#This Row],[MONTH_ID]],10),"mmm")</f>
        <v>May</v>
      </c>
      <c r="K579">
        <v>2005</v>
      </c>
      <c r="L579" t="s">
        <v>580</v>
      </c>
      <c r="M579">
        <v>157</v>
      </c>
      <c r="N579" t="s">
        <v>581</v>
      </c>
      <c r="O579" t="s">
        <v>466</v>
      </c>
      <c r="P579" t="s">
        <v>467</v>
      </c>
      <c r="Q579" t="s">
        <v>468</v>
      </c>
      <c r="S579" t="s">
        <v>469</v>
      </c>
      <c r="U579">
        <v>42100</v>
      </c>
      <c r="V579" t="s">
        <v>272</v>
      </c>
      <c r="W579" t="s">
        <v>56</v>
      </c>
      <c r="X579" t="s">
        <v>470</v>
      </c>
      <c r="Y579" t="s">
        <v>471</v>
      </c>
      <c r="Z579" t="s">
        <v>65</v>
      </c>
    </row>
    <row r="580" spans="1:26" x14ac:dyDescent="0.3">
      <c r="A580">
        <v>10100</v>
      </c>
      <c r="B580">
        <v>30</v>
      </c>
      <c r="C580">
        <v>100</v>
      </c>
      <c r="D580">
        <v>3</v>
      </c>
      <c r="E580">
        <v>5151</v>
      </c>
      <c r="F580" s="1">
        <v>37627</v>
      </c>
      <c r="G580" t="s">
        <v>39</v>
      </c>
      <c r="H580">
        <v>1</v>
      </c>
      <c r="I580">
        <v>1</v>
      </c>
      <c r="J580" t="str">
        <f>TEXT(DATE(2012,Table1[[#This Row],[MONTH_ID]],10),"mmm")</f>
        <v>Jan</v>
      </c>
      <c r="K580">
        <v>2003</v>
      </c>
      <c r="L580" t="s">
        <v>564</v>
      </c>
      <c r="M580">
        <v>170</v>
      </c>
      <c r="N580" t="s">
        <v>598</v>
      </c>
      <c r="O580" t="s">
        <v>291</v>
      </c>
      <c r="P580">
        <v>6035558647</v>
      </c>
      <c r="Q580" t="s">
        <v>292</v>
      </c>
      <c r="S580" t="s">
        <v>293</v>
      </c>
      <c r="T580" t="s">
        <v>294</v>
      </c>
      <c r="U580">
        <v>62005</v>
      </c>
      <c r="V580" t="s">
        <v>46</v>
      </c>
      <c r="W580" t="s">
        <v>47</v>
      </c>
      <c r="X580" t="s">
        <v>70</v>
      </c>
      <c r="Y580" t="s">
        <v>290</v>
      </c>
      <c r="Z580" t="s">
        <v>65</v>
      </c>
    </row>
    <row r="581" spans="1:26" x14ac:dyDescent="0.3">
      <c r="A581">
        <v>10110</v>
      </c>
      <c r="B581">
        <v>42</v>
      </c>
      <c r="C581">
        <v>100</v>
      </c>
      <c r="D581">
        <v>7</v>
      </c>
      <c r="E581">
        <v>6069</v>
      </c>
      <c r="F581" s="1">
        <v>37698</v>
      </c>
      <c r="G581" t="s">
        <v>39</v>
      </c>
      <c r="H581">
        <v>1</v>
      </c>
      <c r="I581">
        <v>3</v>
      </c>
      <c r="J581" t="str">
        <f>TEXT(DATE(2012,Table1[[#This Row],[MONTH_ID]],10),"mmm")</f>
        <v>Mar</v>
      </c>
      <c r="K581">
        <v>2003</v>
      </c>
      <c r="L581" t="s">
        <v>564</v>
      </c>
      <c r="M581">
        <v>170</v>
      </c>
      <c r="N581" t="s">
        <v>598</v>
      </c>
      <c r="O581" t="s">
        <v>506</v>
      </c>
      <c r="P581" t="s">
        <v>507</v>
      </c>
      <c r="Q581" t="s">
        <v>508</v>
      </c>
      <c r="S581" t="s">
        <v>509</v>
      </c>
      <c r="U581" t="s">
        <v>510</v>
      </c>
      <c r="V581" t="s">
        <v>184</v>
      </c>
      <c r="W581" t="s">
        <v>56</v>
      </c>
      <c r="X581" t="s">
        <v>511</v>
      </c>
      <c r="Y581" t="s">
        <v>108</v>
      </c>
      <c r="Z581" t="s">
        <v>65</v>
      </c>
    </row>
    <row r="582" spans="1:26" x14ac:dyDescent="0.3">
      <c r="A582">
        <v>10124</v>
      </c>
      <c r="B582">
        <v>21</v>
      </c>
      <c r="C582">
        <v>100</v>
      </c>
      <c r="D582">
        <v>6</v>
      </c>
      <c r="E582">
        <v>2856</v>
      </c>
      <c r="F582" s="1">
        <v>37762</v>
      </c>
      <c r="G582" t="s">
        <v>39</v>
      </c>
      <c r="H582">
        <v>2</v>
      </c>
      <c r="I582">
        <v>5</v>
      </c>
      <c r="J582" t="str">
        <f>TEXT(DATE(2012,Table1[[#This Row],[MONTH_ID]],10),"mmm")</f>
        <v>May</v>
      </c>
      <c r="K582">
        <v>2003</v>
      </c>
      <c r="L582" t="s">
        <v>564</v>
      </c>
      <c r="M582">
        <v>170</v>
      </c>
      <c r="N582" t="s">
        <v>598</v>
      </c>
      <c r="O582" t="s">
        <v>553</v>
      </c>
      <c r="P582">
        <v>7025551838</v>
      </c>
      <c r="Q582" t="s">
        <v>554</v>
      </c>
      <c r="S582" t="s">
        <v>555</v>
      </c>
      <c r="T582" t="s">
        <v>556</v>
      </c>
      <c r="U582">
        <v>83030</v>
      </c>
      <c r="V582" t="s">
        <v>46</v>
      </c>
      <c r="W582" t="s">
        <v>47</v>
      </c>
      <c r="X582" t="s">
        <v>127</v>
      </c>
      <c r="Y582" t="s">
        <v>414</v>
      </c>
      <c r="Z582" t="s">
        <v>50</v>
      </c>
    </row>
    <row r="583" spans="1:26" x14ac:dyDescent="0.3">
      <c r="A583">
        <v>10149</v>
      </c>
      <c r="B583">
        <v>34</v>
      </c>
      <c r="C583">
        <v>100</v>
      </c>
      <c r="D583">
        <v>11</v>
      </c>
      <c r="E583">
        <v>5375.4</v>
      </c>
      <c r="F583" s="1">
        <v>37876</v>
      </c>
      <c r="G583" t="s">
        <v>39</v>
      </c>
      <c r="H583">
        <v>3</v>
      </c>
      <c r="I583">
        <v>9</v>
      </c>
      <c r="J583" t="str">
        <f>TEXT(DATE(2012,Table1[[#This Row],[MONTH_ID]],10),"mmm")</f>
        <v>Sep</v>
      </c>
      <c r="K583">
        <v>2003</v>
      </c>
      <c r="L583" t="s">
        <v>564</v>
      </c>
      <c r="M583">
        <v>170</v>
      </c>
      <c r="N583" t="s">
        <v>598</v>
      </c>
      <c r="O583" t="s">
        <v>540</v>
      </c>
      <c r="P583">
        <v>4155554312</v>
      </c>
      <c r="Q583" t="s">
        <v>541</v>
      </c>
      <c r="S583" t="s">
        <v>542</v>
      </c>
      <c r="T583" t="s">
        <v>69</v>
      </c>
      <c r="U583">
        <v>94217</v>
      </c>
      <c r="V583" t="s">
        <v>46</v>
      </c>
      <c r="W583" t="s">
        <v>47</v>
      </c>
      <c r="X583" t="s">
        <v>543</v>
      </c>
      <c r="Y583" t="s">
        <v>414</v>
      </c>
      <c r="Z583" t="s">
        <v>65</v>
      </c>
    </row>
    <row r="584" spans="1:26" x14ac:dyDescent="0.3">
      <c r="A584">
        <v>10162</v>
      </c>
      <c r="B584">
        <v>29</v>
      </c>
      <c r="C584">
        <v>100</v>
      </c>
      <c r="D584">
        <v>9</v>
      </c>
      <c r="E584">
        <v>5176.5</v>
      </c>
      <c r="F584" s="1">
        <v>37912</v>
      </c>
      <c r="G584" t="s">
        <v>39</v>
      </c>
      <c r="H584">
        <v>4</v>
      </c>
      <c r="I584">
        <v>10</v>
      </c>
      <c r="J584" t="str">
        <f>TEXT(DATE(2012,Table1[[#This Row],[MONTH_ID]],10),"mmm")</f>
        <v>Oct</v>
      </c>
      <c r="K584">
        <v>2003</v>
      </c>
      <c r="L584" t="s">
        <v>564</v>
      </c>
      <c r="M584">
        <v>170</v>
      </c>
      <c r="N584" t="s">
        <v>598</v>
      </c>
      <c r="O584" t="s">
        <v>72</v>
      </c>
      <c r="P584">
        <v>6505551386</v>
      </c>
      <c r="Q584" t="s">
        <v>73</v>
      </c>
      <c r="S584" t="s">
        <v>74</v>
      </c>
      <c r="T584" t="s">
        <v>69</v>
      </c>
      <c r="V584" t="s">
        <v>46</v>
      </c>
      <c r="W584" t="s">
        <v>47</v>
      </c>
      <c r="X584" t="s">
        <v>75</v>
      </c>
      <c r="Y584" t="s">
        <v>71</v>
      </c>
      <c r="Z584" t="s">
        <v>65</v>
      </c>
    </row>
    <row r="585" spans="1:26" x14ac:dyDescent="0.3">
      <c r="A585">
        <v>10173</v>
      </c>
      <c r="B585">
        <v>24</v>
      </c>
      <c r="C585">
        <v>100</v>
      </c>
      <c r="D585">
        <v>13</v>
      </c>
      <c r="E585">
        <v>3508.8</v>
      </c>
      <c r="F585" s="1">
        <v>37930</v>
      </c>
      <c r="G585" t="s">
        <v>39</v>
      </c>
      <c r="H585">
        <v>4</v>
      </c>
      <c r="I585">
        <v>11</v>
      </c>
      <c r="J585" t="str">
        <f>TEXT(DATE(2012,Table1[[#This Row],[MONTH_ID]],10),"mmm")</f>
        <v>Nov</v>
      </c>
      <c r="K585">
        <v>2003</v>
      </c>
      <c r="L585" t="s">
        <v>564</v>
      </c>
      <c r="M585">
        <v>170</v>
      </c>
      <c r="N585" t="s">
        <v>598</v>
      </c>
      <c r="O585" t="s">
        <v>566</v>
      </c>
      <c r="P585" t="s">
        <v>567</v>
      </c>
      <c r="Q585" t="s">
        <v>568</v>
      </c>
      <c r="S585" t="s">
        <v>569</v>
      </c>
      <c r="U585">
        <v>24100</v>
      </c>
      <c r="V585" t="s">
        <v>272</v>
      </c>
      <c r="W585" t="s">
        <v>56</v>
      </c>
      <c r="X585" t="s">
        <v>570</v>
      </c>
      <c r="Y585" t="s">
        <v>571</v>
      </c>
      <c r="Z585" t="s">
        <v>65</v>
      </c>
    </row>
    <row r="586" spans="1:26" x14ac:dyDescent="0.3">
      <c r="A586">
        <v>10182</v>
      </c>
      <c r="B586">
        <v>44</v>
      </c>
      <c r="C586">
        <v>100</v>
      </c>
      <c r="D586">
        <v>10</v>
      </c>
      <c r="E586">
        <v>7554.8</v>
      </c>
      <c r="F586" s="1">
        <v>37937</v>
      </c>
      <c r="G586" t="s">
        <v>39</v>
      </c>
      <c r="H586">
        <v>4</v>
      </c>
      <c r="I586">
        <v>11</v>
      </c>
      <c r="J586" t="str">
        <f>TEXT(DATE(2012,Table1[[#This Row],[MONTH_ID]],10),"mmm")</f>
        <v>Nov</v>
      </c>
      <c r="K586">
        <v>2003</v>
      </c>
      <c r="L586" t="s">
        <v>564</v>
      </c>
      <c r="M586">
        <v>170</v>
      </c>
      <c r="N586" t="s">
        <v>598</v>
      </c>
      <c r="O586" t="s">
        <v>286</v>
      </c>
      <c r="P586">
        <v>4155551450</v>
      </c>
      <c r="Q586" t="s">
        <v>287</v>
      </c>
      <c r="S586" t="s">
        <v>288</v>
      </c>
      <c r="T586" t="s">
        <v>69</v>
      </c>
      <c r="U586">
        <v>97562</v>
      </c>
      <c r="V586" t="s">
        <v>46</v>
      </c>
      <c r="W586" t="s">
        <v>47</v>
      </c>
      <c r="X586" t="s">
        <v>289</v>
      </c>
      <c r="Y586" t="s">
        <v>290</v>
      </c>
      <c r="Z586" t="s">
        <v>165</v>
      </c>
    </row>
    <row r="587" spans="1:26" x14ac:dyDescent="0.3">
      <c r="A587">
        <v>10193</v>
      </c>
      <c r="B587">
        <v>21</v>
      </c>
      <c r="C587">
        <v>100</v>
      </c>
      <c r="D587">
        <v>14</v>
      </c>
      <c r="E587">
        <v>3141.6</v>
      </c>
      <c r="F587" s="1">
        <v>37946</v>
      </c>
      <c r="G587" t="s">
        <v>39</v>
      </c>
      <c r="H587">
        <v>4</v>
      </c>
      <c r="I587">
        <v>11</v>
      </c>
      <c r="J587" t="str">
        <f>TEXT(DATE(2012,Table1[[#This Row],[MONTH_ID]],10),"mmm")</f>
        <v>Nov</v>
      </c>
      <c r="K587">
        <v>2003</v>
      </c>
      <c r="L587" t="s">
        <v>564</v>
      </c>
      <c r="M587">
        <v>170</v>
      </c>
      <c r="N587" t="s">
        <v>598</v>
      </c>
      <c r="O587" t="s">
        <v>572</v>
      </c>
      <c r="P587" t="s">
        <v>573</v>
      </c>
      <c r="Q587" t="s">
        <v>574</v>
      </c>
      <c r="S587" t="s">
        <v>575</v>
      </c>
      <c r="T587" t="s">
        <v>108</v>
      </c>
      <c r="U587">
        <v>3150</v>
      </c>
      <c r="V587" t="s">
        <v>109</v>
      </c>
      <c r="W587" t="s">
        <v>110</v>
      </c>
      <c r="X587" t="s">
        <v>576</v>
      </c>
      <c r="Y587" t="s">
        <v>577</v>
      </c>
      <c r="Z587" t="s">
        <v>65</v>
      </c>
    </row>
    <row r="588" spans="1:26" x14ac:dyDescent="0.3">
      <c r="A588">
        <v>10204</v>
      </c>
      <c r="B588">
        <v>33</v>
      </c>
      <c r="C588">
        <v>100</v>
      </c>
      <c r="D588">
        <v>4</v>
      </c>
      <c r="E588">
        <v>5890.5</v>
      </c>
      <c r="F588" s="1">
        <v>37957</v>
      </c>
      <c r="G588" t="s">
        <v>39</v>
      </c>
      <c r="H588">
        <v>4</v>
      </c>
      <c r="I588">
        <v>12</v>
      </c>
      <c r="J588" t="str">
        <f>TEXT(DATE(2012,Table1[[#This Row],[MONTH_ID]],10),"mmm")</f>
        <v>Dec</v>
      </c>
      <c r="K588">
        <v>2003</v>
      </c>
      <c r="L588" t="s">
        <v>564</v>
      </c>
      <c r="M588">
        <v>170</v>
      </c>
      <c r="N588" t="s">
        <v>598</v>
      </c>
      <c r="O588" t="s">
        <v>489</v>
      </c>
      <c r="P588">
        <v>2125557413</v>
      </c>
      <c r="Q588" t="s">
        <v>490</v>
      </c>
      <c r="R588" t="s">
        <v>491</v>
      </c>
      <c r="S588" t="s">
        <v>44</v>
      </c>
      <c r="T588" t="s">
        <v>45</v>
      </c>
      <c r="U588">
        <v>10022</v>
      </c>
      <c r="V588" t="s">
        <v>46</v>
      </c>
      <c r="W588" t="s">
        <v>47</v>
      </c>
      <c r="X588" t="s">
        <v>70</v>
      </c>
      <c r="Y588" t="s">
        <v>492</v>
      </c>
      <c r="Z588" t="s">
        <v>65</v>
      </c>
    </row>
    <row r="589" spans="1:26" x14ac:dyDescent="0.3">
      <c r="A589">
        <v>10214</v>
      </c>
      <c r="B589">
        <v>30</v>
      </c>
      <c r="C589">
        <v>100</v>
      </c>
      <c r="D589">
        <v>7</v>
      </c>
      <c r="E589">
        <v>5967</v>
      </c>
      <c r="F589" s="1">
        <v>38012</v>
      </c>
      <c r="G589" t="s">
        <v>39</v>
      </c>
      <c r="H589">
        <v>1</v>
      </c>
      <c r="I589">
        <v>1</v>
      </c>
      <c r="J589" t="str">
        <f>TEXT(DATE(2012,Table1[[#This Row],[MONTH_ID]],10),"mmm")</f>
        <v>Jan</v>
      </c>
      <c r="K589">
        <v>2004</v>
      </c>
      <c r="L589" t="s">
        <v>564</v>
      </c>
      <c r="M589">
        <v>170</v>
      </c>
      <c r="N589" t="s">
        <v>598</v>
      </c>
      <c r="O589" t="s">
        <v>205</v>
      </c>
      <c r="P589" t="s">
        <v>206</v>
      </c>
      <c r="Q589" t="s">
        <v>207</v>
      </c>
      <c r="S589" t="s">
        <v>191</v>
      </c>
      <c r="U589">
        <v>28023</v>
      </c>
      <c r="V589" t="s">
        <v>192</v>
      </c>
      <c r="W589" t="s">
        <v>56</v>
      </c>
      <c r="X589" t="s">
        <v>208</v>
      </c>
      <c r="Y589" t="s">
        <v>209</v>
      </c>
      <c r="Z589" t="s">
        <v>65</v>
      </c>
    </row>
    <row r="590" spans="1:26" x14ac:dyDescent="0.3">
      <c r="A590">
        <v>10227</v>
      </c>
      <c r="B590">
        <v>26</v>
      </c>
      <c r="C590">
        <v>100</v>
      </c>
      <c r="D590">
        <v>10</v>
      </c>
      <c r="E590">
        <v>3712.8</v>
      </c>
      <c r="F590" s="1">
        <v>38048</v>
      </c>
      <c r="G590" t="s">
        <v>39</v>
      </c>
      <c r="H590">
        <v>1</v>
      </c>
      <c r="I590">
        <v>3</v>
      </c>
      <c r="J590" t="str">
        <f>TEXT(DATE(2012,Table1[[#This Row],[MONTH_ID]],10),"mmm")</f>
        <v>Mar</v>
      </c>
      <c r="K590">
        <v>2004</v>
      </c>
      <c r="L590" t="s">
        <v>564</v>
      </c>
      <c r="M590">
        <v>170</v>
      </c>
      <c r="N590" t="s">
        <v>598</v>
      </c>
      <c r="O590" t="s">
        <v>233</v>
      </c>
      <c r="P590" t="s">
        <v>234</v>
      </c>
      <c r="Q590" t="s">
        <v>235</v>
      </c>
      <c r="S590" t="s">
        <v>236</v>
      </c>
      <c r="U590">
        <v>69004</v>
      </c>
      <c r="V590" t="s">
        <v>55</v>
      </c>
      <c r="W590" t="s">
        <v>56</v>
      </c>
      <c r="X590" t="s">
        <v>237</v>
      </c>
      <c r="Y590" t="s">
        <v>238</v>
      </c>
      <c r="Z590" t="s">
        <v>65</v>
      </c>
    </row>
    <row r="591" spans="1:26" x14ac:dyDescent="0.3">
      <c r="A591">
        <v>10241</v>
      </c>
      <c r="B591">
        <v>41</v>
      </c>
      <c r="C591">
        <v>100</v>
      </c>
      <c r="D591">
        <v>2</v>
      </c>
      <c r="E591">
        <v>7597.3</v>
      </c>
      <c r="F591" s="1">
        <v>38090</v>
      </c>
      <c r="G591" t="s">
        <v>39</v>
      </c>
      <c r="H591">
        <v>2</v>
      </c>
      <c r="I591">
        <v>4</v>
      </c>
      <c r="J591" t="str">
        <f>TEXT(DATE(2012,Table1[[#This Row],[MONTH_ID]],10),"mmm")</f>
        <v>Apr</v>
      </c>
      <c r="K591">
        <v>2004</v>
      </c>
      <c r="L591" t="s">
        <v>564</v>
      </c>
      <c r="M591">
        <v>170</v>
      </c>
      <c r="N591" t="s">
        <v>598</v>
      </c>
      <c r="O591" t="s">
        <v>545</v>
      </c>
      <c r="P591" t="s">
        <v>546</v>
      </c>
      <c r="Q591" t="s">
        <v>547</v>
      </c>
      <c r="S591" t="s">
        <v>548</v>
      </c>
      <c r="U591">
        <v>67000</v>
      </c>
      <c r="V591" t="s">
        <v>55</v>
      </c>
      <c r="W591" t="s">
        <v>56</v>
      </c>
      <c r="X591" t="s">
        <v>549</v>
      </c>
      <c r="Y591" t="s">
        <v>550</v>
      </c>
      <c r="Z591" t="s">
        <v>165</v>
      </c>
    </row>
    <row r="592" spans="1:26" x14ac:dyDescent="0.3">
      <c r="A592">
        <v>10280</v>
      </c>
      <c r="B592">
        <v>26</v>
      </c>
      <c r="C592">
        <v>100</v>
      </c>
      <c r="D592">
        <v>16</v>
      </c>
      <c r="E592">
        <v>3668.6</v>
      </c>
      <c r="F592" s="1">
        <v>38216</v>
      </c>
      <c r="G592" t="s">
        <v>39</v>
      </c>
      <c r="H592">
        <v>3</v>
      </c>
      <c r="I592">
        <v>8</v>
      </c>
      <c r="J592" t="str">
        <f>TEXT(DATE(2012,Table1[[#This Row],[MONTH_ID]],10),"mmm")</f>
        <v>Aug</v>
      </c>
      <c r="K592">
        <v>2004</v>
      </c>
      <c r="L592" t="s">
        <v>564</v>
      </c>
      <c r="M592">
        <v>170</v>
      </c>
      <c r="N592" t="s">
        <v>598</v>
      </c>
      <c r="O592" t="s">
        <v>268</v>
      </c>
      <c r="P592" t="s">
        <v>269</v>
      </c>
      <c r="Q592" t="s">
        <v>270</v>
      </c>
      <c r="S592" t="s">
        <v>271</v>
      </c>
      <c r="U592">
        <v>10100</v>
      </c>
      <c r="V592" t="s">
        <v>272</v>
      </c>
      <c r="W592" t="s">
        <v>56</v>
      </c>
      <c r="X592" t="s">
        <v>273</v>
      </c>
      <c r="Y592" t="s">
        <v>274</v>
      </c>
      <c r="Z592" t="s">
        <v>65</v>
      </c>
    </row>
    <row r="593" spans="1:26" x14ac:dyDescent="0.3">
      <c r="A593">
        <v>10288</v>
      </c>
      <c r="B593">
        <v>32</v>
      </c>
      <c r="C593">
        <v>100</v>
      </c>
      <c r="D593">
        <v>5</v>
      </c>
      <c r="E593">
        <v>5875.2</v>
      </c>
      <c r="F593" s="1">
        <v>38231</v>
      </c>
      <c r="G593" t="s">
        <v>39</v>
      </c>
      <c r="H593">
        <v>3</v>
      </c>
      <c r="I593">
        <v>9</v>
      </c>
      <c r="J593" t="str">
        <f>TEXT(DATE(2012,Table1[[#This Row],[MONTH_ID]],10),"mmm")</f>
        <v>Sep</v>
      </c>
      <c r="K593">
        <v>2004</v>
      </c>
      <c r="L593" t="s">
        <v>564</v>
      </c>
      <c r="M593">
        <v>170</v>
      </c>
      <c r="N593" t="s">
        <v>598</v>
      </c>
      <c r="O593" t="s">
        <v>432</v>
      </c>
      <c r="P593" t="s">
        <v>433</v>
      </c>
      <c r="Q593" t="s">
        <v>434</v>
      </c>
      <c r="R593" t="s">
        <v>435</v>
      </c>
      <c r="S593" t="s">
        <v>213</v>
      </c>
      <c r="U593">
        <v>69045</v>
      </c>
      <c r="V593" t="s">
        <v>213</v>
      </c>
      <c r="W593" t="s">
        <v>110</v>
      </c>
      <c r="X593" t="s">
        <v>436</v>
      </c>
      <c r="Y593" t="s">
        <v>437</v>
      </c>
      <c r="Z593" t="s">
        <v>65</v>
      </c>
    </row>
    <row r="594" spans="1:26" x14ac:dyDescent="0.3">
      <c r="A594">
        <v>10302</v>
      </c>
      <c r="B594">
        <v>43</v>
      </c>
      <c r="C594">
        <v>100</v>
      </c>
      <c r="D594">
        <v>1</v>
      </c>
      <c r="E594">
        <v>7310</v>
      </c>
      <c r="F594" s="1">
        <v>37900</v>
      </c>
      <c r="G594" t="s">
        <v>39</v>
      </c>
      <c r="H594">
        <v>4</v>
      </c>
      <c r="I594">
        <v>10</v>
      </c>
      <c r="J594" t="str">
        <f>TEXT(DATE(2012,Table1[[#This Row],[MONTH_ID]],10),"mmm")</f>
        <v>Oct</v>
      </c>
      <c r="K594">
        <v>2003</v>
      </c>
      <c r="L594" t="s">
        <v>564</v>
      </c>
      <c r="M594">
        <v>170</v>
      </c>
      <c r="N594" t="s">
        <v>598</v>
      </c>
      <c r="O594" t="s">
        <v>179</v>
      </c>
      <c r="P594" t="s">
        <v>180</v>
      </c>
      <c r="Q594" t="s">
        <v>181</v>
      </c>
      <c r="S594" t="s">
        <v>182</v>
      </c>
      <c r="U594" t="s">
        <v>183</v>
      </c>
      <c r="V594" t="s">
        <v>184</v>
      </c>
      <c r="W594" t="s">
        <v>56</v>
      </c>
      <c r="X594" t="s">
        <v>185</v>
      </c>
      <c r="Y594" t="s">
        <v>186</v>
      </c>
      <c r="Z594" t="s">
        <v>165</v>
      </c>
    </row>
    <row r="595" spans="1:26" x14ac:dyDescent="0.3">
      <c r="A595">
        <v>10312</v>
      </c>
      <c r="B595">
        <v>48</v>
      </c>
      <c r="C595">
        <v>100</v>
      </c>
      <c r="D595">
        <v>17</v>
      </c>
      <c r="E595">
        <v>8078.4</v>
      </c>
      <c r="F595" s="1">
        <v>38281</v>
      </c>
      <c r="G595" t="s">
        <v>39</v>
      </c>
      <c r="H595">
        <v>4</v>
      </c>
      <c r="I595">
        <v>10</v>
      </c>
      <c r="J595" t="str">
        <f>TEXT(DATE(2012,Table1[[#This Row],[MONTH_ID]],10),"mmm")</f>
        <v>Oct</v>
      </c>
      <c r="K595">
        <v>2004</v>
      </c>
      <c r="L595" t="s">
        <v>564</v>
      </c>
      <c r="M595">
        <v>170</v>
      </c>
      <c r="N595" t="s">
        <v>598</v>
      </c>
      <c r="O595" t="s">
        <v>286</v>
      </c>
      <c r="P595">
        <v>4155551450</v>
      </c>
      <c r="Q595" t="s">
        <v>287</v>
      </c>
      <c r="S595" t="s">
        <v>288</v>
      </c>
      <c r="T595" t="s">
        <v>69</v>
      </c>
      <c r="U595">
        <v>97562</v>
      </c>
      <c r="V595" t="s">
        <v>46</v>
      </c>
      <c r="W595" t="s">
        <v>47</v>
      </c>
      <c r="X595" t="s">
        <v>289</v>
      </c>
      <c r="Y595" t="s">
        <v>290</v>
      </c>
      <c r="Z595" t="s">
        <v>165</v>
      </c>
    </row>
    <row r="596" spans="1:26" x14ac:dyDescent="0.3">
      <c r="A596">
        <v>10331</v>
      </c>
      <c r="B596">
        <v>44</v>
      </c>
      <c r="C596">
        <v>74.040000000000006</v>
      </c>
      <c r="D596">
        <v>7</v>
      </c>
      <c r="E596">
        <v>3257.76</v>
      </c>
      <c r="F596" s="1">
        <v>38308</v>
      </c>
      <c r="G596" t="s">
        <v>39</v>
      </c>
      <c r="H596">
        <v>4</v>
      </c>
      <c r="I596">
        <v>11</v>
      </c>
      <c r="J596" t="str">
        <f>TEXT(DATE(2012,Table1[[#This Row],[MONTH_ID]],10),"mmm")</f>
        <v>Nov</v>
      </c>
      <c r="K596">
        <v>2004</v>
      </c>
      <c r="L596" t="s">
        <v>564</v>
      </c>
      <c r="M596">
        <v>170</v>
      </c>
      <c r="N596" t="s">
        <v>598</v>
      </c>
      <c r="O596" t="s">
        <v>323</v>
      </c>
      <c r="P596">
        <v>2155559857</v>
      </c>
      <c r="Q596" t="s">
        <v>324</v>
      </c>
      <c r="S596" t="s">
        <v>230</v>
      </c>
      <c r="T596" t="s">
        <v>156</v>
      </c>
      <c r="U596">
        <v>71270</v>
      </c>
      <c r="V596" t="s">
        <v>46</v>
      </c>
      <c r="W596" t="s">
        <v>47</v>
      </c>
      <c r="X596" t="s">
        <v>138</v>
      </c>
      <c r="Y596" t="s">
        <v>325</v>
      </c>
      <c r="Z596" t="s">
        <v>65</v>
      </c>
    </row>
    <row r="597" spans="1:26" x14ac:dyDescent="0.3">
      <c r="A597">
        <v>10344</v>
      </c>
      <c r="B597">
        <v>45</v>
      </c>
      <c r="C597">
        <v>100</v>
      </c>
      <c r="D597">
        <v>1</v>
      </c>
      <c r="E597">
        <v>7650</v>
      </c>
      <c r="F597" s="1">
        <v>38316</v>
      </c>
      <c r="G597" t="s">
        <v>39</v>
      </c>
      <c r="H597">
        <v>4</v>
      </c>
      <c r="I597">
        <v>11</v>
      </c>
      <c r="J597" t="str">
        <f>TEXT(DATE(2012,Table1[[#This Row],[MONTH_ID]],10),"mmm")</f>
        <v>Nov</v>
      </c>
      <c r="K597">
        <v>2004</v>
      </c>
      <c r="L597" t="s">
        <v>564</v>
      </c>
      <c r="M597">
        <v>170</v>
      </c>
      <c r="N597" t="s">
        <v>598</v>
      </c>
      <c r="O597" t="s">
        <v>447</v>
      </c>
      <c r="P597" t="s">
        <v>448</v>
      </c>
      <c r="Q597" t="s">
        <v>449</v>
      </c>
      <c r="S597" t="s">
        <v>450</v>
      </c>
      <c r="U597">
        <v>13008</v>
      </c>
      <c r="V597" t="s">
        <v>55</v>
      </c>
      <c r="W597" t="s">
        <v>56</v>
      </c>
      <c r="X597" t="s">
        <v>451</v>
      </c>
      <c r="Y597" t="s">
        <v>452</v>
      </c>
      <c r="Z597" t="s">
        <v>165</v>
      </c>
    </row>
    <row r="598" spans="1:26" x14ac:dyDescent="0.3">
      <c r="A598">
        <v>10367</v>
      </c>
      <c r="B598">
        <v>37</v>
      </c>
      <c r="C598">
        <v>100</v>
      </c>
      <c r="D598">
        <v>3</v>
      </c>
      <c r="E598">
        <v>4703.8100000000004</v>
      </c>
      <c r="F598" s="1">
        <v>38364</v>
      </c>
      <c r="G598" t="s">
        <v>422</v>
      </c>
      <c r="H598">
        <v>1</v>
      </c>
      <c r="I598">
        <v>1</v>
      </c>
      <c r="J598" t="str">
        <f>TEXT(DATE(2012,Table1[[#This Row],[MONTH_ID]],10),"mmm")</f>
        <v>Jan</v>
      </c>
      <c r="K598">
        <v>2005</v>
      </c>
      <c r="L598" t="s">
        <v>564</v>
      </c>
      <c r="M598">
        <v>170</v>
      </c>
      <c r="N598" t="s">
        <v>598</v>
      </c>
      <c r="O598" t="s">
        <v>66</v>
      </c>
      <c r="P598">
        <v>6265557265</v>
      </c>
      <c r="Q598" t="s">
        <v>67</v>
      </c>
      <c r="S598" t="s">
        <v>68</v>
      </c>
      <c r="T598" t="s">
        <v>69</v>
      </c>
      <c r="U598">
        <v>90003</v>
      </c>
      <c r="V598" t="s">
        <v>46</v>
      </c>
      <c r="W598" t="s">
        <v>47</v>
      </c>
      <c r="X598" t="s">
        <v>70</v>
      </c>
      <c r="Y598" t="s">
        <v>71</v>
      </c>
      <c r="Z598" t="s">
        <v>65</v>
      </c>
    </row>
    <row r="599" spans="1:26" x14ac:dyDescent="0.3">
      <c r="A599">
        <v>10379</v>
      </c>
      <c r="B599">
        <v>39</v>
      </c>
      <c r="C599">
        <v>100</v>
      </c>
      <c r="D599">
        <v>2</v>
      </c>
      <c r="E599">
        <v>5399.55</v>
      </c>
      <c r="F599" s="1">
        <v>38393</v>
      </c>
      <c r="G599" t="s">
        <v>39</v>
      </c>
      <c r="H599">
        <v>1</v>
      </c>
      <c r="I599">
        <v>2</v>
      </c>
      <c r="J599" t="str">
        <f>TEXT(DATE(2012,Table1[[#This Row],[MONTH_ID]],10),"mmm")</f>
        <v>Feb</v>
      </c>
      <c r="K599">
        <v>2005</v>
      </c>
      <c r="L599" t="s">
        <v>564</v>
      </c>
      <c r="M599">
        <v>170</v>
      </c>
      <c r="N599" t="s">
        <v>598</v>
      </c>
      <c r="O599" t="s">
        <v>188</v>
      </c>
      <c r="P599" t="s">
        <v>189</v>
      </c>
      <c r="Q599" t="s">
        <v>190</v>
      </c>
      <c r="S599" t="s">
        <v>191</v>
      </c>
      <c r="U599">
        <v>28034</v>
      </c>
      <c r="V599" t="s">
        <v>192</v>
      </c>
      <c r="W599" t="s">
        <v>56</v>
      </c>
      <c r="X599" t="s">
        <v>193</v>
      </c>
      <c r="Y599" t="s">
        <v>194</v>
      </c>
      <c r="Z599" t="s">
        <v>65</v>
      </c>
    </row>
    <row r="600" spans="1:26" x14ac:dyDescent="0.3">
      <c r="A600">
        <v>10407</v>
      </c>
      <c r="B600">
        <v>76</v>
      </c>
      <c r="C600">
        <v>100</v>
      </c>
      <c r="D600">
        <v>2</v>
      </c>
      <c r="E600">
        <v>14082.8</v>
      </c>
      <c r="F600" s="1">
        <v>38464</v>
      </c>
      <c r="G600" t="s">
        <v>415</v>
      </c>
      <c r="H600">
        <v>2</v>
      </c>
      <c r="I600">
        <v>4</v>
      </c>
      <c r="J600" t="str">
        <f>TEXT(DATE(2012,Table1[[#This Row],[MONTH_ID]],10),"mmm")</f>
        <v>Apr</v>
      </c>
      <c r="K600">
        <v>2005</v>
      </c>
      <c r="L600" t="s">
        <v>564</v>
      </c>
      <c r="M600">
        <v>170</v>
      </c>
      <c r="N600" t="s">
        <v>598</v>
      </c>
      <c r="O600" t="s">
        <v>411</v>
      </c>
      <c r="P600">
        <v>4085553659</v>
      </c>
      <c r="Q600" t="s">
        <v>412</v>
      </c>
      <c r="S600" t="s">
        <v>413</v>
      </c>
      <c r="T600" t="s">
        <v>69</v>
      </c>
      <c r="U600">
        <v>94217</v>
      </c>
      <c r="V600" t="s">
        <v>46</v>
      </c>
      <c r="W600" t="s">
        <v>47</v>
      </c>
      <c r="X600" t="s">
        <v>116</v>
      </c>
      <c r="Y600" t="s">
        <v>414</v>
      </c>
      <c r="Z600" t="s">
        <v>165</v>
      </c>
    </row>
    <row r="601" spans="1:26" x14ac:dyDescent="0.3">
      <c r="A601">
        <v>10420</v>
      </c>
      <c r="B601">
        <v>37</v>
      </c>
      <c r="C601">
        <v>100</v>
      </c>
      <c r="D601">
        <v>5</v>
      </c>
      <c r="E601">
        <v>5283.6</v>
      </c>
      <c r="F601" s="1">
        <v>38501</v>
      </c>
      <c r="G601" t="s">
        <v>314</v>
      </c>
      <c r="H601">
        <v>2</v>
      </c>
      <c r="I601">
        <v>5</v>
      </c>
      <c r="J601" t="str">
        <f>TEXT(DATE(2012,Table1[[#This Row],[MONTH_ID]],10),"mmm")</f>
        <v>May</v>
      </c>
      <c r="K601">
        <v>2005</v>
      </c>
      <c r="L601" t="s">
        <v>564</v>
      </c>
      <c r="M601">
        <v>170</v>
      </c>
      <c r="N601" t="s">
        <v>598</v>
      </c>
      <c r="O601" t="s">
        <v>166</v>
      </c>
      <c r="P601" t="s">
        <v>167</v>
      </c>
      <c r="Q601" t="s">
        <v>168</v>
      </c>
      <c r="R601" t="s">
        <v>169</v>
      </c>
      <c r="S601" t="s">
        <v>170</v>
      </c>
      <c r="T601" t="s">
        <v>171</v>
      </c>
      <c r="U601">
        <v>2067</v>
      </c>
      <c r="V601" t="s">
        <v>109</v>
      </c>
      <c r="W601" t="s">
        <v>110</v>
      </c>
      <c r="X601" t="s">
        <v>172</v>
      </c>
      <c r="Y601" t="s">
        <v>173</v>
      </c>
      <c r="Z601" t="s">
        <v>65</v>
      </c>
    </row>
    <row r="602" spans="1:26" x14ac:dyDescent="0.3">
      <c r="A602">
        <v>10108</v>
      </c>
      <c r="B602">
        <v>38</v>
      </c>
      <c r="C602">
        <v>82.39</v>
      </c>
      <c r="D602">
        <v>2</v>
      </c>
      <c r="E602">
        <v>3130.82</v>
      </c>
      <c r="F602" s="1">
        <v>37683</v>
      </c>
      <c r="G602" t="s">
        <v>39</v>
      </c>
      <c r="H602">
        <v>1</v>
      </c>
      <c r="I602">
        <v>3</v>
      </c>
      <c r="J602" t="str">
        <f>TEXT(DATE(2012,Table1[[#This Row],[MONTH_ID]],10),"mmm")</f>
        <v>Mar</v>
      </c>
      <c r="K602">
        <v>2003</v>
      </c>
      <c r="L602" t="s">
        <v>195</v>
      </c>
      <c r="M602">
        <v>77</v>
      </c>
      <c r="N602" t="s">
        <v>599</v>
      </c>
      <c r="O602" t="s">
        <v>439</v>
      </c>
      <c r="P602" t="s">
        <v>440</v>
      </c>
      <c r="Q602" t="s">
        <v>441</v>
      </c>
      <c r="S602" t="s">
        <v>442</v>
      </c>
      <c r="U602" t="s">
        <v>443</v>
      </c>
      <c r="V602" t="s">
        <v>444</v>
      </c>
      <c r="W602" t="s">
        <v>214</v>
      </c>
      <c r="X602" t="s">
        <v>445</v>
      </c>
      <c r="Y602" t="s">
        <v>446</v>
      </c>
      <c r="Z602" t="s">
        <v>65</v>
      </c>
    </row>
    <row r="603" spans="1:26" x14ac:dyDescent="0.3">
      <c r="A603">
        <v>10122</v>
      </c>
      <c r="B603">
        <v>43</v>
      </c>
      <c r="C603">
        <v>72.38</v>
      </c>
      <c r="D603">
        <v>6</v>
      </c>
      <c r="E603">
        <v>3112.34</v>
      </c>
      <c r="F603" s="1">
        <v>37749</v>
      </c>
      <c r="G603" t="s">
        <v>39</v>
      </c>
      <c r="H603">
        <v>2</v>
      </c>
      <c r="I603">
        <v>5</v>
      </c>
      <c r="J603" t="str">
        <f>TEXT(DATE(2012,Table1[[#This Row],[MONTH_ID]],10),"mmm")</f>
        <v>May</v>
      </c>
      <c r="K603">
        <v>2003</v>
      </c>
      <c r="L603" t="s">
        <v>195</v>
      </c>
      <c r="M603">
        <v>77</v>
      </c>
      <c r="N603" t="s">
        <v>599</v>
      </c>
      <c r="O603" t="s">
        <v>447</v>
      </c>
      <c r="P603" t="s">
        <v>448</v>
      </c>
      <c r="Q603" t="s">
        <v>449</v>
      </c>
      <c r="S603" t="s">
        <v>450</v>
      </c>
      <c r="U603">
        <v>13008</v>
      </c>
      <c r="V603" t="s">
        <v>55</v>
      </c>
      <c r="W603" t="s">
        <v>56</v>
      </c>
      <c r="X603" t="s">
        <v>451</v>
      </c>
      <c r="Y603" t="s">
        <v>452</v>
      </c>
      <c r="Z603" t="s">
        <v>65</v>
      </c>
    </row>
    <row r="604" spans="1:26" x14ac:dyDescent="0.3">
      <c r="A604">
        <v>10135</v>
      </c>
      <c r="B604">
        <v>48</v>
      </c>
      <c r="C604">
        <v>79.31</v>
      </c>
      <c r="D604">
        <v>3</v>
      </c>
      <c r="E604">
        <v>3806.88</v>
      </c>
      <c r="F604" s="1">
        <v>37804</v>
      </c>
      <c r="G604" t="s">
        <v>39</v>
      </c>
      <c r="H604">
        <v>3</v>
      </c>
      <c r="I604">
        <v>7</v>
      </c>
      <c r="J604" t="str">
        <f>TEXT(DATE(2012,Table1[[#This Row],[MONTH_ID]],10),"mmm")</f>
        <v>Jul</v>
      </c>
      <c r="K604">
        <v>2003</v>
      </c>
      <c r="L604" t="s">
        <v>195</v>
      </c>
      <c r="M604">
        <v>77</v>
      </c>
      <c r="N604" t="s">
        <v>599</v>
      </c>
      <c r="O604" t="s">
        <v>286</v>
      </c>
      <c r="P604">
        <v>4155551450</v>
      </c>
      <c r="Q604" t="s">
        <v>287</v>
      </c>
      <c r="S604" t="s">
        <v>288</v>
      </c>
      <c r="T604" t="s">
        <v>69</v>
      </c>
      <c r="U604">
        <v>97562</v>
      </c>
      <c r="V604" t="s">
        <v>46</v>
      </c>
      <c r="W604" t="s">
        <v>47</v>
      </c>
      <c r="X604" t="s">
        <v>289</v>
      </c>
      <c r="Y604" t="s">
        <v>290</v>
      </c>
      <c r="Z604" t="s">
        <v>65</v>
      </c>
    </row>
    <row r="605" spans="1:26" x14ac:dyDescent="0.3">
      <c r="A605">
        <v>10147</v>
      </c>
      <c r="B605">
        <v>26</v>
      </c>
      <c r="C605">
        <v>82.39</v>
      </c>
      <c r="D605">
        <v>3</v>
      </c>
      <c r="E605">
        <v>2142.14</v>
      </c>
      <c r="F605" s="1">
        <v>37869</v>
      </c>
      <c r="G605" t="s">
        <v>39</v>
      </c>
      <c r="H605">
        <v>3</v>
      </c>
      <c r="I605">
        <v>9</v>
      </c>
      <c r="J605" t="str">
        <f>TEXT(DATE(2012,Table1[[#This Row],[MONTH_ID]],10),"mmm")</f>
        <v>Sep</v>
      </c>
      <c r="K605">
        <v>2003</v>
      </c>
      <c r="L605" t="s">
        <v>195</v>
      </c>
      <c r="M605">
        <v>77</v>
      </c>
      <c r="N605" t="s">
        <v>599</v>
      </c>
      <c r="O605" t="s">
        <v>295</v>
      </c>
      <c r="P605">
        <v>6175558555</v>
      </c>
      <c r="Q605" t="s">
        <v>296</v>
      </c>
      <c r="S605" t="s">
        <v>297</v>
      </c>
      <c r="T605" t="s">
        <v>137</v>
      </c>
      <c r="U605">
        <v>58339</v>
      </c>
      <c r="V605" t="s">
        <v>46</v>
      </c>
      <c r="W605" t="s">
        <v>47</v>
      </c>
      <c r="X605" t="s">
        <v>289</v>
      </c>
      <c r="Y605" t="s">
        <v>298</v>
      </c>
      <c r="Z605" t="s">
        <v>50</v>
      </c>
    </row>
    <row r="606" spans="1:26" x14ac:dyDescent="0.3">
      <c r="A606">
        <v>10160</v>
      </c>
      <c r="B606">
        <v>38</v>
      </c>
      <c r="C606">
        <v>88.55</v>
      </c>
      <c r="D606">
        <v>4</v>
      </c>
      <c r="E606">
        <v>3364.9</v>
      </c>
      <c r="F606" s="1">
        <v>37905</v>
      </c>
      <c r="G606" t="s">
        <v>39</v>
      </c>
      <c r="H606">
        <v>4</v>
      </c>
      <c r="I606">
        <v>10</v>
      </c>
      <c r="J606" t="str">
        <f>TEXT(DATE(2012,Table1[[#This Row],[MONTH_ID]],10),"mmm")</f>
        <v>Oct</v>
      </c>
      <c r="K606">
        <v>2003</v>
      </c>
      <c r="L606" t="s">
        <v>195</v>
      </c>
      <c r="M606">
        <v>77</v>
      </c>
      <c r="N606" t="s">
        <v>599</v>
      </c>
      <c r="O606" t="s">
        <v>372</v>
      </c>
      <c r="P606">
        <v>2155554369</v>
      </c>
      <c r="Q606" t="s">
        <v>373</v>
      </c>
      <c r="S606" t="s">
        <v>374</v>
      </c>
      <c r="T606" t="s">
        <v>69</v>
      </c>
      <c r="V606" t="s">
        <v>46</v>
      </c>
      <c r="W606" t="s">
        <v>47</v>
      </c>
      <c r="X606" t="s">
        <v>375</v>
      </c>
      <c r="Y606" t="s">
        <v>117</v>
      </c>
      <c r="Z606" t="s">
        <v>65</v>
      </c>
    </row>
    <row r="607" spans="1:26" x14ac:dyDescent="0.3">
      <c r="A607">
        <v>10170</v>
      </c>
      <c r="B607">
        <v>20</v>
      </c>
      <c r="C607">
        <v>63.14</v>
      </c>
      <c r="D607">
        <v>2</v>
      </c>
      <c r="E607">
        <v>1262.8</v>
      </c>
      <c r="F607" s="1">
        <v>37929</v>
      </c>
      <c r="G607" t="s">
        <v>39</v>
      </c>
      <c r="H607">
        <v>4</v>
      </c>
      <c r="I607">
        <v>11</v>
      </c>
      <c r="J607" t="str">
        <f>TEXT(DATE(2012,Table1[[#This Row],[MONTH_ID]],10),"mmm")</f>
        <v>Nov</v>
      </c>
      <c r="K607">
        <v>2003</v>
      </c>
      <c r="L607" t="s">
        <v>195</v>
      </c>
      <c r="M607">
        <v>77</v>
      </c>
      <c r="N607" t="s">
        <v>599</v>
      </c>
      <c r="O607" t="s">
        <v>423</v>
      </c>
      <c r="P607" t="s">
        <v>424</v>
      </c>
      <c r="Q607" t="s">
        <v>425</v>
      </c>
      <c r="S607" t="s">
        <v>426</v>
      </c>
      <c r="U607">
        <v>8010</v>
      </c>
      <c r="V607" t="s">
        <v>162</v>
      </c>
      <c r="W607" t="s">
        <v>56</v>
      </c>
      <c r="X607" t="s">
        <v>427</v>
      </c>
      <c r="Y607" t="s">
        <v>428</v>
      </c>
      <c r="Z607" t="s">
        <v>50</v>
      </c>
    </row>
    <row r="608" spans="1:26" x14ac:dyDescent="0.3">
      <c r="A608">
        <v>10181</v>
      </c>
      <c r="B608">
        <v>22</v>
      </c>
      <c r="C608">
        <v>73.92</v>
      </c>
      <c r="D608">
        <v>10</v>
      </c>
      <c r="E608">
        <v>1626.24</v>
      </c>
      <c r="F608" s="1">
        <v>37937</v>
      </c>
      <c r="G608" t="s">
        <v>39</v>
      </c>
      <c r="H608">
        <v>4</v>
      </c>
      <c r="I608">
        <v>11</v>
      </c>
      <c r="J608" t="str">
        <f>TEXT(DATE(2012,Table1[[#This Row],[MONTH_ID]],10),"mmm")</f>
        <v>Nov</v>
      </c>
      <c r="K608">
        <v>2003</v>
      </c>
      <c r="L608" t="s">
        <v>195</v>
      </c>
      <c r="M608">
        <v>77</v>
      </c>
      <c r="N608" t="s">
        <v>599</v>
      </c>
      <c r="O608" t="s">
        <v>87</v>
      </c>
      <c r="P608" t="s">
        <v>88</v>
      </c>
      <c r="Q608" t="s">
        <v>89</v>
      </c>
      <c r="S608" t="s">
        <v>90</v>
      </c>
      <c r="U608" t="s">
        <v>91</v>
      </c>
      <c r="V608" t="s">
        <v>92</v>
      </c>
      <c r="W608" t="s">
        <v>56</v>
      </c>
      <c r="X608" t="s">
        <v>93</v>
      </c>
      <c r="Y608" t="s">
        <v>94</v>
      </c>
      <c r="Z608" t="s">
        <v>50</v>
      </c>
    </row>
    <row r="609" spans="1:26" x14ac:dyDescent="0.3">
      <c r="A609">
        <v>10192</v>
      </c>
      <c r="B609">
        <v>45</v>
      </c>
      <c r="C609">
        <v>90.86</v>
      </c>
      <c r="D609">
        <v>15</v>
      </c>
      <c r="E609">
        <v>4088.7</v>
      </c>
      <c r="F609" s="1">
        <v>37945</v>
      </c>
      <c r="G609" t="s">
        <v>39</v>
      </c>
      <c r="H609">
        <v>4</v>
      </c>
      <c r="I609">
        <v>11</v>
      </c>
      <c r="J609" t="str">
        <f>TEXT(DATE(2012,Table1[[#This Row],[MONTH_ID]],10),"mmm")</f>
        <v>Nov</v>
      </c>
      <c r="K609">
        <v>2003</v>
      </c>
      <c r="L609" t="s">
        <v>195</v>
      </c>
      <c r="M609">
        <v>77</v>
      </c>
      <c r="N609" t="s">
        <v>599</v>
      </c>
      <c r="O609" t="s">
        <v>291</v>
      </c>
      <c r="P609">
        <v>6035558647</v>
      </c>
      <c r="Q609" t="s">
        <v>292</v>
      </c>
      <c r="S609" t="s">
        <v>293</v>
      </c>
      <c r="T609" t="s">
        <v>294</v>
      </c>
      <c r="U609">
        <v>62005</v>
      </c>
      <c r="V609" t="s">
        <v>46</v>
      </c>
      <c r="W609" t="s">
        <v>47</v>
      </c>
      <c r="X609" t="s">
        <v>70</v>
      </c>
      <c r="Y609" t="s">
        <v>290</v>
      </c>
      <c r="Z609" t="s">
        <v>65</v>
      </c>
    </row>
    <row r="610" spans="1:26" x14ac:dyDescent="0.3">
      <c r="A610">
        <v>10203</v>
      </c>
      <c r="B610">
        <v>45</v>
      </c>
      <c r="C610">
        <v>85.47</v>
      </c>
      <c r="D610">
        <v>4</v>
      </c>
      <c r="E610">
        <v>3846.15</v>
      </c>
      <c r="F610" s="1">
        <v>37957</v>
      </c>
      <c r="G610" t="s">
        <v>39</v>
      </c>
      <c r="H610">
        <v>4</v>
      </c>
      <c r="I610">
        <v>12</v>
      </c>
      <c r="J610" t="str">
        <f>TEXT(DATE(2012,Table1[[#This Row],[MONTH_ID]],10),"mmm")</f>
        <v>Dec</v>
      </c>
      <c r="K610">
        <v>2003</v>
      </c>
      <c r="L610" t="s">
        <v>195</v>
      </c>
      <c r="M610">
        <v>77</v>
      </c>
      <c r="N610" t="s">
        <v>599</v>
      </c>
      <c r="O610" t="s">
        <v>188</v>
      </c>
      <c r="P610" t="s">
        <v>189</v>
      </c>
      <c r="Q610" t="s">
        <v>190</v>
      </c>
      <c r="S610" t="s">
        <v>191</v>
      </c>
      <c r="U610">
        <v>28034</v>
      </c>
      <c r="V610" t="s">
        <v>192</v>
      </c>
      <c r="W610" t="s">
        <v>56</v>
      </c>
      <c r="X610" t="s">
        <v>193</v>
      </c>
      <c r="Y610" t="s">
        <v>194</v>
      </c>
      <c r="Z610" t="s">
        <v>65</v>
      </c>
    </row>
    <row r="611" spans="1:26" x14ac:dyDescent="0.3">
      <c r="A611">
        <v>10212</v>
      </c>
      <c r="B611">
        <v>20</v>
      </c>
      <c r="C611">
        <v>66.989999999999995</v>
      </c>
      <c r="D611">
        <v>14</v>
      </c>
      <c r="E611">
        <v>1339.8</v>
      </c>
      <c r="F611" s="1">
        <v>38002</v>
      </c>
      <c r="G611" t="s">
        <v>39</v>
      </c>
      <c r="H611">
        <v>1</v>
      </c>
      <c r="I611">
        <v>1</v>
      </c>
      <c r="J611" t="str">
        <f>TEXT(DATE(2012,Table1[[#This Row],[MONTH_ID]],10),"mmm")</f>
        <v>Jan</v>
      </c>
      <c r="K611">
        <v>2004</v>
      </c>
      <c r="L611" t="s">
        <v>195</v>
      </c>
      <c r="M611">
        <v>77</v>
      </c>
      <c r="N611" t="s">
        <v>599</v>
      </c>
      <c r="O611" t="s">
        <v>188</v>
      </c>
      <c r="P611" t="s">
        <v>189</v>
      </c>
      <c r="Q611" t="s">
        <v>190</v>
      </c>
      <c r="S611" t="s">
        <v>191</v>
      </c>
      <c r="U611">
        <v>28034</v>
      </c>
      <c r="V611" t="s">
        <v>192</v>
      </c>
      <c r="W611" t="s">
        <v>56</v>
      </c>
      <c r="X611" t="s">
        <v>193</v>
      </c>
      <c r="Y611" t="s">
        <v>194</v>
      </c>
      <c r="Z611" t="s">
        <v>50</v>
      </c>
    </row>
    <row r="612" spans="1:26" x14ac:dyDescent="0.3">
      <c r="A612">
        <v>10225</v>
      </c>
      <c r="B612">
        <v>47</v>
      </c>
      <c r="C612">
        <v>64.680000000000007</v>
      </c>
      <c r="D612">
        <v>5</v>
      </c>
      <c r="E612">
        <v>3039.96</v>
      </c>
      <c r="F612" s="1">
        <v>38039</v>
      </c>
      <c r="G612" t="s">
        <v>39</v>
      </c>
      <c r="H612">
        <v>1</v>
      </c>
      <c r="I612">
        <v>2</v>
      </c>
      <c r="J612" t="str">
        <f>TEXT(DATE(2012,Table1[[#This Row],[MONTH_ID]],10),"mmm")</f>
        <v>Feb</v>
      </c>
      <c r="K612">
        <v>2004</v>
      </c>
      <c r="L612" t="s">
        <v>195</v>
      </c>
      <c r="M612">
        <v>77</v>
      </c>
      <c r="N612" t="s">
        <v>599</v>
      </c>
      <c r="O612" t="s">
        <v>460</v>
      </c>
      <c r="P612" t="s">
        <v>461</v>
      </c>
      <c r="Q612" t="s">
        <v>462</v>
      </c>
      <c r="S612" t="s">
        <v>463</v>
      </c>
      <c r="U612">
        <v>1203</v>
      </c>
      <c r="V612" t="s">
        <v>464</v>
      </c>
      <c r="W612" t="s">
        <v>56</v>
      </c>
      <c r="X612" t="s">
        <v>465</v>
      </c>
      <c r="Y612" t="s">
        <v>117</v>
      </c>
      <c r="Z612" t="s">
        <v>65</v>
      </c>
    </row>
    <row r="613" spans="1:26" x14ac:dyDescent="0.3">
      <c r="A613">
        <v>10239</v>
      </c>
      <c r="B613">
        <v>46</v>
      </c>
      <c r="C613">
        <v>73.92</v>
      </c>
      <c r="D613">
        <v>4</v>
      </c>
      <c r="E613">
        <v>3400.32</v>
      </c>
      <c r="F613" s="1">
        <v>38089</v>
      </c>
      <c r="G613" t="s">
        <v>39</v>
      </c>
      <c r="H613">
        <v>2</v>
      </c>
      <c r="I613">
        <v>4</v>
      </c>
      <c r="J613" t="str">
        <f>TEXT(DATE(2012,Table1[[#This Row],[MONTH_ID]],10),"mmm")</f>
        <v>Apr</v>
      </c>
      <c r="K613">
        <v>2004</v>
      </c>
      <c r="L613" t="s">
        <v>195</v>
      </c>
      <c r="M613">
        <v>77</v>
      </c>
      <c r="N613" t="s">
        <v>599</v>
      </c>
      <c r="O613" t="s">
        <v>405</v>
      </c>
      <c r="P613" t="s">
        <v>406</v>
      </c>
      <c r="Q613" t="s">
        <v>407</v>
      </c>
      <c r="S613" t="s">
        <v>408</v>
      </c>
      <c r="U613">
        <v>90110</v>
      </c>
      <c r="V613" t="s">
        <v>144</v>
      </c>
      <c r="W613" t="s">
        <v>56</v>
      </c>
      <c r="X613" t="s">
        <v>409</v>
      </c>
      <c r="Y613" t="s">
        <v>410</v>
      </c>
      <c r="Z613" t="s">
        <v>65</v>
      </c>
    </row>
    <row r="614" spans="1:26" x14ac:dyDescent="0.3">
      <c r="A614">
        <v>10253</v>
      </c>
      <c r="B614">
        <v>23</v>
      </c>
      <c r="C614">
        <v>83.93</v>
      </c>
      <c r="D614">
        <v>9</v>
      </c>
      <c r="E614">
        <v>1930.39</v>
      </c>
      <c r="F614" s="1">
        <v>38139</v>
      </c>
      <c r="G614" t="s">
        <v>353</v>
      </c>
      <c r="H614">
        <v>2</v>
      </c>
      <c r="I614">
        <v>6</v>
      </c>
      <c r="J614" t="str">
        <f>TEXT(DATE(2012,Table1[[#This Row],[MONTH_ID]],10),"mmm")</f>
        <v>Jun</v>
      </c>
      <c r="K614">
        <v>2004</v>
      </c>
      <c r="L614" t="s">
        <v>195</v>
      </c>
      <c r="M614">
        <v>77</v>
      </c>
      <c r="N614" t="s">
        <v>599</v>
      </c>
      <c r="O614" t="s">
        <v>179</v>
      </c>
      <c r="P614" t="s">
        <v>180</v>
      </c>
      <c r="Q614" t="s">
        <v>181</v>
      </c>
      <c r="S614" t="s">
        <v>182</v>
      </c>
      <c r="U614" t="s">
        <v>183</v>
      </c>
      <c r="V614" t="s">
        <v>184</v>
      </c>
      <c r="W614" t="s">
        <v>56</v>
      </c>
      <c r="X614" t="s">
        <v>185</v>
      </c>
      <c r="Y614" t="s">
        <v>186</v>
      </c>
      <c r="Z614" t="s">
        <v>50</v>
      </c>
    </row>
    <row r="615" spans="1:26" x14ac:dyDescent="0.3">
      <c r="A615">
        <v>10266</v>
      </c>
      <c r="B615">
        <v>33</v>
      </c>
      <c r="C615">
        <v>74.69</v>
      </c>
      <c r="D615">
        <v>10</v>
      </c>
      <c r="E615">
        <v>2464.77</v>
      </c>
      <c r="F615" s="1">
        <v>38174</v>
      </c>
      <c r="G615" t="s">
        <v>39</v>
      </c>
      <c r="H615">
        <v>3</v>
      </c>
      <c r="I615">
        <v>7</v>
      </c>
      <c r="J615" t="str">
        <f>TEXT(DATE(2012,Table1[[#This Row],[MONTH_ID]],10),"mmm")</f>
        <v>Jul</v>
      </c>
      <c r="K615">
        <v>2004</v>
      </c>
      <c r="L615" t="s">
        <v>195</v>
      </c>
      <c r="M615">
        <v>77</v>
      </c>
      <c r="N615" t="s">
        <v>599</v>
      </c>
      <c r="O615" t="s">
        <v>466</v>
      </c>
      <c r="P615" t="s">
        <v>467</v>
      </c>
      <c r="Q615" t="s">
        <v>468</v>
      </c>
      <c r="S615" t="s">
        <v>469</v>
      </c>
      <c r="U615">
        <v>42100</v>
      </c>
      <c r="V615" t="s">
        <v>272</v>
      </c>
      <c r="W615" t="s">
        <v>56</v>
      </c>
      <c r="X615" t="s">
        <v>470</v>
      </c>
      <c r="Y615" t="s">
        <v>471</v>
      </c>
      <c r="Z615" t="s">
        <v>50</v>
      </c>
    </row>
    <row r="616" spans="1:26" x14ac:dyDescent="0.3">
      <c r="A616">
        <v>10278</v>
      </c>
      <c r="B616">
        <v>29</v>
      </c>
      <c r="C616">
        <v>90.86</v>
      </c>
      <c r="D616">
        <v>10</v>
      </c>
      <c r="E616">
        <v>2634.94</v>
      </c>
      <c r="F616" s="1">
        <v>38205</v>
      </c>
      <c r="G616" t="s">
        <v>39</v>
      </c>
      <c r="H616">
        <v>3</v>
      </c>
      <c r="I616">
        <v>8</v>
      </c>
      <c r="J616" t="str">
        <f>TEXT(DATE(2012,Table1[[#This Row],[MONTH_ID]],10),"mmm")</f>
        <v>Aug</v>
      </c>
      <c r="K616">
        <v>2004</v>
      </c>
      <c r="L616" t="s">
        <v>195</v>
      </c>
      <c r="M616">
        <v>77</v>
      </c>
      <c r="N616" t="s">
        <v>599</v>
      </c>
      <c r="O616" t="s">
        <v>553</v>
      </c>
      <c r="P616">
        <v>7025551838</v>
      </c>
      <c r="Q616" t="s">
        <v>554</v>
      </c>
      <c r="S616" t="s">
        <v>555</v>
      </c>
      <c r="T616" t="s">
        <v>556</v>
      </c>
      <c r="U616">
        <v>83030</v>
      </c>
      <c r="V616" t="s">
        <v>46</v>
      </c>
      <c r="W616" t="s">
        <v>47</v>
      </c>
      <c r="X616" t="s">
        <v>127</v>
      </c>
      <c r="Y616" t="s">
        <v>414</v>
      </c>
      <c r="Z616" t="s">
        <v>50</v>
      </c>
    </row>
    <row r="617" spans="1:26" x14ac:dyDescent="0.3">
      <c r="A617">
        <v>10287</v>
      </c>
      <c r="B617">
        <v>44</v>
      </c>
      <c r="C617">
        <v>82.39</v>
      </c>
      <c r="D617">
        <v>8</v>
      </c>
      <c r="E617">
        <v>3625.16</v>
      </c>
      <c r="F617" s="1">
        <v>38229</v>
      </c>
      <c r="G617" t="s">
        <v>39</v>
      </c>
      <c r="H617">
        <v>3</v>
      </c>
      <c r="I617">
        <v>8</v>
      </c>
      <c r="J617" t="str">
        <f>TEXT(DATE(2012,Table1[[#This Row],[MONTH_ID]],10),"mmm")</f>
        <v>Aug</v>
      </c>
      <c r="K617">
        <v>2004</v>
      </c>
      <c r="L617" t="s">
        <v>195</v>
      </c>
      <c r="M617">
        <v>77</v>
      </c>
      <c r="N617" t="s">
        <v>599</v>
      </c>
      <c r="O617" t="s">
        <v>460</v>
      </c>
      <c r="P617" t="s">
        <v>461</v>
      </c>
      <c r="Q617" t="s">
        <v>462</v>
      </c>
      <c r="S617" t="s">
        <v>463</v>
      </c>
      <c r="U617">
        <v>1203</v>
      </c>
      <c r="V617" t="s">
        <v>464</v>
      </c>
      <c r="W617" t="s">
        <v>56</v>
      </c>
      <c r="X617" t="s">
        <v>465</v>
      </c>
      <c r="Y617" t="s">
        <v>117</v>
      </c>
      <c r="Z617" t="s">
        <v>65</v>
      </c>
    </row>
    <row r="618" spans="1:26" x14ac:dyDescent="0.3">
      <c r="A618">
        <v>10300</v>
      </c>
      <c r="B618">
        <v>41</v>
      </c>
      <c r="C618">
        <v>92.4</v>
      </c>
      <c r="D618">
        <v>1</v>
      </c>
      <c r="E618">
        <v>3788.4</v>
      </c>
      <c r="F618" s="1">
        <v>37898</v>
      </c>
      <c r="G618" t="s">
        <v>39</v>
      </c>
      <c r="H618">
        <v>4</v>
      </c>
      <c r="I618">
        <v>10</v>
      </c>
      <c r="J618" t="str">
        <f>TEXT(DATE(2012,Table1[[#This Row],[MONTH_ID]],10),"mmm")</f>
        <v>Oct</v>
      </c>
      <c r="K618">
        <v>2003</v>
      </c>
      <c r="L618" t="s">
        <v>195</v>
      </c>
      <c r="M618">
        <v>77</v>
      </c>
      <c r="N618" t="s">
        <v>599</v>
      </c>
      <c r="O618" t="s">
        <v>476</v>
      </c>
      <c r="P618" t="s">
        <v>477</v>
      </c>
      <c r="Q618" t="s">
        <v>478</v>
      </c>
      <c r="S618" t="s">
        <v>479</v>
      </c>
      <c r="U618">
        <v>60528</v>
      </c>
      <c r="V618" t="s">
        <v>457</v>
      </c>
      <c r="W618" t="s">
        <v>56</v>
      </c>
      <c r="X618" t="s">
        <v>480</v>
      </c>
      <c r="Y618" t="s">
        <v>428</v>
      </c>
      <c r="Z618" t="s">
        <v>65</v>
      </c>
    </row>
    <row r="619" spans="1:26" x14ac:dyDescent="0.3">
      <c r="A619">
        <v>10310</v>
      </c>
      <c r="B619">
        <v>20</v>
      </c>
      <c r="C619">
        <v>91.63</v>
      </c>
      <c r="D619">
        <v>6</v>
      </c>
      <c r="E619">
        <v>1832.6</v>
      </c>
      <c r="F619" s="1">
        <v>38276</v>
      </c>
      <c r="G619" t="s">
        <v>39</v>
      </c>
      <c r="H619">
        <v>4</v>
      </c>
      <c r="I619">
        <v>10</v>
      </c>
      <c r="J619" t="str">
        <f>TEXT(DATE(2012,Table1[[#This Row],[MONTH_ID]],10),"mmm")</f>
        <v>Oct</v>
      </c>
      <c r="K619">
        <v>2004</v>
      </c>
      <c r="L619" t="s">
        <v>195</v>
      </c>
      <c r="M619">
        <v>77</v>
      </c>
      <c r="N619" t="s">
        <v>599</v>
      </c>
      <c r="O619" t="s">
        <v>453</v>
      </c>
      <c r="P619" t="s">
        <v>454</v>
      </c>
      <c r="Q619" t="s">
        <v>455</v>
      </c>
      <c r="S619" t="s">
        <v>456</v>
      </c>
      <c r="U619">
        <v>50739</v>
      </c>
      <c r="V619" t="s">
        <v>457</v>
      </c>
      <c r="W619" t="s">
        <v>56</v>
      </c>
      <c r="X619" t="s">
        <v>458</v>
      </c>
      <c r="Y619" t="s">
        <v>459</v>
      </c>
      <c r="Z619" t="s">
        <v>50</v>
      </c>
    </row>
    <row r="620" spans="1:26" x14ac:dyDescent="0.3">
      <c r="A620">
        <v>10321</v>
      </c>
      <c r="B620">
        <v>37</v>
      </c>
      <c r="C620">
        <v>78.540000000000006</v>
      </c>
      <c r="D620">
        <v>14</v>
      </c>
      <c r="E620">
        <v>2905.98</v>
      </c>
      <c r="F620" s="1">
        <v>38295</v>
      </c>
      <c r="G620" t="s">
        <v>39</v>
      </c>
      <c r="H620">
        <v>4</v>
      </c>
      <c r="I620">
        <v>11</v>
      </c>
      <c r="J620" t="str">
        <f>TEXT(DATE(2012,Table1[[#This Row],[MONTH_ID]],10),"mmm")</f>
        <v>Nov</v>
      </c>
      <c r="K620">
        <v>2004</v>
      </c>
      <c r="L620" t="s">
        <v>195</v>
      </c>
      <c r="M620">
        <v>77</v>
      </c>
      <c r="N620" t="s">
        <v>599</v>
      </c>
      <c r="O620" t="s">
        <v>174</v>
      </c>
      <c r="P620">
        <v>5085552555</v>
      </c>
      <c r="Q620" t="s">
        <v>175</v>
      </c>
      <c r="S620" t="s">
        <v>176</v>
      </c>
      <c r="T620" t="s">
        <v>137</v>
      </c>
      <c r="U620">
        <v>50553</v>
      </c>
      <c r="V620" t="s">
        <v>46</v>
      </c>
      <c r="W620" t="s">
        <v>47</v>
      </c>
      <c r="X620" t="s">
        <v>177</v>
      </c>
      <c r="Y620" t="s">
        <v>178</v>
      </c>
      <c r="Z620" t="s">
        <v>50</v>
      </c>
    </row>
    <row r="621" spans="1:26" x14ac:dyDescent="0.3">
      <c r="A621">
        <v>10329</v>
      </c>
      <c r="B621">
        <v>29</v>
      </c>
      <c r="C621">
        <v>100</v>
      </c>
      <c r="D621">
        <v>9</v>
      </c>
      <c r="E621">
        <v>2954.81</v>
      </c>
      <c r="F621" s="1">
        <v>38306</v>
      </c>
      <c r="G621" t="s">
        <v>39</v>
      </c>
      <c r="H621">
        <v>4</v>
      </c>
      <c r="I621">
        <v>11</v>
      </c>
      <c r="J621" t="str">
        <f>TEXT(DATE(2012,Table1[[#This Row],[MONTH_ID]],10),"mmm")</f>
        <v>Nov</v>
      </c>
      <c r="K621">
        <v>2004</v>
      </c>
      <c r="L621" t="s">
        <v>195</v>
      </c>
      <c r="M621">
        <v>77</v>
      </c>
      <c r="N621" t="s">
        <v>599</v>
      </c>
      <c r="O621" t="s">
        <v>42</v>
      </c>
      <c r="P621">
        <v>2125557818</v>
      </c>
      <c r="Q621" t="s">
        <v>43</v>
      </c>
      <c r="S621" t="s">
        <v>44</v>
      </c>
      <c r="T621" t="s">
        <v>45</v>
      </c>
      <c r="U621">
        <v>10022</v>
      </c>
      <c r="V621" t="s">
        <v>46</v>
      </c>
      <c r="W621" t="s">
        <v>47</v>
      </c>
      <c r="X621" t="s">
        <v>48</v>
      </c>
      <c r="Y621" t="s">
        <v>49</v>
      </c>
      <c r="Z621" t="s">
        <v>50</v>
      </c>
    </row>
    <row r="622" spans="1:26" x14ac:dyDescent="0.3">
      <c r="A622">
        <v>10342</v>
      </c>
      <c r="B622">
        <v>55</v>
      </c>
      <c r="C622">
        <v>65.45</v>
      </c>
      <c r="D622">
        <v>1</v>
      </c>
      <c r="E622">
        <v>3599.75</v>
      </c>
      <c r="F622" s="1">
        <v>38315</v>
      </c>
      <c r="G622" t="s">
        <v>39</v>
      </c>
      <c r="H622">
        <v>4</v>
      </c>
      <c r="I622">
        <v>11</v>
      </c>
      <c r="J622" t="str">
        <f>TEXT(DATE(2012,Table1[[#This Row],[MONTH_ID]],10),"mmm")</f>
        <v>Nov</v>
      </c>
      <c r="K622">
        <v>2004</v>
      </c>
      <c r="L622" t="s">
        <v>195</v>
      </c>
      <c r="M622">
        <v>77</v>
      </c>
      <c r="N622" t="s">
        <v>599</v>
      </c>
      <c r="O622" t="s">
        <v>103</v>
      </c>
      <c r="P622" t="s">
        <v>104</v>
      </c>
      <c r="Q622" t="s">
        <v>105</v>
      </c>
      <c r="R622" t="s">
        <v>106</v>
      </c>
      <c r="S622" t="s">
        <v>107</v>
      </c>
      <c r="T622" t="s">
        <v>108</v>
      </c>
      <c r="U622">
        <v>3004</v>
      </c>
      <c r="V622" t="s">
        <v>109</v>
      </c>
      <c r="W622" t="s">
        <v>110</v>
      </c>
      <c r="X622" t="s">
        <v>111</v>
      </c>
      <c r="Y622" t="s">
        <v>112</v>
      </c>
      <c r="Z622" t="s">
        <v>65</v>
      </c>
    </row>
    <row r="623" spans="1:26" x14ac:dyDescent="0.3">
      <c r="A623">
        <v>10363</v>
      </c>
      <c r="B623">
        <v>22</v>
      </c>
      <c r="C623">
        <v>100</v>
      </c>
      <c r="D623">
        <v>7</v>
      </c>
      <c r="E623">
        <v>3686.54</v>
      </c>
      <c r="F623" s="1">
        <v>38358</v>
      </c>
      <c r="G623" t="s">
        <v>39</v>
      </c>
      <c r="H623">
        <v>1</v>
      </c>
      <c r="I623">
        <v>1</v>
      </c>
      <c r="J623" t="str">
        <f>TEXT(DATE(2012,Table1[[#This Row],[MONTH_ID]],10),"mmm")</f>
        <v>Jan</v>
      </c>
      <c r="K623">
        <v>2005</v>
      </c>
      <c r="L623" t="s">
        <v>195</v>
      </c>
      <c r="M623">
        <v>77</v>
      </c>
      <c r="N623" t="s">
        <v>599</v>
      </c>
      <c r="O623" t="s">
        <v>481</v>
      </c>
      <c r="P623" t="s">
        <v>482</v>
      </c>
      <c r="Q623" t="s">
        <v>483</v>
      </c>
      <c r="S623" t="s">
        <v>484</v>
      </c>
      <c r="U623" t="s">
        <v>485</v>
      </c>
      <c r="V623" t="s">
        <v>144</v>
      </c>
      <c r="W623" t="s">
        <v>56</v>
      </c>
      <c r="X623" t="s">
        <v>486</v>
      </c>
      <c r="Y623" t="s">
        <v>487</v>
      </c>
      <c r="Z623" t="s">
        <v>65</v>
      </c>
    </row>
    <row r="624" spans="1:26" x14ac:dyDescent="0.3">
      <c r="A624">
        <v>10377</v>
      </c>
      <c r="B624">
        <v>31</v>
      </c>
      <c r="C624">
        <v>67.760000000000005</v>
      </c>
      <c r="D624">
        <v>4</v>
      </c>
      <c r="E624">
        <v>2100.56</v>
      </c>
      <c r="F624" s="1">
        <v>38392</v>
      </c>
      <c r="G624" t="s">
        <v>39</v>
      </c>
      <c r="H624">
        <v>1</v>
      </c>
      <c r="I624">
        <v>2</v>
      </c>
      <c r="J624" t="str">
        <f>TEXT(DATE(2012,Table1[[#This Row],[MONTH_ID]],10),"mmm")</f>
        <v>Feb</v>
      </c>
      <c r="K624">
        <v>2005</v>
      </c>
      <c r="L624" t="s">
        <v>195</v>
      </c>
      <c r="M624">
        <v>77</v>
      </c>
      <c r="N624" t="s">
        <v>599</v>
      </c>
      <c r="O624" t="s">
        <v>140</v>
      </c>
      <c r="P624" t="s">
        <v>141</v>
      </c>
      <c r="Q624" t="s">
        <v>142</v>
      </c>
      <c r="S624" t="s">
        <v>143</v>
      </c>
      <c r="U624">
        <v>21240</v>
      </c>
      <c r="V624" t="s">
        <v>144</v>
      </c>
      <c r="W624" t="s">
        <v>56</v>
      </c>
      <c r="X624" t="s">
        <v>145</v>
      </c>
      <c r="Y624" t="s">
        <v>146</v>
      </c>
      <c r="Z624" t="s">
        <v>50</v>
      </c>
    </row>
    <row r="625" spans="1:26" x14ac:dyDescent="0.3">
      <c r="A625">
        <v>10389</v>
      </c>
      <c r="B625">
        <v>49</v>
      </c>
      <c r="C625">
        <v>79.22</v>
      </c>
      <c r="D625">
        <v>3</v>
      </c>
      <c r="E625">
        <v>3881.78</v>
      </c>
      <c r="F625" s="1">
        <v>38414</v>
      </c>
      <c r="G625" t="s">
        <v>39</v>
      </c>
      <c r="H625">
        <v>1</v>
      </c>
      <c r="I625">
        <v>3</v>
      </c>
      <c r="J625" t="str">
        <f>TEXT(DATE(2012,Table1[[#This Row],[MONTH_ID]],10),"mmm")</f>
        <v>Mar</v>
      </c>
      <c r="K625">
        <v>2005</v>
      </c>
      <c r="L625" t="s">
        <v>195</v>
      </c>
      <c r="M625">
        <v>77</v>
      </c>
      <c r="N625" t="s">
        <v>599</v>
      </c>
      <c r="O625" t="s">
        <v>275</v>
      </c>
      <c r="P625" t="s">
        <v>276</v>
      </c>
      <c r="Q625" t="s">
        <v>277</v>
      </c>
      <c r="S625" t="s">
        <v>278</v>
      </c>
      <c r="U625" t="s">
        <v>279</v>
      </c>
      <c r="V625" t="s">
        <v>202</v>
      </c>
      <c r="W625" t="s">
        <v>56</v>
      </c>
      <c r="X625" t="s">
        <v>280</v>
      </c>
      <c r="Y625" t="s">
        <v>220</v>
      </c>
      <c r="Z625" t="s">
        <v>65</v>
      </c>
    </row>
    <row r="626" spans="1:26" x14ac:dyDescent="0.3">
      <c r="A626">
        <v>10405</v>
      </c>
      <c r="B626">
        <v>61</v>
      </c>
      <c r="C626">
        <v>73.92</v>
      </c>
      <c r="D626">
        <v>4</v>
      </c>
      <c r="E626">
        <v>4509.12</v>
      </c>
      <c r="F626" s="1">
        <v>38456</v>
      </c>
      <c r="G626" t="s">
        <v>39</v>
      </c>
      <c r="H626">
        <v>2</v>
      </c>
      <c r="I626">
        <v>4</v>
      </c>
      <c r="J626" t="str">
        <f>TEXT(DATE(2012,Table1[[#This Row],[MONTH_ID]],10),"mmm")</f>
        <v>Apr</v>
      </c>
      <c r="K626">
        <v>2005</v>
      </c>
      <c r="L626" t="s">
        <v>195</v>
      </c>
      <c r="M626">
        <v>77</v>
      </c>
      <c r="N626" t="s">
        <v>599</v>
      </c>
      <c r="O626" t="s">
        <v>545</v>
      </c>
      <c r="P626" t="s">
        <v>546</v>
      </c>
      <c r="Q626" t="s">
        <v>547</v>
      </c>
      <c r="S626" t="s">
        <v>548</v>
      </c>
      <c r="U626">
        <v>67000</v>
      </c>
      <c r="V626" t="s">
        <v>55</v>
      </c>
      <c r="W626" t="s">
        <v>56</v>
      </c>
      <c r="X626" t="s">
        <v>549</v>
      </c>
      <c r="Y626" t="s">
        <v>550</v>
      </c>
      <c r="Z626" t="s">
        <v>65</v>
      </c>
    </row>
    <row r="627" spans="1:26" x14ac:dyDescent="0.3">
      <c r="A627">
        <v>10419</v>
      </c>
      <c r="B627">
        <v>39</v>
      </c>
      <c r="C627">
        <v>83.93</v>
      </c>
      <c r="D627">
        <v>9</v>
      </c>
      <c r="E627">
        <v>3273.27</v>
      </c>
      <c r="F627" s="1">
        <v>38489</v>
      </c>
      <c r="G627" t="s">
        <v>39</v>
      </c>
      <c r="H627">
        <v>2</v>
      </c>
      <c r="I627">
        <v>5</v>
      </c>
      <c r="J627" t="str">
        <f>TEXT(DATE(2012,Table1[[#This Row],[MONTH_ID]],10),"mmm")</f>
        <v>May</v>
      </c>
      <c r="K627">
        <v>2005</v>
      </c>
      <c r="L627" t="s">
        <v>195</v>
      </c>
      <c r="M627">
        <v>77</v>
      </c>
      <c r="N627" t="s">
        <v>599</v>
      </c>
      <c r="O627" t="s">
        <v>158</v>
      </c>
      <c r="P627" t="s">
        <v>159</v>
      </c>
      <c r="Q627" t="s">
        <v>160</v>
      </c>
      <c r="S627" t="s">
        <v>161</v>
      </c>
      <c r="U627">
        <v>5020</v>
      </c>
      <c r="V627" t="s">
        <v>162</v>
      </c>
      <c r="W627" t="s">
        <v>56</v>
      </c>
      <c r="X627" t="s">
        <v>163</v>
      </c>
      <c r="Y627" t="s">
        <v>164</v>
      </c>
      <c r="Z627" t="s">
        <v>65</v>
      </c>
    </row>
    <row r="628" spans="1:26" x14ac:dyDescent="0.3">
      <c r="A628">
        <v>10109</v>
      </c>
      <c r="B628">
        <v>38</v>
      </c>
      <c r="C628">
        <v>100</v>
      </c>
      <c r="D628">
        <v>3</v>
      </c>
      <c r="E628">
        <v>4432.7</v>
      </c>
      <c r="F628" s="1">
        <v>37690</v>
      </c>
      <c r="G628" t="s">
        <v>39</v>
      </c>
      <c r="H628">
        <v>1</v>
      </c>
      <c r="I628">
        <v>3</v>
      </c>
      <c r="J628" t="str">
        <f>TEXT(DATE(2012,Table1[[#This Row],[MONTH_ID]],10),"mmm")</f>
        <v>Mar</v>
      </c>
      <c r="K628">
        <v>2003</v>
      </c>
      <c r="L628" t="s">
        <v>195</v>
      </c>
      <c r="M628">
        <v>142</v>
      </c>
      <c r="N628" t="s">
        <v>600</v>
      </c>
      <c r="O628" t="s">
        <v>323</v>
      </c>
      <c r="P628">
        <v>2155559857</v>
      </c>
      <c r="Q628" t="s">
        <v>324</v>
      </c>
      <c r="S628" t="s">
        <v>230</v>
      </c>
      <c r="T628" t="s">
        <v>156</v>
      </c>
      <c r="U628">
        <v>71270</v>
      </c>
      <c r="V628" t="s">
        <v>46</v>
      </c>
      <c r="W628" t="s">
        <v>47</v>
      </c>
      <c r="X628" t="s">
        <v>138</v>
      </c>
      <c r="Y628" t="s">
        <v>325</v>
      </c>
      <c r="Z628" t="s">
        <v>65</v>
      </c>
    </row>
    <row r="629" spans="1:26" x14ac:dyDescent="0.3">
      <c r="A629">
        <v>10122</v>
      </c>
      <c r="B629">
        <v>31</v>
      </c>
      <c r="C629">
        <v>100</v>
      </c>
      <c r="D629">
        <v>1</v>
      </c>
      <c r="E629">
        <v>4100.99</v>
      </c>
      <c r="F629" s="1">
        <v>37749</v>
      </c>
      <c r="G629" t="s">
        <v>39</v>
      </c>
      <c r="H629">
        <v>2</v>
      </c>
      <c r="I629">
        <v>5</v>
      </c>
      <c r="J629" t="str">
        <f>TEXT(DATE(2012,Table1[[#This Row],[MONTH_ID]],10),"mmm")</f>
        <v>May</v>
      </c>
      <c r="K629">
        <v>2003</v>
      </c>
      <c r="L629" t="s">
        <v>195</v>
      </c>
      <c r="M629">
        <v>142</v>
      </c>
      <c r="N629" t="s">
        <v>600</v>
      </c>
      <c r="O629" t="s">
        <v>447</v>
      </c>
      <c r="P629" t="s">
        <v>448</v>
      </c>
      <c r="Q629" t="s">
        <v>449</v>
      </c>
      <c r="S629" t="s">
        <v>450</v>
      </c>
      <c r="U629">
        <v>13008</v>
      </c>
      <c r="V629" t="s">
        <v>55</v>
      </c>
      <c r="W629" t="s">
        <v>56</v>
      </c>
      <c r="X629" t="s">
        <v>451</v>
      </c>
      <c r="Y629" t="s">
        <v>452</v>
      </c>
      <c r="Z629" t="s">
        <v>65</v>
      </c>
    </row>
    <row r="630" spans="1:26" x14ac:dyDescent="0.3">
      <c r="A630">
        <v>10136</v>
      </c>
      <c r="B630">
        <v>36</v>
      </c>
      <c r="C630">
        <v>100</v>
      </c>
      <c r="D630">
        <v>1</v>
      </c>
      <c r="E630">
        <v>5274.72</v>
      </c>
      <c r="F630" s="1">
        <v>37806</v>
      </c>
      <c r="G630" t="s">
        <v>39</v>
      </c>
      <c r="H630">
        <v>3</v>
      </c>
      <c r="I630">
        <v>7</v>
      </c>
      <c r="J630" t="str">
        <f>TEXT(DATE(2012,Table1[[#This Row],[MONTH_ID]],10),"mmm")</f>
        <v>Jul</v>
      </c>
      <c r="K630">
        <v>2003</v>
      </c>
      <c r="L630" t="s">
        <v>195</v>
      </c>
      <c r="M630">
        <v>142</v>
      </c>
      <c r="N630" t="s">
        <v>600</v>
      </c>
      <c r="O630" t="s">
        <v>354</v>
      </c>
      <c r="P630" t="s">
        <v>355</v>
      </c>
      <c r="Q630" t="s">
        <v>356</v>
      </c>
      <c r="S630" t="s">
        <v>357</v>
      </c>
      <c r="U630">
        <v>31000</v>
      </c>
      <c r="V630" t="s">
        <v>55</v>
      </c>
      <c r="W630" t="s">
        <v>56</v>
      </c>
      <c r="X630" t="s">
        <v>358</v>
      </c>
      <c r="Y630" t="s">
        <v>359</v>
      </c>
      <c r="Z630" t="s">
        <v>65</v>
      </c>
    </row>
    <row r="631" spans="1:26" x14ac:dyDescent="0.3">
      <c r="A631">
        <v>10148</v>
      </c>
      <c r="B631">
        <v>25</v>
      </c>
      <c r="C631">
        <v>100</v>
      </c>
      <c r="D631">
        <v>12</v>
      </c>
      <c r="E631">
        <v>4232</v>
      </c>
      <c r="F631" s="1">
        <v>37875</v>
      </c>
      <c r="G631" t="s">
        <v>39</v>
      </c>
      <c r="H631">
        <v>3</v>
      </c>
      <c r="I631">
        <v>9</v>
      </c>
      <c r="J631" t="str">
        <f>TEXT(DATE(2012,Table1[[#This Row],[MONTH_ID]],10),"mmm")</f>
        <v>Sep</v>
      </c>
      <c r="K631">
        <v>2003</v>
      </c>
      <c r="L631" t="s">
        <v>195</v>
      </c>
      <c r="M631">
        <v>142</v>
      </c>
      <c r="N631" t="s">
        <v>600</v>
      </c>
      <c r="O631" t="s">
        <v>299</v>
      </c>
      <c r="P631" t="s">
        <v>300</v>
      </c>
      <c r="Q631" t="s">
        <v>301</v>
      </c>
      <c r="R631" t="s">
        <v>302</v>
      </c>
      <c r="S631" t="s">
        <v>303</v>
      </c>
      <c r="T631" t="s">
        <v>171</v>
      </c>
      <c r="U631">
        <v>2060</v>
      </c>
      <c r="V631" t="s">
        <v>109</v>
      </c>
      <c r="W631" t="s">
        <v>110</v>
      </c>
      <c r="X631" t="s">
        <v>304</v>
      </c>
      <c r="Y631" t="s">
        <v>305</v>
      </c>
      <c r="Z631" t="s">
        <v>65</v>
      </c>
    </row>
    <row r="632" spans="1:26" x14ac:dyDescent="0.3">
      <c r="A632">
        <v>10161</v>
      </c>
      <c r="B632">
        <v>48</v>
      </c>
      <c r="C632">
        <v>100</v>
      </c>
      <c r="D632">
        <v>11</v>
      </c>
      <c r="E632">
        <v>6145.44</v>
      </c>
      <c r="F632" s="1">
        <v>37911</v>
      </c>
      <c r="G632" t="s">
        <v>39</v>
      </c>
      <c r="H632">
        <v>4</v>
      </c>
      <c r="I632">
        <v>10</v>
      </c>
      <c r="J632" t="str">
        <f>TEXT(DATE(2012,Table1[[#This Row],[MONTH_ID]],10),"mmm")</f>
        <v>Oct</v>
      </c>
      <c r="K632">
        <v>2003</v>
      </c>
      <c r="L632" t="s">
        <v>195</v>
      </c>
      <c r="M632">
        <v>142</v>
      </c>
      <c r="N632" t="s">
        <v>600</v>
      </c>
      <c r="O632" t="s">
        <v>512</v>
      </c>
      <c r="P632" t="s">
        <v>513</v>
      </c>
      <c r="Q632" t="s">
        <v>514</v>
      </c>
      <c r="S632" t="s">
        <v>515</v>
      </c>
      <c r="U632">
        <v>8200</v>
      </c>
      <c r="V632" t="s">
        <v>340</v>
      </c>
      <c r="W632" t="s">
        <v>56</v>
      </c>
      <c r="X632" t="s">
        <v>516</v>
      </c>
      <c r="Y632" t="s">
        <v>517</v>
      </c>
      <c r="Z632" t="s">
        <v>65</v>
      </c>
    </row>
    <row r="633" spans="1:26" x14ac:dyDescent="0.3">
      <c r="A633">
        <v>10171</v>
      </c>
      <c r="B633">
        <v>35</v>
      </c>
      <c r="C633">
        <v>100</v>
      </c>
      <c r="D633">
        <v>1</v>
      </c>
      <c r="E633">
        <v>4680.2</v>
      </c>
      <c r="F633" s="1">
        <v>37930</v>
      </c>
      <c r="G633" t="s">
        <v>39</v>
      </c>
      <c r="H633">
        <v>4</v>
      </c>
      <c r="I633">
        <v>11</v>
      </c>
      <c r="J633" t="str">
        <f>TEXT(DATE(2012,Table1[[#This Row],[MONTH_ID]],10),"mmm")</f>
        <v>Nov</v>
      </c>
      <c r="K633">
        <v>2003</v>
      </c>
      <c r="L633" t="s">
        <v>195</v>
      </c>
      <c r="M633">
        <v>142</v>
      </c>
      <c r="N633" t="s">
        <v>600</v>
      </c>
      <c r="O633" t="s">
        <v>306</v>
      </c>
      <c r="P633" t="s">
        <v>307</v>
      </c>
      <c r="Q633" t="s">
        <v>308</v>
      </c>
      <c r="S633" t="s">
        <v>309</v>
      </c>
      <c r="T633" t="s">
        <v>310</v>
      </c>
      <c r="U633" t="s">
        <v>311</v>
      </c>
      <c r="V633" t="s">
        <v>245</v>
      </c>
      <c r="W633" t="s">
        <v>47</v>
      </c>
      <c r="X633" t="s">
        <v>312</v>
      </c>
      <c r="Y633" t="s">
        <v>313</v>
      </c>
      <c r="Z633" t="s">
        <v>65</v>
      </c>
    </row>
    <row r="634" spans="1:26" x14ac:dyDescent="0.3">
      <c r="A634">
        <v>10181</v>
      </c>
      <c r="B634">
        <v>21</v>
      </c>
      <c r="C634">
        <v>100</v>
      </c>
      <c r="D634">
        <v>5</v>
      </c>
      <c r="E634">
        <v>3286.08</v>
      </c>
      <c r="F634" s="1">
        <v>37937</v>
      </c>
      <c r="G634" t="s">
        <v>39</v>
      </c>
      <c r="H634">
        <v>4</v>
      </c>
      <c r="I634">
        <v>11</v>
      </c>
      <c r="J634" t="str">
        <f>TEXT(DATE(2012,Table1[[#This Row],[MONTH_ID]],10),"mmm")</f>
        <v>Nov</v>
      </c>
      <c r="K634">
        <v>2003</v>
      </c>
      <c r="L634" t="s">
        <v>195</v>
      </c>
      <c r="M634">
        <v>142</v>
      </c>
      <c r="N634" t="s">
        <v>600</v>
      </c>
      <c r="O634" t="s">
        <v>87</v>
      </c>
      <c r="P634" t="s">
        <v>88</v>
      </c>
      <c r="Q634" t="s">
        <v>89</v>
      </c>
      <c r="S634" t="s">
        <v>90</v>
      </c>
      <c r="U634" t="s">
        <v>91</v>
      </c>
      <c r="V634" t="s">
        <v>92</v>
      </c>
      <c r="W634" t="s">
        <v>56</v>
      </c>
      <c r="X634" t="s">
        <v>93</v>
      </c>
      <c r="Y634" t="s">
        <v>94</v>
      </c>
      <c r="Z634" t="s">
        <v>65</v>
      </c>
    </row>
    <row r="635" spans="1:26" x14ac:dyDescent="0.3">
      <c r="A635">
        <v>10192</v>
      </c>
      <c r="B635">
        <v>47</v>
      </c>
      <c r="C635">
        <v>100</v>
      </c>
      <c r="D635">
        <v>10</v>
      </c>
      <c r="E635">
        <v>7421.3</v>
      </c>
      <c r="F635" s="1">
        <v>37945</v>
      </c>
      <c r="G635" t="s">
        <v>39</v>
      </c>
      <c r="H635">
        <v>4</v>
      </c>
      <c r="I635">
        <v>11</v>
      </c>
      <c r="J635" t="str">
        <f>TEXT(DATE(2012,Table1[[#This Row],[MONTH_ID]],10),"mmm")</f>
        <v>Nov</v>
      </c>
      <c r="K635">
        <v>2003</v>
      </c>
      <c r="L635" t="s">
        <v>195</v>
      </c>
      <c r="M635">
        <v>142</v>
      </c>
      <c r="N635" t="s">
        <v>600</v>
      </c>
      <c r="O635" t="s">
        <v>291</v>
      </c>
      <c r="P635">
        <v>6035558647</v>
      </c>
      <c r="Q635" t="s">
        <v>292</v>
      </c>
      <c r="S635" t="s">
        <v>293</v>
      </c>
      <c r="T635" t="s">
        <v>294</v>
      </c>
      <c r="U635">
        <v>62005</v>
      </c>
      <c r="V635" t="s">
        <v>46</v>
      </c>
      <c r="W635" t="s">
        <v>47</v>
      </c>
      <c r="X635" t="s">
        <v>70</v>
      </c>
      <c r="Y635" t="s">
        <v>290</v>
      </c>
      <c r="Z635" t="s">
        <v>165</v>
      </c>
    </row>
    <row r="636" spans="1:26" x14ac:dyDescent="0.3">
      <c r="A636">
        <v>10204</v>
      </c>
      <c r="B636">
        <v>38</v>
      </c>
      <c r="C636">
        <v>100</v>
      </c>
      <c r="D636">
        <v>16</v>
      </c>
      <c r="E636">
        <v>6432.64</v>
      </c>
      <c r="F636" s="1">
        <v>37957</v>
      </c>
      <c r="G636" t="s">
        <v>39</v>
      </c>
      <c r="H636">
        <v>4</v>
      </c>
      <c r="I636">
        <v>12</v>
      </c>
      <c r="J636" t="str">
        <f>TEXT(DATE(2012,Table1[[#This Row],[MONTH_ID]],10),"mmm")</f>
        <v>Dec</v>
      </c>
      <c r="K636">
        <v>2003</v>
      </c>
      <c r="L636" t="s">
        <v>195</v>
      </c>
      <c r="M636">
        <v>142</v>
      </c>
      <c r="N636" t="s">
        <v>600</v>
      </c>
      <c r="O636" t="s">
        <v>489</v>
      </c>
      <c r="P636">
        <v>2125557413</v>
      </c>
      <c r="Q636" t="s">
        <v>490</v>
      </c>
      <c r="R636" t="s">
        <v>491</v>
      </c>
      <c r="S636" t="s">
        <v>44</v>
      </c>
      <c r="T636" t="s">
        <v>45</v>
      </c>
      <c r="U636">
        <v>10022</v>
      </c>
      <c r="V636" t="s">
        <v>46</v>
      </c>
      <c r="W636" t="s">
        <v>47</v>
      </c>
      <c r="X636" t="s">
        <v>70</v>
      </c>
      <c r="Y636" t="s">
        <v>492</v>
      </c>
      <c r="Z636" t="s">
        <v>65</v>
      </c>
    </row>
    <row r="637" spans="1:26" x14ac:dyDescent="0.3">
      <c r="A637">
        <v>10212</v>
      </c>
      <c r="B637">
        <v>41</v>
      </c>
      <c r="C637">
        <v>100</v>
      </c>
      <c r="D637">
        <v>9</v>
      </c>
      <c r="E637">
        <v>4840.87</v>
      </c>
      <c r="F637" s="1">
        <v>38002</v>
      </c>
      <c r="G637" t="s">
        <v>39</v>
      </c>
      <c r="H637">
        <v>1</v>
      </c>
      <c r="I637">
        <v>1</v>
      </c>
      <c r="J637" t="str">
        <f>TEXT(DATE(2012,Table1[[#This Row],[MONTH_ID]],10),"mmm")</f>
        <v>Jan</v>
      </c>
      <c r="K637">
        <v>2004</v>
      </c>
      <c r="L637" t="s">
        <v>195</v>
      </c>
      <c r="M637">
        <v>142</v>
      </c>
      <c r="N637" t="s">
        <v>600</v>
      </c>
      <c r="O637" t="s">
        <v>188</v>
      </c>
      <c r="P637" t="s">
        <v>189</v>
      </c>
      <c r="Q637" t="s">
        <v>190</v>
      </c>
      <c r="S637" t="s">
        <v>191</v>
      </c>
      <c r="U637">
        <v>28034</v>
      </c>
      <c r="V637" t="s">
        <v>192</v>
      </c>
      <c r="W637" t="s">
        <v>56</v>
      </c>
      <c r="X637" t="s">
        <v>193</v>
      </c>
      <c r="Y637" t="s">
        <v>194</v>
      </c>
      <c r="Z637" t="s">
        <v>65</v>
      </c>
    </row>
    <row r="638" spans="1:26" x14ac:dyDescent="0.3">
      <c r="A638">
        <v>10226</v>
      </c>
      <c r="B638">
        <v>24</v>
      </c>
      <c r="C638">
        <v>100</v>
      </c>
      <c r="D638">
        <v>7</v>
      </c>
      <c r="E638">
        <v>3892.08</v>
      </c>
      <c r="F638" s="1">
        <v>38043</v>
      </c>
      <c r="G638" t="s">
        <v>39</v>
      </c>
      <c r="H638">
        <v>1</v>
      </c>
      <c r="I638">
        <v>2</v>
      </c>
      <c r="J638" t="str">
        <f>TEXT(DATE(2012,Table1[[#This Row],[MONTH_ID]],10),"mmm")</f>
        <v>Feb</v>
      </c>
      <c r="K638">
        <v>2004</v>
      </c>
      <c r="L638" t="s">
        <v>195</v>
      </c>
      <c r="M638">
        <v>142</v>
      </c>
      <c r="N638" t="s">
        <v>600</v>
      </c>
      <c r="O638" t="s">
        <v>376</v>
      </c>
      <c r="P638">
        <v>7605558146</v>
      </c>
      <c r="Q638" t="s">
        <v>377</v>
      </c>
      <c r="S638" t="s">
        <v>378</v>
      </c>
      <c r="T638" t="s">
        <v>69</v>
      </c>
      <c r="U638">
        <v>91217</v>
      </c>
      <c r="V638" t="s">
        <v>46</v>
      </c>
      <c r="W638" t="s">
        <v>47</v>
      </c>
      <c r="X638" t="s">
        <v>251</v>
      </c>
      <c r="Y638" t="s">
        <v>290</v>
      </c>
      <c r="Z638" t="s">
        <v>65</v>
      </c>
    </row>
    <row r="639" spans="1:26" x14ac:dyDescent="0.3">
      <c r="A639">
        <v>10240</v>
      </c>
      <c r="B639">
        <v>37</v>
      </c>
      <c r="C639">
        <v>100</v>
      </c>
      <c r="D639">
        <v>2</v>
      </c>
      <c r="E639">
        <v>5526.32</v>
      </c>
      <c r="F639" s="1">
        <v>38090</v>
      </c>
      <c r="G639" t="s">
        <v>39</v>
      </c>
      <c r="H639">
        <v>2</v>
      </c>
      <c r="I639">
        <v>4</v>
      </c>
      <c r="J639" t="str">
        <f>TEXT(DATE(2012,Table1[[#This Row],[MONTH_ID]],10),"mmm")</f>
        <v>Apr</v>
      </c>
      <c r="K639">
        <v>2004</v>
      </c>
      <c r="L639" t="s">
        <v>195</v>
      </c>
      <c r="M639">
        <v>142</v>
      </c>
      <c r="N639" t="s">
        <v>600</v>
      </c>
      <c r="O639" t="s">
        <v>316</v>
      </c>
      <c r="P639" t="s">
        <v>317</v>
      </c>
      <c r="Q639" t="s">
        <v>318</v>
      </c>
      <c r="S639" t="s">
        <v>319</v>
      </c>
      <c r="T639" t="s">
        <v>319</v>
      </c>
      <c r="U639" t="s">
        <v>320</v>
      </c>
      <c r="V639" t="s">
        <v>214</v>
      </c>
      <c r="W639" t="s">
        <v>214</v>
      </c>
      <c r="X639" t="s">
        <v>321</v>
      </c>
      <c r="Y639" t="s">
        <v>322</v>
      </c>
      <c r="Z639" t="s">
        <v>65</v>
      </c>
    </row>
    <row r="640" spans="1:26" x14ac:dyDescent="0.3">
      <c r="A640">
        <v>10253</v>
      </c>
      <c r="B640">
        <v>33</v>
      </c>
      <c r="C640">
        <v>100</v>
      </c>
      <c r="D640">
        <v>4</v>
      </c>
      <c r="E640">
        <v>4459.62</v>
      </c>
      <c r="F640" s="1">
        <v>38139</v>
      </c>
      <c r="G640" t="s">
        <v>353</v>
      </c>
      <c r="H640">
        <v>2</v>
      </c>
      <c r="I640">
        <v>6</v>
      </c>
      <c r="J640" t="str">
        <f>TEXT(DATE(2012,Table1[[#This Row],[MONTH_ID]],10),"mmm")</f>
        <v>Jun</v>
      </c>
      <c r="K640">
        <v>2004</v>
      </c>
      <c r="L640" t="s">
        <v>195</v>
      </c>
      <c r="M640">
        <v>142</v>
      </c>
      <c r="N640" t="s">
        <v>600</v>
      </c>
      <c r="O640" t="s">
        <v>179</v>
      </c>
      <c r="P640" t="s">
        <v>180</v>
      </c>
      <c r="Q640" t="s">
        <v>181</v>
      </c>
      <c r="S640" t="s">
        <v>182</v>
      </c>
      <c r="U640" t="s">
        <v>183</v>
      </c>
      <c r="V640" t="s">
        <v>184</v>
      </c>
      <c r="W640" t="s">
        <v>56</v>
      </c>
      <c r="X640" t="s">
        <v>185</v>
      </c>
      <c r="Y640" t="s">
        <v>186</v>
      </c>
      <c r="Z640" t="s">
        <v>65</v>
      </c>
    </row>
    <row r="641" spans="1:26" x14ac:dyDescent="0.3">
      <c r="A641">
        <v>10266</v>
      </c>
      <c r="B641">
        <v>49</v>
      </c>
      <c r="C641">
        <v>100</v>
      </c>
      <c r="D641">
        <v>5</v>
      </c>
      <c r="E641">
        <v>6203.4</v>
      </c>
      <c r="F641" s="1">
        <v>38174</v>
      </c>
      <c r="G641" t="s">
        <v>39</v>
      </c>
      <c r="H641">
        <v>3</v>
      </c>
      <c r="I641">
        <v>7</v>
      </c>
      <c r="J641" t="str">
        <f>TEXT(DATE(2012,Table1[[#This Row],[MONTH_ID]],10),"mmm")</f>
        <v>Jul</v>
      </c>
      <c r="K641">
        <v>2004</v>
      </c>
      <c r="L641" t="s">
        <v>195</v>
      </c>
      <c r="M641">
        <v>142</v>
      </c>
      <c r="N641" t="s">
        <v>600</v>
      </c>
      <c r="O641" t="s">
        <v>466</v>
      </c>
      <c r="P641" t="s">
        <v>467</v>
      </c>
      <c r="Q641" t="s">
        <v>468</v>
      </c>
      <c r="S641" t="s">
        <v>469</v>
      </c>
      <c r="U641">
        <v>42100</v>
      </c>
      <c r="V641" t="s">
        <v>272</v>
      </c>
      <c r="W641" t="s">
        <v>56</v>
      </c>
      <c r="X641" t="s">
        <v>470</v>
      </c>
      <c r="Y641" t="s">
        <v>471</v>
      </c>
      <c r="Z641" t="s">
        <v>65</v>
      </c>
    </row>
    <row r="642" spans="1:26" x14ac:dyDescent="0.3">
      <c r="A642">
        <v>10278</v>
      </c>
      <c r="B642">
        <v>29</v>
      </c>
      <c r="C642">
        <v>100</v>
      </c>
      <c r="D642">
        <v>5</v>
      </c>
      <c r="E642">
        <v>3754.05</v>
      </c>
      <c r="F642" s="1">
        <v>38205</v>
      </c>
      <c r="G642" t="s">
        <v>39</v>
      </c>
      <c r="H642">
        <v>3</v>
      </c>
      <c r="I642">
        <v>8</v>
      </c>
      <c r="J642" t="str">
        <f>TEXT(DATE(2012,Table1[[#This Row],[MONTH_ID]],10),"mmm")</f>
        <v>Aug</v>
      </c>
      <c r="K642">
        <v>2004</v>
      </c>
      <c r="L642" t="s">
        <v>195</v>
      </c>
      <c r="M642">
        <v>142</v>
      </c>
      <c r="N642" t="s">
        <v>600</v>
      </c>
      <c r="O642" t="s">
        <v>553</v>
      </c>
      <c r="P642">
        <v>7025551838</v>
      </c>
      <c r="Q642" t="s">
        <v>554</v>
      </c>
      <c r="S642" t="s">
        <v>555</v>
      </c>
      <c r="T642" t="s">
        <v>556</v>
      </c>
      <c r="U642">
        <v>83030</v>
      </c>
      <c r="V642" t="s">
        <v>46</v>
      </c>
      <c r="W642" t="s">
        <v>47</v>
      </c>
      <c r="X642" t="s">
        <v>127</v>
      </c>
      <c r="Y642" t="s">
        <v>414</v>
      </c>
      <c r="Z642" t="s">
        <v>65</v>
      </c>
    </row>
    <row r="643" spans="1:26" x14ac:dyDescent="0.3">
      <c r="A643">
        <v>10287</v>
      </c>
      <c r="B643">
        <v>24</v>
      </c>
      <c r="C643">
        <v>100</v>
      </c>
      <c r="D643">
        <v>3</v>
      </c>
      <c r="E643">
        <v>3516.48</v>
      </c>
      <c r="F643" s="1">
        <v>38229</v>
      </c>
      <c r="G643" t="s">
        <v>39</v>
      </c>
      <c r="H643">
        <v>3</v>
      </c>
      <c r="I643">
        <v>8</v>
      </c>
      <c r="J643" t="str">
        <f>TEXT(DATE(2012,Table1[[#This Row],[MONTH_ID]],10),"mmm")</f>
        <v>Aug</v>
      </c>
      <c r="K643">
        <v>2004</v>
      </c>
      <c r="L643" t="s">
        <v>195</v>
      </c>
      <c r="M643">
        <v>142</v>
      </c>
      <c r="N643" t="s">
        <v>600</v>
      </c>
      <c r="O643" t="s">
        <v>460</v>
      </c>
      <c r="P643" t="s">
        <v>461</v>
      </c>
      <c r="Q643" t="s">
        <v>462</v>
      </c>
      <c r="S643" t="s">
        <v>463</v>
      </c>
      <c r="U643">
        <v>1203</v>
      </c>
      <c r="V643" t="s">
        <v>464</v>
      </c>
      <c r="W643" t="s">
        <v>56</v>
      </c>
      <c r="X643" t="s">
        <v>465</v>
      </c>
      <c r="Y643" t="s">
        <v>117</v>
      </c>
      <c r="Z643" t="s">
        <v>65</v>
      </c>
    </row>
    <row r="644" spans="1:26" x14ac:dyDescent="0.3">
      <c r="A644">
        <v>10301</v>
      </c>
      <c r="B644">
        <v>47</v>
      </c>
      <c r="C644">
        <v>100</v>
      </c>
      <c r="D644">
        <v>7</v>
      </c>
      <c r="E644">
        <v>7488.04</v>
      </c>
      <c r="F644" s="1">
        <v>37899</v>
      </c>
      <c r="G644" t="s">
        <v>39</v>
      </c>
      <c r="H644">
        <v>4</v>
      </c>
      <c r="I644">
        <v>10</v>
      </c>
      <c r="J644" t="str">
        <f>TEXT(DATE(2012,Table1[[#This Row],[MONTH_ID]],10),"mmm")</f>
        <v>Oct</v>
      </c>
      <c r="K644">
        <v>2003</v>
      </c>
      <c r="L644" t="s">
        <v>195</v>
      </c>
      <c r="M644">
        <v>142</v>
      </c>
      <c r="N644" t="s">
        <v>600</v>
      </c>
      <c r="O644" t="s">
        <v>557</v>
      </c>
      <c r="P644" t="s">
        <v>558</v>
      </c>
      <c r="Q644" t="s">
        <v>559</v>
      </c>
      <c r="S644" t="s">
        <v>560</v>
      </c>
      <c r="U644" t="s">
        <v>561</v>
      </c>
      <c r="V644" t="s">
        <v>92</v>
      </c>
      <c r="W644" t="s">
        <v>56</v>
      </c>
      <c r="X644" t="s">
        <v>562</v>
      </c>
      <c r="Y644" t="s">
        <v>563</v>
      </c>
      <c r="Z644" t="s">
        <v>165</v>
      </c>
    </row>
    <row r="645" spans="1:26" x14ac:dyDescent="0.3">
      <c r="A645">
        <v>10310</v>
      </c>
      <c r="B645">
        <v>24</v>
      </c>
      <c r="C645">
        <v>100</v>
      </c>
      <c r="D645">
        <v>1</v>
      </c>
      <c r="E645">
        <v>3448.08</v>
      </c>
      <c r="F645" s="1">
        <v>38276</v>
      </c>
      <c r="G645" t="s">
        <v>39</v>
      </c>
      <c r="H645">
        <v>4</v>
      </c>
      <c r="I645">
        <v>10</v>
      </c>
      <c r="J645" t="str">
        <f>TEXT(DATE(2012,Table1[[#This Row],[MONTH_ID]],10),"mmm")</f>
        <v>Oct</v>
      </c>
      <c r="K645">
        <v>2004</v>
      </c>
      <c r="L645" t="s">
        <v>195</v>
      </c>
      <c r="M645">
        <v>142</v>
      </c>
      <c r="N645" t="s">
        <v>600</v>
      </c>
      <c r="O645" t="s">
        <v>453</v>
      </c>
      <c r="P645" t="s">
        <v>454</v>
      </c>
      <c r="Q645" t="s">
        <v>455</v>
      </c>
      <c r="S645" t="s">
        <v>456</v>
      </c>
      <c r="U645">
        <v>50739</v>
      </c>
      <c r="V645" t="s">
        <v>457</v>
      </c>
      <c r="W645" t="s">
        <v>56</v>
      </c>
      <c r="X645" t="s">
        <v>458</v>
      </c>
      <c r="Y645" t="s">
        <v>459</v>
      </c>
      <c r="Z645" t="s">
        <v>65</v>
      </c>
    </row>
    <row r="646" spans="1:26" x14ac:dyDescent="0.3">
      <c r="A646">
        <v>10321</v>
      </c>
      <c r="B646">
        <v>25</v>
      </c>
      <c r="C646">
        <v>100</v>
      </c>
      <c r="D646">
        <v>9</v>
      </c>
      <c r="E646">
        <v>3734</v>
      </c>
      <c r="F646" s="1">
        <v>38295</v>
      </c>
      <c r="G646" t="s">
        <v>39</v>
      </c>
      <c r="H646">
        <v>4</v>
      </c>
      <c r="I646">
        <v>11</v>
      </c>
      <c r="J646" t="str">
        <f>TEXT(DATE(2012,Table1[[#This Row],[MONTH_ID]],10),"mmm")</f>
        <v>Nov</v>
      </c>
      <c r="K646">
        <v>2004</v>
      </c>
      <c r="L646" t="s">
        <v>195</v>
      </c>
      <c r="M646">
        <v>142</v>
      </c>
      <c r="N646" t="s">
        <v>600</v>
      </c>
      <c r="O646" t="s">
        <v>174</v>
      </c>
      <c r="P646">
        <v>5085552555</v>
      </c>
      <c r="Q646" t="s">
        <v>175</v>
      </c>
      <c r="S646" t="s">
        <v>176</v>
      </c>
      <c r="T646" t="s">
        <v>137</v>
      </c>
      <c r="U646">
        <v>50553</v>
      </c>
      <c r="V646" t="s">
        <v>46</v>
      </c>
      <c r="W646" t="s">
        <v>47</v>
      </c>
      <c r="X646" t="s">
        <v>177</v>
      </c>
      <c r="Y646" t="s">
        <v>178</v>
      </c>
      <c r="Z646" t="s">
        <v>65</v>
      </c>
    </row>
    <row r="647" spans="1:26" x14ac:dyDescent="0.3">
      <c r="A647">
        <v>10331</v>
      </c>
      <c r="B647">
        <v>30</v>
      </c>
      <c r="C647">
        <v>32.47</v>
      </c>
      <c r="D647">
        <v>8</v>
      </c>
      <c r="E647">
        <v>974.1</v>
      </c>
      <c r="F647" s="1">
        <v>38308</v>
      </c>
      <c r="G647" t="s">
        <v>39</v>
      </c>
      <c r="H647">
        <v>4</v>
      </c>
      <c r="I647">
        <v>11</v>
      </c>
      <c r="J647" t="str">
        <f>TEXT(DATE(2012,Table1[[#This Row],[MONTH_ID]],10),"mmm")</f>
        <v>Nov</v>
      </c>
      <c r="K647">
        <v>2004</v>
      </c>
      <c r="L647" t="s">
        <v>195</v>
      </c>
      <c r="M647">
        <v>142</v>
      </c>
      <c r="N647" t="s">
        <v>600</v>
      </c>
      <c r="O647" t="s">
        <v>323</v>
      </c>
      <c r="P647">
        <v>2155559857</v>
      </c>
      <c r="Q647" t="s">
        <v>324</v>
      </c>
      <c r="S647" t="s">
        <v>230</v>
      </c>
      <c r="T647" t="s">
        <v>156</v>
      </c>
      <c r="U647">
        <v>71270</v>
      </c>
      <c r="V647" t="s">
        <v>46</v>
      </c>
      <c r="W647" t="s">
        <v>47</v>
      </c>
      <c r="X647" t="s">
        <v>138</v>
      </c>
      <c r="Y647" t="s">
        <v>325</v>
      </c>
      <c r="Z647" t="s">
        <v>50</v>
      </c>
    </row>
    <row r="648" spans="1:26" x14ac:dyDescent="0.3">
      <c r="A648">
        <v>10342</v>
      </c>
      <c r="B648">
        <v>22</v>
      </c>
      <c r="C648">
        <v>100</v>
      </c>
      <c r="D648">
        <v>3</v>
      </c>
      <c r="E648">
        <v>3160.74</v>
      </c>
      <c r="F648" s="1">
        <v>38315</v>
      </c>
      <c r="G648" t="s">
        <v>39</v>
      </c>
      <c r="H648">
        <v>4</v>
      </c>
      <c r="I648">
        <v>11</v>
      </c>
      <c r="J648" t="str">
        <f>TEXT(DATE(2012,Table1[[#This Row],[MONTH_ID]],10),"mmm")</f>
        <v>Nov</v>
      </c>
      <c r="K648">
        <v>2004</v>
      </c>
      <c r="L648" t="s">
        <v>195</v>
      </c>
      <c r="M648">
        <v>142</v>
      </c>
      <c r="N648" t="s">
        <v>600</v>
      </c>
      <c r="O648" t="s">
        <v>103</v>
      </c>
      <c r="P648" t="s">
        <v>104</v>
      </c>
      <c r="Q648" t="s">
        <v>105</v>
      </c>
      <c r="R648" t="s">
        <v>106</v>
      </c>
      <c r="S648" t="s">
        <v>107</v>
      </c>
      <c r="T648" t="s">
        <v>108</v>
      </c>
      <c r="U648">
        <v>3004</v>
      </c>
      <c r="V648" t="s">
        <v>109</v>
      </c>
      <c r="W648" t="s">
        <v>110</v>
      </c>
      <c r="X648" t="s">
        <v>111</v>
      </c>
      <c r="Y648" t="s">
        <v>112</v>
      </c>
      <c r="Z648" t="s">
        <v>65</v>
      </c>
    </row>
    <row r="649" spans="1:26" x14ac:dyDescent="0.3">
      <c r="A649">
        <v>10356</v>
      </c>
      <c r="B649">
        <v>27</v>
      </c>
      <c r="C649">
        <v>64.69</v>
      </c>
      <c r="D649">
        <v>2</v>
      </c>
      <c r="E649">
        <v>1746.63</v>
      </c>
      <c r="F649" s="1">
        <v>38330</v>
      </c>
      <c r="G649" t="s">
        <v>39</v>
      </c>
      <c r="H649">
        <v>4</v>
      </c>
      <c r="I649">
        <v>12</v>
      </c>
      <c r="J649" t="str">
        <f>TEXT(DATE(2012,Table1[[#This Row],[MONTH_ID]],10),"mmm")</f>
        <v>Dec</v>
      </c>
      <c r="K649">
        <v>2004</v>
      </c>
      <c r="L649" t="s">
        <v>195</v>
      </c>
      <c r="M649">
        <v>142</v>
      </c>
      <c r="N649" t="s">
        <v>600</v>
      </c>
      <c r="O649" t="s">
        <v>59</v>
      </c>
      <c r="P649" t="s">
        <v>60</v>
      </c>
      <c r="Q649" t="s">
        <v>61</v>
      </c>
      <c r="S649" t="s">
        <v>62</v>
      </c>
      <c r="U649">
        <v>75508</v>
      </c>
      <c r="V649" t="s">
        <v>55</v>
      </c>
      <c r="W649" t="s">
        <v>56</v>
      </c>
      <c r="X649" t="s">
        <v>63</v>
      </c>
      <c r="Y649" t="s">
        <v>64</v>
      </c>
      <c r="Z649" t="s">
        <v>50</v>
      </c>
    </row>
    <row r="650" spans="1:26" x14ac:dyDescent="0.3">
      <c r="A650">
        <v>10366</v>
      </c>
      <c r="B650">
        <v>34</v>
      </c>
      <c r="C650">
        <v>100</v>
      </c>
      <c r="D650">
        <v>3</v>
      </c>
      <c r="E650">
        <v>4207.84</v>
      </c>
      <c r="F650" s="1">
        <v>38362</v>
      </c>
      <c r="G650" t="s">
        <v>39</v>
      </c>
      <c r="H650">
        <v>1</v>
      </c>
      <c r="I650">
        <v>1</v>
      </c>
      <c r="J650" t="str">
        <f>TEXT(DATE(2012,Table1[[#This Row],[MONTH_ID]],10),"mmm")</f>
        <v>Jan</v>
      </c>
      <c r="K650">
        <v>2005</v>
      </c>
      <c r="L650" t="s">
        <v>195</v>
      </c>
      <c r="M650">
        <v>142</v>
      </c>
      <c r="N650" t="s">
        <v>600</v>
      </c>
      <c r="O650" t="s">
        <v>591</v>
      </c>
      <c r="P650" t="s">
        <v>592</v>
      </c>
      <c r="Q650" t="s">
        <v>593</v>
      </c>
      <c r="S650" t="s">
        <v>594</v>
      </c>
      <c r="U650" t="s">
        <v>595</v>
      </c>
      <c r="V650" t="s">
        <v>384</v>
      </c>
      <c r="W650" t="s">
        <v>56</v>
      </c>
      <c r="X650" t="s">
        <v>596</v>
      </c>
      <c r="Y650" t="s">
        <v>597</v>
      </c>
      <c r="Z650" t="s">
        <v>65</v>
      </c>
    </row>
    <row r="651" spans="1:26" x14ac:dyDescent="0.3">
      <c r="A651">
        <v>10377</v>
      </c>
      <c r="B651">
        <v>36</v>
      </c>
      <c r="C651">
        <v>100</v>
      </c>
      <c r="D651">
        <v>6</v>
      </c>
      <c r="E651">
        <v>4352.76</v>
      </c>
      <c r="F651" s="1">
        <v>38392</v>
      </c>
      <c r="G651" t="s">
        <v>39</v>
      </c>
      <c r="H651">
        <v>1</v>
      </c>
      <c r="I651">
        <v>2</v>
      </c>
      <c r="J651" t="str">
        <f>TEXT(DATE(2012,Table1[[#This Row],[MONTH_ID]],10),"mmm")</f>
        <v>Feb</v>
      </c>
      <c r="K651">
        <v>2005</v>
      </c>
      <c r="L651" t="s">
        <v>195</v>
      </c>
      <c r="M651">
        <v>142</v>
      </c>
      <c r="N651" t="s">
        <v>600</v>
      </c>
      <c r="O651" t="s">
        <v>140</v>
      </c>
      <c r="P651" t="s">
        <v>141</v>
      </c>
      <c r="Q651" t="s">
        <v>142</v>
      </c>
      <c r="S651" t="s">
        <v>143</v>
      </c>
      <c r="U651">
        <v>21240</v>
      </c>
      <c r="V651" t="s">
        <v>144</v>
      </c>
      <c r="W651" t="s">
        <v>56</v>
      </c>
      <c r="X651" t="s">
        <v>145</v>
      </c>
      <c r="Y651" t="s">
        <v>146</v>
      </c>
      <c r="Z651" t="s">
        <v>65</v>
      </c>
    </row>
    <row r="652" spans="1:26" x14ac:dyDescent="0.3">
      <c r="A652">
        <v>10390</v>
      </c>
      <c r="B652">
        <v>34</v>
      </c>
      <c r="C652">
        <v>43.05</v>
      </c>
      <c r="D652">
        <v>15</v>
      </c>
      <c r="E652">
        <v>1463.7</v>
      </c>
      <c r="F652" s="1">
        <v>38415</v>
      </c>
      <c r="G652" t="s">
        <v>39</v>
      </c>
      <c r="H652">
        <v>1</v>
      </c>
      <c r="I652">
        <v>3</v>
      </c>
      <c r="J652" t="str">
        <f>TEXT(DATE(2012,Table1[[#This Row],[MONTH_ID]],10),"mmm")</f>
        <v>Mar</v>
      </c>
      <c r="K652">
        <v>2005</v>
      </c>
      <c r="L652" t="s">
        <v>195</v>
      </c>
      <c r="M652">
        <v>142</v>
      </c>
      <c r="N652" t="s">
        <v>600</v>
      </c>
      <c r="O652" t="s">
        <v>286</v>
      </c>
      <c r="P652">
        <v>4155551450</v>
      </c>
      <c r="Q652" t="s">
        <v>287</v>
      </c>
      <c r="S652" t="s">
        <v>288</v>
      </c>
      <c r="T652" t="s">
        <v>69</v>
      </c>
      <c r="U652">
        <v>97562</v>
      </c>
      <c r="V652" t="s">
        <v>46</v>
      </c>
      <c r="W652" t="s">
        <v>47</v>
      </c>
      <c r="X652" t="s">
        <v>289</v>
      </c>
      <c r="Y652" t="s">
        <v>290</v>
      </c>
      <c r="Z652" t="s">
        <v>50</v>
      </c>
    </row>
    <row r="653" spans="1:26" x14ac:dyDescent="0.3">
      <c r="A653">
        <v>10406</v>
      </c>
      <c r="B653">
        <v>48</v>
      </c>
      <c r="C653">
        <v>100</v>
      </c>
      <c r="D653">
        <v>2</v>
      </c>
      <c r="E653">
        <v>7169.28</v>
      </c>
      <c r="F653" s="1">
        <v>38457</v>
      </c>
      <c r="G653" t="s">
        <v>187</v>
      </c>
      <c r="H653">
        <v>2</v>
      </c>
      <c r="I653">
        <v>4</v>
      </c>
      <c r="J653" t="str">
        <f>TEXT(DATE(2012,Table1[[#This Row],[MONTH_ID]],10),"mmm")</f>
        <v>Apr</v>
      </c>
      <c r="K653">
        <v>2005</v>
      </c>
      <c r="L653" t="s">
        <v>195</v>
      </c>
      <c r="M653">
        <v>142</v>
      </c>
      <c r="N653" t="s">
        <v>600</v>
      </c>
      <c r="O653" t="s">
        <v>336</v>
      </c>
      <c r="P653" t="s">
        <v>337</v>
      </c>
      <c r="Q653" t="s">
        <v>338</v>
      </c>
      <c r="S653" t="s">
        <v>339</v>
      </c>
      <c r="U653">
        <v>1734</v>
      </c>
      <c r="V653" t="s">
        <v>340</v>
      </c>
      <c r="W653" t="s">
        <v>56</v>
      </c>
      <c r="X653" t="s">
        <v>341</v>
      </c>
      <c r="Y653" t="s">
        <v>342</v>
      </c>
      <c r="Z653" t="s">
        <v>165</v>
      </c>
    </row>
    <row r="654" spans="1:26" x14ac:dyDescent="0.3">
      <c r="A654">
        <v>10419</v>
      </c>
      <c r="B654">
        <v>34</v>
      </c>
      <c r="C654">
        <v>100</v>
      </c>
      <c r="D654">
        <v>4</v>
      </c>
      <c r="E654">
        <v>4594.76</v>
      </c>
      <c r="F654" s="1">
        <v>38489</v>
      </c>
      <c r="G654" t="s">
        <v>39</v>
      </c>
      <c r="H654">
        <v>2</v>
      </c>
      <c r="I654">
        <v>5</v>
      </c>
      <c r="J654" t="str">
        <f>TEXT(DATE(2012,Table1[[#This Row],[MONTH_ID]],10),"mmm")</f>
        <v>May</v>
      </c>
      <c r="K654">
        <v>2005</v>
      </c>
      <c r="L654" t="s">
        <v>195</v>
      </c>
      <c r="M654">
        <v>142</v>
      </c>
      <c r="N654" t="s">
        <v>600</v>
      </c>
      <c r="O654" t="s">
        <v>158</v>
      </c>
      <c r="P654" t="s">
        <v>159</v>
      </c>
      <c r="Q654" t="s">
        <v>160</v>
      </c>
      <c r="S654" t="s">
        <v>161</v>
      </c>
      <c r="U654">
        <v>5020</v>
      </c>
      <c r="V654" t="s">
        <v>162</v>
      </c>
      <c r="W654" t="s">
        <v>56</v>
      </c>
      <c r="X654" t="s">
        <v>163</v>
      </c>
      <c r="Y654" t="s">
        <v>164</v>
      </c>
      <c r="Z654" t="s">
        <v>65</v>
      </c>
    </row>
    <row r="655" spans="1:26" x14ac:dyDescent="0.3">
      <c r="A655">
        <v>10104</v>
      </c>
      <c r="B655">
        <v>24</v>
      </c>
      <c r="C655">
        <v>100</v>
      </c>
      <c r="D655">
        <v>8</v>
      </c>
      <c r="E655">
        <v>3457.92</v>
      </c>
      <c r="F655" s="1">
        <v>37652</v>
      </c>
      <c r="G655" t="s">
        <v>39</v>
      </c>
      <c r="H655">
        <v>1</v>
      </c>
      <c r="I655">
        <v>1</v>
      </c>
      <c r="J655" t="str">
        <f>TEXT(DATE(2012,Table1[[#This Row],[MONTH_ID]],10),"mmm")</f>
        <v>Jan</v>
      </c>
      <c r="K655">
        <v>2003</v>
      </c>
      <c r="L655" t="s">
        <v>195</v>
      </c>
      <c r="M655">
        <v>163</v>
      </c>
      <c r="N655" t="s">
        <v>601</v>
      </c>
      <c r="O655" t="s">
        <v>188</v>
      </c>
      <c r="P655" t="s">
        <v>189</v>
      </c>
      <c r="Q655" t="s">
        <v>190</v>
      </c>
      <c r="S655" t="s">
        <v>191</v>
      </c>
      <c r="U655">
        <v>28034</v>
      </c>
      <c r="V655" t="s">
        <v>192</v>
      </c>
      <c r="W655" t="s">
        <v>56</v>
      </c>
      <c r="X655" t="s">
        <v>193</v>
      </c>
      <c r="Y655" t="s">
        <v>194</v>
      </c>
      <c r="Z655" t="s">
        <v>65</v>
      </c>
    </row>
    <row r="656" spans="1:26" x14ac:dyDescent="0.3">
      <c r="A656">
        <v>10115</v>
      </c>
      <c r="B656">
        <v>46</v>
      </c>
      <c r="C656">
        <v>100</v>
      </c>
      <c r="D656">
        <v>4</v>
      </c>
      <c r="E656">
        <v>7381.16</v>
      </c>
      <c r="F656" s="1">
        <v>37715</v>
      </c>
      <c r="G656" t="s">
        <v>39</v>
      </c>
      <c r="H656">
        <v>2</v>
      </c>
      <c r="I656">
        <v>4</v>
      </c>
      <c r="J656" t="str">
        <f>TEXT(DATE(2012,Table1[[#This Row],[MONTH_ID]],10),"mmm")</f>
        <v>Apr</v>
      </c>
      <c r="K656">
        <v>2003</v>
      </c>
      <c r="L656" t="s">
        <v>195</v>
      </c>
      <c r="M656">
        <v>163</v>
      </c>
      <c r="N656" t="s">
        <v>601</v>
      </c>
      <c r="O656" t="s">
        <v>217</v>
      </c>
      <c r="P656">
        <v>2125558493</v>
      </c>
      <c r="Q656" t="s">
        <v>218</v>
      </c>
      <c r="R656" t="s">
        <v>219</v>
      </c>
      <c r="S656" t="s">
        <v>44</v>
      </c>
      <c r="T656" t="s">
        <v>45</v>
      </c>
      <c r="U656">
        <v>10022</v>
      </c>
      <c r="V656" t="s">
        <v>46</v>
      </c>
      <c r="W656" t="s">
        <v>47</v>
      </c>
      <c r="X656" t="s">
        <v>138</v>
      </c>
      <c r="Y656" t="s">
        <v>220</v>
      </c>
      <c r="Z656" t="s">
        <v>165</v>
      </c>
    </row>
    <row r="657" spans="1:26" x14ac:dyDescent="0.3">
      <c r="A657">
        <v>10127</v>
      </c>
      <c r="B657">
        <v>45</v>
      </c>
      <c r="C657">
        <v>100</v>
      </c>
      <c r="D657">
        <v>10</v>
      </c>
      <c r="E657">
        <v>7146.9</v>
      </c>
      <c r="F657" s="1">
        <v>37775</v>
      </c>
      <c r="G657" t="s">
        <v>39</v>
      </c>
      <c r="H657">
        <v>2</v>
      </c>
      <c r="I657">
        <v>6</v>
      </c>
      <c r="J657" t="str">
        <f>TEXT(DATE(2012,Table1[[#This Row],[MONTH_ID]],10),"mmm")</f>
        <v>Jun</v>
      </c>
      <c r="K657">
        <v>2003</v>
      </c>
      <c r="L657" t="s">
        <v>195</v>
      </c>
      <c r="M657">
        <v>163</v>
      </c>
      <c r="N657" t="s">
        <v>601</v>
      </c>
      <c r="O657" t="s">
        <v>489</v>
      </c>
      <c r="P657">
        <v>2125557413</v>
      </c>
      <c r="Q657" t="s">
        <v>490</v>
      </c>
      <c r="R657" t="s">
        <v>491</v>
      </c>
      <c r="S657" t="s">
        <v>44</v>
      </c>
      <c r="T657" t="s">
        <v>45</v>
      </c>
      <c r="U657">
        <v>10022</v>
      </c>
      <c r="V657" t="s">
        <v>46</v>
      </c>
      <c r="W657" t="s">
        <v>47</v>
      </c>
      <c r="X657" t="s">
        <v>70</v>
      </c>
      <c r="Y657" t="s">
        <v>492</v>
      </c>
      <c r="Z657" t="s">
        <v>165</v>
      </c>
    </row>
    <row r="658" spans="1:26" x14ac:dyDescent="0.3">
      <c r="A658">
        <v>10141</v>
      </c>
      <c r="B658">
        <v>39</v>
      </c>
      <c r="C658">
        <v>100</v>
      </c>
      <c r="D658">
        <v>4</v>
      </c>
      <c r="E658">
        <v>5938.53</v>
      </c>
      <c r="F658" s="1">
        <v>37834</v>
      </c>
      <c r="G658" t="s">
        <v>39</v>
      </c>
      <c r="H658">
        <v>3</v>
      </c>
      <c r="I658">
        <v>8</v>
      </c>
      <c r="J658" t="str">
        <f>TEXT(DATE(2012,Table1[[#This Row],[MONTH_ID]],10),"mmm")</f>
        <v>Aug</v>
      </c>
      <c r="K658">
        <v>2003</v>
      </c>
      <c r="L658" t="s">
        <v>195</v>
      </c>
      <c r="M658">
        <v>163</v>
      </c>
      <c r="N658" t="s">
        <v>601</v>
      </c>
      <c r="O658" t="s">
        <v>481</v>
      </c>
      <c r="P658" t="s">
        <v>482</v>
      </c>
      <c r="Q658" t="s">
        <v>483</v>
      </c>
      <c r="S658" t="s">
        <v>484</v>
      </c>
      <c r="U658" t="s">
        <v>485</v>
      </c>
      <c r="V658" t="s">
        <v>144</v>
      </c>
      <c r="W658" t="s">
        <v>56</v>
      </c>
      <c r="X658" t="s">
        <v>486</v>
      </c>
      <c r="Y658" t="s">
        <v>487</v>
      </c>
      <c r="Z658" t="s">
        <v>65</v>
      </c>
    </row>
    <row r="659" spans="1:26" x14ac:dyDescent="0.3">
      <c r="A659">
        <v>10151</v>
      </c>
      <c r="B659">
        <v>43</v>
      </c>
      <c r="C659">
        <v>100</v>
      </c>
      <c r="D659">
        <v>2</v>
      </c>
      <c r="E659">
        <v>7110.91</v>
      </c>
      <c r="F659" s="1">
        <v>37885</v>
      </c>
      <c r="G659" t="s">
        <v>39</v>
      </c>
      <c r="H659">
        <v>3</v>
      </c>
      <c r="I659">
        <v>9</v>
      </c>
      <c r="J659" t="str">
        <f>TEXT(DATE(2012,Table1[[#This Row],[MONTH_ID]],10),"mmm")</f>
        <v>Sep</v>
      </c>
      <c r="K659">
        <v>2003</v>
      </c>
      <c r="L659" t="s">
        <v>195</v>
      </c>
      <c r="M659">
        <v>163</v>
      </c>
      <c r="N659" t="s">
        <v>601</v>
      </c>
      <c r="O659" t="s">
        <v>405</v>
      </c>
      <c r="P659" t="s">
        <v>406</v>
      </c>
      <c r="Q659" t="s">
        <v>407</v>
      </c>
      <c r="S659" t="s">
        <v>408</v>
      </c>
      <c r="U659">
        <v>90110</v>
      </c>
      <c r="V659" t="s">
        <v>144</v>
      </c>
      <c r="W659" t="s">
        <v>56</v>
      </c>
      <c r="X659" t="s">
        <v>409</v>
      </c>
      <c r="Y659" t="s">
        <v>410</v>
      </c>
      <c r="Z659" t="s">
        <v>165</v>
      </c>
    </row>
    <row r="660" spans="1:26" x14ac:dyDescent="0.3">
      <c r="A660">
        <v>10165</v>
      </c>
      <c r="B660">
        <v>29</v>
      </c>
      <c r="C660">
        <v>100</v>
      </c>
      <c r="D660">
        <v>11</v>
      </c>
      <c r="E660">
        <v>5032.95</v>
      </c>
      <c r="F660" s="1">
        <v>37916</v>
      </c>
      <c r="G660" t="s">
        <v>39</v>
      </c>
      <c r="H660">
        <v>4</v>
      </c>
      <c r="I660">
        <v>10</v>
      </c>
      <c r="J660" t="str">
        <f>TEXT(DATE(2012,Table1[[#This Row],[MONTH_ID]],10),"mmm")</f>
        <v>Oct</v>
      </c>
      <c r="K660">
        <v>2003</v>
      </c>
      <c r="L660" t="s">
        <v>195</v>
      </c>
      <c r="M660">
        <v>163</v>
      </c>
      <c r="N660" t="s">
        <v>601</v>
      </c>
      <c r="O660" t="s">
        <v>210</v>
      </c>
      <c r="P660" t="s">
        <v>211</v>
      </c>
      <c r="Q660" t="s">
        <v>212</v>
      </c>
      <c r="S660" t="s">
        <v>213</v>
      </c>
      <c r="U660">
        <v>79903</v>
      </c>
      <c r="V660" t="s">
        <v>213</v>
      </c>
      <c r="W660" t="s">
        <v>214</v>
      </c>
      <c r="X660" t="s">
        <v>215</v>
      </c>
      <c r="Y660" t="s">
        <v>216</v>
      </c>
      <c r="Z660" t="s">
        <v>65</v>
      </c>
    </row>
    <row r="661" spans="1:26" x14ac:dyDescent="0.3">
      <c r="A661">
        <v>10176</v>
      </c>
      <c r="B661">
        <v>20</v>
      </c>
      <c r="C661">
        <v>100</v>
      </c>
      <c r="D661">
        <v>10</v>
      </c>
      <c r="E661">
        <v>3667.6</v>
      </c>
      <c r="F661" s="1">
        <v>37931</v>
      </c>
      <c r="G661" t="s">
        <v>39</v>
      </c>
      <c r="H661">
        <v>4</v>
      </c>
      <c r="I661">
        <v>11</v>
      </c>
      <c r="J661" t="str">
        <f>TEXT(DATE(2012,Table1[[#This Row],[MONTH_ID]],10),"mmm")</f>
        <v>Nov</v>
      </c>
      <c r="K661">
        <v>2003</v>
      </c>
      <c r="L661" t="s">
        <v>195</v>
      </c>
      <c r="M661">
        <v>163</v>
      </c>
      <c r="N661" t="s">
        <v>601</v>
      </c>
      <c r="O661" t="s">
        <v>466</v>
      </c>
      <c r="P661" t="s">
        <v>467</v>
      </c>
      <c r="Q661" t="s">
        <v>468</v>
      </c>
      <c r="S661" t="s">
        <v>469</v>
      </c>
      <c r="U661">
        <v>42100</v>
      </c>
      <c r="V661" t="s">
        <v>272</v>
      </c>
      <c r="W661" t="s">
        <v>56</v>
      </c>
      <c r="X661" t="s">
        <v>470</v>
      </c>
      <c r="Y661" t="s">
        <v>471</v>
      </c>
      <c r="Z661" t="s">
        <v>65</v>
      </c>
    </row>
    <row r="662" spans="1:26" x14ac:dyDescent="0.3">
      <c r="A662">
        <v>10184</v>
      </c>
      <c r="B662">
        <v>46</v>
      </c>
      <c r="C662">
        <v>100</v>
      </c>
      <c r="D662">
        <v>5</v>
      </c>
      <c r="E662">
        <v>7381.16</v>
      </c>
      <c r="F662" s="1">
        <v>37939</v>
      </c>
      <c r="G662" t="s">
        <v>39</v>
      </c>
      <c r="H662">
        <v>4</v>
      </c>
      <c r="I662">
        <v>11</v>
      </c>
      <c r="J662" t="str">
        <f>TEXT(DATE(2012,Table1[[#This Row],[MONTH_ID]],10),"mmm")</f>
        <v>Nov</v>
      </c>
      <c r="K662">
        <v>2003</v>
      </c>
      <c r="L662" t="s">
        <v>195</v>
      </c>
      <c r="M662">
        <v>163</v>
      </c>
      <c r="N662" t="s">
        <v>601</v>
      </c>
      <c r="O662" t="s">
        <v>534</v>
      </c>
      <c r="P662" t="s">
        <v>535</v>
      </c>
      <c r="Q662" t="s">
        <v>536</v>
      </c>
      <c r="S662" t="s">
        <v>537</v>
      </c>
      <c r="U662">
        <v>41101</v>
      </c>
      <c r="V662" t="s">
        <v>192</v>
      </c>
      <c r="W662" t="s">
        <v>56</v>
      </c>
      <c r="X662" t="s">
        <v>538</v>
      </c>
      <c r="Y662" t="s">
        <v>539</v>
      </c>
      <c r="Z662" t="s">
        <v>165</v>
      </c>
    </row>
    <row r="663" spans="1:26" x14ac:dyDescent="0.3">
      <c r="A663">
        <v>10195</v>
      </c>
      <c r="B663">
        <v>27</v>
      </c>
      <c r="C663">
        <v>100</v>
      </c>
      <c r="D663">
        <v>5</v>
      </c>
      <c r="E663">
        <v>5128.1099999999997</v>
      </c>
      <c r="F663" s="1">
        <v>37950</v>
      </c>
      <c r="G663" t="s">
        <v>39</v>
      </c>
      <c r="H663">
        <v>4</v>
      </c>
      <c r="I663">
        <v>11</v>
      </c>
      <c r="J663" t="str">
        <f>TEXT(DATE(2012,Table1[[#This Row],[MONTH_ID]],10),"mmm")</f>
        <v>Nov</v>
      </c>
      <c r="K663">
        <v>2003</v>
      </c>
      <c r="L663" t="s">
        <v>195</v>
      </c>
      <c r="M663">
        <v>163</v>
      </c>
      <c r="N663" t="s">
        <v>601</v>
      </c>
      <c r="O663" t="s">
        <v>331</v>
      </c>
      <c r="P663">
        <v>9145554562</v>
      </c>
      <c r="Q663" t="s">
        <v>332</v>
      </c>
      <c r="S663" t="s">
        <v>333</v>
      </c>
      <c r="T663" t="s">
        <v>45</v>
      </c>
      <c r="U663">
        <v>24067</v>
      </c>
      <c r="V663" t="s">
        <v>46</v>
      </c>
      <c r="W663" t="s">
        <v>47</v>
      </c>
      <c r="X663" t="s">
        <v>116</v>
      </c>
      <c r="Y663" t="s">
        <v>252</v>
      </c>
      <c r="Z663" t="s">
        <v>65</v>
      </c>
    </row>
    <row r="664" spans="1:26" x14ac:dyDescent="0.3">
      <c r="A664">
        <v>10207</v>
      </c>
      <c r="B664">
        <v>44</v>
      </c>
      <c r="C664">
        <v>100</v>
      </c>
      <c r="D664">
        <v>6</v>
      </c>
      <c r="E664">
        <v>7060.24</v>
      </c>
      <c r="F664" s="1">
        <v>37964</v>
      </c>
      <c r="G664" t="s">
        <v>39</v>
      </c>
      <c r="H664">
        <v>4</v>
      </c>
      <c r="I664">
        <v>12</v>
      </c>
      <c r="J664" t="str">
        <f>TEXT(DATE(2012,Table1[[#This Row],[MONTH_ID]],10),"mmm")</f>
        <v>Dec</v>
      </c>
      <c r="K664">
        <v>2003</v>
      </c>
      <c r="L664" t="s">
        <v>195</v>
      </c>
      <c r="M664">
        <v>163</v>
      </c>
      <c r="N664" t="s">
        <v>601</v>
      </c>
      <c r="O664" t="s">
        <v>429</v>
      </c>
      <c r="P664">
        <v>6175552555</v>
      </c>
      <c r="Q664" t="s">
        <v>430</v>
      </c>
      <c r="S664" t="s">
        <v>395</v>
      </c>
      <c r="T664" t="s">
        <v>137</v>
      </c>
      <c r="U664">
        <v>51003</v>
      </c>
      <c r="V664" t="s">
        <v>46</v>
      </c>
      <c r="W664" t="s">
        <v>47</v>
      </c>
      <c r="X664" t="s">
        <v>431</v>
      </c>
      <c r="Y664" t="s">
        <v>290</v>
      </c>
      <c r="Z664" t="s">
        <v>165</v>
      </c>
    </row>
    <row r="665" spans="1:26" x14ac:dyDescent="0.3">
      <c r="A665">
        <v>10219</v>
      </c>
      <c r="B665">
        <v>43</v>
      </c>
      <c r="C665">
        <v>100</v>
      </c>
      <c r="D665">
        <v>1</v>
      </c>
      <c r="E665">
        <v>8448.64</v>
      </c>
      <c r="F665" s="1">
        <v>38027</v>
      </c>
      <c r="G665" t="s">
        <v>39</v>
      </c>
      <c r="H665">
        <v>1</v>
      </c>
      <c r="I665">
        <v>2</v>
      </c>
      <c r="J665" t="str">
        <f>TEXT(DATE(2012,Table1[[#This Row],[MONTH_ID]],10),"mmm")</f>
        <v>Feb</v>
      </c>
      <c r="K665">
        <v>2004</v>
      </c>
      <c r="L665" t="s">
        <v>195</v>
      </c>
      <c r="M665">
        <v>163</v>
      </c>
      <c r="N665" t="s">
        <v>601</v>
      </c>
      <c r="O665" t="s">
        <v>540</v>
      </c>
      <c r="P665">
        <v>4155554312</v>
      </c>
      <c r="Q665" t="s">
        <v>541</v>
      </c>
      <c r="S665" t="s">
        <v>542</v>
      </c>
      <c r="T665" t="s">
        <v>69</v>
      </c>
      <c r="U665">
        <v>94217</v>
      </c>
      <c r="V665" t="s">
        <v>46</v>
      </c>
      <c r="W665" t="s">
        <v>47</v>
      </c>
      <c r="X665" t="s">
        <v>543</v>
      </c>
      <c r="Y665" t="s">
        <v>414</v>
      </c>
      <c r="Z665" t="s">
        <v>165</v>
      </c>
    </row>
    <row r="666" spans="1:26" x14ac:dyDescent="0.3">
      <c r="A666">
        <v>10230</v>
      </c>
      <c r="B666">
        <v>49</v>
      </c>
      <c r="C666">
        <v>100</v>
      </c>
      <c r="D666">
        <v>8</v>
      </c>
      <c r="E666">
        <v>7300.51</v>
      </c>
      <c r="F666" s="1">
        <v>38061</v>
      </c>
      <c r="G666" t="s">
        <v>39</v>
      </c>
      <c r="H666">
        <v>1</v>
      </c>
      <c r="I666">
        <v>3</v>
      </c>
      <c r="J666" t="str">
        <f>TEXT(DATE(2012,Table1[[#This Row],[MONTH_ID]],10),"mmm")</f>
        <v>Mar</v>
      </c>
      <c r="K666">
        <v>2004</v>
      </c>
      <c r="L666" t="s">
        <v>195</v>
      </c>
      <c r="M666">
        <v>163</v>
      </c>
      <c r="N666" t="s">
        <v>601</v>
      </c>
      <c r="O666" t="s">
        <v>476</v>
      </c>
      <c r="P666" t="s">
        <v>477</v>
      </c>
      <c r="Q666" t="s">
        <v>478</v>
      </c>
      <c r="S666" t="s">
        <v>479</v>
      </c>
      <c r="U666">
        <v>60528</v>
      </c>
      <c r="V666" t="s">
        <v>457</v>
      </c>
      <c r="W666" t="s">
        <v>56</v>
      </c>
      <c r="X666" t="s">
        <v>480</v>
      </c>
      <c r="Y666" t="s">
        <v>428</v>
      </c>
      <c r="Z666" t="s">
        <v>165</v>
      </c>
    </row>
    <row r="667" spans="1:26" x14ac:dyDescent="0.3">
      <c r="A667">
        <v>10246</v>
      </c>
      <c r="B667">
        <v>40</v>
      </c>
      <c r="C667">
        <v>100</v>
      </c>
      <c r="D667">
        <v>4</v>
      </c>
      <c r="E667">
        <v>6549.2</v>
      </c>
      <c r="F667" s="1">
        <v>38112</v>
      </c>
      <c r="G667" t="s">
        <v>39</v>
      </c>
      <c r="H667">
        <v>2</v>
      </c>
      <c r="I667">
        <v>5</v>
      </c>
      <c r="J667" t="str">
        <f>TEXT(DATE(2012,Table1[[#This Row],[MONTH_ID]],10),"mmm")</f>
        <v>May</v>
      </c>
      <c r="K667">
        <v>2004</v>
      </c>
      <c r="L667" t="s">
        <v>195</v>
      </c>
      <c r="M667">
        <v>163</v>
      </c>
      <c r="N667" t="s">
        <v>601</v>
      </c>
      <c r="O667" t="s">
        <v>188</v>
      </c>
      <c r="P667" t="s">
        <v>189</v>
      </c>
      <c r="Q667" t="s">
        <v>190</v>
      </c>
      <c r="S667" t="s">
        <v>191</v>
      </c>
      <c r="U667">
        <v>28034</v>
      </c>
      <c r="V667" t="s">
        <v>192</v>
      </c>
      <c r="W667" t="s">
        <v>56</v>
      </c>
      <c r="X667" t="s">
        <v>193</v>
      </c>
      <c r="Y667" t="s">
        <v>194</v>
      </c>
      <c r="Z667" t="s">
        <v>65</v>
      </c>
    </row>
    <row r="668" spans="1:26" x14ac:dyDescent="0.3">
      <c r="A668">
        <v>10259</v>
      </c>
      <c r="B668">
        <v>30</v>
      </c>
      <c r="C668">
        <v>100</v>
      </c>
      <c r="D668">
        <v>3</v>
      </c>
      <c r="E668">
        <v>5697.9</v>
      </c>
      <c r="F668" s="1">
        <v>38153</v>
      </c>
      <c r="G668" t="s">
        <v>39</v>
      </c>
      <c r="H668">
        <v>2</v>
      </c>
      <c r="I668">
        <v>6</v>
      </c>
      <c r="J668" t="str">
        <f>TEXT(DATE(2012,Table1[[#This Row],[MONTH_ID]],10),"mmm")</f>
        <v>Jun</v>
      </c>
      <c r="K668">
        <v>2004</v>
      </c>
      <c r="L668" t="s">
        <v>195</v>
      </c>
      <c r="M668">
        <v>163</v>
      </c>
      <c r="N668" t="s">
        <v>601</v>
      </c>
      <c r="O668" t="s">
        <v>432</v>
      </c>
      <c r="P668" t="s">
        <v>433</v>
      </c>
      <c r="Q668" t="s">
        <v>434</v>
      </c>
      <c r="R668" t="s">
        <v>435</v>
      </c>
      <c r="S668" t="s">
        <v>213</v>
      </c>
      <c r="U668">
        <v>69045</v>
      </c>
      <c r="V668" t="s">
        <v>213</v>
      </c>
      <c r="W668" t="s">
        <v>110</v>
      </c>
      <c r="X668" t="s">
        <v>436</v>
      </c>
      <c r="Y668" t="s">
        <v>437</v>
      </c>
      <c r="Z668" t="s">
        <v>65</v>
      </c>
    </row>
    <row r="669" spans="1:26" x14ac:dyDescent="0.3">
      <c r="A669">
        <v>10271</v>
      </c>
      <c r="B669">
        <v>50</v>
      </c>
      <c r="C669">
        <v>100</v>
      </c>
      <c r="D669">
        <v>4</v>
      </c>
      <c r="E669">
        <v>9169</v>
      </c>
      <c r="F669" s="1">
        <v>38188</v>
      </c>
      <c r="G669" t="s">
        <v>39</v>
      </c>
      <c r="H669">
        <v>3</v>
      </c>
      <c r="I669">
        <v>7</v>
      </c>
      <c r="J669" t="str">
        <f>TEXT(DATE(2012,Table1[[#This Row],[MONTH_ID]],10),"mmm")</f>
        <v>Jul</v>
      </c>
      <c r="K669">
        <v>2004</v>
      </c>
      <c r="L669" t="s">
        <v>195</v>
      </c>
      <c r="M669">
        <v>163</v>
      </c>
      <c r="N669" t="s">
        <v>601</v>
      </c>
      <c r="O669" t="s">
        <v>286</v>
      </c>
      <c r="P669">
        <v>4155551450</v>
      </c>
      <c r="Q669" t="s">
        <v>287</v>
      </c>
      <c r="S669" t="s">
        <v>288</v>
      </c>
      <c r="T669" t="s">
        <v>69</v>
      </c>
      <c r="U669">
        <v>97562</v>
      </c>
      <c r="V669" t="s">
        <v>46</v>
      </c>
      <c r="W669" t="s">
        <v>47</v>
      </c>
      <c r="X669" t="s">
        <v>289</v>
      </c>
      <c r="Y669" t="s">
        <v>290</v>
      </c>
      <c r="Z669" t="s">
        <v>165</v>
      </c>
    </row>
    <row r="670" spans="1:26" x14ac:dyDescent="0.3">
      <c r="A670">
        <v>10282</v>
      </c>
      <c r="B670">
        <v>23</v>
      </c>
      <c r="C670">
        <v>100</v>
      </c>
      <c r="D670">
        <v>13</v>
      </c>
      <c r="E670">
        <v>3238.63</v>
      </c>
      <c r="F670" s="1">
        <v>38219</v>
      </c>
      <c r="G670" t="s">
        <v>39</v>
      </c>
      <c r="H670">
        <v>3</v>
      </c>
      <c r="I670">
        <v>8</v>
      </c>
      <c r="J670" t="str">
        <f>TEXT(DATE(2012,Table1[[#This Row],[MONTH_ID]],10),"mmm")</f>
        <v>Aug</v>
      </c>
      <c r="K670">
        <v>2004</v>
      </c>
      <c r="L670" t="s">
        <v>195</v>
      </c>
      <c r="M670">
        <v>163</v>
      </c>
      <c r="N670" t="s">
        <v>601</v>
      </c>
      <c r="O670" t="s">
        <v>286</v>
      </c>
      <c r="P670">
        <v>4155551450</v>
      </c>
      <c r="Q670" t="s">
        <v>287</v>
      </c>
      <c r="S670" t="s">
        <v>288</v>
      </c>
      <c r="T670" t="s">
        <v>69</v>
      </c>
      <c r="U670">
        <v>97562</v>
      </c>
      <c r="V670" t="s">
        <v>46</v>
      </c>
      <c r="W670" t="s">
        <v>47</v>
      </c>
      <c r="X670" t="s">
        <v>289</v>
      </c>
      <c r="Y670" t="s">
        <v>290</v>
      </c>
      <c r="Z670" t="s">
        <v>65</v>
      </c>
    </row>
    <row r="671" spans="1:26" x14ac:dyDescent="0.3">
      <c r="A671">
        <v>10292</v>
      </c>
      <c r="B671">
        <v>26</v>
      </c>
      <c r="C671">
        <v>100</v>
      </c>
      <c r="D671">
        <v>7</v>
      </c>
      <c r="E671">
        <v>4554.9399999999996</v>
      </c>
      <c r="F671" s="1">
        <v>38238</v>
      </c>
      <c r="G671" t="s">
        <v>39</v>
      </c>
      <c r="H671">
        <v>3</v>
      </c>
      <c r="I671">
        <v>9</v>
      </c>
      <c r="J671" t="str">
        <f>TEXT(DATE(2012,Table1[[#This Row],[MONTH_ID]],10),"mmm")</f>
        <v>Sep</v>
      </c>
      <c r="K671">
        <v>2004</v>
      </c>
      <c r="L671" t="s">
        <v>195</v>
      </c>
      <c r="M671">
        <v>163</v>
      </c>
      <c r="N671" t="s">
        <v>601</v>
      </c>
      <c r="O671" t="s">
        <v>42</v>
      </c>
      <c r="P671">
        <v>2125557818</v>
      </c>
      <c r="Q671" t="s">
        <v>43</v>
      </c>
      <c r="S671" t="s">
        <v>44</v>
      </c>
      <c r="T671" t="s">
        <v>45</v>
      </c>
      <c r="U671">
        <v>10022</v>
      </c>
      <c r="V671" t="s">
        <v>46</v>
      </c>
      <c r="W671" t="s">
        <v>47</v>
      </c>
      <c r="X671" t="s">
        <v>48</v>
      </c>
      <c r="Y671" t="s">
        <v>49</v>
      </c>
      <c r="Z671" t="s">
        <v>65</v>
      </c>
    </row>
    <row r="672" spans="1:26" x14ac:dyDescent="0.3">
      <c r="A672">
        <v>10305</v>
      </c>
      <c r="B672">
        <v>27</v>
      </c>
      <c r="C672">
        <v>100</v>
      </c>
      <c r="D672">
        <v>4</v>
      </c>
      <c r="E672">
        <v>3934.44</v>
      </c>
      <c r="F672" s="1">
        <v>38273</v>
      </c>
      <c r="G672" t="s">
        <v>39</v>
      </c>
      <c r="H672">
        <v>4</v>
      </c>
      <c r="I672">
        <v>10</v>
      </c>
      <c r="J672" t="str">
        <f>TEXT(DATE(2012,Table1[[#This Row],[MONTH_ID]],10),"mmm")</f>
        <v>Oct</v>
      </c>
      <c r="K672">
        <v>2004</v>
      </c>
      <c r="L672" t="s">
        <v>195</v>
      </c>
      <c r="M672">
        <v>163</v>
      </c>
      <c r="N672" t="s">
        <v>601</v>
      </c>
      <c r="O672" t="s">
        <v>134</v>
      </c>
      <c r="P672">
        <v>6175558555</v>
      </c>
      <c r="Q672" t="s">
        <v>135</v>
      </c>
      <c r="S672" t="s">
        <v>136</v>
      </c>
      <c r="T672" t="s">
        <v>137</v>
      </c>
      <c r="U672">
        <v>51247</v>
      </c>
      <c r="V672" t="s">
        <v>46</v>
      </c>
      <c r="W672" t="s">
        <v>47</v>
      </c>
      <c r="X672" t="s">
        <v>138</v>
      </c>
      <c r="Y672" t="s">
        <v>139</v>
      </c>
      <c r="Z672" t="s">
        <v>65</v>
      </c>
    </row>
    <row r="673" spans="1:26" x14ac:dyDescent="0.3">
      <c r="A673">
        <v>10314</v>
      </c>
      <c r="B673">
        <v>42</v>
      </c>
      <c r="C673">
        <v>100</v>
      </c>
      <c r="D673">
        <v>13</v>
      </c>
      <c r="E673">
        <v>5776.26</v>
      </c>
      <c r="F673" s="1">
        <v>38282</v>
      </c>
      <c r="G673" t="s">
        <v>39</v>
      </c>
      <c r="H673">
        <v>4</v>
      </c>
      <c r="I673">
        <v>10</v>
      </c>
      <c r="J673" t="str">
        <f>TEXT(DATE(2012,Table1[[#This Row],[MONTH_ID]],10),"mmm")</f>
        <v>Oct</v>
      </c>
      <c r="K673">
        <v>2004</v>
      </c>
      <c r="L673" t="s">
        <v>195</v>
      </c>
      <c r="M673">
        <v>163</v>
      </c>
      <c r="N673" t="s">
        <v>601</v>
      </c>
      <c r="O673" t="s">
        <v>512</v>
      </c>
      <c r="P673" t="s">
        <v>513</v>
      </c>
      <c r="Q673" t="s">
        <v>514</v>
      </c>
      <c r="S673" t="s">
        <v>515</v>
      </c>
      <c r="U673">
        <v>8200</v>
      </c>
      <c r="V673" t="s">
        <v>340</v>
      </c>
      <c r="W673" t="s">
        <v>56</v>
      </c>
      <c r="X673" t="s">
        <v>516</v>
      </c>
      <c r="Y673" t="s">
        <v>517</v>
      </c>
      <c r="Z673" t="s">
        <v>65</v>
      </c>
    </row>
    <row r="674" spans="1:26" x14ac:dyDescent="0.3">
      <c r="A674">
        <v>10324</v>
      </c>
      <c r="B674">
        <v>47</v>
      </c>
      <c r="C674">
        <v>100</v>
      </c>
      <c r="D674">
        <v>8</v>
      </c>
      <c r="E674">
        <v>7207.45</v>
      </c>
      <c r="F674" s="1">
        <v>38296</v>
      </c>
      <c r="G674" t="s">
        <v>39</v>
      </c>
      <c r="H674">
        <v>4</v>
      </c>
      <c r="I674">
        <v>11</v>
      </c>
      <c r="J674" t="str">
        <f>TEXT(DATE(2012,Table1[[#This Row],[MONTH_ID]],10),"mmm")</f>
        <v>Nov</v>
      </c>
      <c r="K674">
        <v>2004</v>
      </c>
      <c r="L674" t="s">
        <v>195</v>
      </c>
      <c r="M674">
        <v>163</v>
      </c>
      <c r="N674" t="s">
        <v>601</v>
      </c>
      <c r="O674" t="s">
        <v>113</v>
      </c>
      <c r="P674">
        <v>2125551500</v>
      </c>
      <c r="Q674" t="s">
        <v>114</v>
      </c>
      <c r="R674" t="s">
        <v>115</v>
      </c>
      <c r="S674" t="s">
        <v>44</v>
      </c>
      <c r="T674" t="s">
        <v>45</v>
      </c>
      <c r="U674">
        <v>10022</v>
      </c>
      <c r="V674" t="s">
        <v>46</v>
      </c>
      <c r="W674" t="s">
        <v>47</v>
      </c>
      <c r="X674" t="s">
        <v>116</v>
      </c>
      <c r="Y674" t="s">
        <v>117</v>
      </c>
      <c r="Z674" t="s">
        <v>165</v>
      </c>
    </row>
    <row r="675" spans="1:26" x14ac:dyDescent="0.3">
      <c r="A675">
        <v>10336</v>
      </c>
      <c r="B675">
        <v>49</v>
      </c>
      <c r="C675">
        <v>100</v>
      </c>
      <c r="D675">
        <v>6</v>
      </c>
      <c r="E675">
        <v>7460.74</v>
      </c>
      <c r="F675" s="1">
        <v>38311</v>
      </c>
      <c r="G675" t="s">
        <v>39</v>
      </c>
      <c r="H675">
        <v>4</v>
      </c>
      <c r="I675">
        <v>11</v>
      </c>
      <c r="J675" t="str">
        <f>TEXT(DATE(2012,Table1[[#This Row],[MONTH_ID]],10),"mmm")</f>
        <v>Nov</v>
      </c>
      <c r="K675">
        <v>2004</v>
      </c>
      <c r="L675" t="s">
        <v>195</v>
      </c>
      <c r="M675">
        <v>163</v>
      </c>
      <c r="N675" t="s">
        <v>601</v>
      </c>
      <c r="O675" t="s">
        <v>417</v>
      </c>
      <c r="P675" t="s">
        <v>418</v>
      </c>
      <c r="Q675" t="s">
        <v>419</v>
      </c>
      <c r="S675" t="s">
        <v>62</v>
      </c>
      <c r="U675">
        <v>75012</v>
      </c>
      <c r="V675" t="s">
        <v>55</v>
      </c>
      <c r="W675" t="s">
        <v>56</v>
      </c>
      <c r="X675" t="s">
        <v>420</v>
      </c>
      <c r="Y675" t="s">
        <v>421</v>
      </c>
      <c r="Z675" t="s">
        <v>165</v>
      </c>
    </row>
    <row r="676" spans="1:26" x14ac:dyDescent="0.3">
      <c r="A676">
        <v>10349</v>
      </c>
      <c r="B676">
        <v>38</v>
      </c>
      <c r="C676">
        <v>100</v>
      </c>
      <c r="D676">
        <v>8</v>
      </c>
      <c r="E676">
        <v>6719.54</v>
      </c>
      <c r="F676" s="1">
        <v>38322</v>
      </c>
      <c r="G676" t="s">
        <v>39</v>
      </c>
      <c r="H676">
        <v>4</v>
      </c>
      <c r="I676">
        <v>12</v>
      </c>
      <c r="J676" t="str">
        <f>TEXT(DATE(2012,Table1[[#This Row],[MONTH_ID]],10),"mmm")</f>
        <v>Dec</v>
      </c>
      <c r="K676">
        <v>2004</v>
      </c>
      <c r="L676" t="s">
        <v>195</v>
      </c>
      <c r="M676">
        <v>163</v>
      </c>
      <c r="N676" t="s">
        <v>601</v>
      </c>
      <c r="O676" t="s">
        <v>489</v>
      </c>
      <c r="P676">
        <v>2125557413</v>
      </c>
      <c r="Q676" t="s">
        <v>490</v>
      </c>
      <c r="R676" t="s">
        <v>491</v>
      </c>
      <c r="S676" t="s">
        <v>44</v>
      </c>
      <c r="T676" t="s">
        <v>45</v>
      </c>
      <c r="U676">
        <v>10022</v>
      </c>
      <c r="V676" t="s">
        <v>46</v>
      </c>
      <c r="W676" t="s">
        <v>47</v>
      </c>
      <c r="X676" t="s">
        <v>70</v>
      </c>
      <c r="Y676" t="s">
        <v>492</v>
      </c>
      <c r="Z676" t="s">
        <v>65</v>
      </c>
    </row>
    <row r="677" spans="1:26" x14ac:dyDescent="0.3">
      <c r="A677">
        <v>10358</v>
      </c>
      <c r="B677">
        <v>20</v>
      </c>
      <c r="C677">
        <v>100</v>
      </c>
      <c r="D677">
        <v>10</v>
      </c>
      <c r="E677">
        <v>2428</v>
      </c>
      <c r="F677" s="1">
        <v>38331</v>
      </c>
      <c r="G677" t="s">
        <v>39</v>
      </c>
      <c r="H677">
        <v>4</v>
      </c>
      <c r="I677">
        <v>12</v>
      </c>
      <c r="J677" t="str">
        <f>TEXT(DATE(2012,Table1[[#This Row],[MONTH_ID]],10),"mmm")</f>
        <v>Dec</v>
      </c>
      <c r="K677">
        <v>2004</v>
      </c>
      <c r="L677" t="s">
        <v>195</v>
      </c>
      <c r="M677">
        <v>163</v>
      </c>
      <c r="N677" t="s">
        <v>601</v>
      </c>
      <c r="O677" t="s">
        <v>188</v>
      </c>
      <c r="P677" t="s">
        <v>189</v>
      </c>
      <c r="Q677" t="s">
        <v>190</v>
      </c>
      <c r="S677" t="s">
        <v>191</v>
      </c>
      <c r="U677">
        <v>28034</v>
      </c>
      <c r="V677" t="s">
        <v>192</v>
      </c>
      <c r="W677" t="s">
        <v>56</v>
      </c>
      <c r="X677" t="s">
        <v>193</v>
      </c>
      <c r="Y677" t="s">
        <v>194</v>
      </c>
      <c r="Z677" t="s">
        <v>50</v>
      </c>
    </row>
    <row r="678" spans="1:26" x14ac:dyDescent="0.3">
      <c r="A678">
        <v>10371</v>
      </c>
      <c r="B678">
        <v>25</v>
      </c>
      <c r="C678">
        <v>100</v>
      </c>
      <c r="D678">
        <v>7</v>
      </c>
      <c r="E678">
        <v>2602.25</v>
      </c>
      <c r="F678" s="1">
        <v>38375</v>
      </c>
      <c r="G678" t="s">
        <v>39</v>
      </c>
      <c r="H678">
        <v>1</v>
      </c>
      <c r="I678">
        <v>1</v>
      </c>
      <c r="J678" t="str">
        <f>TEXT(DATE(2012,Table1[[#This Row],[MONTH_ID]],10),"mmm")</f>
        <v>Jan</v>
      </c>
      <c r="K678">
        <v>2005</v>
      </c>
      <c r="L678" t="s">
        <v>195</v>
      </c>
      <c r="M678">
        <v>163</v>
      </c>
      <c r="N678" t="s">
        <v>601</v>
      </c>
      <c r="O678" t="s">
        <v>286</v>
      </c>
      <c r="P678">
        <v>4155551450</v>
      </c>
      <c r="Q678" t="s">
        <v>287</v>
      </c>
      <c r="S678" t="s">
        <v>288</v>
      </c>
      <c r="T678" t="s">
        <v>69</v>
      </c>
      <c r="U678">
        <v>97562</v>
      </c>
      <c r="V678" t="s">
        <v>46</v>
      </c>
      <c r="W678" t="s">
        <v>47</v>
      </c>
      <c r="X678" t="s">
        <v>289</v>
      </c>
      <c r="Y678" t="s">
        <v>290</v>
      </c>
      <c r="Z678" t="s">
        <v>50</v>
      </c>
    </row>
    <row r="679" spans="1:26" x14ac:dyDescent="0.3">
      <c r="A679">
        <v>10382</v>
      </c>
      <c r="B679">
        <v>25</v>
      </c>
      <c r="C679">
        <v>88</v>
      </c>
      <c r="D679">
        <v>5</v>
      </c>
      <c r="E679">
        <v>2200</v>
      </c>
      <c r="F679" s="1">
        <v>38400</v>
      </c>
      <c r="G679" t="s">
        <v>39</v>
      </c>
      <c r="H679">
        <v>1</v>
      </c>
      <c r="I679">
        <v>2</v>
      </c>
      <c r="J679" t="str">
        <f>TEXT(DATE(2012,Table1[[#This Row],[MONTH_ID]],10),"mmm")</f>
        <v>Feb</v>
      </c>
      <c r="K679">
        <v>2005</v>
      </c>
      <c r="L679" t="s">
        <v>195</v>
      </c>
      <c r="M679">
        <v>163</v>
      </c>
      <c r="N679" t="s">
        <v>601</v>
      </c>
      <c r="O679" t="s">
        <v>286</v>
      </c>
      <c r="P679">
        <v>4155551450</v>
      </c>
      <c r="Q679" t="s">
        <v>287</v>
      </c>
      <c r="S679" t="s">
        <v>288</v>
      </c>
      <c r="T679" t="s">
        <v>69</v>
      </c>
      <c r="U679">
        <v>97562</v>
      </c>
      <c r="V679" t="s">
        <v>46</v>
      </c>
      <c r="W679" t="s">
        <v>47</v>
      </c>
      <c r="X679" t="s">
        <v>289</v>
      </c>
      <c r="Y679" t="s">
        <v>290</v>
      </c>
      <c r="Z679" t="s">
        <v>50</v>
      </c>
    </row>
    <row r="680" spans="1:26" x14ac:dyDescent="0.3">
      <c r="A680">
        <v>10412</v>
      </c>
      <c r="B680">
        <v>41</v>
      </c>
      <c r="C680">
        <v>100</v>
      </c>
      <c r="D680">
        <v>4</v>
      </c>
      <c r="E680">
        <v>6712.93</v>
      </c>
      <c r="F680" s="1">
        <v>38475</v>
      </c>
      <c r="G680" t="s">
        <v>39</v>
      </c>
      <c r="H680">
        <v>2</v>
      </c>
      <c r="I680">
        <v>5</v>
      </c>
      <c r="J680" t="str">
        <f>TEXT(DATE(2012,Table1[[#This Row],[MONTH_ID]],10),"mmm")</f>
        <v>May</v>
      </c>
      <c r="K680">
        <v>2005</v>
      </c>
      <c r="L680" t="s">
        <v>195</v>
      </c>
      <c r="M680">
        <v>163</v>
      </c>
      <c r="N680" t="s">
        <v>601</v>
      </c>
      <c r="O680" t="s">
        <v>188</v>
      </c>
      <c r="P680" t="s">
        <v>189</v>
      </c>
      <c r="Q680" t="s">
        <v>190</v>
      </c>
      <c r="S680" t="s">
        <v>191</v>
      </c>
      <c r="U680">
        <v>28034</v>
      </c>
      <c r="V680" t="s">
        <v>192</v>
      </c>
      <c r="W680" t="s">
        <v>56</v>
      </c>
      <c r="X680" t="s">
        <v>193</v>
      </c>
      <c r="Y680" t="s">
        <v>194</v>
      </c>
      <c r="Z680" t="s">
        <v>65</v>
      </c>
    </row>
    <row r="681" spans="1:26" x14ac:dyDescent="0.3">
      <c r="A681">
        <v>10425</v>
      </c>
      <c r="B681">
        <v>28</v>
      </c>
      <c r="C681">
        <v>100</v>
      </c>
      <c r="D681">
        <v>3</v>
      </c>
      <c r="E681">
        <v>5318.04</v>
      </c>
      <c r="F681" s="1">
        <v>38503</v>
      </c>
      <c r="G681" t="s">
        <v>314</v>
      </c>
      <c r="H681">
        <v>2</v>
      </c>
      <c r="I681">
        <v>5</v>
      </c>
      <c r="J681" t="str">
        <f>TEXT(DATE(2012,Table1[[#This Row],[MONTH_ID]],10),"mmm")</f>
        <v>May</v>
      </c>
      <c r="K681">
        <v>2005</v>
      </c>
      <c r="L681" t="s">
        <v>195</v>
      </c>
      <c r="M681">
        <v>163</v>
      </c>
      <c r="N681" t="s">
        <v>601</v>
      </c>
      <c r="O681" t="s">
        <v>128</v>
      </c>
      <c r="P681" t="s">
        <v>129</v>
      </c>
      <c r="Q681" t="s">
        <v>130</v>
      </c>
      <c r="S681" t="s">
        <v>131</v>
      </c>
      <c r="U681">
        <v>44000</v>
      </c>
      <c r="V681" t="s">
        <v>55</v>
      </c>
      <c r="W681" t="s">
        <v>56</v>
      </c>
      <c r="X681" t="s">
        <v>132</v>
      </c>
      <c r="Y681" t="s">
        <v>133</v>
      </c>
      <c r="Z681" t="s">
        <v>65</v>
      </c>
    </row>
    <row r="682" spans="1:26" x14ac:dyDescent="0.3">
      <c r="A682">
        <v>10100</v>
      </c>
      <c r="B682">
        <v>50</v>
      </c>
      <c r="C682">
        <v>67.8</v>
      </c>
      <c r="D682">
        <v>2</v>
      </c>
      <c r="E682">
        <v>3390</v>
      </c>
      <c r="F682" s="1">
        <v>37627</v>
      </c>
      <c r="G682" t="s">
        <v>39</v>
      </c>
      <c r="H682">
        <v>1</v>
      </c>
      <c r="I682">
        <v>1</v>
      </c>
      <c r="J682" t="str">
        <f>TEXT(DATE(2012,Table1[[#This Row],[MONTH_ID]],10),"mmm")</f>
        <v>Jan</v>
      </c>
      <c r="K682">
        <v>2003</v>
      </c>
      <c r="L682" t="s">
        <v>564</v>
      </c>
      <c r="M682">
        <v>60</v>
      </c>
      <c r="N682" t="s">
        <v>602</v>
      </c>
      <c r="O682" t="s">
        <v>291</v>
      </c>
      <c r="P682">
        <v>6035558647</v>
      </c>
      <c r="Q682" t="s">
        <v>292</v>
      </c>
      <c r="S682" t="s">
        <v>293</v>
      </c>
      <c r="T682" t="s">
        <v>294</v>
      </c>
      <c r="U682">
        <v>62005</v>
      </c>
      <c r="V682" t="s">
        <v>46</v>
      </c>
      <c r="W682" t="s">
        <v>47</v>
      </c>
      <c r="X682" t="s">
        <v>70</v>
      </c>
      <c r="Y682" t="s">
        <v>290</v>
      </c>
      <c r="Z682" t="s">
        <v>65</v>
      </c>
    </row>
    <row r="683" spans="1:26" x14ac:dyDescent="0.3">
      <c r="A683">
        <v>10110</v>
      </c>
      <c r="B683">
        <v>32</v>
      </c>
      <c r="C683">
        <v>50.25</v>
      </c>
      <c r="D683">
        <v>6</v>
      </c>
      <c r="E683">
        <v>1608</v>
      </c>
      <c r="F683" s="1">
        <v>37698</v>
      </c>
      <c r="G683" t="s">
        <v>39</v>
      </c>
      <c r="H683">
        <v>1</v>
      </c>
      <c r="I683">
        <v>3</v>
      </c>
      <c r="J683" t="str">
        <f>TEXT(DATE(2012,Table1[[#This Row],[MONTH_ID]],10),"mmm")</f>
        <v>Mar</v>
      </c>
      <c r="K683">
        <v>2003</v>
      </c>
      <c r="L683" t="s">
        <v>564</v>
      </c>
      <c r="M683">
        <v>60</v>
      </c>
      <c r="N683" t="s">
        <v>602</v>
      </c>
      <c r="O683" t="s">
        <v>506</v>
      </c>
      <c r="P683" t="s">
        <v>507</v>
      </c>
      <c r="Q683" t="s">
        <v>508</v>
      </c>
      <c r="S683" t="s">
        <v>509</v>
      </c>
      <c r="U683" t="s">
        <v>510</v>
      </c>
      <c r="V683" t="s">
        <v>184</v>
      </c>
      <c r="W683" t="s">
        <v>56</v>
      </c>
      <c r="X683" t="s">
        <v>511</v>
      </c>
      <c r="Y683" t="s">
        <v>108</v>
      </c>
      <c r="Z683" t="s">
        <v>50</v>
      </c>
    </row>
    <row r="684" spans="1:26" x14ac:dyDescent="0.3">
      <c r="A684">
        <v>10124</v>
      </c>
      <c r="B684">
        <v>42</v>
      </c>
      <c r="C684">
        <v>53.88</v>
      </c>
      <c r="D684">
        <v>5</v>
      </c>
      <c r="E684">
        <v>2262.96</v>
      </c>
      <c r="F684" s="1">
        <v>37762</v>
      </c>
      <c r="G684" t="s">
        <v>39</v>
      </c>
      <c r="H684">
        <v>2</v>
      </c>
      <c r="I684">
        <v>5</v>
      </c>
      <c r="J684" t="str">
        <f>TEXT(DATE(2012,Table1[[#This Row],[MONTH_ID]],10),"mmm")</f>
        <v>May</v>
      </c>
      <c r="K684">
        <v>2003</v>
      </c>
      <c r="L684" t="s">
        <v>564</v>
      </c>
      <c r="M684">
        <v>60</v>
      </c>
      <c r="N684" t="s">
        <v>602</v>
      </c>
      <c r="O684" t="s">
        <v>553</v>
      </c>
      <c r="P684">
        <v>7025551838</v>
      </c>
      <c r="Q684" t="s">
        <v>554</v>
      </c>
      <c r="S684" t="s">
        <v>555</v>
      </c>
      <c r="T684" t="s">
        <v>556</v>
      </c>
      <c r="U684">
        <v>83030</v>
      </c>
      <c r="V684" t="s">
        <v>46</v>
      </c>
      <c r="W684" t="s">
        <v>47</v>
      </c>
      <c r="X684" t="s">
        <v>127</v>
      </c>
      <c r="Y684" t="s">
        <v>414</v>
      </c>
      <c r="Z684" t="s">
        <v>50</v>
      </c>
    </row>
    <row r="685" spans="1:26" x14ac:dyDescent="0.3">
      <c r="A685">
        <v>10149</v>
      </c>
      <c r="B685">
        <v>24</v>
      </c>
      <c r="C685">
        <v>62.36</v>
      </c>
      <c r="D685">
        <v>10</v>
      </c>
      <c r="E685">
        <v>1496.64</v>
      </c>
      <c r="F685" s="1">
        <v>37876</v>
      </c>
      <c r="G685" t="s">
        <v>39</v>
      </c>
      <c r="H685">
        <v>3</v>
      </c>
      <c r="I685">
        <v>9</v>
      </c>
      <c r="J685" t="str">
        <f>TEXT(DATE(2012,Table1[[#This Row],[MONTH_ID]],10),"mmm")</f>
        <v>Sep</v>
      </c>
      <c r="K685">
        <v>2003</v>
      </c>
      <c r="L685" t="s">
        <v>564</v>
      </c>
      <c r="M685">
        <v>60</v>
      </c>
      <c r="N685" t="s">
        <v>602</v>
      </c>
      <c r="O685" t="s">
        <v>540</v>
      </c>
      <c r="P685">
        <v>4155554312</v>
      </c>
      <c r="Q685" t="s">
        <v>541</v>
      </c>
      <c r="S685" t="s">
        <v>542</v>
      </c>
      <c r="T685" t="s">
        <v>69</v>
      </c>
      <c r="U685">
        <v>94217</v>
      </c>
      <c r="V685" t="s">
        <v>46</v>
      </c>
      <c r="W685" t="s">
        <v>47</v>
      </c>
      <c r="X685" t="s">
        <v>543</v>
      </c>
      <c r="Y685" t="s">
        <v>414</v>
      </c>
      <c r="Z685" t="s">
        <v>50</v>
      </c>
    </row>
    <row r="686" spans="1:26" x14ac:dyDescent="0.3">
      <c r="A686">
        <v>10162</v>
      </c>
      <c r="B686">
        <v>27</v>
      </c>
      <c r="C686">
        <v>69.62</v>
      </c>
      <c r="D686">
        <v>8</v>
      </c>
      <c r="E686">
        <v>1879.74</v>
      </c>
      <c r="F686" s="1">
        <v>37912</v>
      </c>
      <c r="G686" t="s">
        <v>39</v>
      </c>
      <c r="H686">
        <v>4</v>
      </c>
      <c r="I686">
        <v>10</v>
      </c>
      <c r="J686" t="str">
        <f>TEXT(DATE(2012,Table1[[#This Row],[MONTH_ID]],10),"mmm")</f>
        <v>Oct</v>
      </c>
      <c r="K686">
        <v>2003</v>
      </c>
      <c r="L686" t="s">
        <v>564</v>
      </c>
      <c r="M686">
        <v>60</v>
      </c>
      <c r="N686" t="s">
        <v>602</v>
      </c>
      <c r="O686" t="s">
        <v>72</v>
      </c>
      <c r="P686">
        <v>6505551386</v>
      </c>
      <c r="Q686" t="s">
        <v>73</v>
      </c>
      <c r="S686" t="s">
        <v>74</v>
      </c>
      <c r="T686" t="s">
        <v>69</v>
      </c>
      <c r="V686" t="s">
        <v>46</v>
      </c>
      <c r="W686" t="s">
        <v>47</v>
      </c>
      <c r="X686" t="s">
        <v>75</v>
      </c>
      <c r="Y686" t="s">
        <v>71</v>
      </c>
      <c r="Z686" t="s">
        <v>50</v>
      </c>
    </row>
    <row r="687" spans="1:26" x14ac:dyDescent="0.3">
      <c r="A687">
        <v>10173</v>
      </c>
      <c r="B687">
        <v>26</v>
      </c>
      <c r="C687">
        <v>57.51</v>
      </c>
      <c r="D687">
        <v>12</v>
      </c>
      <c r="E687">
        <v>1495.26</v>
      </c>
      <c r="F687" s="1">
        <v>37930</v>
      </c>
      <c r="G687" t="s">
        <v>39</v>
      </c>
      <c r="H687">
        <v>4</v>
      </c>
      <c r="I687">
        <v>11</v>
      </c>
      <c r="J687" t="str">
        <f>TEXT(DATE(2012,Table1[[#This Row],[MONTH_ID]],10),"mmm")</f>
        <v>Nov</v>
      </c>
      <c r="K687">
        <v>2003</v>
      </c>
      <c r="L687" t="s">
        <v>564</v>
      </c>
      <c r="M687">
        <v>60</v>
      </c>
      <c r="N687" t="s">
        <v>602</v>
      </c>
      <c r="O687" t="s">
        <v>566</v>
      </c>
      <c r="P687" t="s">
        <v>567</v>
      </c>
      <c r="Q687" t="s">
        <v>568</v>
      </c>
      <c r="S687" t="s">
        <v>569</v>
      </c>
      <c r="U687">
        <v>24100</v>
      </c>
      <c r="V687" t="s">
        <v>272</v>
      </c>
      <c r="W687" t="s">
        <v>56</v>
      </c>
      <c r="X687" t="s">
        <v>570</v>
      </c>
      <c r="Y687" t="s">
        <v>571</v>
      </c>
      <c r="Z687" t="s">
        <v>50</v>
      </c>
    </row>
    <row r="688" spans="1:26" x14ac:dyDescent="0.3">
      <c r="A688">
        <v>10182</v>
      </c>
      <c r="B688">
        <v>38</v>
      </c>
      <c r="C688">
        <v>61.15</v>
      </c>
      <c r="D688">
        <v>9</v>
      </c>
      <c r="E688">
        <v>2323.6999999999998</v>
      </c>
      <c r="F688" s="1">
        <v>37937</v>
      </c>
      <c r="G688" t="s">
        <v>39</v>
      </c>
      <c r="H688">
        <v>4</v>
      </c>
      <c r="I688">
        <v>11</v>
      </c>
      <c r="J688" t="str">
        <f>TEXT(DATE(2012,Table1[[#This Row],[MONTH_ID]],10),"mmm")</f>
        <v>Nov</v>
      </c>
      <c r="K688">
        <v>2003</v>
      </c>
      <c r="L688" t="s">
        <v>564</v>
      </c>
      <c r="M688">
        <v>60</v>
      </c>
      <c r="N688" t="s">
        <v>602</v>
      </c>
      <c r="O688" t="s">
        <v>286</v>
      </c>
      <c r="P688">
        <v>4155551450</v>
      </c>
      <c r="Q688" t="s">
        <v>287</v>
      </c>
      <c r="S688" t="s">
        <v>288</v>
      </c>
      <c r="T688" t="s">
        <v>69</v>
      </c>
      <c r="U688">
        <v>97562</v>
      </c>
      <c r="V688" t="s">
        <v>46</v>
      </c>
      <c r="W688" t="s">
        <v>47</v>
      </c>
      <c r="X688" t="s">
        <v>289</v>
      </c>
      <c r="Y688" t="s">
        <v>290</v>
      </c>
      <c r="Z688" t="s">
        <v>50</v>
      </c>
    </row>
    <row r="689" spans="1:26" x14ac:dyDescent="0.3">
      <c r="A689">
        <v>10193</v>
      </c>
      <c r="B689">
        <v>42</v>
      </c>
      <c r="C689">
        <v>59.33</v>
      </c>
      <c r="D689">
        <v>13</v>
      </c>
      <c r="E689">
        <v>2491.86</v>
      </c>
      <c r="F689" s="1">
        <v>37946</v>
      </c>
      <c r="G689" t="s">
        <v>39</v>
      </c>
      <c r="H689">
        <v>4</v>
      </c>
      <c r="I689">
        <v>11</v>
      </c>
      <c r="J689" t="str">
        <f>TEXT(DATE(2012,Table1[[#This Row],[MONTH_ID]],10),"mmm")</f>
        <v>Nov</v>
      </c>
      <c r="K689">
        <v>2003</v>
      </c>
      <c r="L689" t="s">
        <v>564</v>
      </c>
      <c r="M689">
        <v>60</v>
      </c>
      <c r="N689" t="s">
        <v>602</v>
      </c>
      <c r="O689" t="s">
        <v>572</v>
      </c>
      <c r="P689" t="s">
        <v>573</v>
      </c>
      <c r="Q689" t="s">
        <v>574</v>
      </c>
      <c r="S689" t="s">
        <v>575</v>
      </c>
      <c r="T689" t="s">
        <v>108</v>
      </c>
      <c r="U689">
        <v>3150</v>
      </c>
      <c r="V689" t="s">
        <v>109</v>
      </c>
      <c r="W689" t="s">
        <v>110</v>
      </c>
      <c r="X689" t="s">
        <v>576</v>
      </c>
      <c r="Y689" t="s">
        <v>577</v>
      </c>
      <c r="Z689" t="s">
        <v>50</v>
      </c>
    </row>
    <row r="690" spans="1:26" x14ac:dyDescent="0.3">
      <c r="A690">
        <v>10204</v>
      </c>
      <c r="B690">
        <v>23</v>
      </c>
      <c r="C690">
        <v>71.44</v>
      </c>
      <c r="D690">
        <v>3</v>
      </c>
      <c r="E690">
        <v>1643.12</v>
      </c>
      <c r="F690" s="1">
        <v>37957</v>
      </c>
      <c r="G690" t="s">
        <v>39</v>
      </c>
      <c r="H690">
        <v>4</v>
      </c>
      <c r="I690">
        <v>12</v>
      </c>
      <c r="J690" t="str">
        <f>TEXT(DATE(2012,Table1[[#This Row],[MONTH_ID]],10),"mmm")</f>
        <v>Dec</v>
      </c>
      <c r="K690">
        <v>2003</v>
      </c>
      <c r="L690" t="s">
        <v>564</v>
      </c>
      <c r="M690">
        <v>60</v>
      </c>
      <c r="N690" t="s">
        <v>602</v>
      </c>
      <c r="O690" t="s">
        <v>489</v>
      </c>
      <c r="P690">
        <v>2125557413</v>
      </c>
      <c r="Q690" t="s">
        <v>490</v>
      </c>
      <c r="R690" t="s">
        <v>491</v>
      </c>
      <c r="S690" t="s">
        <v>44</v>
      </c>
      <c r="T690" t="s">
        <v>45</v>
      </c>
      <c r="U690">
        <v>10022</v>
      </c>
      <c r="V690" t="s">
        <v>46</v>
      </c>
      <c r="W690" t="s">
        <v>47</v>
      </c>
      <c r="X690" t="s">
        <v>70</v>
      </c>
      <c r="Y690" t="s">
        <v>492</v>
      </c>
      <c r="Z690" t="s">
        <v>50</v>
      </c>
    </row>
    <row r="691" spans="1:26" x14ac:dyDescent="0.3">
      <c r="A691">
        <v>10214</v>
      </c>
      <c r="B691">
        <v>21</v>
      </c>
      <c r="C691">
        <v>62.96</v>
      </c>
      <c r="D691">
        <v>6</v>
      </c>
      <c r="E691">
        <v>1322.16</v>
      </c>
      <c r="F691" s="1">
        <v>38012</v>
      </c>
      <c r="G691" t="s">
        <v>39</v>
      </c>
      <c r="H691">
        <v>1</v>
      </c>
      <c r="I691">
        <v>1</v>
      </c>
      <c r="J691" t="str">
        <f>TEXT(DATE(2012,Table1[[#This Row],[MONTH_ID]],10),"mmm")</f>
        <v>Jan</v>
      </c>
      <c r="K691">
        <v>2004</v>
      </c>
      <c r="L691" t="s">
        <v>564</v>
      </c>
      <c r="M691">
        <v>60</v>
      </c>
      <c r="N691" t="s">
        <v>602</v>
      </c>
      <c r="O691" t="s">
        <v>205</v>
      </c>
      <c r="P691" t="s">
        <v>206</v>
      </c>
      <c r="Q691" t="s">
        <v>207</v>
      </c>
      <c r="S691" t="s">
        <v>191</v>
      </c>
      <c r="U691">
        <v>28023</v>
      </c>
      <c r="V691" t="s">
        <v>192</v>
      </c>
      <c r="W691" t="s">
        <v>56</v>
      </c>
      <c r="X691" t="s">
        <v>208</v>
      </c>
      <c r="Y691" t="s">
        <v>209</v>
      </c>
      <c r="Z691" t="s">
        <v>50</v>
      </c>
    </row>
    <row r="692" spans="1:26" x14ac:dyDescent="0.3">
      <c r="A692">
        <v>10227</v>
      </c>
      <c r="B692">
        <v>28</v>
      </c>
      <c r="C692">
        <v>50.85</v>
      </c>
      <c r="D692">
        <v>9</v>
      </c>
      <c r="E692">
        <v>1423.8</v>
      </c>
      <c r="F692" s="1">
        <v>38048</v>
      </c>
      <c r="G692" t="s">
        <v>39</v>
      </c>
      <c r="H692">
        <v>1</v>
      </c>
      <c r="I692">
        <v>3</v>
      </c>
      <c r="J692" t="str">
        <f>TEXT(DATE(2012,Table1[[#This Row],[MONTH_ID]],10),"mmm")</f>
        <v>Mar</v>
      </c>
      <c r="K692">
        <v>2004</v>
      </c>
      <c r="L692" t="s">
        <v>564</v>
      </c>
      <c r="M692">
        <v>60</v>
      </c>
      <c r="N692" t="s">
        <v>602</v>
      </c>
      <c r="O692" t="s">
        <v>233</v>
      </c>
      <c r="P692" t="s">
        <v>234</v>
      </c>
      <c r="Q692" t="s">
        <v>235</v>
      </c>
      <c r="S692" t="s">
        <v>236</v>
      </c>
      <c r="U692">
        <v>69004</v>
      </c>
      <c r="V692" t="s">
        <v>55</v>
      </c>
      <c r="W692" t="s">
        <v>56</v>
      </c>
      <c r="X692" t="s">
        <v>237</v>
      </c>
      <c r="Y692" t="s">
        <v>238</v>
      </c>
      <c r="Z692" t="s">
        <v>50</v>
      </c>
    </row>
    <row r="693" spans="1:26" x14ac:dyDescent="0.3">
      <c r="A693">
        <v>10241</v>
      </c>
      <c r="B693">
        <v>33</v>
      </c>
      <c r="C693">
        <v>72.650000000000006</v>
      </c>
      <c r="D693">
        <v>1</v>
      </c>
      <c r="E693">
        <v>2397.4499999999998</v>
      </c>
      <c r="F693" s="1">
        <v>38090</v>
      </c>
      <c r="G693" t="s">
        <v>39</v>
      </c>
      <c r="H693">
        <v>2</v>
      </c>
      <c r="I693">
        <v>4</v>
      </c>
      <c r="J693" t="str">
        <f>TEXT(DATE(2012,Table1[[#This Row],[MONTH_ID]],10),"mmm")</f>
        <v>Apr</v>
      </c>
      <c r="K693">
        <v>2004</v>
      </c>
      <c r="L693" t="s">
        <v>564</v>
      </c>
      <c r="M693">
        <v>60</v>
      </c>
      <c r="N693" t="s">
        <v>602</v>
      </c>
      <c r="O693" t="s">
        <v>545</v>
      </c>
      <c r="P693" t="s">
        <v>546</v>
      </c>
      <c r="Q693" t="s">
        <v>547</v>
      </c>
      <c r="S693" t="s">
        <v>548</v>
      </c>
      <c r="U693">
        <v>67000</v>
      </c>
      <c r="V693" t="s">
        <v>55</v>
      </c>
      <c r="W693" t="s">
        <v>56</v>
      </c>
      <c r="X693" t="s">
        <v>549</v>
      </c>
      <c r="Y693" t="s">
        <v>550</v>
      </c>
      <c r="Z693" t="s">
        <v>50</v>
      </c>
    </row>
    <row r="694" spans="1:26" x14ac:dyDescent="0.3">
      <c r="A694">
        <v>10280</v>
      </c>
      <c r="B694">
        <v>25</v>
      </c>
      <c r="C694">
        <v>62.96</v>
      </c>
      <c r="D694">
        <v>15</v>
      </c>
      <c r="E694">
        <v>1574</v>
      </c>
      <c r="F694" s="1">
        <v>38216</v>
      </c>
      <c r="G694" t="s">
        <v>39</v>
      </c>
      <c r="H694">
        <v>3</v>
      </c>
      <c r="I694">
        <v>8</v>
      </c>
      <c r="J694" t="str">
        <f>TEXT(DATE(2012,Table1[[#This Row],[MONTH_ID]],10),"mmm")</f>
        <v>Aug</v>
      </c>
      <c r="K694">
        <v>2004</v>
      </c>
      <c r="L694" t="s">
        <v>564</v>
      </c>
      <c r="M694">
        <v>60</v>
      </c>
      <c r="N694" t="s">
        <v>602</v>
      </c>
      <c r="O694" t="s">
        <v>268</v>
      </c>
      <c r="P694" t="s">
        <v>269</v>
      </c>
      <c r="Q694" t="s">
        <v>270</v>
      </c>
      <c r="S694" t="s">
        <v>271</v>
      </c>
      <c r="U694">
        <v>10100</v>
      </c>
      <c r="V694" t="s">
        <v>272</v>
      </c>
      <c r="W694" t="s">
        <v>56</v>
      </c>
      <c r="X694" t="s">
        <v>273</v>
      </c>
      <c r="Y694" t="s">
        <v>274</v>
      </c>
      <c r="Z694" t="s">
        <v>50</v>
      </c>
    </row>
    <row r="695" spans="1:26" x14ac:dyDescent="0.3">
      <c r="A695">
        <v>10288</v>
      </c>
      <c r="B695">
        <v>28</v>
      </c>
      <c r="C695">
        <v>61.75</v>
      </c>
      <c r="D695">
        <v>4</v>
      </c>
      <c r="E695">
        <v>1729</v>
      </c>
      <c r="F695" s="1">
        <v>38231</v>
      </c>
      <c r="G695" t="s">
        <v>39</v>
      </c>
      <c r="H695">
        <v>3</v>
      </c>
      <c r="I695">
        <v>9</v>
      </c>
      <c r="J695" t="str">
        <f>TEXT(DATE(2012,Table1[[#This Row],[MONTH_ID]],10),"mmm")</f>
        <v>Sep</v>
      </c>
      <c r="K695">
        <v>2004</v>
      </c>
      <c r="L695" t="s">
        <v>564</v>
      </c>
      <c r="M695">
        <v>60</v>
      </c>
      <c r="N695" t="s">
        <v>602</v>
      </c>
      <c r="O695" t="s">
        <v>432</v>
      </c>
      <c r="P695" t="s">
        <v>433</v>
      </c>
      <c r="Q695" t="s">
        <v>434</v>
      </c>
      <c r="R695" t="s">
        <v>435</v>
      </c>
      <c r="S695" t="s">
        <v>213</v>
      </c>
      <c r="U695">
        <v>69045</v>
      </c>
      <c r="V695" t="s">
        <v>213</v>
      </c>
      <c r="W695" t="s">
        <v>110</v>
      </c>
      <c r="X695" t="s">
        <v>436</v>
      </c>
      <c r="Y695" t="s">
        <v>437</v>
      </c>
      <c r="Z695" t="s">
        <v>50</v>
      </c>
    </row>
    <row r="696" spans="1:26" x14ac:dyDescent="0.3">
      <c r="A696">
        <v>10303</v>
      </c>
      <c r="B696">
        <v>46</v>
      </c>
      <c r="C696">
        <v>49.04</v>
      </c>
      <c r="D696">
        <v>2</v>
      </c>
      <c r="E696">
        <v>2255.84</v>
      </c>
      <c r="F696" s="1">
        <v>38266</v>
      </c>
      <c r="G696" t="s">
        <v>39</v>
      </c>
      <c r="H696">
        <v>4</v>
      </c>
      <c r="I696">
        <v>10</v>
      </c>
      <c r="J696" t="str">
        <f>TEXT(DATE(2012,Table1[[#This Row],[MONTH_ID]],10),"mmm")</f>
        <v>Oct</v>
      </c>
      <c r="K696">
        <v>2004</v>
      </c>
      <c r="L696" t="s">
        <v>564</v>
      </c>
      <c r="M696">
        <v>60</v>
      </c>
      <c r="N696" t="s">
        <v>602</v>
      </c>
      <c r="O696" t="s">
        <v>534</v>
      </c>
      <c r="P696" t="s">
        <v>535</v>
      </c>
      <c r="Q696" t="s">
        <v>536</v>
      </c>
      <c r="S696" t="s">
        <v>537</v>
      </c>
      <c r="U696">
        <v>41101</v>
      </c>
      <c r="V696" t="s">
        <v>192</v>
      </c>
      <c r="W696" t="s">
        <v>56</v>
      </c>
      <c r="X696" t="s">
        <v>538</v>
      </c>
      <c r="Y696" t="s">
        <v>539</v>
      </c>
      <c r="Z696" t="s">
        <v>50</v>
      </c>
    </row>
    <row r="697" spans="1:26" x14ac:dyDescent="0.3">
      <c r="A697">
        <v>10312</v>
      </c>
      <c r="B697">
        <v>30</v>
      </c>
      <c r="C697">
        <v>61.15</v>
      </c>
      <c r="D697">
        <v>16</v>
      </c>
      <c r="E697">
        <v>1834.5</v>
      </c>
      <c r="F697" s="1">
        <v>38281</v>
      </c>
      <c r="G697" t="s">
        <v>39</v>
      </c>
      <c r="H697">
        <v>4</v>
      </c>
      <c r="I697">
        <v>10</v>
      </c>
      <c r="J697" t="str">
        <f>TEXT(DATE(2012,Table1[[#This Row],[MONTH_ID]],10),"mmm")</f>
        <v>Oct</v>
      </c>
      <c r="K697">
        <v>2004</v>
      </c>
      <c r="L697" t="s">
        <v>564</v>
      </c>
      <c r="M697">
        <v>60</v>
      </c>
      <c r="N697" t="s">
        <v>602</v>
      </c>
      <c r="O697" t="s">
        <v>286</v>
      </c>
      <c r="P697">
        <v>4155551450</v>
      </c>
      <c r="Q697" t="s">
        <v>287</v>
      </c>
      <c r="S697" t="s">
        <v>288</v>
      </c>
      <c r="T697" t="s">
        <v>69</v>
      </c>
      <c r="U697">
        <v>97562</v>
      </c>
      <c r="V697" t="s">
        <v>46</v>
      </c>
      <c r="W697" t="s">
        <v>47</v>
      </c>
      <c r="X697" t="s">
        <v>289</v>
      </c>
      <c r="Y697" t="s">
        <v>290</v>
      </c>
      <c r="Z697" t="s">
        <v>50</v>
      </c>
    </row>
    <row r="698" spans="1:26" x14ac:dyDescent="0.3">
      <c r="A698">
        <v>10332</v>
      </c>
      <c r="B698">
        <v>38</v>
      </c>
      <c r="C698">
        <v>84.25</v>
      </c>
      <c r="D698">
        <v>9</v>
      </c>
      <c r="E698">
        <v>3201.5</v>
      </c>
      <c r="F698" s="1">
        <v>38308</v>
      </c>
      <c r="G698" t="s">
        <v>39</v>
      </c>
      <c r="H698">
        <v>4</v>
      </c>
      <c r="I698">
        <v>11</v>
      </c>
      <c r="J698" t="str">
        <f>TEXT(DATE(2012,Table1[[#This Row],[MONTH_ID]],10),"mmm")</f>
        <v>Nov</v>
      </c>
      <c r="K698">
        <v>2004</v>
      </c>
      <c r="L698" t="s">
        <v>564</v>
      </c>
      <c r="M698">
        <v>60</v>
      </c>
      <c r="N698" t="s">
        <v>602</v>
      </c>
      <c r="O698" t="s">
        <v>506</v>
      </c>
      <c r="P698" t="s">
        <v>507</v>
      </c>
      <c r="Q698" t="s">
        <v>508</v>
      </c>
      <c r="S698" t="s">
        <v>509</v>
      </c>
      <c r="U698" t="s">
        <v>510</v>
      </c>
      <c r="V698" t="s">
        <v>184</v>
      </c>
      <c r="W698" t="s">
        <v>56</v>
      </c>
      <c r="X698" t="s">
        <v>511</v>
      </c>
      <c r="Y698" t="s">
        <v>108</v>
      </c>
      <c r="Z698" t="s">
        <v>65</v>
      </c>
    </row>
    <row r="699" spans="1:26" x14ac:dyDescent="0.3">
      <c r="A699">
        <v>10344</v>
      </c>
      <c r="B699">
        <v>40</v>
      </c>
      <c r="C699">
        <v>56.91</v>
      </c>
      <c r="D699">
        <v>2</v>
      </c>
      <c r="E699">
        <v>2276.4</v>
      </c>
      <c r="F699" s="1">
        <v>38316</v>
      </c>
      <c r="G699" t="s">
        <v>39</v>
      </c>
      <c r="H699">
        <v>4</v>
      </c>
      <c r="I699">
        <v>11</v>
      </c>
      <c r="J699" t="str">
        <f>TEXT(DATE(2012,Table1[[#This Row],[MONTH_ID]],10),"mmm")</f>
        <v>Nov</v>
      </c>
      <c r="K699">
        <v>2004</v>
      </c>
      <c r="L699" t="s">
        <v>564</v>
      </c>
      <c r="M699">
        <v>60</v>
      </c>
      <c r="N699" t="s">
        <v>602</v>
      </c>
      <c r="O699" t="s">
        <v>447</v>
      </c>
      <c r="P699" t="s">
        <v>448</v>
      </c>
      <c r="Q699" t="s">
        <v>449</v>
      </c>
      <c r="S699" t="s">
        <v>450</v>
      </c>
      <c r="U699">
        <v>13008</v>
      </c>
      <c r="V699" t="s">
        <v>55</v>
      </c>
      <c r="W699" t="s">
        <v>56</v>
      </c>
      <c r="X699" t="s">
        <v>451</v>
      </c>
      <c r="Y699" t="s">
        <v>452</v>
      </c>
      <c r="Z699" t="s">
        <v>50</v>
      </c>
    </row>
    <row r="700" spans="1:26" x14ac:dyDescent="0.3">
      <c r="A700">
        <v>10367</v>
      </c>
      <c r="B700">
        <v>45</v>
      </c>
      <c r="C700">
        <v>100</v>
      </c>
      <c r="D700">
        <v>4</v>
      </c>
      <c r="E700">
        <v>8884.7999999999993</v>
      </c>
      <c r="F700" s="1">
        <v>38364</v>
      </c>
      <c r="G700" t="s">
        <v>422</v>
      </c>
      <c r="H700">
        <v>1</v>
      </c>
      <c r="I700">
        <v>1</v>
      </c>
      <c r="J700" t="str">
        <f>TEXT(DATE(2012,Table1[[#This Row],[MONTH_ID]],10),"mmm")</f>
        <v>Jan</v>
      </c>
      <c r="K700">
        <v>2005</v>
      </c>
      <c r="L700" t="s">
        <v>564</v>
      </c>
      <c r="M700">
        <v>60</v>
      </c>
      <c r="N700" t="s">
        <v>602</v>
      </c>
      <c r="O700" t="s">
        <v>66</v>
      </c>
      <c r="P700">
        <v>6265557265</v>
      </c>
      <c r="Q700" t="s">
        <v>67</v>
      </c>
      <c r="S700" t="s">
        <v>68</v>
      </c>
      <c r="T700" t="s">
        <v>69</v>
      </c>
      <c r="U700">
        <v>90003</v>
      </c>
      <c r="V700" t="s">
        <v>46</v>
      </c>
      <c r="W700" t="s">
        <v>47</v>
      </c>
      <c r="X700" t="s">
        <v>70</v>
      </c>
      <c r="Y700" t="s">
        <v>71</v>
      </c>
      <c r="Z700" t="s">
        <v>165</v>
      </c>
    </row>
    <row r="701" spans="1:26" x14ac:dyDescent="0.3">
      <c r="A701">
        <v>10379</v>
      </c>
      <c r="B701">
        <v>27</v>
      </c>
      <c r="C701">
        <v>49.3</v>
      </c>
      <c r="D701">
        <v>1</v>
      </c>
      <c r="E701">
        <v>1331.1</v>
      </c>
      <c r="F701" s="1">
        <v>38393</v>
      </c>
      <c r="G701" t="s">
        <v>39</v>
      </c>
      <c r="H701">
        <v>1</v>
      </c>
      <c r="I701">
        <v>2</v>
      </c>
      <c r="J701" t="str">
        <f>TEXT(DATE(2012,Table1[[#This Row],[MONTH_ID]],10),"mmm")</f>
        <v>Feb</v>
      </c>
      <c r="K701">
        <v>2005</v>
      </c>
      <c r="L701" t="s">
        <v>564</v>
      </c>
      <c r="M701">
        <v>60</v>
      </c>
      <c r="N701" t="s">
        <v>602</v>
      </c>
      <c r="O701" t="s">
        <v>188</v>
      </c>
      <c r="P701" t="s">
        <v>189</v>
      </c>
      <c r="Q701" t="s">
        <v>190</v>
      </c>
      <c r="S701" t="s">
        <v>191</v>
      </c>
      <c r="U701">
        <v>28034</v>
      </c>
      <c r="V701" t="s">
        <v>192</v>
      </c>
      <c r="W701" t="s">
        <v>56</v>
      </c>
      <c r="X701" t="s">
        <v>193</v>
      </c>
      <c r="Y701" t="s">
        <v>194</v>
      </c>
      <c r="Z701" t="s">
        <v>50</v>
      </c>
    </row>
    <row r="702" spans="1:26" x14ac:dyDescent="0.3">
      <c r="A702">
        <v>10407</v>
      </c>
      <c r="B702">
        <v>42</v>
      </c>
      <c r="C702">
        <v>72.650000000000006</v>
      </c>
      <c r="D702">
        <v>1</v>
      </c>
      <c r="E702">
        <v>3051.3</v>
      </c>
      <c r="F702" s="1">
        <v>38464</v>
      </c>
      <c r="G702" t="s">
        <v>415</v>
      </c>
      <c r="H702">
        <v>2</v>
      </c>
      <c r="I702">
        <v>4</v>
      </c>
      <c r="J702" t="str">
        <f>TEXT(DATE(2012,Table1[[#This Row],[MONTH_ID]],10),"mmm")</f>
        <v>Apr</v>
      </c>
      <c r="K702">
        <v>2005</v>
      </c>
      <c r="L702" t="s">
        <v>564</v>
      </c>
      <c r="M702">
        <v>60</v>
      </c>
      <c r="N702" t="s">
        <v>602</v>
      </c>
      <c r="O702" t="s">
        <v>411</v>
      </c>
      <c r="P702">
        <v>4085553659</v>
      </c>
      <c r="Q702" t="s">
        <v>412</v>
      </c>
      <c r="S702" t="s">
        <v>413</v>
      </c>
      <c r="T702" t="s">
        <v>69</v>
      </c>
      <c r="U702">
        <v>94217</v>
      </c>
      <c r="V702" t="s">
        <v>46</v>
      </c>
      <c r="W702" t="s">
        <v>47</v>
      </c>
      <c r="X702" t="s">
        <v>116</v>
      </c>
      <c r="Y702" t="s">
        <v>414</v>
      </c>
      <c r="Z702" t="s">
        <v>65</v>
      </c>
    </row>
    <row r="703" spans="1:26" x14ac:dyDescent="0.3">
      <c r="A703">
        <v>10420</v>
      </c>
      <c r="B703">
        <v>36</v>
      </c>
      <c r="C703">
        <v>63.57</v>
      </c>
      <c r="D703">
        <v>4</v>
      </c>
      <c r="E703">
        <v>2288.52</v>
      </c>
      <c r="F703" s="1">
        <v>38501</v>
      </c>
      <c r="G703" t="s">
        <v>314</v>
      </c>
      <c r="H703">
        <v>2</v>
      </c>
      <c r="I703">
        <v>5</v>
      </c>
      <c r="J703" t="str">
        <f>TEXT(DATE(2012,Table1[[#This Row],[MONTH_ID]],10),"mmm")</f>
        <v>May</v>
      </c>
      <c r="K703">
        <v>2005</v>
      </c>
      <c r="L703" t="s">
        <v>564</v>
      </c>
      <c r="M703">
        <v>60</v>
      </c>
      <c r="N703" t="s">
        <v>602</v>
      </c>
      <c r="O703" t="s">
        <v>166</v>
      </c>
      <c r="P703" t="s">
        <v>167</v>
      </c>
      <c r="Q703" t="s">
        <v>168</v>
      </c>
      <c r="R703" t="s">
        <v>169</v>
      </c>
      <c r="S703" t="s">
        <v>170</v>
      </c>
      <c r="T703" t="s">
        <v>171</v>
      </c>
      <c r="U703">
        <v>2067</v>
      </c>
      <c r="V703" t="s">
        <v>109</v>
      </c>
      <c r="W703" t="s">
        <v>110</v>
      </c>
      <c r="X703" t="s">
        <v>172</v>
      </c>
      <c r="Y703" t="s">
        <v>173</v>
      </c>
      <c r="Z703" t="s">
        <v>50</v>
      </c>
    </row>
    <row r="704" spans="1:26" x14ac:dyDescent="0.3">
      <c r="A704">
        <v>10104</v>
      </c>
      <c r="B704">
        <v>29</v>
      </c>
      <c r="C704">
        <v>100</v>
      </c>
      <c r="D704">
        <v>12</v>
      </c>
      <c r="E704">
        <v>3772.61</v>
      </c>
      <c r="F704" s="1">
        <v>37652</v>
      </c>
      <c r="G704" t="s">
        <v>39</v>
      </c>
      <c r="H704">
        <v>1</v>
      </c>
      <c r="I704">
        <v>1</v>
      </c>
      <c r="J704" t="str">
        <f>TEXT(DATE(2012,Table1[[#This Row],[MONTH_ID]],10),"mmm")</f>
        <v>Jan</v>
      </c>
      <c r="K704">
        <v>2003</v>
      </c>
      <c r="L704" t="s">
        <v>518</v>
      </c>
      <c r="M704">
        <v>122</v>
      </c>
      <c r="N704" t="s">
        <v>603</v>
      </c>
      <c r="O704" t="s">
        <v>188</v>
      </c>
      <c r="P704" t="s">
        <v>189</v>
      </c>
      <c r="Q704" t="s">
        <v>190</v>
      </c>
      <c r="S704" t="s">
        <v>191</v>
      </c>
      <c r="U704">
        <v>28034</v>
      </c>
      <c r="V704" t="s">
        <v>192</v>
      </c>
      <c r="W704" t="s">
        <v>56</v>
      </c>
      <c r="X704" t="s">
        <v>193</v>
      </c>
      <c r="Y704" t="s">
        <v>194</v>
      </c>
      <c r="Z704" t="s">
        <v>65</v>
      </c>
    </row>
    <row r="705" spans="1:26" x14ac:dyDescent="0.3">
      <c r="A705">
        <v>10114</v>
      </c>
      <c r="B705">
        <v>39</v>
      </c>
      <c r="C705">
        <v>100</v>
      </c>
      <c r="D705">
        <v>3</v>
      </c>
      <c r="E705">
        <v>4164.42</v>
      </c>
      <c r="F705" s="1">
        <v>37712</v>
      </c>
      <c r="G705" t="s">
        <v>39</v>
      </c>
      <c r="H705">
        <v>2</v>
      </c>
      <c r="I705">
        <v>4</v>
      </c>
      <c r="J705" t="str">
        <f>TEXT(DATE(2012,Table1[[#This Row],[MONTH_ID]],10),"mmm")</f>
        <v>Apr</v>
      </c>
      <c r="K705">
        <v>2003</v>
      </c>
      <c r="L705" t="s">
        <v>518</v>
      </c>
      <c r="M705">
        <v>122</v>
      </c>
      <c r="N705" t="s">
        <v>603</v>
      </c>
      <c r="O705" t="s">
        <v>417</v>
      </c>
      <c r="P705" t="s">
        <v>418</v>
      </c>
      <c r="Q705" t="s">
        <v>419</v>
      </c>
      <c r="S705" t="s">
        <v>62</v>
      </c>
      <c r="U705">
        <v>75012</v>
      </c>
      <c r="V705" t="s">
        <v>55</v>
      </c>
      <c r="W705" t="s">
        <v>56</v>
      </c>
      <c r="X705" t="s">
        <v>420</v>
      </c>
      <c r="Y705" t="s">
        <v>421</v>
      </c>
      <c r="Z705" t="s">
        <v>65</v>
      </c>
    </row>
    <row r="706" spans="1:26" x14ac:dyDescent="0.3">
      <c r="A706">
        <v>10127</v>
      </c>
      <c r="B706">
        <v>45</v>
      </c>
      <c r="C706">
        <v>100</v>
      </c>
      <c r="D706">
        <v>14</v>
      </c>
      <c r="E706">
        <v>6295.95</v>
      </c>
      <c r="F706" s="1">
        <v>37775</v>
      </c>
      <c r="G706" t="s">
        <v>39</v>
      </c>
      <c r="H706">
        <v>2</v>
      </c>
      <c r="I706">
        <v>6</v>
      </c>
      <c r="J706" t="str">
        <f>TEXT(DATE(2012,Table1[[#This Row],[MONTH_ID]],10),"mmm")</f>
        <v>Jun</v>
      </c>
      <c r="K706">
        <v>2003</v>
      </c>
      <c r="L706" t="s">
        <v>518</v>
      </c>
      <c r="M706">
        <v>122</v>
      </c>
      <c r="N706" t="s">
        <v>603</v>
      </c>
      <c r="O706" t="s">
        <v>489</v>
      </c>
      <c r="P706">
        <v>2125557413</v>
      </c>
      <c r="Q706" t="s">
        <v>490</v>
      </c>
      <c r="R706" t="s">
        <v>491</v>
      </c>
      <c r="S706" t="s">
        <v>44</v>
      </c>
      <c r="T706" t="s">
        <v>45</v>
      </c>
      <c r="U706">
        <v>10022</v>
      </c>
      <c r="V706" t="s">
        <v>46</v>
      </c>
      <c r="W706" t="s">
        <v>47</v>
      </c>
      <c r="X706" t="s">
        <v>70</v>
      </c>
      <c r="Y706" t="s">
        <v>492</v>
      </c>
      <c r="Z706" t="s">
        <v>65</v>
      </c>
    </row>
    <row r="707" spans="1:26" x14ac:dyDescent="0.3">
      <c r="A707">
        <v>10141</v>
      </c>
      <c r="B707">
        <v>47</v>
      </c>
      <c r="C707">
        <v>100</v>
      </c>
      <c r="D707">
        <v>8</v>
      </c>
      <c r="E707">
        <v>6287.66</v>
      </c>
      <c r="F707" s="1">
        <v>37834</v>
      </c>
      <c r="G707" t="s">
        <v>39</v>
      </c>
      <c r="H707">
        <v>3</v>
      </c>
      <c r="I707">
        <v>8</v>
      </c>
      <c r="J707" t="str">
        <f>TEXT(DATE(2012,Table1[[#This Row],[MONTH_ID]],10),"mmm")</f>
        <v>Aug</v>
      </c>
      <c r="K707">
        <v>2003</v>
      </c>
      <c r="L707" t="s">
        <v>518</v>
      </c>
      <c r="M707">
        <v>122</v>
      </c>
      <c r="N707" t="s">
        <v>603</v>
      </c>
      <c r="O707" t="s">
        <v>481</v>
      </c>
      <c r="P707" t="s">
        <v>482</v>
      </c>
      <c r="Q707" t="s">
        <v>483</v>
      </c>
      <c r="S707" t="s">
        <v>484</v>
      </c>
      <c r="U707" t="s">
        <v>485</v>
      </c>
      <c r="V707" t="s">
        <v>144</v>
      </c>
      <c r="W707" t="s">
        <v>56</v>
      </c>
      <c r="X707" t="s">
        <v>486</v>
      </c>
      <c r="Y707" t="s">
        <v>487</v>
      </c>
      <c r="Z707" t="s">
        <v>65</v>
      </c>
    </row>
    <row r="708" spans="1:26" x14ac:dyDescent="0.3">
      <c r="A708">
        <v>10151</v>
      </c>
      <c r="B708">
        <v>49</v>
      </c>
      <c r="C708">
        <v>100</v>
      </c>
      <c r="D708">
        <v>6</v>
      </c>
      <c r="E708">
        <v>5412.54</v>
      </c>
      <c r="F708" s="1">
        <v>37885</v>
      </c>
      <c r="G708" t="s">
        <v>39</v>
      </c>
      <c r="H708">
        <v>3</v>
      </c>
      <c r="I708">
        <v>9</v>
      </c>
      <c r="J708" t="str">
        <f>TEXT(DATE(2012,Table1[[#This Row],[MONTH_ID]],10),"mmm")</f>
        <v>Sep</v>
      </c>
      <c r="K708">
        <v>2003</v>
      </c>
      <c r="L708" t="s">
        <v>518</v>
      </c>
      <c r="M708">
        <v>122</v>
      </c>
      <c r="N708" t="s">
        <v>603</v>
      </c>
      <c r="O708" t="s">
        <v>405</v>
      </c>
      <c r="P708" t="s">
        <v>406</v>
      </c>
      <c r="Q708" t="s">
        <v>407</v>
      </c>
      <c r="S708" t="s">
        <v>408</v>
      </c>
      <c r="U708">
        <v>90110</v>
      </c>
      <c r="V708" t="s">
        <v>144</v>
      </c>
      <c r="W708" t="s">
        <v>56</v>
      </c>
      <c r="X708" t="s">
        <v>409</v>
      </c>
      <c r="Y708" t="s">
        <v>410</v>
      </c>
      <c r="Z708" t="s">
        <v>65</v>
      </c>
    </row>
    <row r="709" spans="1:26" x14ac:dyDescent="0.3">
      <c r="A709">
        <v>10165</v>
      </c>
      <c r="B709">
        <v>46</v>
      </c>
      <c r="C709">
        <v>100</v>
      </c>
      <c r="D709">
        <v>15</v>
      </c>
      <c r="E709">
        <v>5984.14</v>
      </c>
      <c r="F709" s="1">
        <v>37916</v>
      </c>
      <c r="G709" t="s">
        <v>39</v>
      </c>
      <c r="H709">
        <v>4</v>
      </c>
      <c r="I709">
        <v>10</v>
      </c>
      <c r="J709" t="str">
        <f>TEXT(DATE(2012,Table1[[#This Row],[MONTH_ID]],10),"mmm")</f>
        <v>Oct</v>
      </c>
      <c r="K709">
        <v>2003</v>
      </c>
      <c r="L709" t="s">
        <v>518</v>
      </c>
      <c r="M709">
        <v>122</v>
      </c>
      <c r="N709" t="s">
        <v>603</v>
      </c>
      <c r="O709" t="s">
        <v>210</v>
      </c>
      <c r="P709" t="s">
        <v>211</v>
      </c>
      <c r="Q709" t="s">
        <v>212</v>
      </c>
      <c r="S709" t="s">
        <v>213</v>
      </c>
      <c r="U709">
        <v>79903</v>
      </c>
      <c r="V709" t="s">
        <v>213</v>
      </c>
      <c r="W709" t="s">
        <v>214</v>
      </c>
      <c r="X709" t="s">
        <v>215</v>
      </c>
      <c r="Y709" t="s">
        <v>216</v>
      </c>
      <c r="Z709" t="s">
        <v>65</v>
      </c>
    </row>
    <row r="710" spans="1:26" x14ac:dyDescent="0.3">
      <c r="A710">
        <v>10175</v>
      </c>
      <c r="B710">
        <v>48</v>
      </c>
      <c r="C710">
        <v>100</v>
      </c>
      <c r="D710">
        <v>4</v>
      </c>
      <c r="E710">
        <v>5891.04</v>
      </c>
      <c r="F710" s="1">
        <v>37931</v>
      </c>
      <c r="G710" t="s">
        <v>39</v>
      </c>
      <c r="H710">
        <v>4</v>
      </c>
      <c r="I710">
        <v>11</v>
      </c>
      <c r="J710" t="str">
        <f>TEXT(DATE(2012,Table1[[#This Row],[MONTH_ID]],10),"mmm")</f>
        <v>Nov</v>
      </c>
      <c r="K710">
        <v>2003</v>
      </c>
      <c r="L710" t="s">
        <v>518</v>
      </c>
      <c r="M710">
        <v>122</v>
      </c>
      <c r="N710" t="s">
        <v>603</v>
      </c>
      <c r="O710" t="s">
        <v>343</v>
      </c>
      <c r="P710" t="s">
        <v>344</v>
      </c>
      <c r="Q710" t="s">
        <v>345</v>
      </c>
      <c r="S710" t="s">
        <v>346</v>
      </c>
      <c r="U710" t="s">
        <v>347</v>
      </c>
      <c r="V710" t="s">
        <v>184</v>
      </c>
      <c r="W710" t="s">
        <v>56</v>
      </c>
      <c r="X710" t="s">
        <v>75</v>
      </c>
      <c r="Y710" t="s">
        <v>348</v>
      </c>
      <c r="Z710" t="s">
        <v>65</v>
      </c>
    </row>
    <row r="711" spans="1:26" x14ac:dyDescent="0.3">
      <c r="A711">
        <v>10184</v>
      </c>
      <c r="B711">
        <v>46</v>
      </c>
      <c r="C711">
        <v>100</v>
      </c>
      <c r="D711">
        <v>9</v>
      </c>
      <c r="E711">
        <v>5984.14</v>
      </c>
      <c r="F711" s="1">
        <v>37939</v>
      </c>
      <c r="G711" t="s">
        <v>39</v>
      </c>
      <c r="H711">
        <v>4</v>
      </c>
      <c r="I711">
        <v>11</v>
      </c>
      <c r="J711" t="str">
        <f>TEXT(DATE(2012,Table1[[#This Row],[MONTH_ID]],10),"mmm")</f>
        <v>Nov</v>
      </c>
      <c r="K711">
        <v>2003</v>
      </c>
      <c r="L711" t="s">
        <v>518</v>
      </c>
      <c r="M711">
        <v>122</v>
      </c>
      <c r="N711" t="s">
        <v>603</v>
      </c>
      <c r="O711" t="s">
        <v>534</v>
      </c>
      <c r="P711" t="s">
        <v>535</v>
      </c>
      <c r="Q711" t="s">
        <v>536</v>
      </c>
      <c r="S711" t="s">
        <v>537</v>
      </c>
      <c r="U711">
        <v>41101</v>
      </c>
      <c r="V711" t="s">
        <v>192</v>
      </c>
      <c r="W711" t="s">
        <v>56</v>
      </c>
      <c r="X711" t="s">
        <v>538</v>
      </c>
      <c r="Y711" t="s">
        <v>539</v>
      </c>
      <c r="Z711" t="s">
        <v>65</v>
      </c>
    </row>
    <row r="712" spans="1:26" x14ac:dyDescent="0.3">
      <c r="A712">
        <v>10195</v>
      </c>
      <c r="B712">
        <v>35</v>
      </c>
      <c r="C712">
        <v>100</v>
      </c>
      <c r="D712">
        <v>9</v>
      </c>
      <c r="E712">
        <v>3608.15</v>
      </c>
      <c r="F712" s="1">
        <v>37950</v>
      </c>
      <c r="G712" t="s">
        <v>39</v>
      </c>
      <c r="H712">
        <v>4</v>
      </c>
      <c r="I712">
        <v>11</v>
      </c>
      <c r="J712" t="str">
        <f>TEXT(DATE(2012,Table1[[#This Row],[MONTH_ID]],10),"mmm")</f>
        <v>Nov</v>
      </c>
      <c r="K712">
        <v>2003</v>
      </c>
      <c r="L712" t="s">
        <v>518</v>
      </c>
      <c r="M712">
        <v>122</v>
      </c>
      <c r="N712" t="s">
        <v>603</v>
      </c>
      <c r="O712" t="s">
        <v>331</v>
      </c>
      <c r="P712">
        <v>9145554562</v>
      </c>
      <c r="Q712" t="s">
        <v>332</v>
      </c>
      <c r="S712" t="s">
        <v>333</v>
      </c>
      <c r="T712" t="s">
        <v>45</v>
      </c>
      <c r="U712">
        <v>24067</v>
      </c>
      <c r="V712" t="s">
        <v>46</v>
      </c>
      <c r="W712" t="s">
        <v>47</v>
      </c>
      <c r="X712" t="s">
        <v>116</v>
      </c>
      <c r="Y712" t="s">
        <v>252</v>
      </c>
      <c r="Z712" t="s">
        <v>65</v>
      </c>
    </row>
    <row r="713" spans="1:26" x14ac:dyDescent="0.3">
      <c r="A713">
        <v>10207</v>
      </c>
      <c r="B713">
        <v>43</v>
      </c>
      <c r="C713">
        <v>100</v>
      </c>
      <c r="D713">
        <v>10</v>
      </c>
      <c r="E713">
        <v>5752.54</v>
      </c>
      <c r="F713" s="1">
        <v>37964</v>
      </c>
      <c r="G713" t="s">
        <v>39</v>
      </c>
      <c r="H713">
        <v>4</v>
      </c>
      <c r="I713">
        <v>12</v>
      </c>
      <c r="J713" t="str">
        <f>TEXT(DATE(2012,Table1[[#This Row],[MONTH_ID]],10),"mmm")</f>
        <v>Dec</v>
      </c>
      <c r="K713">
        <v>2003</v>
      </c>
      <c r="L713" t="s">
        <v>518</v>
      </c>
      <c r="M713">
        <v>122</v>
      </c>
      <c r="N713" t="s">
        <v>603</v>
      </c>
      <c r="O713" t="s">
        <v>429</v>
      </c>
      <c r="P713">
        <v>6175552555</v>
      </c>
      <c r="Q713" t="s">
        <v>430</v>
      </c>
      <c r="S713" t="s">
        <v>395</v>
      </c>
      <c r="T713" t="s">
        <v>137</v>
      </c>
      <c r="U713">
        <v>51003</v>
      </c>
      <c r="V713" t="s">
        <v>46</v>
      </c>
      <c r="W713" t="s">
        <v>47</v>
      </c>
      <c r="X713" t="s">
        <v>431</v>
      </c>
      <c r="Y713" t="s">
        <v>290</v>
      </c>
      <c r="Z713" t="s">
        <v>65</v>
      </c>
    </row>
    <row r="714" spans="1:26" x14ac:dyDescent="0.3">
      <c r="A714">
        <v>10229</v>
      </c>
      <c r="B714">
        <v>26</v>
      </c>
      <c r="C714">
        <v>100</v>
      </c>
      <c r="D714">
        <v>4</v>
      </c>
      <c r="E714">
        <v>3765.32</v>
      </c>
      <c r="F714" s="1">
        <v>38057</v>
      </c>
      <c r="G714" t="s">
        <v>39</v>
      </c>
      <c r="H714">
        <v>1</v>
      </c>
      <c r="I714">
        <v>3</v>
      </c>
      <c r="J714" t="str">
        <f>TEXT(DATE(2012,Table1[[#This Row],[MONTH_ID]],10),"mmm")</f>
        <v>Mar</v>
      </c>
      <c r="K714">
        <v>2004</v>
      </c>
      <c r="L714" t="s">
        <v>518</v>
      </c>
      <c r="M714">
        <v>122</v>
      </c>
      <c r="N714" t="s">
        <v>603</v>
      </c>
      <c r="O714" t="s">
        <v>286</v>
      </c>
      <c r="P714">
        <v>4155551450</v>
      </c>
      <c r="Q714" t="s">
        <v>287</v>
      </c>
      <c r="S714" t="s">
        <v>288</v>
      </c>
      <c r="T714" t="s">
        <v>69</v>
      </c>
      <c r="U714">
        <v>97562</v>
      </c>
      <c r="V714" t="s">
        <v>46</v>
      </c>
      <c r="W714" t="s">
        <v>47</v>
      </c>
      <c r="X714" t="s">
        <v>289</v>
      </c>
      <c r="Y714" t="s">
        <v>290</v>
      </c>
      <c r="Z714" t="s">
        <v>65</v>
      </c>
    </row>
    <row r="715" spans="1:26" x14ac:dyDescent="0.3">
      <c r="A715">
        <v>10246</v>
      </c>
      <c r="B715">
        <v>22</v>
      </c>
      <c r="C715">
        <v>98.18</v>
      </c>
      <c r="D715">
        <v>8</v>
      </c>
      <c r="E715">
        <v>2159.96</v>
      </c>
      <c r="F715" s="1">
        <v>38112</v>
      </c>
      <c r="G715" t="s">
        <v>39</v>
      </c>
      <c r="H715">
        <v>2</v>
      </c>
      <c r="I715">
        <v>5</v>
      </c>
      <c r="J715" t="str">
        <f>TEXT(DATE(2012,Table1[[#This Row],[MONTH_ID]],10),"mmm")</f>
        <v>May</v>
      </c>
      <c r="K715">
        <v>2004</v>
      </c>
      <c r="L715" t="s">
        <v>518</v>
      </c>
      <c r="M715">
        <v>122</v>
      </c>
      <c r="N715" t="s">
        <v>603</v>
      </c>
      <c r="O715" t="s">
        <v>188</v>
      </c>
      <c r="P715" t="s">
        <v>189</v>
      </c>
      <c r="Q715" t="s">
        <v>190</v>
      </c>
      <c r="S715" t="s">
        <v>191</v>
      </c>
      <c r="U715">
        <v>28034</v>
      </c>
      <c r="V715" t="s">
        <v>192</v>
      </c>
      <c r="W715" t="s">
        <v>56</v>
      </c>
      <c r="X715" t="s">
        <v>193</v>
      </c>
      <c r="Y715" t="s">
        <v>194</v>
      </c>
      <c r="Z715" t="s">
        <v>50</v>
      </c>
    </row>
    <row r="716" spans="1:26" x14ac:dyDescent="0.3">
      <c r="A716">
        <v>10259</v>
      </c>
      <c r="B716">
        <v>34</v>
      </c>
      <c r="C716">
        <v>99.41</v>
      </c>
      <c r="D716">
        <v>7</v>
      </c>
      <c r="E716">
        <v>3379.94</v>
      </c>
      <c r="F716" s="1">
        <v>38153</v>
      </c>
      <c r="G716" t="s">
        <v>39</v>
      </c>
      <c r="H716">
        <v>2</v>
      </c>
      <c r="I716">
        <v>6</v>
      </c>
      <c r="J716" t="str">
        <f>TEXT(DATE(2012,Table1[[#This Row],[MONTH_ID]],10),"mmm")</f>
        <v>Jun</v>
      </c>
      <c r="K716">
        <v>2004</v>
      </c>
      <c r="L716" t="s">
        <v>518</v>
      </c>
      <c r="M716">
        <v>122</v>
      </c>
      <c r="N716" t="s">
        <v>603</v>
      </c>
      <c r="O716" t="s">
        <v>432</v>
      </c>
      <c r="P716" t="s">
        <v>433</v>
      </c>
      <c r="Q716" t="s">
        <v>434</v>
      </c>
      <c r="R716" t="s">
        <v>435</v>
      </c>
      <c r="S716" t="s">
        <v>213</v>
      </c>
      <c r="U716">
        <v>69045</v>
      </c>
      <c r="V716" t="s">
        <v>213</v>
      </c>
      <c r="W716" t="s">
        <v>110</v>
      </c>
      <c r="X716" t="s">
        <v>436</v>
      </c>
      <c r="Y716" t="s">
        <v>437</v>
      </c>
      <c r="Z716" t="s">
        <v>65</v>
      </c>
    </row>
    <row r="717" spans="1:26" x14ac:dyDescent="0.3">
      <c r="A717">
        <v>10271</v>
      </c>
      <c r="B717">
        <v>50</v>
      </c>
      <c r="C717">
        <v>100</v>
      </c>
      <c r="D717">
        <v>8</v>
      </c>
      <c r="E717">
        <v>5093.5</v>
      </c>
      <c r="F717" s="1">
        <v>38188</v>
      </c>
      <c r="G717" t="s">
        <v>39</v>
      </c>
      <c r="H717">
        <v>3</v>
      </c>
      <c r="I717">
        <v>7</v>
      </c>
      <c r="J717" t="str">
        <f>TEXT(DATE(2012,Table1[[#This Row],[MONTH_ID]],10),"mmm")</f>
        <v>Jul</v>
      </c>
      <c r="K717">
        <v>2004</v>
      </c>
      <c r="L717" t="s">
        <v>518</v>
      </c>
      <c r="M717">
        <v>122</v>
      </c>
      <c r="N717" t="s">
        <v>603</v>
      </c>
      <c r="O717" t="s">
        <v>286</v>
      </c>
      <c r="P717">
        <v>4155551450</v>
      </c>
      <c r="Q717" t="s">
        <v>287</v>
      </c>
      <c r="S717" t="s">
        <v>288</v>
      </c>
      <c r="T717" t="s">
        <v>69</v>
      </c>
      <c r="U717">
        <v>97562</v>
      </c>
      <c r="V717" t="s">
        <v>46</v>
      </c>
      <c r="W717" t="s">
        <v>47</v>
      </c>
      <c r="X717" t="s">
        <v>289</v>
      </c>
      <c r="Y717" t="s">
        <v>290</v>
      </c>
      <c r="Z717" t="s">
        <v>65</v>
      </c>
    </row>
    <row r="718" spans="1:26" x14ac:dyDescent="0.3">
      <c r="A718">
        <v>10281</v>
      </c>
      <c r="B718">
        <v>48</v>
      </c>
      <c r="C718">
        <v>100</v>
      </c>
      <c r="D718">
        <v>4</v>
      </c>
      <c r="E718">
        <v>5773.44</v>
      </c>
      <c r="F718" s="1">
        <v>38218</v>
      </c>
      <c r="G718" t="s">
        <v>39</v>
      </c>
      <c r="H718">
        <v>3</v>
      </c>
      <c r="I718">
        <v>8</v>
      </c>
      <c r="J718" t="str">
        <f>TEXT(DATE(2012,Table1[[#This Row],[MONTH_ID]],10),"mmm")</f>
        <v>Aug</v>
      </c>
      <c r="K718">
        <v>2004</v>
      </c>
      <c r="L718" t="s">
        <v>518</v>
      </c>
      <c r="M718">
        <v>122</v>
      </c>
      <c r="N718" t="s">
        <v>603</v>
      </c>
      <c r="O718" t="s">
        <v>153</v>
      </c>
      <c r="P718">
        <v>2155551555</v>
      </c>
      <c r="Q718" t="s">
        <v>154</v>
      </c>
      <c r="S718" t="s">
        <v>155</v>
      </c>
      <c r="T718" t="s">
        <v>156</v>
      </c>
      <c r="U718">
        <v>70267</v>
      </c>
      <c r="V718" t="s">
        <v>46</v>
      </c>
      <c r="W718" t="s">
        <v>47</v>
      </c>
      <c r="X718" t="s">
        <v>48</v>
      </c>
      <c r="Y718" t="s">
        <v>157</v>
      </c>
      <c r="Z718" t="s">
        <v>65</v>
      </c>
    </row>
    <row r="719" spans="1:26" x14ac:dyDescent="0.3">
      <c r="A719">
        <v>10292</v>
      </c>
      <c r="B719">
        <v>41</v>
      </c>
      <c r="C719">
        <v>100</v>
      </c>
      <c r="D719">
        <v>11</v>
      </c>
      <c r="E719">
        <v>4528.8599999999997</v>
      </c>
      <c r="F719" s="1">
        <v>38238</v>
      </c>
      <c r="G719" t="s">
        <v>39</v>
      </c>
      <c r="H719">
        <v>3</v>
      </c>
      <c r="I719">
        <v>9</v>
      </c>
      <c r="J719" t="str">
        <f>TEXT(DATE(2012,Table1[[#This Row],[MONTH_ID]],10),"mmm")</f>
        <v>Sep</v>
      </c>
      <c r="K719">
        <v>2004</v>
      </c>
      <c r="L719" t="s">
        <v>518</v>
      </c>
      <c r="M719">
        <v>122</v>
      </c>
      <c r="N719" t="s">
        <v>603</v>
      </c>
      <c r="O719" t="s">
        <v>42</v>
      </c>
      <c r="P719">
        <v>2125557818</v>
      </c>
      <c r="Q719" t="s">
        <v>43</v>
      </c>
      <c r="S719" t="s">
        <v>44</v>
      </c>
      <c r="T719" t="s">
        <v>45</v>
      </c>
      <c r="U719">
        <v>10022</v>
      </c>
      <c r="V719" t="s">
        <v>46</v>
      </c>
      <c r="W719" t="s">
        <v>47</v>
      </c>
      <c r="X719" t="s">
        <v>48</v>
      </c>
      <c r="Y719" t="s">
        <v>49</v>
      </c>
      <c r="Z719" t="s">
        <v>65</v>
      </c>
    </row>
    <row r="720" spans="1:26" x14ac:dyDescent="0.3">
      <c r="A720">
        <v>10305</v>
      </c>
      <c r="B720">
        <v>36</v>
      </c>
      <c r="C720">
        <v>100</v>
      </c>
      <c r="D720">
        <v>8</v>
      </c>
      <c r="E720">
        <v>4816.08</v>
      </c>
      <c r="F720" s="1">
        <v>38273</v>
      </c>
      <c r="G720" t="s">
        <v>39</v>
      </c>
      <c r="H720">
        <v>4</v>
      </c>
      <c r="I720">
        <v>10</v>
      </c>
      <c r="J720" t="str">
        <f>TEXT(DATE(2012,Table1[[#This Row],[MONTH_ID]],10),"mmm")</f>
        <v>Oct</v>
      </c>
      <c r="K720">
        <v>2004</v>
      </c>
      <c r="L720" t="s">
        <v>518</v>
      </c>
      <c r="M720">
        <v>122</v>
      </c>
      <c r="N720" t="s">
        <v>603</v>
      </c>
      <c r="O720" t="s">
        <v>134</v>
      </c>
      <c r="P720">
        <v>6175558555</v>
      </c>
      <c r="Q720" t="s">
        <v>135</v>
      </c>
      <c r="S720" t="s">
        <v>136</v>
      </c>
      <c r="T720" t="s">
        <v>137</v>
      </c>
      <c r="U720">
        <v>51247</v>
      </c>
      <c r="V720" t="s">
        <v>46</v>
      </c>
      <c r="W720" t="s">
        <v>47</v>
      </c>
      <c r="X720" t="s">
        <v>138</v>
      </c>
      <c r="Y720" t="s">
        <v>139</v>
      </c>
      <c r="Z720" t="s">
        <v>65</v>
      </c>
    </row>
    <row r="721" spans="1:26" x14ac:dyDescent="0.3">
      <c r="A721">
        <v>10313</v>
      </c>
      <c r="B721">
        <v>29</v>
      </c>
      <c r="C721">
        <v>100</v>
      </c>
      <c r="D721">
        <v>2</v>
      </c>
      <c r="E721">
        <v>3416.78</v>
      </c>
      <c r="F721" s="1">
        <v>38282</v>
      </c>
      <c r="G721" t="s">
        <v>39</v>
      </c>
      <c r="H721">
        <v>4</v>
      </c>
      <c r="I721">
        <v>10</v>
      </c>
      <c r="J721" t="str">
        <f>TEXT(DATE(2012,Table1[[#This Row],[MONTH_ID]],10),"mmm")</f>
        <v>Oct</v>
      </c>
      <c r="K721">
        <v>2004</v>
      </c>
      <c r="L721" t="s">
        <v>518</v>
      </c>
      <c r="M721">
        <v>122</v>
      </c>
      <c r="N721" t="s">
        <v>603</v>
      </c>
      <c r="O721" t="s">
        <v>239</v>
      </c>
      <c r="P721" t="s">
        <v>240</v>
      </c>
      <c r="Q721" t="s">
        <v>241</v>
      </c>
      <c r="S721" t="s">
        <v>242</v>
      </c>
      <c r="T721" t="s">
        <v>243</v>
      </c>
      <c r="U721" t="s">
        <v>244</v>
      </c>
      <c r="V721" t="s">
        <v>245</v>
      </c>
      <c r="W721" t="s">
        <v>47</v>
      </c>
      <c r="X721" t="s">
        <v>246</v>
      </c>
      <c r="Y721" t="s">
        <v>247</v>
      </c>
      <c r="Z721" t="s">
        <v>65</v>
      </c>
    </row>
    <row r="722" spans="1:26" x14ac:dyDescent="0.3">
      <c r="A722">
        <v>10324</v>
      </c>
      <c r="B722">
        <v>33</v>
      </c>
      <c r="C722">
        <v>37.479999999999997</v>
      </c>
      <c r="D722">
        <v>10</v>
      </c>
      <c r="E722">
        <v>1236.8399999999999</v>
      </c>
      <c r="F722" s="1">
        <v>38296</v>
      </c>
      <c r="G722" t="s">
        <v>39</v>
      </c>
      <c r="H722">
        <v>4</v>
      </c>
      <c r="I722">
        <v>11</v>
      </c>
      <c r="J722" t="str">
        <f>TEXT(DATE(2012,Table1[[#This Row],[MONTH_ID]],10),"mmm")</f>
        <v>Nov</v>
      </c>
      <c r="K722">
        <v>2004</v>
      </c>
      <c r="L722" t="s">
        <v>518</v>
      </c>
      <c r="M722">
        <v>122</v>
      </c>
      <c r="N722" t="s">
        <v>603</v>
      </c>
      <c r="O722" t="s">
        <v>113</v>
      </c>
      <c r="P722">
        <v>2125551500</v>
      </c>
      <c r="Q722" t="s">
        <v>114</v>
      </c>
      <c r="R722" t="s">
        <v>115</v>
      </c>
      <c r="S722" t="s">
        <v>44</v>
      </c>
      <c r="T722" t="s">
        <v>45</v>
      </c>
      <c r="U722">
        <v>10022</v>
      </c>
      <c r="V722" t="s">
        <v>46</v>
      </c>
      <c r="W722" t="s">
        <v>47</v>
      </c>
      <c r="X722" t="s">
        <v>116</v>
      </c>
      <c r="Y722" t="s">
        <v>117</v>
      </c>
      <c r="Z722" t="s">
        <v>50</v>
      </c>
    </row>
    <row r="723" spans="1:26" x14ac:dyDescent="0.3">
      <c r="A723">
        <v>10334</v>
      </c>
      <c r="B723">
        <v>46</v>
      </c>
      <c r="C723">
        <v>100</v>
      </c>
      <c r="D723">
        <v>6</v>
      </c>
      <c r="E723">
        <v>5814.86</v>
      </c>
      <c r="F723" s="1">
        <v>38310</v>
      </c>
      <c r="G723" t="s">
        <v>415</v>
      </c>
      <c r="H723">
        <v>4</v>
      </c>
      <c r="I723">
        <v>11</v>
      </c>
      <c r="J723" t="str">
        <f>TEXT(DATE(2012,Table1[[#This Row],[MONTH_ID]],10),"mmm")</f>
        <v>Nov</v>
      </c>
      <c r="K723">
        <v>2004</v>
      </c>
      <c r="L723" t="s">
        <v>518</v>
      </c>
      <c r="M723">
        <v>122</v>
      </c>
      <c r="N723" t="s">
        <v>603</v>
      </c>
      <c r="O723" t="s">
        <v>197</v>
      </c>
      <c r="P723" t="s">
        <v>198</v>
      </c>
      <c r="Q723" t="s">
        <v>199</v>
      </c>
      <c r="S723" t="s">
        <v>200</v>
      </c>
      <c r="U723" t="s">
        <v>201</v>
      </c>
      <c r="V723" t="s">
        <v>202</v>
      </c>
      <c r="W723" t="s">
        <v>56</v>
      </c>
      <c r="X723" t="s">
        <v>203</v>
      </c>
      <c r="Y723" t="s">
        <v>204</v>
      </c>
      <c r="Z723" t="s">
        <v>65</v>
      </c>
    </row>
    <row r="724" spans="1:26" x14ac:dyDescent="0.3">
      <c r="A724">
        <v>10349</v>
      </c>
      <c r="B724">
        <v>38</v>
      </c>
      <c r="C724">
        <v>100</v>
      </c>
      <c r="D724">
        <v>7</v>
      </c>
      <c r="E724">
        <v>5223.4799999999996</v>
      </c>
      <c r="F724" s="1">
        <v>38322</v>
      </c>
      <c r="G724" t="s">
        <v>39</v>
      </c>
      <c r="H724">
        <v>4</v>
      </c>
      <c r="I724">
        <v>12</v>
      </c>
      <c r="J724" t="str">
        <f>TEXT(DATE(2012,Table1[[#This Row],[MONTH_ID]],10),"mmm")</f>
        <v>Dec</v>
      </c>
      <c r="K724">
        <v>2004</v>
      </c>
      <c r="L724" t="s">
        <v>518</v>
      </c>
      <c r="M724">
        <v>122</v>
      </c>
      <c r="N724" t="s">
        <v>603</v>
      </c>
      <c r="O724" t="s">
        <v>489</v>
      </c>
      <c r="P724">
        <v>2125557413</v>
      </c>
      <c r="Q724" t="s">
        <v>490</v>
      </c>
      <c r="R724" t="s">
        <v>491</v>
      </c>
      <c r="S724" t="s">
        <v>44</v>
      </c>
      <c r="T724" t="s">
        <v>45</v>
      </c>
      <c r="U724">
        <v>10022</v>
      </c>
      <c r="V724" t="s">
        <v>46</v>
      </c>
      <c r="W724" t="s">
        <v>47</v>
      </c>
      <c r="X724" t="s">
        <v>70</v>
      </c>
      <c r="Y724" t="s">
        <v>492</v>
      </c>
      <c r="Z724" t="s">
        <v>65</v>
      </c>
    </row>
    <row r="725" spans="1:26" x14ac:dyDescent="0.3">
      <c r="A725">
        <v>10358</v>
      </c>
      <c r="B725">
        <v>20</v>
      </c>
      <c r="C725">
        <v>36.42</v>
      </c>
      <c r="D725">
        <v>11</v>
      </c>
      <c r="E725">
        <v>728.4</v>
      </c>
      <c r="F725" s="1">
        <v>38331</v>
      </c>
      <c r="G725" t="s">
        <v>39</v>
      </c>
      <c r="H725">
        <v>4</v>
      </c>
      <c r="I725">
        <v>12</v>
      </c>
      <c r="J725" t="str">
        <f>TEXT(DATE(2012,Table1[[#This Row],[MONTH_ID]],10),"mmm")</f>
        <v>Dec</v>
      </c>
      <c r="K725">
        <v>2004</v>
      </c>
      <c r="L725" t="s">
        <v>518</v>
      </c>
      <c r="M725">
        <v>122</v>
      </c>
      <c r="N725" t="s">
        <v>603</v>
      </c>
      <c r="O725" t="s">
        <v>188</v>
      </c>
      <c r="P725" t="s">
        <v>189</v>
      </c>
      <c r="Q725" t="s">
        <v>190</v>
      </c>
      <c r="S725" t="s">
        <v>191</v>
      </c>
      <c r="U725">
        <v>28034</v>
      </c>
      <c r="V725" t="s">
        <v>192</v>
      </c>
      <c r="W725" t="s">
        <v>56</v>
      </c>
      <c r="X725" t="s">
        <v>193</v>
      </c>
      <c r="Y725" t="s">
        <v>194</v>
      </c>
      <c r="Z725" t="s">
        <v>50</v>
      </c>
    </row>
    <row r="726" spans="1:26" x14ac:dyDescent="0.3">
      <c r="A726">
        <v>10370</v>
      </c>
      <c r="B726">
        <v>22</v>
      </c>
      <c r="C726">
        <v>100</v>
      </c>
      <c r="D726">
        <v>5</v>
      </c>
      <c r="E726">
        <v>3949</v>
      </c>
      <c r="F726" s="1">
        <v>38372</v>
      </c>
      <c r="G726" t="s">
        <v>39</v>
      </c>
      <c r="H726">
        <v>1</v>
      </c>
      <c r="I726">
        <v>1</v>
      </c>
      <c r="J726" t="str">
        <f>TEXT(DATE(2012,Table1[[#This Row],[MONTH_ID]],10),"mmm")</f>
        <v>Jan</v>
      </c>
      <c r="K726">
        <v>2005</v>
      </c>
      <c r="L726" t="s">
        <v>518</v>
      </c>
      <c r="M726">
        <v>122</v>
      </c>
      <c r="N726" t="s">
        <v>603</v>
      </c>
      <c r="O726" t="s">
        <v>299</v>
      </c>
      <c r="P726" t="s">
        <v>300</v>
      </c>
      <c r="Q726" t="s">
        <v>301</v>
      </c>
      <c r="R726" t="s">
        <v>302</v>
      </c>
      <c r="S726" t="s">
        <v>303</v>
      </c>
      <c r="T726" t="s">
        <v>171</v>
      </c>
      <c r="U726">
        <v>2060</v>
      </c>
      <c r="V726" t="s">
        <v>109</v>
      </c>
      <c r="W726" t="s">
        <v>110</v>
      </c>
      <c r="X726" t="s">
        <v>304</v>
      </c>
      <c r="Y726" t="s">
        <v>305</v>
      </c>
      <c r="Z726" t="s">
        <v>65</v>
      </c>
    </row>
    <row r="727" spans="1:26" x14ac:dyDescent="0.3">
      <c r="A727">
        <v>10383</v>
      </c>
      <c r="B727">
        <v>27</v>
      </c>
      <c r="C727">
        <v>100</v>
      </c>
      <c r="D727">
        <v>11</v>
      </c>
      <c r="E727">
        <v>3843.99</v>
      </c>
      <c r="F727" s="1">
        <v>38405</v>
      </c>
      <c r="G727" t="s">
        <v>39</v>
      </c>
      <c r="H727">
        <v>1</v>
      </c>
      <c r="I727">
        <v>2</v>
      </c>
      <c r="J727" t="str">
        <f>TEXT(DATE(2012,Table1[[#This Row],[MONTH_ID]],10),"mmm")</f>
        <v>Feb</v>
      </c>
      <c r="K727">
        <v>2005</v>
      </c>
      <c r="L727" t="s">
        <v>518</v>
      </c>
      <c r="M727">
        <v>122</v>
      </c>
      <c r="N727" t="s">
        <v>603</v>
      </c>
      <c r="O727" t="s">
        <v>188</v>
      </c>
      <c r="P727" t="s">
        <v>189</v>
      </c>
      <c r="Q727" t="s">
        <v>190</v>
      </c>
      <c r="S727" t="s">
        <v>191</v>
      </c>
      <c r="U727">
        <v>28034</v>
      </c>
      <c r="V727" t="s">
        <v>192</v>
      </c>
      <c r="W727" t="s">
        <v>56</v>
      </c>
      <c r="X727" t="s">
        <v>193</v>
      </c>
      <c r="Y727" t="s">
        <v>194</v>
      </c>
      <c r="Z727" t="s">
        <v>65</v>
      </c>
    </row>
    <row r="728" spans="1:26" x14ac:dyDescent="0.3">
      <c r="A728">
        <v>10412</v>
      </c>
      <c r="B728">
        <v>56</v>
      </c>
      <c r="C728">
        <v>98.18</v>
      </c>
      <c r="D728">
        <v>8</v>
      </c>
      <c r="E728">
        <v>5498.08</v>
      </c>
      <c r="F728" s="1">
        <v>38475</v>
      </c>
      <c r="G728" t="s">
        <v>39</v>
      </c>
      <c r="H728">
        <v>2</v>
      </c>
      <c r="I728">
        <v>5</v>
      </c>
      <c r="J728" t="str">
        <f>TEXT(DATE(2012,Table1[[#This Row],[MONTH_ID]],10),"mmm")</f>
        <v>May</v>
      </c>
      <c r="K728">
        <v>2005</v>
      </c>
      <c r="L728" t="s">
        <v>518</v>
      </c>
      <c r="M728">
        <v>122</v>
      </c>
      <c r="N728" t="s">
        <v>603</v>
      </c>
      <c r="O728" t="s">
        <v>188</v>
      </c>
      <c r="P728" t="s">
        <v>189</v>
      </c>
      <c r="Q728" t="s">
        <v>190</v>
      </c>
      <c r="S728" t="s">
        <v>191</v>
      </c>
      <c r="U728">
        <v>28034</v>
      </c>
      <c r="V728" t="s">
        <v>192</v>
      </c>
      <c r="W728" t="s">
        <v>56</v>
      </c>
      <c r="X728" t="s">
        <v>193</v>
      </c>
      <c r="Y728" t="s">
        <v>194</v>
      </c>
      <c r="Z728" t="s">
        <v>65</v>
      </c>
    </row>
    <row r="729" spans="1:26" x14ac:dyDescent="0.3">
      <c r="A729">
        <v>10425</v>
      </c>
      <c r="B729">
        <v>38</v>
      </c>
      <c r="C729">
        <v>99.41</v>
      </c>
      <c r="D729">
        <v>7</v>
      </c>
      <c r="E729">
        <v>3777.58</v>
      </c>
      <c r="F729" s="1">
        <v>38503</v>
      </c>
      <c r="G729" t="s">
        <v>314</v>
      </c>
      <c r="H729">
        <v>2</v>
      </c>
      <c r="I729">
        <v>5</v>
      </c>
      <c r="J729" t="str">
        <f>TEXT(DATE(2012,Table1[[#This Row],[MONTH_ID]],10),"mmm")</f>
        <v>May</v>
      </c>
      <c r="K729">
        <v>2005</v>
      </c>
      <c r="L729" t="s">
        <v>518</v>
      </c>
      <c r="M729">
        <v>122</v>
      </c>
      <c r="N729" t="s">
        <v>603</v>
      </c>
      <c r="O729" t="s">
        <v>128</v>
      </c>
      <c r="P729" t="s">
        <v>129</v>
      </c>
      <c r="Q729" t="s">
        <v>130</v>
      </c>
      <c r="S729" t="s">
        <v>131</v>
      </c>
      <c r="U729">
        <v>44000</v>
      </c>
      <c r="V729" t="s">
        <v>55</v>
      </c>
      <c r="W729" t="s">
        <v>56</v>
      </c>
      <c r="X729" t="s">
        <v>132</v>
      </c>
      <c r="Y729" t="s">
        <v>133</v>
      </c>
      <c r="Z729" t="s">
        <v>65</v>
      </c>
    </row>
    <row r="730" spans="1:26" x14ac:dyDescent="0.3">
      <c r="A730">
        <v>10101</v>
      </c>
      <c r="B730">
        <v>25</v>
      </c>
      <c r="C730">
        <v>100</v>
      </c>
      <c r="D730">
        <v>4</v>
      </c>
      <c r="E730">
        <v>3782</v>
      </c>
      <c r="F730" s="1">
        <v>37630</v>
      </c>
      <c r="G730" t="s">
        <v>39</v>
      </c>
      <c r="H730">
        <v>1</v>
      </c>
      <c r="I730">
        <v>1</v>
      </c>
      <c r="J730" t="str">
        <f>TEXT(DATE(2012,Table1[[#This Row],[MONTH_ID]],10),"mmm")</f>
        <v>Jan</v>
      </c>
      <c r="K730">
        <v>2003</v>
      </c>
      <c r="L730" t="s">
        <v>564</v>
      </c>
      <c r="M730">
        <v>127</v>
      </c>
      <c r="N730" t="s">
        <v>604</v>
      </c>
      <c r="O730" t="s">
        <v>476</v>
      </c>
      <c r="P730" t="s">
        <v>477</v>
      </c>
      <c r="Q730" t="s">
        <v>478</v>
      </c>
      <c r="S730" t="s">
        <v>479</v>
      </c>
      <c r="U730">
        <v>60528</v>
      </c>
      <c r="V730" t="s">
        <v>457</v>
      </c>
      <c r="W730" t="s">
        <v>56</v>
      </c>
      <c r="X730" t="s">
        <v>480</v>
      </c>
      <c r="Y730" t="s">
        <v>428</v>
      </c>
      <c r="Z730" t="s">
        <v>65</v>
      </c>
    </row>
    <row r="731" spans="1:26" x14ac:dyDescent="0.3">
      <c r="A731">
        <v>10110</v>
      </c>
      <c r="B731">
        <v>33</v>
      </c>
      <c r="C731">
        <v>100</v>
      </c>
      <c r="D731">
        <v>4</v>
      </c>
      <c r="E731">
        <v>3859.68</v>
      </c>
      <c r="F731" s="1">
        <v>37698</v>
      </c>
      <c r="G731" t="s">
        <v>39</v>
      </c>
      <c r="H731">
        <v>1</v>
      </c>
      <c r="I731">
        <v>3</v>
      </c>
      <c r="J731" t="str">
        <f>TEXT(DATE(2012,Table1[[#This Row],[MONTH_ID]],10),"mmm")</f>
        <v>Mar</v>
      </c>
      <c r="K731">
        <v>2003</v>
      </c>
      <c r="L731" t="s">
        <v>564</v>
      </c>
      <c r="M731">
        <v>127</v>
      </c>
      <c r="N731" t="s">
        <v>604</v>
      </c>
      <c r="O731" t="s">
        <v>506</v>
      </c>
      <c r="P731" t="s">
        <v>507</v>
      </c>
      <c r="Q731" t="s">
        <v>508</v>
      </c>
      <c r="S731" t="s">
        <v>509</v>
      </c>
      <c r="U731" t="s">
        <v>510</v>
      </c>
      <c r="V731" t="s">
        <v>184</v>
      </c>
      <c r="W731" t="s">
        <v>56</v>
      </c>
      <c r="X731" t="s">
        <v>511</v>
      </c>
      <c r="Y731" t="s">
        <v>108</v>
      </c>
      <c r="Z731" t="s">
        <v>65</v>
      </c>
    </row>
    <row r="732" spans="1:26" x14ac:dyDescent="0.3">
      <c r="A732">
        <v>10124</v>
      </c>
      <c r="B732">
        <v>42</v>
      </c>
      <c r="C732">
        <v>100</v>
      </c>
      <c r="D732">
        <v>3</v>
      </c>
      <c r="E732">
        <v>4431.84</v>
      </c>
      <c r="F732" s="1">
        <v>37762</v>
      </c>
      <c r="G732" t="s">
        <v>39</v>
      </c>
      <c r="H732">
        <v>2</v>
      </c>
      <c r="I732">
        <v>5</v>
      </c>
      <c r="J732" t="str">
        <f>TEXT(DATE(2012,Table1[[#This Row],[MONTH_ID]],10),"mmm")</f>
        <v>May</v>
      </c>
      <c r="K732">
        <v>2003</v>
      </c>
      <c r="L732" t="s">
        <v>564</v>
      </c>
      <c r="M732">
        <v>127</v>
      </c>
      <c r="N732" t="s">
        <v>604</v>
      </c>
      <c r="O732" t="s">
        <v>553</v>
      </c>
      <c r="P732">
        <v>7025551838</v>
      </c>
      <c r="Q732" t="s">
        <v>554</v>
      </c>
      <c r="S732" t="s">
        <v>555</v>
      </c>
      <c r="T732" t="s">
        <v>556</v>
      </c>
      <c r="U732">
        <v>83030</v>
      </c>
      <c r="V732" t="s">
        <v>46</v>
      </c>
      <c r="W732" t="s">
        <v>47</v>
      </c>
      <c r="X732" t="s">
        <v>127</v>
      </c>
      <c r="Y732" t="s">
        <v>414</v>
      </c>
      <c r="Z732" t="s">
        <v>65</v>
      </c>
    </row>
    <row r="733" spans="1:26" x14ac:dyDescent="0.3">
      <c r="A733">
        <v>10149</v>
      </c>
      <c r="B733">
        <v>33</v>
      </c>
      <c r="C733">
        <v>100</v>
      </c>
      <c r="D733">
        <v>8</v>
      </c>
      <c r="E733">
        <v>4950.33</v>
      </c>
      <c r="F733" s="1">
        <v>37876</v>
      </c>
      <c r="G733" t="s">
        <v>39</v>
      </c>
      <c r="H733">
        <v>3</v>
      </c>
      <c r="I733">
        <v>9</v>
      </c>
      <c r="J733" t="str">
        <f>TEXT(DATE(2012,Table1[[#This Row],[MONTH_ID]],10),"mmm")</f>
        <v>Sep</v>
      </c>
      <c r="K733">
        <v>2003</v>
      </c>
      <c r="L733" t="s">
        <v>564</v>
      </c>
      <c r="M733">
        <v>127</v>
      </c>
      <c r="N733" t="s">
        <v>604</v>
      </c>
      <c r="O733" t="s">
        <v>540</v>
      </c>
      <c r="P733">
        <v>4155554312</v>
      </c>
      <c r="Q733" t="s">
        <v>541</v>
      </c>
      <c r="S733" t="s">
        <v>542</v>
      </c>
      <c r="T733" t="s">
        <v>69</v>
      </c>
      <c r="U733">
        <v>94217</v>
      </c>
      <c r="V733" t="s">
        <v>46</v>
      </c>
      <c r="W733" t="s">
        <v>47</v>
      </c>
      <c r="X733" t="s">
        <v>543</v>
      </c>
      <c r="Y733" t="s">
        <v>414</v>
      </c>
      <c r="Z733" t="s">
        <v>65</v>
      </c>
    </row>
    <row r="734" spans="1:26" x14ac:dyDescent="0.3">
      <c r="A734">
        <v>10162</v>
      </c>
      <c r="B734">
        <v>38</v>
      </c>
      <c r="C734">
        <v>100</v>
      </c>
      <c r="D734">
        <v>6</v>
      </c>
      <c r="E734">
        <v>4299.7</v>
      </c>
      <c r="F734" s="1">
        <v>37912</v>
      </c>
      <c r="G734" t="s">
        <v>39</v>
      </c>
      <c r="H734">
        <v>4</v>
      </c>
      <c r="I734">
        <v>10</v>
      </c>
      <c r="J734" t="str">
        <f>TEXT(DATE(2012,Table1[[#This Row],[MONTH_ID]],10),"mmm")</f>
        <v>Oct</v>
      </c>
      <c r="K734">
        <v>2003</v>
      </c>
      <c r="L734" t="s">
        <v>564</v>
      </c>
      <c r="M734">
        <v>127</v>
      </c>
      <c r="N734" t="s">
        <v>604</v>
      </c>
      <c r="O734" t="s">
        <v>72</v>
      </c>
      <c r="P734">
        <v>6505551386</v>
      </c>
      <c r="Q734" t="s">
        <v>73</v>
      </c>
      <c r="S734" t="s">
        <v>74</v>
      </c>
      <c r="T734" t="s">
        <v>69</v>
      </c>
      <c r="V734" t="s">
        <v>46</v>
      </c>
      <c r="W734" t="s">
        <v>47</v>
      </c>
      <c r="X734" t="s">
        <v>75</v>
      </c>
      <c r="Y734" t="s">
        <v>71</v>
      </c>
      <c r="Z734" t="s">
        <v>65</v>
      </c>
    </row>
    <row r="735" spans="1:26" x14ac:dyDescent="0.3">
      <c r="A735">
        <v>10173</v>
      </c>
      <c r="B735">
        <v>31</v>
      </c>
      <c r="C735">
        <v>100</v>
      </c>
      <c r="D735">
        <v>10</v>
      </c>
      <c r="E735">
        <v>4492.83</v>
      </c>
      <c r="F735" s="1">
        <v>37930</v>
      </c>
      <c r="G735" t="s">
        <v>39</v>
      </c>
      <c r="H735">
        <v>4</v>
      </c>
      <c r="I735">
        <v>11</v>
      </c>
      <c r="J735" t="str">
        <f>TEXT(DATE(2012,Table1[[#This Row],[MONTH_ID]],10),"mmm")</f>
        <v>Nov</v>
      </c>
      <c r="K735">
        <v>2003</v>
      </c>
      <c r="L735" t="s">
        <v>564</v>
      </c>
      <c r="M735">
        <v>127</v>
      </c>
      <c r="N735" t="s">
        <v>604</v>
      </c>
      <c r="O735" t="s">
        <v>566</v>
      </c>
      <c r="P735" t="s">
        <v>567</v>
      </c>
      <c r="Q735" t="s">
        <v>568</v>
      </c>
      <c r="S735" t="s">
        <v>569</v>
      </c>
      <c r="U735">
        <v>24100</v>
      </c>
      <c r="V735" t="s">
        <v>272</v>
      </c>
      <c r="W735" t="s">
        <v>56</v>
      </c>
      <c r="X735" t="s">
        <v>570</v>
      </c>
      <c r="Y735" t="s">
        <v>571</v>
      </c>
      <c r="Z735" t="s">
        <v>65</v>
      </c>
    </row>
    <row r="736" spans="1:26" x14ac:dyDescent="0.3">
      <c r="A736">
        <v>10182</v>
      </c>
      <c r="B736">
        <v>20</v>
      </c>
      <c r="C736">
        <v>100</v>
      </c>
      <c r="D736">
        <v>7</v>
      </c>
      <c r="E736">
        <v>2212</v>
      </c>
      <c r="F736" s="1">
        <v>37937</v>
      </c>
      <c r="G736" t="s">
        <v>39</v>
      </c>
      <c r="H736">
        <v>4</v>
      </c>
      <c r="I736">
        <v>11</v>
      </c>
      <c r="J736" t="str">
        <f>TEXT(DATE(2012,Table1[[#This Row],[MONTH_ID]],10),"mmm")</f>
        <v>Nov</v>
      </c>
      <c r="K736">
        <v>2003</v>
      </c>
      <c r="L736" t="s">
        <v>564</v>
      </c>
      <c r="M736">
        <v>127</v>
      </c>
      <c r="N736" t="s">
        <v>604</v>
      </c>
      <c r="O736" t="s">
        <v>286</v>
      </c>
      <c r="P736">
        <v>4155551450</v>
      </c>
      <c r="Q736" t="s">
        <v>287</v>
      </c>
      <c r="S736" t="s">
        <v>288</v>
      </c>
      <c r="T736" t="s">
        <v>69</v>
      </c>
      <c r="U736">
        <v>97562</v>
      </c>
      <c r="V736" t="s">
        <v>46</v>
      </c>
      <c r="W736" t="s">
        <v>47</v>
      </c>
      <c r="X736" t="s">
        <v>289</v>
      </c>
      <c r="Y736" t="s">
        <v>290</v>
      </c>
      <c r="Z736" t="s">
        <v>50</v>
      </c>
    </row>
    <row r="737" spans="1:26" x14ac:dyDescent="0.3">
      <c r="A737">
        <v>10193</v>
      </c>
      <c r="B737">
        <v>44</v>
      </c>
      <c r="C737">
        <v>100</v>
      </c>
      <c r="D737">
        <v>11</v>
      </c>
      <c r="E737">
        <v>4642.88</v>
      </c>
      <c r="F737" s="1">
        <v>37946</v>
      </c>
      <c r="G737" t="s">
        <v>39</v>
      </c>
      <c r="H737">
        <v>4</v>
      </c>
      <c r="I737">
        <v>11</v>
      </c>
      <c r="J737" t="str">
        <f>TEXT(DATE(2012,Table1[[#This Row],[MONTH_ID]],10),"mmm")</f>
        <v>Nov</v>
      </c>
      <c r="K737">
        <v>2003</v>
      </c>
      <c r="L737" t="s">
        <v>564</v>
      </c>
      <c r="M737">
        <v>127</v>
      </c>
      <c r="N737" t="s">
        <v>604</v>
      </c>
      <c r="O737" t="s">
        <v>572</v>
      </c>
      <c r="P737" t="s">
        <v>573</v>
      </c>
      <c r="Q737" t="s">
        <v>574</v>
      </c>
      <c r="S737" t="s">
        <v>575</v>
      </c>
      <c r="T737" t="s">
        <v>108</v>
      </c>
      <c r="U737">
        <v>3150</v>
      </c>
      <c r="V737" t="s">
        <v>109</v>
      </c>
      <c r="W737" t="s">
        <v>110</v>
      </c>
      <c r="X737" t="s">
        <v>576</v>
      </c>
      <c r="Y737" t="s">
        <v>577</v>
      </c>
      <c r="Z737" t="s">
        <v>65</v>
      </c>
    </row>
    <row r="738" spans="1:26" x14ac:dyDescent="0.3">
      <c r="A738">
        <v>10204</v>
      </c>
      <c r="B738">
        <v>26</v>
      </c>
      <c r="C738">
        <v>100</v>
      </c>
      <c r="D738">
        <v>1</v>
      </c>
      <c r="E738">
        <v>3206.32</v>
      </c>
      <c r="F738" s="1">
        <v>37957</v>
      </c>
      <c r="G738" t="s">
        <v>39</v>
      </c>
      <c r="H738">
        <v>4</v>
      </c>
      <c r="I738">
        <v>12</v>
      </c>
      <c r="J738" t="str">
        <f>TEXT(DATE(2012,Table1[[#This Row],[MONTH_ID]],10),"mmm")</f>
        <v>Dec</v>
      </c>
      <c r="K738">
        <v>2003</v>
      </c>
      <c r="L738" t="s">
        <v>564</v>
      </c>
      <c r="M738">
        <v>127</v>
      </c>
      <c r="N738" t="s">
        <v>604</v>
      </c>
      <c r="O738" t="s">
        <v>489</v>
      </c>
      <c r="P738">
        <v>2125557413</v>
      </c>
      <c r="Q738" t="s">
        <v>490</v>
      </c>
      <c r="R738" t="s">
        <v>491</v>
      </c>
      <c r="S738" t="s">
        <v>44</v>
      </c>
      <c r="T738" t="s">
        <v>45</v>
      </c>
      <c r="U738">
        <v>10022</v>
      </c>
      <c r="V738" t="s">
        <v>46</v>
      </c>
      <c r="W738" t="s">
        <v>47</v>
      </c>
      <c r="X738" t="s">
        <v>70</v>
      </c>
      <c r="Y738" t="s">
        <v>492</v>
      </c>
      <c r="Z738" t="s">
        <v>65</v>
      </c>
    </row>
    <row r="739" spans="1:26" x14ac:dyDescent="0.3">
      <c r="A739">
        <v>10214</v>
      </c>
      <c r="B739">
        <v>27</v>
      </c>
      <c r="C739">
        <v>100</v>
      </c>
      <c r="D739">
        <v>4</v>
      </c>
      <c r="E739">
        <v>3604.23</v>
      </c>
      <c r="F739" s="1">
        <v>38012</v>
      </c>
      <c r="G739" t="s">
        <v>39</v>
      </c>
      <c r="H739">
        <v>1</v>
      </c>
      <c r="I739">
        <v>1</v>
      </c>
      <c r="J739" t="str">
        <f>TEXT(DATE(2012,Table1[[#This Row],[MONTH_ID]],10),"mmm")</f>
        <v>Jan</v>
      </c>
      <c r="K739">
        <v>2004</v>
      </c>
      <c r="L739" t="s">
        <v>564</v>
      </c>
      <c r="M739">
        <v>127</v>
      </c>
      <c r="N739" t="s">
        <v>604</v>
      </c>
      <c r="O739" t="s">
        <v>205</v>
      </c>
      <c r="P739" t="s">
        <v>206</v>
      </c>
      <c r="Q739" t="s">
        <v>207</v>
      </c>
      <c r="S739" t="s">
        <v>191</v>
      </c>
      <c r="U739">
        <v>28023</v>
      </c>
      <c r="V739" t="s">
        <v>192</v>
      </c>
      <c r="W739" t="s">
        <v>56</v>
      </c>
      <c r="X739" t="s">
        <v>208</v>
      </c>
      <c r="Y739" t="s">
        <v>209</v>
      </c>
      <c r="Z739" t="s">
        <v>65</v>
      </c>
    </row>
    <row r="740" spans="1:26" x14ac:dyDescent="0.3">
      <c r="A740">
        <v>10227</v>
      </c>
      <c r="B740">
        <v>46</v>
      </c>
      <c r="C740">
        <v>100</v>
      </c>
      <c r="D740">
        <v>7</v>
      </c>
      <c r="E740">
        <v>7017.76</v>
      </c>
      <c r="F740" s="1">
        <v>38048</v>
      </c>
      <c r="G740" t="s">
        <v>39</v>
      </c>
      <c r="H740">
        <v>1</v>
      </c>
      <c r="I740">
        <v>3</v>
      </c>
      <c r="J740" t="str">
        <f>TEXT(DATE(2012,Table1[[#This Row],[MONTH_ID]],10),"mmm")</f>
        <v>Mar</v>
      </c>
      <c r="K740">
        <v>2004</v>
      </c>
      <c r="L740" t="s">
        <v>564</v>
      </c>
      <c r="M740">
        <v>127</v>
      </c>
      <c r="N740" t="s">
        <v>604</v>
      </c>
      <c r="O740" t="s">
        <v>233</v>
      </c>
      <c r="P740" t="s">
        <v>234</v>
      </c>
      <c r="Q740" t="s">
        <v>235</v>
      </c>
      <c r="S740" t="s">
        <v>236</v>
      </c>
      <c r="U740">
        <v>69004</v>
      </c>
      <c r="V740" t="s">
        <v>55</v>
      </c>
      <c r="W740" t="s">
        <v>56</v>
      </c>
      <c r="X740" t="s">
        <v>237</v>
      </c>
      <c r="Y740" t="s">
        <v>238</v>
      </c>
      <c r="Z740" t="s">
        <v>165</v>
      </c>
    </row>
    <row r="741" spans="1:26" x14ac:dyDescent="0.3">
      <c r="A741">
        <v>10243</v>
      </c>
      <c r="B741">
        <v>47</v>
      </c>
      <c r="C741">
        <v>100</v>
      </c>
      <c r="D741">
        <v>2</v>
      </c>
      <c r="E741">
        <v>6154.18</v>
      </c>
      <c r="F741" s="1">
        <v>38103</v>
      </c>
      <c r="G741" t="s">
        <v>39</v>
      </c>
      <c r="H741">
        <v>2</v>
      </c>
      <c r="I741">
        <v>4</v>
      </c>
      <c r="J741" t="str">
        <f>TEXT(DATE(2012,Table1[[#This Row],[MONTH_ID]],10),"mmm")</f>
        <v>Apr</v>
      </c>
      <c r="K741">
        <v>2004</v>
      </c>
      <c r="L741" t="s">
        <v>564</v>
      </c>
      <c r="M741">
        <v>127</v>
      </c>
      <c r="N741" t="s">
        <v>604</v>
      </c>
      <c r="O741" t="s">
        <v>429</v>
      </c>
      <c r="P741">
        <v>6175552555</v>
      </c>
      <c r="Q741" t="s">
        <v>430</v>
      </c>
      <c r="S741" t="s">
        <v>395</v>
      </c>
      <c r="T741" t="s">
        <v>137</v>
      </c>
      <c r="U741">
        <v>51003</v>
      </c>
      <c r="V741" t="s">
        <v>46</v>
      </c>
      <c r="W741" t="s">
        <v>47</v>
      </c>
      <c r="X741" t="s">
        <v>431</v>
      </c>
      <c r="Y741" t="s">
        <v>290</v>
      </c>
      <c r="Z741" t="s">
        <v>65</v>
      </c>
    </row>
    <row r="742" spans="1:26" x14ac:dyDescent="0.3">
      <c r="A742">
        <v>10280</v>
      </c>
      <c r="B742">
        <v>37</v>
      </c>
      <c r="C742">
        <v>100</v>
      </c>
      <c r="D742">
        <v>13</v>
      </c>
      <c r="E742">
        <v>4750.8</v>
      </c>
      <c r="F742" s="1">
        <v>38216</v>
      </c>
      <c r="G742" t="s">
        <v>39</v>
      </c>
      <c r="H742">
        <v>3</v>
      </c>
      <c r="I742">
        <v>8</v>
      </c>
      <c r="J742" t="str">
        <f>TEXT(DATE(2012,Table1[[#This Row],[MONTH_ID]],10),"mmm")</f>
        <v>Aug</v>
      </c>
      <c r="K742">
        <v>2004</v>
      </c>
      <c r="L742" t="s">
        <v>564</v>
      </c>
      <c r="M742">
        <v>127</v>
      </c>
      <c r="N742" t="s">
        <v>604</v>
      </c>
      <c r="O742" t="s">
        <v>268</v>
      </c>
      <c r="P742" t="s">
        <v>269</v>
      </c>
      <c r="Q742" t="s">
        <v>270</v>
      </c>
      <c r="S742" t="s">
        <v>271</v>
      </c>
      <c r="U742">
        <v>10100</v>
      </c>
      <c r="V742" t="s">
        <v>272</v>
      </c>
      <c r="W742" t="s">
        <v>56</v>
      </c>
      <c r="X742" t="s">
        <v>273</v>
      </c>
      <c r="Y742" t="s">
        <v>274</v>
      </c>
      <c r="Z742" t="s">
        <v>65</v>
      </c>
    </row>
    <row r="743" spans="1:26" x14ac:dyDescent="0.3">
      <c r="A743">
        <v>10288</v>
      </c>
      <c r="B743">
        <v>31</v>
      </c>
      <c r="C743">
        <v>100</v>
      </c>
      <c r="D743">
        <v>2</v>
      </c>
      <c r="E743">
        <v>3822.92</v>
      </c>
      <c r="F743" s="1">
        <v>38231</v>
      </c>
      <c r="G743" t="s">
        <v>39</v>
      </c>
      <c r="H743">
        <v>3</v>
      </c>
      <c r="I743">
        <v>9</v>
      </c>
      <c r="J743" t="str">
        <f>TEXT(DATE(2012,Table1[[#This Row],[MONTH_ID]],10),"mmm")</f>
        <v>Sep</v>
      </c>
      <c r="K743">
        <v>2004</v>
      </c>
      <c r="L743" t="s">
        <v>564</v>
      </c>
      <c r="M743">
        <v>127</v>
      </c>
      <c r="N743" t="s">
        <v>604</v>
      </c>
      <c r="O743" t="s">
        <v>432</v>
      </c>
      <c r="P743" t="s">
        <v>433</v>
      </c>
      <c r="Q743" t="s">
        <v>434</v>
      </c>
      <c r="R743" t="s">
        <v>435</v>
      </c>
      <c r="S743" t="s">
        <v>213</v>
      </c>
      <c r="U743">
        <v>69045</v>
      </c>
      <c r="V743" t="s">
        <v>213</v>
      </c>
      <c r="W743" t="s">
        <v>110</v>
      </c>
      <c r="X743" t="s">
        <v>436</v>
      </c>
      <c r="Y743" t="s">
        <v>437</v>
      </c>
      <c r="Z743" t="s">
        <v>65</v>
      </c>
    </row>
    <row r="744" spans="1:26" x14ac:dyDescent="0.3">
      <c r="A744">
        <v>10304</v>
      </c>
      <c r="B744">
        <v>24</v>
      </c>
      <c r="C744">
        <v>100</v>
      </c>
      <c r="D744">
        <v>17</v>
      </c>
      <c r="E744">
        <v>2440.8000000000002</v>
      </c>
      <c r="F744" s="1">
        <v>38271</v>
      </c>
      <c r="G744" t="s">
        <v>39</v>
      </c>
      <c r="H744">
        <v>4</v>
      </c>
      <c r="I744">
        <v>10</v>
      </c>
      <c r="J744" t="str">
        <f>TEXT(DATE(2012,Table1[[#This Row],[MONTH_ID]],10),"mmm")</f>
        <v>Oct</v>
      </c>
      <c r="K744">
        <v>2004</v>
      </c>
      <c r="L744" t="s">
        <v>564</v>
      </c>
      <c r="M744">
        <v>127</v>
      </c>
      <c r="N744" t="s">
        <v>604</v>
      </c>
      <c r="O744" t="s">
        <v>281</v>
      </c>
      <c r="P744" t="s">
        <v>282</v>
      </c>
      <c r="Q744" t="s">
        <v>283</v>
      </c>
      <c r="S744" t="s">
        <v>284</v>
      </c>
      <c r="U744">
        <v>78000</v>
      </c>
      <c r="V744" t="s">
        <v>55</v>
      </c>
      <c r="W744" t="s">
        <v>56</v>
      </c>
      <c r="X744" t="s">
        <v>285</v>
      </c>
      <c r="Y744" t="s">
        <v>64</v>
      </c>
      <c r="Z744" t="s">
        <v>50</v>
      </c>
    </row>
    <row r="745" spans="1:26" x14ac:dyDescent="0.3">
      <c r="A745">
        <v>10312</v>
      </c>
      <c r="B745">
        <v>31</v>
      </c>
      <c r="C745">
        <v>100</v>
      </c>
      <c r="D745">
        <v>14</v>
      </c>
      <c r="E745">
        <v>4729.3599999999997</v>
      </c>
      <c r="F745" s="1">
        <v>38281</v>
      </c>
      <c r="G745" t="s">
        <v>39</v>
      </c>
      <c r="H745">
        <v>4</v>
      </c>
      <c r="I745">
        <v>10</v>
      </c>
      <c r="J745" t="str">
        <f>TEXT(DATE(2012,Table1[[#This Row],[MONTH_ID]],10),"mmm")</f>
        <v>Oct</v>
      </c>
      <c r="K745">
        <v>2004</v>
      </c>
      <c r="L745" t="s">
        <v>564</v>
      </c>
      <c r="M745">
        <v>127</v>
      </c>
      <c r="N745" t="s">
        <v>604</v>
      </c>
      <c r="O745" t="s">
        <v>286</v>
      </c>
      <c r="P745">
        <v>4155551450</v>
      </c>
      <c r="Q745" t="s">
        <v>287</v>
      </c>
      <c r="S745" t="s">
        <v>288</v>
      </c>
      <c r="T745" t="s">
        <v>69</v>
      </c>
      <c r="U745">
        <v>97562</v>
      </c>
      <c r="V745" t="s">
        <v>46</v>
      </c>
      <c r="W745" t="s">
        <v>47</v>
      </c>
      <c r="X745" t="s">
        <v>289</v>
      </c>
      <c r="Y745" t="s">
        <v>290</v>
      </c>
      <c r="Z745" t="s">
        <v>65</v>
      </c>
    </row>
    <row r="746" spans="1:26" x14ac:dyDescent="0.3">
      <c r="A746">
        <v>10322</v>
      </c>
      <c r="B746">
        <v>50</v>
      </c>
      <c r="C746">
        <v>100</v>
      </c>
      <c r="D746">
        <v>6</v>
      </c>
      <c r="E746">
        <v>12536.5</v>
      </c>
      <c r="F746" s="1">
        <v>38295</v>
      </c>
      <c r="G746" t="s">
        <v>39</v>
      </c>
      <c r="H746">
        <v>4</v>
      </c>
      <c r="I746">
        <v>11</v>
      </c>
      <c r="J746" t="str">
        <f>TEXT(DATE(2012,Table1[[#This Row],[MONTH_ID]],10),"mmm")</f>
        <v>Nov</v>
      </c>
      <c r="K746">
        <v>2004</v>
      </c>
      <c r="L746" t="s">
        <v>564</v>
      </c>
      <c r="M746">
        <v>127</v>
      </c>
      <c r="N746" t="s">
        <v>604</v>
      </c>
      <c r="O746" t="s">
        <v>291</v>
      </c>
      <c r="P746">
        <v>6035558647</v>
      </c>
      <c r="Q746" t="s">
        <v>292</v>
      </c>
      <c r="S746" t="s">
        <v>293</v>
      </c>
      <c r="T746" t="s">
        <v>294</v>
      </c>
      <c r="U746">
        <v>62005</v>
      </c>
      <c r="V746" t="s">
        <v>46</v>
      </c>
      <c r="W746" t="s">
        <v>47</v>
      </c>
      <c r="X746" t="s">
        <v>70</v>
      </c>
      <c r="Y746" t="s">
        <v>290</v>
      </c>
      <c r="Z746" t="s">
        <v>165</v>
      </c>
    </row>
    <row r="747" spans="1:26" x14ac:dyDescent="0.3">
      <c r="A747">
        <v>10332</v>
      </c>
      <c r="B747">
        <v>35</v>
      </c>
      <c r="C747">
        <v>64.69</v>
      </c>
      <c r="D747">
        <v>8</v>
      </c>
      <c r="E747">
        <v>2264.15</v>
      </c>
      <c r="F747" s="1">
        <v>38308</v>
      </c>
      <c r="G747" t="s">
        <v>39</v>
      </c>
      <c r="H747">
        <v>4</v>
      </c>
      <c r="I747">
        <v>11</v>
      </c>
      <c r="J747" t="str">
        <f>TEXT(DATE(2012,Table1[[#This Row],[MONTH_ID]],10),"mmm")</f>
        <v>Nov</v>
      </c>
      <c r="K747">
        <v>2004</v>
      </c>
      <c r="L747" t="s">
        <v>564</v>
      </c>
      <c r="M747">
        <v>127</v>
      </c>
      <c r="N747" t="s">
        <v>604</v>
      </c>
      <c r="O747" t="s">
        <v>506</v>
      </c>
      <c r="P747" t="s">
        <v>507</v>
      </c>
      <c r="Q747" t="s">
        <v>508</v>
      </c>
      <c r="S747" t="s">
        <v>509</v>
      </c>
      <c r="U747" t="s">
        <v>510</v>
      </c>
      <c r="V747" t="s">
        <v>184</v>
      </c>
      <c r="W747" t="s">
        <v>56</v>
      </c>
      <c r="X747" t="s">
        <v>511</v>
      </c>
      <c r="Y747" t="s">
        <v>108</v>
      </c>
      <c r="Z747" t="s">
        <v>50</v>
      </c>
    </row>
    <row r="748" spans="1:26" x14ac:dyDescent="0.3">
      <c r="A748">
        <v>10344</v>
      </c>
      <c r="B748">
        <v>30</v>
      </c>
      <c r="C748">
        <v>100</v>
      </c>
      <c r="D748">
        <v>3</v>
      </c>
      <c r="E748">
        <v>3928.2</v>
      </c>
      <c r="F748" s="1">
        <v>38316</v>
      </c>
      <c r="G748" t="s">
        <v>39</v>
      </c>
      <c r="H748">
        <v>4</v>
      </c>
      <c r="I748">
        <v>11</v>
      </c>
      <c r="J748" t="str">
        <f>TEXT(DATE(2012,Table1[[#This Row],[MONTH_ID]],10),"mmm")</f>
        <v>Nov</v>
      </c>
      <c r="K748">
        <v>2004</v>
      </c>
      <c r="L748" t="s">
        <v>564</v>
      </c>
      <c r="M748">
        <v>127</v>
      </c>
      <c r="N748" t="s">
        <v>604</v>
      </c>
      <c r="O748" t="s">
        <v>447</v>
      </c>
      <c r="P748" t="s">
        <v>448</v>
      </c>
      <c r="Q748" t="s">
        <v>449</v>
      </c>
      <c r="S748" t="s">
        <v>450</v>
      </c>
      <c r="U748">
        <v>13008</v>
      </c>
      <c r="V748" t="s">
        <v>55</v>
      </c>
      <c r="W748" t="s">
        <v>56</v>
      </c>
      <c r="X748" t="s">
        <v>451</v>
      </c>
      <c r="Y748" t="s">
        <v>452</v>
      </c>
      <c r="Z748" t="s">
        <v>65</v>
      </c>
    </row>
    <row r="749" spans="1:26" x14ac:dyDescent="0.3">
      <c r="A749">
        <v>10356</v>
      </c>
      <c r="B749">
        <v>29</v>
      </c>
      <c r="C749">
        <v>100</v>
      </c>
      <c r="D749">
        <v>3</v>
      </c>
      <c r="E749">
        <v>3630.22</v>
      </c>
      <c r="F749" s="1">
        <v>38330</v>
      </c>
      <c r="G749" t="s">
        <v>39</v>
      </c>
      <c r="H749">
        <v>4</v>
      </c>
      <c r="I749">
        <v>12</v>
      </c>
      <c r="J749" t="str">
        <f>TEXT(DATE(2012,Table1[[#This Row],[MONTH_ID]],10),"mmm")</f>
        <v>Dec</v>
      </c>
      <c r="K749">
        <v>2004</v>
      </c>
      <c r="L749" t="s">
        <v>564</v>
      </c>
      <c r="M749">
        <v>127</v>
      </c>
      <c r="N749" t="s">
        <v>604</v>
      </c>
      <c r="O749" t="s">
        <v>59</v>
      </c>
      <c r="P749" t="s">
        <v>60</v>
      </c>
      <c r="Q749" t="s">
        <v>61</v>
      </c>
      <c r="S749" t="s">
        <v>62</v>
      </c>
      <c r="U749">
        <v>75508</v>
      </c>
      <c r="V749" t="s">
        <v>55</v>
      </c>
      <c r="W749" t="s">
        <v>56</v>
      </c>
      <c r="X749" t="s">
        <v>63</v>
      </c>
      <c r="Y749" t="s">
        <v>64</v>
      </c>
      <c r="Z749" t="s">
        <v>65</v>
      </c>
    </row>
    <row r="750" spans="1:26" x14ac:dyDescent="0.3">
      <c r="A750">
        <v>10367</v>
      </c>
      <c r="B750">
        <v>27</v>
      </c>
      <c r="C750">
        <v>100</v>
      </c>
      <c r="D750">
        <v>5</v>
      </c>
      <c r="E750">
        <v>4196.07</v>
      </c>
      <c r="F750" s="1">
        <v>38364</v>
      </c>
      <c r="G750" t="s">
        <v>422</v>
      </c>
      <c r="H750">
        <v>1</v>
      </c>
      <c r="I750">
        <v>1</v>
      </c>
      <c r="J750" t="str">
        <f>TEXT(DATE(2012,Table1[[#This Row],[MONTH_ID]],10),"mmm")</f>
        <v>Jan</v>
      </c>
      <c r="K750">
        <v>2005</v>
      </c>
      <c r="L750" t="s">
        <v>564</v>
      </c>
      <c r="M750">
        <v>127</v>
      </c>
      <c r="N750" t="s">
        <v>604</v>
      </c>
      <c r="O750" t="s">
        <v>66</v>
      </c>
      <c r="P750">
        <v>6265557265</v>
      </c>
      <c r="Q750" t="s">
        <v>67</v>
      </c>
      <c r="S750" t="s">
        <v>68</v>
      </c>
      <c r="T750" t="s">
        <v>69</v>
      </c>
      <c r="U750">
        <v>90003</v>
      </c>
      <c r="V750" t="s">
        <v>46</v>
      </c>
      <c r="W750" t="s">
        <v>47</v>
      </c>
      <c r="X750" t="s">
        <v>70</v>
      </c>
      <c r="Y750" t="s">
        <v>71</v>
      </c>
      <c r="Z750" t="s">
        <v>65</v>
      </c>
    </row>
    <row r="751" spans="1:26" x14ac:dyDescent="0.3">
      <c r="A751">
        <v>10380</v>
      </c>
      <c r="B751">
        <v>40</v>
      </c>
      <c r="C751">
        <v>100</v>
      </c>
      <c r="D751">
        <v>10</v>
      </c>
      <c r="E751">
        <v>4931.6000000000004</v>
      </c>
      <c r="F751" s="1">
        <v>38399</v>
      </c>
      <c r="G751" t="s">
        <v>39</v>
      </c>
      <c r="H751">
        <v>1</v>
      </c>
      <c r="I751">
        <v>2</v>
      </c>
      <c r="J751" t="str">
        <f>TEXT(DATE(2012,Table1[[#This Row],[MONTH_ID]],10),"mmm")</f>
        <v>Feb</v>
      </c>
      <c r="K751">
        <v>2005</v>
      </c>
      <c r="L751" t="s">
        <v>564</v>
      </c>
      <c r="M751">
        <v>127</v>
      </c>
      <c r="N751" t="s">
        <v>604</v>
      </c>
      <c r="O751" t="s">
        <v>188</v>
      </c>
      <c r="P751" t="s">
        <v>189</v>
      </c>
      <c r="Q751" t="s">
        <v>190</v>
      </c>
      <c r="S751" t="s">
        <v>191</v>
      </c>
      <c r="U751">
        <v>28034</v>
      </c>
      <c r="V751" t="s">
        <v>192</v>
      </c>
      <c r="W751" t="s">
        <v>56</v>
      </c>
      <c r="X751" t="s">
        <v>193</v>
      </c>
      <c r="Y751" t="s">
        <v>194</v>
      </c>
      <c r="Z751" t="s">
        <v>65</v>
      </c>
    </row>
    <row r="752" spans="1:26" x14ac:dyDescent="0.3">
      <c r="A752">
        <v>10390</v>
      </c>
      <c r="B752">
        <v>31</v>
      </c>
      <c r="C752">
        <v>98.99</v>
      </c>
      <c r="D752">
        <v>16</v>
      </c>
      <c r="E752">
        <v>3068.69</v>
      </c>
      <c r="F752" s="1">
        <v>38415</v>
      </c>
      <c r="G752" t="s">
        <v>39</v>
      </c>
      <c r="H752">
        <v>1</v>
      </c>
      <c r="I752">
        <v>3</v>
      </c>
      <c r="J752" t="str">
        <f>TEXT(DATE(2012,Table1[[#This Row],[MONTH_ID]],10),"mmm")</f>
        <v>Mar</v>
      </c>
      <c r="K752">
        <v>2005</v>
      </c>
      <c r="L752" t="s">
        <v>564</v>
      </c>
      <c r="M752">
        <v>127</v>
      </c>
      <c r="N752" t="s">
        <v>604</v>
      </c>
      <c r="O752" t="s">
        <v>286</v>
      </c>
      <c r="P752">
        <v>4155551450</v>
      </c>
      <c r="Q752" t="s">
        <v>287</v>
      </c>
      <c r="S752" t="s">
        <v>288</v>
      </c>
      <c r="T752" t="s">
        <v>69</v>
      </c>
      <c r="U752">
        <v>97562</v>
      </c>
      <c r="V752" t="s">
        <v>46</v>
      </c>
      <c r="W752" t="s">
        <v>47</v>
      </c>
      <c r="X752" t="s">
        <v>289</v>
      </c>
      <c r="Y752" t="s">
        <v>290</v>
      </c>
      <c r="Z752" t="s">
        <v>65</v>
      </c>
    </row>
    <row r="753" spans="1:26" x14ac:dyDescent="0.3">
      <c r="A753">
        <v>10409</v>
      </c>
      <c r="B753">
        <v>6</v>
      </c>
      <c r="C753">
        <v>100</v>
      </c>
      <c r="D753">
        <v>2</v>
      </c>
      <c r="E753">
        <v>785.64</v>
      </c>
      <c r="F753" s="1">
        <v>38465</v>
      </c>
      <c r="G753" t="s">
        <v>39</v>
      </c>
      <c r="H753">
        <v>2</v>
      </c>
      <c r="I753">
        <v>4</v>
      </c>
      <c r="J753" t="str">
        <f>TEXT(DATE(2012,Table1[[#This Row],[MONTH_ID]],10),"mmm")</f>
        <v>Apr</v>
      </c>
      <c r="K753">
        <v>2005</v>
      </c>
      <c r="L753" t="s">
        <v>564</v>
      </c>
      <c r="M753">
        <v>127</v>
      </c>
      <c r="N753" t="s">
        <v>604</v>
      </c>
      <c r="O753" t="s">
        <v>432</v>
      </c>
      <c r="P753" t="s">
        <v>433</v>
      </c>
      <c r="Q753" t="s">
        <v>434</v>
      </c>
      <c r="R753" t="s">
        <v>435</v>
      </c>
      <c r="S753" t="s">
        <v>213</v>
      </c>
      <c r="U753">
        <v>69045</v>
      </c>
      <c r="V753" t="s">
        <v>213</v>
      </c>
      <c r="W753" t="s">
        <v>110</v>
      </c>
      <c r="X753" t="s">
        <v>436</v>
      </c>
      <c r="Y753" t="s">
        <v>437</v>
      </c>
      <c r="Z753" t="s">
        <v>50</v>
      </c>
    </row>
    <row r="754" spans="1:26" x14ac:dyDescent="0.3">
      <c r="A754">
        <v>10420</v>
      </c>
      <c r="B754">
        <v>45</v>
      </c>
      <c r="C754">
        <v>100</v>
      </c>
      <c r="D754">
        <v>2</v>
      </c>
      <c r="E754">
        <v>4977</v>
      </c>
      <c r="F754" s="1">
        <v>38501</v>
      </c>
      <c r="G754" t="s">
        <v>314</v>
      </c>
      <c r="H754">
        <v>2</v>
      </c>
      <c r="I754">
        <v>5</v>
      </c>
      <c r="J754" t="str">
        <f>TEXT(DATE(2012,Table1[[#This Row],[MONTH_ID]],10),"mmm")</f>
        <v>May</v>
      </c>
      <c r="K754">
        <v>2005</v>
      </c>
      <c r="L754" t="s">
        <v>564</v>
      </c>
      <c r="M754">
        <v>127</v>
      </c>
      <c r="N754" t="s">
        <v>604</v>
      </c>
      <c r="O754" t="s">
        <v>166</v>
      </c>
      <c r="P754" t="s">
        <v>167</v>
      </c>
      <c r="Q754" t="s">
        <v>168</v>
      </c>
      <c r="R754" t="s">
        <v>169</v>
      </c>
      <c r="S754" t="s">
        <v>170</v>
      </c>
      <c r="T754" t="s">
        <v>171</v>
      </c>
      <c r="U754">
        <v>2067</v>
      </c>
      <c r="V754" t="s">
        <v>109</v>
      </c>
      <c r="W754" t="s">
        <v>110</v>
      </c>
      <c r="X754" t="s">
        <v>172</v>
      </c>
      <c r="Y754" t="s">
        <v>173</v>
      </c>
      <c r="Z754" t="s">
        <v>65</v>
      </c>
    </row>
    <row r="755" spans="1:26" x14ac:dyDescent="0.3">
      <c r="A755">
        <v>10103</v>
      </c>
      <c r="B755">
        <v>22</v>
      </c>
      <c r="C755">
        <v>54.09</v>
      </c>
      <c r="D755">
        <v>2</v>
      </c>
      <c r="E755">
        <v>1189.98</v>
      </c>
      <c r="F755" s="1">
        <v>37650</v>
      </c>
      <c r="G755" t="s">
        <v>39</v>
      </c>
      <c r="H755">
        <v>1</v>
      </c>
      <c r="I755">
        <v>1</v>
      </c>
      <c r="J755" t="str">
        <f>TEXT(DATE(2012,Table1[[#This Row],[MONTH_ID]],10),"mmm")</f>
        <v>Jan</v>
      </c>
      <c r="K755">
        <v>2003</v>
      </c>
      <c r="L755" t="s">
        <v>518</v>
      </c>
      <c r="M755">
        <v>60</v>
      </c>
      <c r="N755" t="s">
        <v>605</v>
      </c>
      <c r="O755" t="s">
        <v>147</v>
      </c>
      <c r="P755" t="s">
        <v>148</v>
      </c>
      <c r="Q755" t="s">
        <v>149</v>
      </c>
      <c r="S755" t="s">
        <v>150</v>
      </c>
      <c r="U755">
        <v>4110</v>
      </c>
      <c r="V755" t="s">
        <v>92</v>
      </c>
      <c r="W755" t="s">
        <v>56</v>
      </c>
      <c r="X755" t="s">
        <v>151</v>
      </c>
      <c r="Y755" t="s">
        <v>152</v>
      </c>
      <c r="Z755" t="s">
        <v>50</v>
      </c>
    </row>
    <row r="756" spans="1:26" x14ac:dyDescent="0.3">
      <c r="A756">
        <v>10114</v>
      </c>
      <c r="B756">
        <v>45</v>
      </c>
      <c r="C756">
        <v>68.67</v>
      </c>
      <c r="D756">
        <v>6</v>
      </c>
      <c r="E756">
        <v>3090.15</v>
      </c>
      <c r="F756" s="1">
        <v>37712</v>
      </c>
      <c r="G756" t="s">
        <v>39</v>
      </c>
      <c r="H756">
        <v>2</v>
      </c>
      <c r="I756">
        <v>4</v>
      </c>
      <c r="J756" t="str">
        <f>TEXT(DATE(2012,Table1[[#This Row],[MONTH_ID]],10),"mmm")</f>
        <v>Apr</v>
      </c>
      <c r="K756">
        <v>2003</v>
      </c>
      <c r="L756" t="s">
        <v>518</v>
      </c>
      <c r="M756">
        <v>60</v>
      </c>
      <c r="N756" t="s">
        <v>605</v>
      </c>
      <c r="O756" t="s">
        <v>417</v>
      </c>
      <c r="P756" t="s">
        <v>418</v>
      </c>
      <c r="Q756" t="s">
        <v>419</v>
      </c>
      <c r="S756" t="s">
        <v>62</v>
      </c>
      <c r="U756">
        <v>75012</v>
      </c>
      <c r="V756" t="s">
        <v>55</v>
      </c>
      <c r="W756" t="s">
        <v>56</v>
      </c>
      <c r="X756" t="s">
        <v>420</v>
      </c>
      <c r="Y756" t="s">
        <v>421</v>
      </c>
      <c r="Z756" t="s">
        <v>65</v>
      </c>
    </row>
    <row r="757" spans="1:26" x14ac:dyDescent="0.3">
      <c r="A757">
        <v>10126</v>
      </c>
      <c r="B757">
        <v>43</v>
      </c>
      <c r="C757">
        <v>65.02</v>
      </c>
      <c r="D757">
        <v>2</v>
      </c>
      <c r="E757">
        <v>2795.86</v>
      </c>
      <c r="F757" s="1">
        <v>37769</v>
      </c>
      <c r="G757" t="s">
        <v>39</v>
      </c>
      <c r="H757">
        <v>2</v>
      </c>
      <c r="I757">
        <v>5</v>
      </c>
      <c r="J757" t="str">
        <f>TEXT(DATE(2012,Table1[[#This Row],[MONTH_ID]],10),"mmm")</f>
        <v>May</v>
      </c>
      <c r="K757">
        <v>2003</v>
      </c>
      <c r="L757" t="s">
        <v>518</v>
      </c>
      <c r="M757">
        <v>60</v>
      </c>
      <c r="N757" t="s">
        <v>605</v>
      </c>
      <c r="O757" t="s">
        <v>205</v>
      </c>
      <c r="P757" t="s">
        <v>206</v>
      </c>
      <c r="Q757" t="s">
        <v>207</v>
      </c>
      <c r="S757" t="s">
        <v>191</v>
      </c>
      <c r="U757">
        <v>28023</v>
      </c>
      <c r="V757" t="s">
        <v>192</v>
      </c>
      <c r="W757" t="s">
        <v>56</v>
      </c>
      <c r="X757" t="s">
        <v>208</v>
      </c>
      <c r="Y757" t="s">
        <v>209</v>
      </c>
      <c r="Z757" t="s">
        <v>50</v>
      </c>
    </row>
    <row r="758" spans="1:26" x14ac:dyDescent="0.3">
      <c r="A758">
        <v>10140</v>
      </c>
      <c r="B758">
        <v>46</v>
      </c>
      <c r="C758">
        <v>61.99</v>
      </c>
      <c r="D758">
        <v>2</v>
      </c>
      <c r="E758">
        <v>2851.54</v>
      </c>
      <c r="F758" s="1">
        <v>37826</v>
      </c>
      <c r="G758" t="s">
        <v>39</v>
      </c>
      <c r="H758">
        <v>3</v>
      </c>
      <c r="I758">
        <v>7</v>
      </c>
      <c r="J758" t="str">
        <f>TEXT(DATE(2012,Table1[[#This Row],[MONTH_ID]],10),"mmm")</f>
        <v>Jul</v>
      </c>
      <c r="K758">
        <v>2003</v>
      </c>
      <c r="L758" t="s">
        <v>518</v>
      </c>
      <c r="M758">
        <v>60</v>
      </c>
      <c r="N758" t="s">
        <v>605</v>
      </c>
      <c r="O758" t="s">
        <v>76</v>
      </c>
      <c r="P758">
        <v>6505556809</v>
      </c>
      <c r="Q758" t="s">
        <v>77</v>
      </c>
      <c r="S758" t="s">
        <v>78</v>
      </c>
      <c r="T758" t="s">
        <v>69</v>
      </c>
      <c r="U758">
        <v>94217</v>
      </c>
      <c r="V758" t="s">
        <v>46</v>
      </c>
      <c r="W758" t="s">
        <v>47</v>
      </c>
      <c r="X758" t="s">
        <v>79</v>
      </c>
      <c r="Y758" t="s">
        <v>80</v>
      </c>
      <c r="Z758" t="s">
        <v>50</v>
      </c>
    </row>
    <row r="759" spans="1:26" x14ac:dyDescent="0.3">
      <c r="A759">
        <v>10151</v>
      </c>
      <c r="B759">
        <v>39</v>
      </c>
      <c r="C759">
        <v>69.28</v>
      </c>
      <c r="D759">
        <v>9</v>
      </c>
      <c r="E759">
        <v>2701.92</v>
      </c>
      <c r="F759" s="1">
        <v>37885</v>
      </c>
      <c r="G759" t="s">
        <v>39</v>
      </c>
      <c r="H759">
        <v>3</v>
      </c>
      <c r="I759">
        <v>9</v>
      </c>
      <c r="J759" t="str">
        <f>TEXT(DATE(2012,Table1[[#This Row],[MONTH_ID]],10),"mmm")</f>
        <v>Sep</v>
      </c>
      <c r="K759">
        <v>2003</v>
      </c>
      <c r="L759" t="s">
        <v>518</v>
      </c>
      <c r="M759">
        <v>60</v>
      </c>
      <c r="N759" t="s">
        <v>605</v>
      </c>
      <c r="O759" t="s">
        <v>405</v>
      </c>
      <c r="P759" t="s">
        <v>406</v>
      </c>
      <c r="Q759" t="s">
        <v>407</v>
      </c>
      <c r="S759" t="s">
        <v>408</v>
      </c>
      <c r="U759">
        <v>90110</v>
      </c>
      <c r="V759" t="s">
        <v>144</v>
      </c>
      <c r="W759" t="s">
        <v>56</v>
      </c>
      <c r="X759" t="s">
        <v>409</v>
      </c>
      <c r="Y759" t="s">
        <v>410</v>
      </c>
      <c r="Z759" t="s">
        <v>50</v>
      </c>
    </row>
    <row r="760" spans="1:26" x14ac:dyDescent="0.3">
      <c r="A760">
        <v>10165</v>
      </c>
      <c r="B760">
        <v>31</v>
      </c>
      <c r="C760">
        <v>71.099999999999994</v>
      </c>
      <c r="D760">
        <v>18</v>
      </c>
      <c r="E760">
        <v>2204.1</v>
      </c>
      <c r="F760" s="1">
        <v>37916</v>
      </c>
      <c r="G760" t="s">
        <v>39</v>
      </c>
      <c r="H760">
        <v>4</v>
      </c>
      <c r="I760">
        <v>10</v>
      </c>
      <c r="J760" t="str">
        <f>TEXT(DATE(2012,Table1[[#This Row],[MONTH_ID]],10),"mmm")</f>
        <v>Oct</v>
      </c>
      <c r="K760">
        <v>2003</v>
      </c>
      <c r="L760" t="s">
        <v>518</v>
      </c>
      <c r="M760">
        <v>60</v>
      </c>
      <c r="N760" t="s">
        <v>605</v>
      </c>
      <c r="O760" t="s">
        <v>210</v>
      </c>
      <c r="P760" t="s">
        <v>211</v>
      </c>
      <c r="Q760" t="s">
        <v>212</v>
      </c>
      <c r="S760" t="s">
        <v>213</v>
      </c>
      <c r="U760">
        <v>79903</v>
      </c>
      <c r="V760" t="s">
        <v>213</v>
      </c>
      <c r="W760" t="s">
        <v>214</v>
      </c>
      <c r="X760" t="s">
        <v>215</v>
      </c>
      <c r="Y760" t="s">
        <v>216</v>
      </c>
      <c r="Z760" t="s">
        <v>50</v>
      </c>
    </row>
    <row r="761" spans="1:26" x14ac:dyDescent="0.3">
      <c r="A761">
        <v>10175</v>
      </c>
      <c r="B761">
        <v>41</v>
      </c>
      <c r="C761">
        <v>69.28</v>
      </c>
      <c r="D761">
        <v>7</v>
      </c>
      <c r="E761">
        <v>2840.48</v>
      </c>
      <c r="F761" s="1">
        <v>37931</v>
      </c>
      <c r="G761" t="s">
        <v>39</v>
      </c>
      <c r="H761">
        <v>4</v>
      </c>
      <c r="I761">
        <v>11</v>
      </c>
      <c r="J761" t="str">
        <f>TEXT(DATE(2012,Table1[[#This Row],[MONTH_ID]],10),"mmm")</f>
        <v>Nov</v>
      </c>
      <c r="K761">
        <v>2003</v>
      </c>
      <c r="L761" t="s">
        <v>518</v>
      </c>
      <c r="M761">
        <v>60</v>
      </c>
      <c r="N761" t="s">
        <v>605</v>
      </c>
      <c r="O761" t="s">
        <v>343</v>
      </c>
      <c r="P761" t="s">
        <v>344</v>
      </c>
      <c r="Q761" t="s">
        <v>345</v>
      </c>
      <c r="S761" t="s">
        <v>346</v>
      </c>
      <c r="U761" t="s">
        <v>347</v>
      </c>
      <c r="V761" t="s">
        <v>184</v>
      </c>
      <c r="W761" t="s">
        <v>56</v>
      </c>
      <c r="X761" t="s">
        <v>75</v>
      </c>
      <c r="Y761" t="s">
        <v>348</v>
      </c>
      <c r="Z761" t="s">
        <v>50</v>
      </c>
    </row>
    <row r="762" spans="1:26" x14ac:dyDescent="0.3">
      <c r="A762">
        <v>10184</v>
      </c>
      <c r="B762">
        <v>44</v>
      </c>
      <c r="C762">
        <v>60.16</v>
      </c>
      <c r="D762">
        <v>12</v>
      </c>
      <c r="E762">
        <v>2647.04</v>
      </c>
      <c r="F762" s="1">
        <v>37939</v>
      </c>
      <c r="G762" t="s">
        <v>39</v>
      </c>
      <c r="H762">
        <v>4</v>
      </c>
      <c r="I762">
        <v>11</v>
      </c>
      <c r="J762" t="str">
        <f>TEXT(DATE(2012,Table1[[#This Row],[MONTH_ID]],10),"mmm")</f>
        <v>Nov</v>
      </c>
      <c r="K762">
        <v>2003</v>
      </c>
      <c r="L762" t="s">
        <v>518</v>
      </c>
      <c r="M762">
        <v>60</v>
      </c>
      <c r="N762" t="s">
        <v>605</v>
      </c>
      <c r="O762" t="s">
        <v>534</v>
      </c>
      <c r="P762" t="s">
        <v>535</v>
      </c>
      <c r="Q762" t="s">
        <v>536</v>
      </c>
      <c r="S762" t="s">
        <v>537</v>
      </c>
      <c r="U762">
        <v>41101</v>
      </c>
      <c r="V762" t="s">
        <v>192</v>
      </c>
      <c r="W762" t="s">
        <v>56</v>
      </c>
      <c r="X762" t="s">
        <v>538</v>
      </c>
      <c r="Y762" t="s">
        <v>539</v>
      </c>
      <c r="Z762" t="s">
        <v>50</v>
      </c>
    </row>
    <row r="763" spans="1:26" x14ac:dyDescent="0.3">
      <c r="A763">
        <v>10194</v>
      </c>
      <c r="B763">
        <v>45</v>
      </c>
      <c r="C763">
        <v>70.489999999999995</v>
      </c>
      <c r="D763">
        <v>2</v>
      </c>
      <c r="E763">
        <v>3172.05</v>
      </c>
      <c r="F763" s="1">
        <v>37950</v>
      </c>
      <c r="G763" t="s">
        <v>39</v>
      </c>
      <c r="H763">
        <v>4</v>
      </c>
      <c r="I763">
        <v>11</v>
      </c>
      <c r="J763" t="str">
        <f>TEXT(DATE(2012,Table1[[#This Row],[MONTH_ID]],10),"mmm")</f>
        <v>Nov</v>
      </c>
      <c r="K763">
        <v>2003</v>
      </c>
      <c r="L763" t="s">
        <v>518</v>
      </c>
      <c r="M763">
        <v>60</v>
      </c>
      <c r="N763" t="s">
        <v>605</v>
      </c>
      <c r="O763" t="s">
        <v>233</v>
      </c>
      <c r="P763" t="s">
        <v>234</v>
      </c>
      <c r="Q763" t="s">
        <v>235</v>
      </c>
      <c r="S763" t="s">
        <v>236</v>
      </c>
      <c r="U763">
        <v>69004</v>
      </c>
      <c r="V763" t="s">
        <v>55</v>
      </c>
      <c r="W763" t="s">
        <v>56</v>
      </c>
      <c r="X763" t="s">
        <v>237</v>
      </c>
      <c r="Y763" t="s">
        <v>238</v>
      </c>
      <c r="Z763" t="s">
        <v>65</v>
      </c>
    </row>
    <row r="764" spans="1:26" x14ac:dyDescent="0.3">
      <c r="A764">
        <v>10207</v>
      </c>
      <c r="B764">
        <v>37</v>
      </c>
      <c r="C764">
        <v>69.89</v>
      </c>
      <c r="D764">
        <v>13</v>
      </c>
      <c r="E764">
        <v>2585.9299999999998</v>
      </c>
      <c r="F764" s="1">
        <v>37964</v>
      </c>
      <c r="G764" t="s">
        <v>39</v>
      </c>
      <c r="H764">
        <v>4</v>
      </c>
      <c r="I764">
        <v>12</v>
      </c>
      <c r="J764" t="str">
        <f>TEXT(DATE(2012,Table1[[#This Row],[MONTH_ID]],10),"mmm")</f>
        <v>Dec</v>
      </c>
      <c r="K764">
        <v>2003</v>
      </c>
      <c r="L764" t="s">
        <v>518</v>
      </c>
      <c r="M764">
        <v>60</v>
      </c>
      <c r="N764" t="s">
        <v>605</v>
      </c>
      <c r="O764" t="s">
        <v>429</v>
      </c>
      <c r="P764">
        <v>6175552555</v>
      </c>
      <c r="Q764" t="s">
        <v>430</v>
      </c>
      <c r="S764" t="s">
        <v>395</v>
      </c>
      <c r="T764" t="s">
        <v>137</v>
      </c>
      <c r="U764">
        <v>51003</v>
      </c>
      <c r="V764" t="s">
        <v>46</v>
      </c>
      <c r="W764" t="s">
        <v>47</v>
      </c>
      <c r="X764" t="s">
        <v>431</v>
      </c>
      <c r="Y764" t="s">
        <v>290</v>
      </c>
      <c r="Z764" t="s">
        <v>50</v>
      </c>
    </row>
    <row r="765" spans="1:26" x14ac:dyDescent="0.3">
      <c r="A765">
        <v>10217</v>
      </c>
      <c r="B765">
        <v>35</v>
      </c>
      <c r="C765">
        <v>61.38</v>
      </c>
      <c r="D765">
        <v>2</v>
      </c>
      <c r="E765">
        <v>2148.3000000000002</v>
      </c>
      <c r="F765" s="1">
        <v>38021</v>
      </c>
      <c r="G765" t="s">
        <v>39</v>
      </c>
      <c r="H765">
        <v>1</v>
      </c>
      <c r="I765">
        <v>2</v>
      </c>
      <c r="J765" t="str">
        <f>TEXT(DATE(2012,Table1[[#This Row],[MONTH_ID]],10),"mmm")</f>
        <v>Feb</v>
      </c>
      <c r="K765">
        <v>2004</v>
      </c>
      <c r="L765" t="s">
        <v>518</v>
      </c>
      <c r="M765">
        <v>60</v>
      </c>
      <c r="N765" t="s">
        <v>605</v>
      </c>
      <c r="O765" t="s">
        <v>432</v>
      </c>
      <c r="P765" t="s">
        <v>433</v>
      </c>
      <c r="Q765" t="s">
        <v>434</v>
      </c>
      <c r="R765" t="s">
        <v>435</v>
      </c>
      <c r="S765" t="s">
        <v>213</v>
      </c>
      <c r="U765">
        <v>69045</v>
      </c>
      <c r="V765" t="s">
        <v>213</v>
      </c>
      <c r="W765" t="s">
        <v>110</v>
      </c>
      <c r="X765" t="s">
        <v>436</v>
      </c>
      <c r="Y765" t="s">
        <v>437</v>
      </c>
      <c r="Z765" t="s">
        <v>50</v>
      </c>
    </row>
    <row r="766" spans="1:26" x14ac:dyDescent="0.3">
      <c r="A766">
        <v>10229</v>
      </c>
      <c r="B766">
        <v>28</v>
      </c>
      <c r="C766">
        <v>59.55</v>
      </c>
      <c r="D766">
        <v>7</v>
      </c>
      <c r="E766">
        <v>1667.4</v>
      </c>
      <c r="F766" s="1">
        <v>38057</v>
      </c>
      <c r="G766" t="s">
        <v>39</v>
      </c>
      <c r="H766">
        <v>1</v>
      </c>
      <c r="I766">
        <v>3</v>
      </c>
      <c r="J766" t="str">
        <f>TEXT(DATE(2012,Table1[[#This Row],[MONTH_ID]],10),"mmm")</f>
        <v>Mar</v>
      </c>
      <c r="K766">
        <v>2004</v>
      </c>
      <c r="L766" t="s">
        <v>518</v>
      </c>
      <c r="M766">
        <v>60</v>
      </c>
      <c r="N766" t="s">
        <v>605</v>
      </c>
      <c r="O766" t="s">
        <v>286</v>
      </c>
      <c r="P766">
        <v>4155551450</v>
      </c>
      <c r="Q766" t="s">
        <v>287</v>
      </c>
      <c r="S766" t="s">
        <v>288</v>
      </c>
      <c r="T766" t="s">
        <v>69</v>
      </c>
      <c r="U766">
        <v>97562</v>
      </c>
      <c r="V766" t="s">
        <v>46</v>
      </c>
      <c r="W766" t="s">
        <v>47</v>
      </c>
      <c r="X766" t="s">
        <v>289</v>
      </c>
      <c r="Y766" t="s">
        <v>290</v>
      </c>
      <c r="Z766" t="s">
        <v>50</v>
      </c>
    </row>
    <row r="767" spans="1:26" x14ac:dyDescent="0.3">
      <c r="A767">
        <v>10246</v>
      </c>
      <c r="B767">
        <v>30</v>
      </c>
      <c r="C767">
        <v>61.99</v>
      </c>
      <c r="D767">
        <v>11</v>
      </c>
      <c r="E767">
        <v>1859.7</v>
      </c>
      <c r="F767" s="1">
        <v>38112</v>
      </c>
      <c r="G767" t="s">
        <v>39</v>
      </c>
      <c r="H767">
        <v>2</v>
      </c>
      <c r="I767">
        <v>5</v>
      </c>
      <c r="J767" t="str">
        <f>TEXT(DATE(2012,Table1[[#This Row],[MONTH_ID]],10),"mmm")</f>
        <v>May</v>
      </c>
      <c r="K767">
        <v>2004</v>
      </c>
      <c r="L767" t="s">
        <v>518</v>
      </c>
      <c r="M767">
        <v>60</v>
      </c>
      <c r="N767" t="s">
        <v>605</v>
      </c>
      <c r="O767" t="s">
        <v>188</v>
      </c>
      <c r="P767" t="s">
        <v>189</v>
      </c>
      <c r="Q767" t="s">
        <v>190</v>
      </c>
      <c r="S767" t="s">
        <v>191</v>
      </c>
      <c r="U767">
        <v>28034</v>
      </c>
      <c r="V767" t="s">
        <v>192</v>
      </c>
      <c r="W767" t="s">
        <v>56</v>
      </c>
      <c r="X767" t="s">
        <v>193</v>
      </c>
      <c r="Y767" t="s">
        <v>194</v>
      </c>
      <c r="Z767" t="s">
        <v>50</v>
      </c>
    </row>
    <row r="768" spans="1:26" x14ac:dyDescent="0.3">
      <c r="A768">
        <v>10259</v>
      </c>
      <c r="B768">
        <v>30</v>
      </c>
      <c r="C768">
        <v>49.22</v>
      </c>
      <c r="D768">
        <v>10</v>
      </c>
      <c r="E768">
        <v>1476.6</v>
      </c>
      <c r="F768" s="1">
        <v>38153</v>
      </c>
      <c r="G768" t="s">
        <v>39</v>
      </c>
      <c r="H768">
        <v>2</v>
      </c>
      <c r="I768">
        <v>6</v>
      </c>
      <c r="J768" t="str">
        <f>TEXT(DATE(2012,Table1[[#This Row],[MONTH_ID]],10),"mmm")</f>
        <v>Jun</v>
      </c>
      <c r="K768">
        <v>2004</v>
      </c>
      <c r="L768" t="s">
        <v>518</v>
      </c>
      <c r="M768">
        <v>60</v>
      </c>
      <c r="N768" t="s">
        <v>605</v>
      </c>
      <c r="O768" t="s">
        <v>432</v>
      </c>
      <c r="P768" t="s">
        <v>433</v>
      </c>
      <c r="Q768" t="s">
        <v>434</v>
      </c>
      <c r="R768" t="s">
        <v>435</v>
      </c>
      <c r="S768" t="s">
        <v>213</v>
      </c>
      <c r="U768">
        <v>69045</v>
      </c>
      <c r="V768" t="s">
        <v>213</v>
      </c>
      <c r="W768" t="s">
        <v>110</v>
      </c>
      <c r="X768" t="s">
        <v>436</v>
      </c>
      <c r="Y768" t="s">
        <v>437</v>
      </c>
      <c r="Z768" t="s">
        <v>50</v>
      </c>
    </row>
    <row r="769" spans="1:26" x14ac:dyDescent="0.3">
      <c r="A769">
        <v>10271</v>
      </c>
      <c r="B769">
        <v>25</v>
      </c>
      <c r="C769">
        <v>69.28</v>
      </c>
      <c r="D769">
        <v>11</v>
      </c>
      <c r="E769">
        <v>1732</v>
      </c>
      <c r="F769" s="1">
        <v>38188</v>
      </c>
      <c r="G769" t="s">
        <v>39</v>
      </c>
      <c r="H769">
        <v>3</v>
      </c>
      <c r="I769">
        <v>7</v>
      </c>
      <c r="J769" t="str">
        <f>TEXT(DATE(2012,Table1[[#This Row],[MONTH_ID]],10),"mmm")</f>
        <v>Jul</v>
      </c>
      <c r="K769">
        <v>2004</v>
      </c>
      <c r="L769" t="s">
        <v>518</v>
      </c>
      <c r="M769">
        <v>60</v>
      </c>
      <c r="N769" t="s">
        <v>605</v>
      </c>
      <c r="O769" t="s">
        <v>286</v>
      </c>
      <c r="P769">
        <v>4155551450</v>
      </c>
      <c r="Q769" t="s">
        <v>287</v>
      </c>
      <c r="S769" t="s">
        <v>288</v>
      </c>
      <c r="T769" t="s">
        <v>69</v>
      </c>
      <c r="U769">
        <v>97562</v>
      </c>
      <c r="V769" t="s">
        <v>46</v>
      </c>
      <c r="W769" t="s">
        <v>47</v>
      </c>
      <c r="X769" t="s">
        <v>289</v>
      </c>
      <c r="Y769" t="s">
        <v>290</v>
      </c>
      <c r="Z769" t="s">
        <v>50</v>
      </c>
    </row>
    <row r="770" spans="1:26" x14ac:dyDescent="0.3">
      <c r="A770">
        <v>10281</v>
      </c>
      <c r="B770">
        <v>29</v>
      </c>
      <c r="C770">
        <v>57.73</v>
      </c>
      <c r="D770">
        <v>7</v>
      </c>
      <c r="E770">
        <v>1674.17</v>
      </c>
      <c r="F770" s="1">
        <v>38218</v>
      </c>
      <c r="G770" t="s">
        <v>39</v>
      </c>
      <c r="H770">
        <v>3</v>
      </c>
      <c r="I770">
        <v>8</v>
      </c>
      <c r="J770" t="str">
        <f>TEXT(DATE(2012,Table1[[#This Row],[MONTH_ID]],10),"mmm")</f>
        <v>Aug</v>
      </c>
      <c r="K770">
        <v>2004</v>
      </c>
      <c r="L770" t="s">
        <v>518</v>
      </c>
      <c r="M770">
        <v>60</v>
      </c>
      <c r="N770" t="s">
        <v>605</v>
      </c>
      <c r="O770" t="s">
        <v>153</v>
      </c>
      <c r="P770">
        <v>2155551555</v>
      </c>
      <c r="Q770" t="s">
        <v>154</v>
      </c>
      <c r="S770" t="s">
        <v>155</v>
      </c>
      <c r="T770" t="s">
        <v>156</v>
      </c>
      <c r="U770">
        <v>70267</v>
      </c>
      <c r="V770" t="s">
        <v>46</v>
      </c>
      <c r="W770" t="s">
        <v>47</v>
      </c>
      <c r="X770" t="s">
        <v>48</v>
      </c>
      <c r="Y770" t="s">
        <v>157</v>
      </c>
      <c r="Z770" t="s">
        <v>50</v>
      </c>
    </row>
    <row r="771" spans="1:26" x14ac:dyDescent="0.3">
      <c r="A771">
        <v>10291</v>
      </c>
      <c r="B771">
        <v>26</v>
      </c>
      <c r="C771">
        <v>57.73</v>
      </c>
      <c r="D771">
        <v>2</v>
      </c>
      <c r="E771">
        <v>1500.98</v>
      </c>
      <c r="F771" s="1">
        <v>38238</v>
      </c>
      <c r="G771" t="s">
        <v>39</v>
      </c>
      <c r="H771">
        <v>3</v>
      </c>
      <c r="I771">
        <v>9</v>
      </c>
      <c r="J771" t="str">
        <f>TEXT(DATE(2012,Table1[[#This Row],[MONTH_ID]],10),"mmm")</f>
        <v>Sep</v>
      </c>
      <c r="K771">
        <v>2004</v>
      </c>
      <c r="L771" t="s">
        <v>518</v>
      </c>
      <c r="M771">
        <v>60</v>
      </c>
      <c r="N771" t="s">
        <v>605</v>
      </c>
      <c r="O771" t="s">
        <v>275</v>
      </c>
      <c r="P771" t="s">
        <v>276</v>
      </c>
      <c r="Q771" t="s">
        <v>277</v>
      </c>
      <c r="S771" t="s">
        <v>278</v>
      </c>
      <c r="U771" t="s">
        <v>279</v>
      </c>
      <c r="V771" t="s">
        <v>202</v>
      </c>
      <c r="W771" t="s">
        <v>56</v>
      </c>
      <c r="X771" t="s">
        <v>280</v>
      </c>
      <c r="Y771" t="s">
        <v>220</v>
      </c>
      <c r="Z771" t="s">
        <v>50</v>
      </c>
    </row>
    <row r="772" spans="1:26" x14ac:dyDescent="0.3">
      <c r="A772">
        <v>10305</v>
      </c>
      <c r="B772">
        <v>41</v>
      </c>
      <c r="C772">
        <v>53.48</v>
      </c>
      <c r="D772">
        <v>11</v>
      </c>
      <c r="E772">
        <v>2192.6799999999998</v>
      </c>
      <c r="F772" s="1">
        <v>38273</v>
      </c>
      <c r="G772" t="s">
        <v>39</v>
      </c>
      <c r="H772">
        <v>4</v>
      </c>
      <c r="I772">
        <v>10</v>
      </c>
      <c r="J772" t="str">
        <f>TEXT(DATE(2012,Table1[[#This Row],[MONTH_ID]],10),"mmm")</f>
        <v>Oct</v>
      </c>
      <c r="K772">
        <v>2004</v>
      </c>
      <c r="L772" t="s">
        <v>518</v>
      </c>
      <c r="M772">
        <v>60</v>
      </c>
      <c r="N772" t="s">
        <v>605</v>
      </c>
      <c r="O772" t="s">
        <v>134</v>
      </c>
      <c r="P772">
        <v>6175558555</v>
      </c>
      <c r="Q772" t="s">
        <v>135</v>
      </c>
      <c r="S772" t="s">
        <v>136</v>
      </c>
      <c r="T772" t="s">
        <v>137</v>
      </c>
      <c r="U772">
        <v>51247</v>
      </c>
      <c r="V772" t="s">
        <v>46</v>
      </c>
      <c r="W772" t="s">
        <v>47</v>
      </c>
      <c r="X772" t="s">
        <v>138</v>
      </c>
      <c r="Y772" t="s">
        <v>139</v>
      </c>
      <c r="Z772" t="s">
        <v>50</v>
      </c>
    </row>
    <row r="773" spans="1:26" x14ac:dyDescent="0.3">
      <c r="A773">
        <v>10313</v>
      </c>
      <c r="B773">
        <v>34</v>
      </c>
      <c r="C773">
        <v>52.87</v>
      </c>
      <c r="D773">
        <v>5</v>
      </c>
      <c r="E773">
        <v>1797.58</v>
      </c>
      <c r="F773" s="1">
        <v>38282</v>
      </c>
      <c r="G773" t="s">
        <v>39</v>
      </c>
      <c r="H773">
        <v>4</v>
      </c>
      <c r="I773">
        <v>10</v>
      </c>
      <c r="J773" t="str">
        <f>TEXT(DATE(2012,Table1[[#This Row],[MONTH_ID]],10),"mmm")</f>
        <v>Oct</v>
      </c>
      <c r="K773">
        <v>2004</v>
      </c>
      <c r="L773" t="s">
        <v>518</v>
      </c>
      <c r="M773">
        <v>60</v>
      </c>
      <c r="N773" t="s">
        <v>605</v>
      </c>
      <c r="O773" t="s">
        <v>239</v>
      </c>
      <c r="P773" t="s">
        <v>240</v>
      </c>
      <c r="Q773" t="s">
        <v>241</v>
      </c>
      <c r="S773" t="s">
        <v>242</v>
      </c>
      <c r="T773" t="s">
        <v>243</v>
      </c>
      <c r="U773" t="s">
        <v>244</v>
      </c>
      <c r="V773" t="s">
        <v>245</v>
      </c>
      <c r="W773" t="s">
        <v>47</v>
      </c>
      <c r="X773" t="s">
        <v>246</v>
      </c>
      <c r="Y773" t="s">
        <v>247</v>
      </c>
      <c r="Z773" t="s">
        <v>50</v>
      </c>
    </row>
    <row r="774" spans="1:26" x14ac:dyDescent="0.3">
      <c r="A774">
        <v>10322</v>
      </c>
      <c r="B774">
        <v>35</v>
      </c>
      <c r="C774">
        <v>61.21</v>
      </c>
      <c r="D774">
        <v>11</v>
      </c>
      <c r="E774">
        <v>2142.35</v>
      </c>
      <c r="F774" s="1">
        <v>38295</v>
      </c>
      <c r="G774" t="s">
        <v>39</v>
      </c>
      <c r="H774">
        <v>4</v>
      </c>
      <c r="I774">
        <v>11</v>
      </c>
      <c r="J774" t="str">
        <f>TEXT(DATE(2012,Table1[[#This Row],[MONTH_ID]],10),"mmm")</f>
        <v>Nov</v>
      </c>
      <c r="K774">
        <v>2004</v>
      </c>
      <c r="L774" t="s">
        <v>518</v>
      </c>
      <c r="M774">
        <v>60</v>
      </c>
      <c r="N774" t="s">
        <v>605</v>
      </c>
      <c r="O774" t="s">
        <v>291</v>
      </c>
      <c r="P774">
        <v>6035558647</v>
      </c>
      <c r="Q774" t="s">
        <v>292</v>
      </c>
      <c r="S774" t="s">
        <v>293</v>
      </c>
      <c r="T774" t="s">
        <v>294</v>
      </c>
      <c r="U774">
        <v>62005</v>
      </c>
      <c r="V774" t="s">
        <v>46</v>
      </c>
      <c r="W774" t="s">
        <v>47</v>
      </c>
      <c r="X774" t="s">
        <v>70</v>
      </c>
      <c r="Y774" t="s">
        <v>290</v>
      </c>
      <c r="Z774" t="s">
        <v>50</v>
      </c>
    </row>
    <row r="775" spans="1:26" x14ac:dyDescent="0.3">
      <c r="A775">
        <v>10334</v>
      </c>
      <c r="B775">
        <v>34</v>
      </c>
      <c r="C775">
        <v>61.38</v>
      </c>
      <c r="D775">
        <v>1</v>
      </c>
      <c r="E775">
        <v>2086.92</v>
      </c>
      <c r="F775" s="1">
        <v>38310</v>
      </c>
      <c r="G775" t="s">
        <v>415</v>
      </c>
      <c r="H775">
        <v>4</v>
      </c>
      <c r="I775">
        <v>11</v>
      </c>
      <c r="J775" t="str">
        <f>TEXT(DATE(2012,Table1[[#This Row],[MONTH_ID]],10),"mmm")</f>
        <v>Nov</v>
      </c>
      <c r="K775">
        <v>2004</v>
      </c>
      <c r="L775" t="s">
        <v>518</v>
      </c>
      <c r="M775">
        <v>60</v>
      </c>
      <c r="N775" t="s">
        <v>605</v>
      </c>
      <c r="O775" t="s">
        <v>197</v>
      </c>
      <c r="P775" t="s">
        <v>198</v>
      </c>
      <c r="Q775" t="s">
        <v>199</v>
      </c>
      <c r="S775" t="s">
        <v>200</v>
      </c>
      <c r="U775" t="s">
        <v>201</v>
      </c>
      <c r="V775" t="s">
        <v>202</v>
      </c>
      <c r="W775" t="s">
        <v>56</v>
      </c>
      <c r="X775" t="s">
        <v>203</v>
      </c>
      <c r="Y775" t="s">
        <v>204</v>
      </c>
      <c r="Z775" t="s">
        <v>50</v>
      </c>
    </row>
    <row r="776" spans="1:26" x14ac:dyDescent="0.3">
      <c r="A776">
        <v>10347</v>
      </c>
      <c r="B776">
        <v>50</v>
      </c>
      <c r="C776">
        <v>100</v>
      </c>
      <c r="D776">
        <v>8</v>
      </c>
      <c r="E776">
        <v>6834.5</v>
      </c>
      <c r="F776" s="1">
        <v>38320</v>
      </c>
      <c r="G776" t="s">
        <v>39</v>
      </c>
      <c r="H776">
        <v>4</v>
      </c>
      <c r="I776">
        <v>11</v>
      </c>
      <c r="J776" t="str">
        <f>TEXT(DATE(2012,Table1[[#This Row],[MONTH_ID]],10),"mmm")</f>
        <v>Nov</v>
      </c>
      <c r="K776">
        <v>2004</v>
      </c>
      <c r="L776" t="s">
        <v>518</v>
      </c>
      <c r="M776">
        <v>60</v>
      </c>
      <c r="N776" t="s">
        <v>605</v>
      </c>
      <c r="O776" t="s">
        <v>103</v>
      </c>
      <c r="P776" t="s">
        <v>104</v>
      </c>
      <c r="Q776" t="s">
        <v>105</v>
      </c>
      <c r="R776" t="s">
        <v>106</v>
      </c>
      <c r="S776" t="s">
        <v>107</v>
      </c>
      <c r="T776" t="s">
        <v>108</v>
      </c>
      <c r="U776">
        <v>3004</v>
      </c>
      <c r="V776" t="s">
        <v>109</v>
      </c>
      <c r="W776" t="s">
        <v>110</v>
      </c>
      <c r="X776" t="s">
        <v>111</v>
      </c>
      <c r="Y776" t="s">
        <v>112</v>
      </c>
      <c r="Z776" t="s">
        <v>65</v>
      </c>
    </row>
    <row r="777" spans="1:26" x14ac:dyDescent="0.3">
      <c r="A777">
        <v>10357</v>
      </c>
      <c r="B777">
        <v>41</v>
      </c>
      <c r="C777">
        <v>61.99</v>
      </c>
      <c r="D777">
        <v>7</v>
      </c>
      <c r="E777">
        <v>2541.59</v>
      </c>
      <c r="F777" s="1">
        <v>38331</v>
      </c>
      <c r="G777" t="s">
        <v>39</v>
      </c>
      <c r="H777">
        <v>4</v>
      </c>
      <c r="I777">
        <v>12</v>
      </c>
      <c r="J777" t="str">
        <f>TEXT(DATE(2012,Table1[[#This Row],[MONTH_ID]],10),"mmm")</f>
        <v>Dec</v>
      </c>
      <c r="K777">
        <v>2004</v>
      </c>
      <c r="L777" t="s">
        <v>518</v>
      </c>
      <c r="M777">
        <v>60</v>
      </c>
      <c r="N777" t="s">
        <v>605</v>
      </c>
      <c r="O777" t="s">
        <v>286</v>
      </c>
      <c r="P777">
        <v>4155551450</v>
      </c>
      <c r="Q777" t="s">
        <v>287</v>
      </c>
      <c r="S777" t="s">
        <v>288</v>
      </c>
      <c r="T777" t="s">
        <v>69</v>
      </c>
      <c r="U777">
        <v>97562</v>
      </c>
      <c r="V777" t="s">
        <v>46</v>
      </c>
      <c r="W777" t="s">
        <v>47</v>
      </c>
      <c r="X777" t="s">
        <v>289</v>
      </c>
      <c r="Y777" t="s">
        <v>290</v>
      </c>
      <c r="Z777" t="s">
        <v>50</v>
      </c>
    </row>
    <row r="778" spans="1:26" x14ac:dyDescent="0.3">
      <c r="A778">
        <v>10370</v>
      </c>
      <c r="B778">
        <v>22</v>
      </c>
      <c r="C778">
        <v>96.86</v>
      </c>
      <c r="D778">
        <v>7</v>
      </c>
      <c r="E778">
        <v>2130.92</v>
      </c>
      <c r="F778" s="1">
        <v>38372</v>
      </c>
      <c r="G778" t="s">
        <v>39</v>
      </c>
      <c r="H778">
        <v>1</v>
      </c>
      <c r="I778">
        <v>1</v>
      </c>
      <c r="J778" t="str">
        <f>TEXT(DATE(2012,Table1[[#This Row],[MONTH_ID]],10),"mmm")</f>
        <v>Jan</v>
      </c>
      <c r="K778">
        <v>2005</v>
      </c>
      <c r="L778" t="s">
        <v>518</v>
      </c>
      <c r="M778">
        <v>60</v>
      </c>
      <c r="N778" t="s">
        <v>605</v>
      </c>
      <c r="O778" t="s">
        <v>299</v>
      </c>
      <c r="P778" t="s">
        <v>300</v>
      </c>
      <c r="Q778" t="s">
        <v>301</v>
      </c>
      <c r="R778" t="s">
        <v>302</v>
      </c>
      <c r="S778" t="s">
        <v>303</v>
      </c>
      <c r="T778" t="s">
        <v>171</v>
      </c>
      <c r="U778">
        <v>2060</v>
      </c>
      <c r="V778" t="s">
        <v>109</v>
      </c>
      <c r="W778" t="s">
        <v>110</v>
      </c>
      <c r="X778" t="s">
        <v>304</v>
      </c>
      <c r="Y778" t="s">
        <v>305</v>
      </c>
      <c r="Z778" t="s">
        <v>50</v>
      </c>
    </row>
    <row r="779" spans="1:26" x14ac:dyDescent="0.3">
      <c r="A779">
        <v>10381</v>
      </c>
      <c r="B779">
        <v>35</v>
      </c>
      <c r="C779">
        <v>48.62</v>
      </c>
      <c r="D779">
        <v>7</v>
      </c>
      <c r="E779">
        <v>1701.7</v>
      </c>
      <c r="F779" s="1">
        <v>38400</v>
      </c>
      <c r="G779" t="s">
        <v>39</v>
      </c>
      <c r="H779">
        <v>1</v>
      </c>
      <c r="I779">
        <v>2</v>
      </c>
      <c r="J779" t="str">
        <f>TEXT(DATE(2012,Table1[[#This Row],[MONTH_ID]],10),"mmm")</f>
        <v>Feb</v>
      </c>
      <c r="K779">
        <v>2005</v>
      </c>
      <c r="L779" t="s">
        <v>518</v>
      </c>
      <c r="M779">
        <v>60</v>
      </c>
      <c r="N779" t="s">
        <v>605</v>
      </c>
      <c r="O779" t="s">
        <v>72</v>
      </c>
      <c r="P779">
        <v>6505551386</v>
      </c>
      <c r="Q779" t="s">
        <v>73</v>
      </c>
      <c r="S779" t="s">
        <v>74</v>
      </c>
      <c r="T779" t="s">
        <v>69</v>
      </c>
      <c r="V779" t="s">
        <v>46</v>
      </c>
      <c r="W779" t="s">
        <v>47</v>
      </c>
      <c r="X779" t="s">
        <v>75</v>
      </c>
      <c r="Y779" t="s">
        <v>71</v>
      </c>
      <c r="Z779" t="s">
        <v>50</v>
      </c>
    </row>
    <row r="780" spans="1:26" x14ac:dyDescent="0.3">
      <c r="A780">
        <v>10391</v>
      </c>
      <c r="B780">
        <v>44</v>
      </c>
      <c r="C780">
        <v>38.5</v>
      </c>
      <c r="D780">
        <v>5</v>
      </c>
      <c r="E780">
        <v>1694</v>
      </c>
      <c r="F780" s="1">
        <v>38420</v>
      </c>
      <c r="G780" t="s">
        <v>39</v>
      </c>
      <c r="H780">
        <v>1</v>
      </c>
      <c r="I780">
        <v>3</v>
      </c>
      <c r="J780" t="str">
        <f>TEXT(DATE(2012,Table1[[#This Row],[MONTH_ID]],10),"mmm")</f>
        <v>Mar</v>
      </c>
      <c r="K780">
        <v>2005</v>
      </c>
      <c r="L780" t="s">
        <v>518</v>
      </c>
      <c r="M780">
        <v>60</v>
      </c>
      <c r="N780" t="s">
        <v>605</v>
      </c>
      <c r="O780" t="s">
        <v>299</v>
      </c>
      <c r="P780" t="s">
        <v>300</v>
      </c>
      <c r="Q780" t="s">
        <v>301</v>
      </c>
      <c r="R780" t="s">
        <v>302</v>
      </c>
      <c r="S780" t="s">
        <v>303</v>
      </c>
      <c r="T780" t="s">
        <v>171</v>
      </c>
      <c r="U780">
        <v>2060</v>
      </c>
      <c r="V780" t="s">
        <v>109</v>
      </c>
      <c r="W780" t="s">
        <v>110</v>
      </c>
      <c r="X780" t="s">
        <v>304</v>
      </c>
      <c r="Y780" t="s">
        <v>305</v>
      </c>
      <c r="Z780" t="s">
        <v>50</v>
      </c>
    </row>
    <row r="781" spans="1:26" x14ac:dyDescent="0.3">
      <c r="A781">
        <v>10412</v>
      </c>
      <c r="B781">
        <v>47</v>
      </c>
      <c r="C781">
        <v>61.99</v>
      </c>
      <c r="D781">
        <v>11</v>
      </c>
      <c r="E781">
        <v>2913.53</v>
      </c>
      <c r="F781" s="1">
        <v>38475</v>
      </c>
      <c r="G781" t="s">
        <v>39</v>
      </c>
      <c r="H781">
        <v>2</v>
      </c>
      <c r="I781">
        <v>5</v>
      </c>
      <c r="J781" t="str">
        <f>TEXT(DATE(2012,Table1[[#This Row],[MONTH_ID]],10),"mmm")</f>
        <v>May</v>
      </c>
      <c r="K781">
        <v>2005</v>
      </c>
      <c r="L781" t="s">
        <v>518</v>
      </c>
      <c r="M781">
        <v>60</v>
      </c>
      <c r="N781" t="s">
        <v>605</v>
      </c>
      <c r="O781" t="s">
        <v>188</v>
      </c>
      <c r="P781" t="s">
        <v>189</v>
      </c>
      <c r="Q781" t="s">
        <v>190</v>
      </c>
      <c r="S781" t="s">
        <v>191</v>
      </c>
      <c r="U781">
        <v>28034</v>
      </c>
      <c r="V781" t="s">
        <v>192</v>
      </c>
      <c r="W781" t="s">
        <v>56</v>
      </c>
      <c r="X781" t="s">
        <v>193</v>
      </c>
      <c r="Y781" t="s">
        <v>194</v>
      </c>
      <c r="Z781" t="s">
        <v>50</v>
      </c>
    </row>
    <row r="782" spans="1:26" x14ac:dyDescent="0.3">
      <c r="A782">
        <v>10425</v>
      </c>
      <c r="B782">
        <v>19</v>
      </c>
      <c r="C782">
        <v>49.22</v>
      </c>
      <c r="D782">
        <v>10</v>
      </c>
      <c r="E782">
        <v>935.18</v>
      </c>
      <c r="F782" s="1">
        <v>38503</v>
      </c>
      <c r="G782" t="s">
        <v>314</v>
      </c>
      <c r="H782">
        <v>2</v>
      </c>
      <c r="I782">
        <v>5</v>
      </c>
      <c r="J782" t="str">
        <f>TEXT(DATE(2012,Table1[[#This Row],[MONTH_ID]],10),"mmm")</f>
        <v>May</v>
      </c>
      <c r="K782">
        <v>2005</v>
      </c>
      <c r="L782" t="s">
        <v>518</v>
      </c>
      <c r="M782">
        <v>60</v>
      </c>
      <c r="N782" t="s">
        <v>605</v>
      </c>
      <c r="O782" t="s">
        <v>128</v>
      </c>
      <c r="P782" t="s">
        <v>129</v>
      </c>
      <c r="Q782" t="s">
        <v>130</v>
      </c>
      <c r="S782" t="s">
        <v>131</v>
      </c>
      <c r="U782">
        <v>44000</v>
      </c>
      <c r="V782" t="s">
        <v>55</v>
      </c>
      <c r="W782" t="s">
        <v>56</v>
      </c>
      <c r="X782" t="s">
        <v>132</v>
      </c>
      <c r="Y782" t="s">
        <v>133</v>
      </c>
      <c r="Z782" t="s">
        <v>50</v>
      </c>
    </row>
    <row r="783" spans="1:26" x14ac:dyDescent="0.3">
      <c r="A783">
        <v>10106</v>
      </c>
      <c r="B783">
        <v>34</v>
      </c>
      <c r="C783">
        <v>90.39</v>
      </c>
      <c r="D783">
        <v>2</v>
      </c>
      <c r="E783">
        <v>3073.26</v>
      </c>
      <c r="F783" s="1">
        <v>37669</v>
      </c>
      <c r="G783" t="s">
        <v>39</v>
      </c>
      <c r="H783">
        <v>1</v>
      </c>
      <c r="I783">
        <v>2</v>
      </c>
      <c r="J783" t="str">
        <f>TEXT(DATE(2012,Table1[[#This Row],[MONTH_ID]],10),"mmm")</f>
        <v>Feb</v>
      </c>
      <c r="K783">
        <v>2003</v>
      </c>
      <c r="L783" t="s">
        <v>580</v>
      </c>
      <c r="M783">
        <v>84</v>
      </c>
      <c r="N783" t="s">
        <v>606</v>
      </c>
      <c r="O783" t="s">
        <v>566</v>
      </c>
      <c r="P783" t="s">
        <v>567</v>
      </c>
      <c r="Q783" t="s">
        <v>568</v>
      </c>
      <c r="S783" t="s">
        <v>569</v>
      </c>
      <c r="U783">
        <v>24100</v>
      </c>
      <c r="V783" t="s">
        <v>272</v>
      </c>
      <c r="W783" t="s">
        <v>56</v>
      </c>
      <c r="X783" t="s">
        <v>570</v>
      </c>
      <c r="Y783" t="s">
        <v>571</v>
      </c>
      <c r="Z783" t="s">
        <v>65</v>
      </c>
    </row>
    <row r="784" spans="1:26" x14ac:dyDescent="0.3">
      <c r="A784">
        <v>10120</v>
      </c>
      <c r="B784">
        <v>29</v>
      </c>
      <c r="C784">
        <v>71.81</v>
      </c>
      <c r="D784">
        <v>8</v>
      </c>
      <c r="E784">
        <v>2082.4899999999998</v>
      </c>
      <c r="F784" s="1">
        <v>37740</v>
      </c>
      <c r="G784" t="s">
        <v>39</v>
      </c>
      <c r="H784">
        <v>2</v>
      </c>
      <c r="I784">
        <v>4</v>
      </c>
      <c r="J784" t="str">
        <f>TEXT(DATE(2012,Table1[[#This Row],[MONTH_ID]],10),"mmm")</f>
        <v>Apr</v>
      </c>
      <c r="K784">
        <v>2003</v>
      </c>
      <c r="L784" t="s">
        <v>580</v>
      </c>
      <c r="M784">
        <v>84</v>
      </c>
      <c r="N784" t="s">
        <v>606</v>
      </c>
      <c r="O784" t="s">
        <v>103</v>
      </c>
      <c r="P784" t="s">
        <v>104</v>
      </c>
      <c r="Q784" t="s">
        <v>105</v>
      </c>
      <c r="R784" t="s">
        <v>106</v>
      </c>
      <c r="S784" t="s">
        <v>107</v>
      </c>
      <c r="T784" t="s">
        <v>108</v>
      </c>
      <c r="U784">
        <v>3004</v>
      </c>
      <c r="V784" t="s">
        <v>109</v>
      </c>
      <c r="W784" t="s">
        <v>110</v>
      </c>
      <c r="X784" t="s">
        <v>111</v>
      </c>
      <c r="Y784" t="s">
        <v>112</v>
      </c>
      <c r="Z784" t="s">
        <v>50</v>
      </c>
    </row>
    <row r="785" spans="1:26" x14ac:dyDescent="0.3">
      <c r="A785">
        <v>10133</v>
      </c>
      <c r="B785">
        <v>49</v>
      </c>
      <c r="C785">
        <v>69.27</v>
      </c>
      <c r="D785">
        <v>3</v>
      </c>
      <c r="E785">
        <v>3394.23</v>
      </c>
      <c r="F785" s="1">
        <v>37799</v>
      </c>
      <c r="G785" t="s">
        <v>39</v>
      </c>
      <c r="H785">
        <v>2</v>
      </c>
      <c r="I785">
        <v>6</v>
      </c>
      <c r="J785" t="str">
        <f>TEXT(DATE(2012,Table1[[#This Row],[MONTH_ID]],10),"mmm")</f>
        <v>Jun</v>
      </c>
      <c r="K785">
        <v>2003</v>
      </c>
      <c r="L785" t="s">
        <v>580</v>
      </c>
      <c r="M785">
        <v>84</v>
      </c>
      <c r="N785" t="s">
        <v>606</v>
      </c>
      <c r="O785" t="s">
        <v>188</v>
      </c>
      <c r="P785" t="s">
        <v>189</v>
      </c>
      <c r="Q785" t="s">
        <v>190</v>
      </c>
      <c r="S785" t="s">
        <v>191</v>
      </c>
      <c r="U785">
        <v>28034</v>
      </c>
      <c r="V785" t="s">
        <v>192</v>
      </c>
      <c r="W785" t="s">
        <v>56</v>
      </c>
      <c r="X785" t="s">
        <v>193</v>
      </c>
      <c r="Y785" t="s">
        <v>194</v>
      </c>
      <c r="Z785" t="s">
        <v>65</v>
      </c>
    </row>
    <row r="786" spans="1:26" x14ac:dyDescent="0.3">
      <c r="A786">
        <v>10145</v>
      </c>
      <c r="B786">
        <v>30</v>
      </c>
      <c r="C786">
        <v>85.32</v>
      </c>
      <c r="D786">
        <v>14</v>
      </c>
      <c r="E786">
        <v>2559.6</v>
      </c>
      <c r="F786" s="1">
        <v>37858</v>
      </c>
      <c r="G786" t="s">
        <v>39</v>
      </c>
      <c r="H786">
        <v>3</v>
      </c>
      <c r="I786">
        <v>8</v>
      </c>
      <c r="J786" t="str">
        <f>TEXT(DATE(2012,Table1[[#This Row],[MONTH_ID]],10),"mmm")</f>
        <v>Aug</v>
      </c>
      <c r="K786">
        <v>2003</v>
      </c>
      <c r="L786" t="s">
        <v>580</v>
      </c>
      <c r="M786">
        <v>84</v>
      </c>
      <c r="N786" t="s">
        <v>606</v>
      </c>
      <c r="O786" t="s">
        <v>66</v>
      </c>
      <c r="P786">
        <v>6265557265</v>
      </c>
      <c r="Q786" t="s">
        <v>67</v>
      </c>
      <c r="S786" t="s">
        <v>68</v>
      </c>
      <c r="T786" t="s">
        <v>69</v>
      </c>
      <c r="U786">
        <v>90003</v>
      </c>
      <c r="V786" t="s">
        <v>46</v>
      </c>
      <c r="W786" t="s">
        <v>47</v>
      </c>
      <c r="X786" t="s">
        <v>70</v>
      </c>
      <c r="Y786" t="s">
        <v>71</v>
      </c>
      <c r="Z786" t="s">
        <v>50</v>
      </c>
    </row>
    <row r="787" spans="1:26" x14ac:dyDescent="0.3">
      <c r="A787">
        <v>10168</v>
      </c>
      <c r="B787">
        <v>21</v>
      </c>
      <c r="C787">
        <v>70.959999999999994</v>
      </c>
      <c r="D787">
        <v>9</v>
      </c>
      <c r="E787">
        <v>1490.16</v>
      </c>
      <c r="F787" s="1">
        <v>37922</v>
      </c>
      <c r="G787" t="s">
        <v>39</v>
      </c>
      <c r="H787">
        <v>4</v>
      </c>
      <c r="I787">
        <v>10</v>
      </c>
      <c r="J787" t="str">
        <f>TEXT(DATE(2012,Table1[[#This Row],[MONTH_ID]],10),"mmm")</f>
        <v>Oct</v>
      </c>
      <c r="K787">
        <v>2003</v>
      </c>
      <c r="L787" t="s">
        <v>580</v>
      </c>
      <c r="M787">
        <v>84</v>
      </c>
      <c r="N787" t="s">
        <v>606</v>
      </c>
      <c r="O787" t="s">
        <v>76</v>
      </c>
      <c r="P787">
        <v>6505556809</v>
      </c>
      <c r="Q787" t="s">
        <v>77</v>
      </c>
      <c r="S787" t="s">
        <v>78</v>
      </c>
      <c r="T787" t="s">
        <v>69</v>
      </c>
      <c r="U787">
        <v>94217</v>
      </c>
      <c r="V787" t="s">
        <v>46</v>
      </c>
      <c r="W787" t="s">
        <v>47</v>
      </c>
      <c r="X787" t="s">
        <v>79</v>
      </c>
      <c r="Y787" t="s">
        <v>80</v>
      </c>
      <c r="Z787" t="s">
        <v>50</v>
      </c>
    </row>
    <row r="788" spans="1:26" x14ac:dyDescent="0.3">
      <c r="A788">
        <v>10210</v>
      </c>
      <c r="B788">
        <v>50</v>
      </c>
      <c r="C788">
        <v>76.88</v>
      </c>
      <c r="D788">
        <v>7</v>
      </c>
      <c r="E788">
        <v>3844</v>
      </c>
      <c r="F788" s="1">
        <v>37998</v>
      </c>
      <c r="G788" t="s">
        <v>39</v>
      </c>
      <c r="H788">
        <v>1</v>
      </c>
      <c r="I788">
        <v>1</v>
      </c>
      <c r="J788" t="str">
        <f>TEXT(DATE(2012,Table1[[#This Row],[MONTH_ID]],10),"mmm")</f>
        <v>Jan</v>
      </c>
      <c r="K788">
        <v>2004</v>
      </c>
      <c r="L788" t="s">
        <v>580</v>
      </c>
      <c r="M788">
        <v>84</v>
      </c>
      <c r="N788" t="s">
        <v>606</v>
      </c>
      <c r="O788" t="s">
        <v>316</v>
      </c>
      <c r="P788" t="s">
        <v>317</v>
      </c>
      <c r="Q788" t="s">
        <v>318</v>
      </c>
      <c r="S788" t="s">
        <v>319</v>
      </c>
      <c r="T788" t="s">
        <v>319</v>
      </c>
      <c r="U788" t="s">
        <v>320</v>
      </c>
      <c r="V788" t="s">
        <v>214</v>
      </c>
      <c r="W788" t="s">
        <v>214</v>
      </c>
      <c r="X788" t="s">
        <v>321</v>
      </c>
      <c r="Y788" t="s">
        <v>322</v>
      </c>
      <c r="Z788" t="s">
        <v>65</v>
      </c>
    </row>
    <row r="789" spans="1:26" x14ac:dyDescent="0.3">
      <c r="A789">
        <v>10223</v>
      </c>
      <c r="B789">
        <v>47</v>
      </c>
      <c r="C789">
        <v>100</v>
      </c>
      <c r="D789">
        <v>9</v>
      </c>
      <c r="E789">
        <v>4724.91</v>
      </c>
      <c r="F789" s="1">
        <v>38037</v>
      </c>
      <c r="G789" t="s">
        <v>39</v>
      </c>
      <c r="H789">
        <v>1</v>
      </c>
      <c r="I789">
        <v>2</v>
      </c>
      <c r="J789" t="str">
        <f>TEXT(DATE(2012,Table1[[#This Row],[MONTH_ID]],10),"mmm")</f>
        <v>Feb</v>
      </c>
      <c r="K789">
        <v>2004</v>
      </c>
      <c r="L789" t="s">
        <v>580</v>
      </c>
      <c r="M789">
        <v>84</v>
      </c>
      <c r="N789" t="s">
        <v>606</v>
      </c>
      <c r="O789" t="s">
        <v>103</v>
      </c>
      <c r="P789" t="s">
        <v>104</v>
      </c>
      <c r="Q789" t="s">
        <v>105</v>
      </c>
      <c r="R789" t="s">
        <v>106</v>
      </c>
      <c r="S789" t="s">
        <v>107</v>
      </c>
      <c r="T789" t="s">
        <v>108</v>
      </c>
      <c r="U789">
        <v>3004</v>
      </c>
      <c r="V789" t="s">
        <v>109</v>
      </c>
      <c r="W789" t="s">
        <v>110</v>
      </c>
      <c r="X789" t="s">
        <v>111</v>
      </c>
      <c r="Y789" t="s">
        <v>112</v>
      </c>
      <c r="Z789" t="s">
        <v>65</v>
      </c>
    </row>
    <row r="790" spans="1:26" x14ac:dyDescent="0.3">
      <c r="A790">
        <v>10235</v>
      </c>
      <c r="B790">
        <v>24</v>
      </c>
      <c r="C790">
        <v>76.03</v>
      </c>
      <c r="D790">
        <v>3</v>
      </c>
      <c r="E790">
        <v>1824.72</v>
      </c>
      <c r="F790" s="1">
        <v>38079</v>
      </c>
      <c r="G790" t="s">
        <v>39</v>
      </c>
      <c r="H790">
        <v>2</v>
      </c>
      <c r="I790">
        <v>4</v>
      </c>
      <c r="J790" t="str">
        <f>TEXT(DATE(2012,Table1[[#This Row],[MONTH_ID]],10),"mmm")</f>
        <v>Apr</v>
      </c>
      <c r="K790">
        <v>2004</v>
      </c>
      <c r="L790" t="s">
        <v>580</v>
      </c>
      <c r="M790">
        <v>84</v>
      </c>
      <c r="N790" t="s">
        <v>606</v>
      </c>
      <c r="O790" t="s">
        <v>387</v>
      </c>
      <c r="P790" t="s">
        <v>388</v>
      </c>
      <c r="Q790" t="s">
        <v>389</v>
      </c>
      <c r="S790" t="s">
        <v>390</v>
      </c>
      <c r="T790" t="s">
        <v>243</v>
      </c>
      <c r="U790" t="s">
        <v>391</v>
      </c>
      <c r="V790" t="s">
        <v>245</v>
      </c>
      <c r="W790" t="s">
        <v>47</v>
      </c>
      <c r="X790" t="s">
        <v>392</v>
      </c>
      <c r="Y790" t="s">
        <v>186</v>
      </c>
      <c r="Z790" t="s">
        <v>50</v>
      </c>
    </row>
    <row r="791" spans="1:26" x14ac:dyDescent="0.3">
      <c r="A791">
        <v>10250</v>
      </c>
      <c r="B791">
        <v>27</v>
      </c>
      <c r="C791">
        <v>98.84</v>
      </c>
      <c r="D791">
        <v>4</v>
      </c>
      <c r="E791">
        <v>2668.68</v>
      </c>
      <c r="F791" s="1">
        <v>38118</v>
      </c>
      <c r="G791" t="s">
        <v>39</v>
      </c>
      <c r="H791">
        <v>2</v>
      </c>
      <c r="I791">
        <v>5</v>
      </c>
      <c r="J791" t="str">
        <f>TEXT(DATE(2012,Table1[[#This Row],[MONTH_ID]],10),"mmm")</f>
        <v>May</v>
      </c>
      <c r="K791">
        <v>2004</v>
      </c>
      <c r="L791" t="s">
        <v>580</v>
      </c>
      <c r="M791">
        <v>84</v>
      </c>
      <c r="N791" t="s">
        <v>606</v>
      </c>
      <c r="O791" t="s">
        <v>411</v>
      </c>
      <c r="P791">
        <v>4085553659</v>
      </c>
      <c r="Q791" t="s">
        <v>412</v>
      </c>
      <c r="S791" t="s">
        <v>413</v>
      </c>
      <c r="T791" t="s">
        <v>69</v>
      </c>
      <c r="U791">
        <v>94217</v>
      </c>
      <c r="V791" t="s">
        <v>46</v>
      </c>
      <c r="W791" t="s">
        <v>47</v>
      </c>
      <c r="X791" t="s">
        <v>116</v>
      </c>
      <c r="Y791" t="s">
        <v>414</v>
      </c>
      <c r="Z791" t="s">
        <v>50</v>
      </c>
    </row>
    <row r="792" spans="1:26" x14ac:dyDescent="0.3">
      <c r="A792">
        <v>10263</v>
      </c>
      <c r="B792">
        <v>33</v>
      </c>
      <c r="C792">
        <v>86.17</v>
      </c>
      <c r="D792">
        <v>10</v>
      </c>
      <c r="E792">
        <v>2843.61</v>
      </c>
      <c r="F792" s="1">
        <v>38166</v>
      </c>
      <c r="G792" t="s">
        <v>39</v>
      </c>
      <c r="H792">
        <v>2</v>
      </c>
      <c r="I792">
        <v>6</v>
      </c>
      <c r="J792" t="str">
        <f>TEXT(DATE(2012,Table1[[#This Row],[MONTH_ID]],10),"mmm")</f>
        <v>Jun</v>
      </c>
      <c r="K792">
        <v>2004</v>
      </c>
      <c r="L792" t="s">
        <v>580</v>
      </c>
      <c r="M792">
        <v>84</v>
      </c>
      <c r="N792" t="s">
        <v>606</v>
      </c>
      <c r="O792" t="s">
        <v>123</v>
      </c>
      <c r="P792">
        <v>2035552570</v>
      </c>
      <c r="Q792" t="s">
        <v>124</v>
      </c>
      <c r="S792" t="s">
        <v>125</v>
      </c>
      <c r="T792" t="s">
        <v>126</v>
      </c>
      <c r="U792">
        <v>97562</v>
      </c>
      <c r="V792" t="s">
        <v>46</v>
      </c>
      <c r="W792" t="s">
        <v>47</v>
      </c>
      <c r="X792" t="s">
        <v>127</v>
      </c>
      <c r="Y792" t="s">
        <v>71</v>
      </c>
      <c r="Z792" t="s">
        <v>50</v>
      </c>
    </row>
    <row r="793" spans="1:26" x14ac:dyDescent="0.3">
      <c r="A793">
        <v>10275</v>
      </c>
      <c r="B793">
        <v>35</v>
      </c>
      <c r="C793">
        <v>90.39</v>
      </c>
      <c r="D793">
        <v>9</v>
      </c>
      <c r="E793">
        <v>3163.65</v>
      </c>
      <c r="F793" s="1">
        <v>38191</v>
      </c>
      <c r="G793" t="s">
        <v>39</v>
      </c>
      <c r="H793">
        <v>3</v>
      </c>
      <c r="I793">
        <v>7</v>
      </c>
      <c r="J793" t="str">
        <f>TEXT(DATE(2012,Table1[[#This Row],[MONTH_ID]],10),"mmm")</f>
        <v>Jul</v>
      </c>
      <c r="K793">
        <v>2004</v>
      </c>
      <c r="L793" t="s">
        <v>580</v>
      </c>
      <c r="M793">
        <v>84</v>
      </c>
      <c r="N793" t="s">
        <v>606</v>
      </c>
      <c r="O793" t="s">
        <v>128</v>
      </c>
      <c r="P793" t="s">
        <v>129</v>
      </c>
      <c r="Q793" t="s">
        <v>130</v>
      </c>
      <c r="S793" t="s">
        <v>131</v>
      </c>
      <c r="U793">
        <v>44000</v>
      </c>
      <c r="V793" t="s">
        <v>55</v>
      </c>
      <c r="W793" t="s">
        <v>56</v>
      </c>
      <c r="X793" t="s">
        <v>132</v>
      </c>
      <c r="Y793" t="s">
        <v>133</v>
      </c>
      <c r="Z793" t="s">
        <v>65</v>
      </c>
    </row>
    <row r="794" spans="1:26" x14ac:dyDescent="0.3">
      <c r="A794">
        <v>10284</v>
      </c>
      <c r="B794">
        <v>31</v>
      </c>
      <c r="C794">
        <v>71.81</v>
      </c>
      <c r="D794">
        <v>1</v>
      </c>
      <c r="E794">
        <v>2226.11</v>
      </c>
      <c r="F794" s="1">
        <v>38220</v>
      </c>
      <c r="G794" t="s">
        <v>39</v>
      </c>
      <c r="H794">
        <v>3</v>
      </c>
      <c r="I794">
        <v>8</v>
      </c>
      <c r="J794" t="str">
        <f>TEXT(DATE(2012,Table1[[#This Row],[MONTH_ID]],10),"mmm")</f>
        <v>Aug</v>
      </c>
      <c r="K794">
        <v>2004</v>
      </c>
      <c r="L794" t="s">
        <v>580</v>
      </c>
      <c r="M794">
        <v>84</v>
      </c>
      <c r="N794" t="s">
        <v>606</v>
      </c>
      <c r="O794" t="s">
        <v>557</v>
      </c>
      <c r="P794" t="s">
        <v>558</v>
      </c>
      <c r="Q794" t="s">
        <v>559</v>
      </c>
      <c r="S794" t="s">
        <v>560</v>
      </c>
      <c r="U794" t="s">
        <v>561</v>
      </c>
      <c r="V794" t="s">
        <v>92</v>
      </c>
      <c r="W794" t="s">
        <v>56</v>
      </c>
      <c r="X794" t="s">
        <v>562</v>
      </c>
      <c r="Y794" t="s">
        <v>563</v>
      </c>
      <c r="Z794" t="s">
        <v>50</v>
      </c>
    </row>
    <row r="795" spans="1:26" x14ac:dyDescent="0.3">
      <c r="A795">
        <v>10297</v>
      </c>
      <c r="B795">
        <v>25</v>
      </c>
      <c r="C795">
        <v>82.79</v>
      </c>
      <c r="D795">
        <v>4</v>
      </c>
      <c r="E795">
        <v>2069.75</v>
      </c>
      <c r="F795" s="1">
        <v>38246</v>
      </c>
      <c r="G795" t="s">
        <v>39</v>
      </c>
      <c r="H795">
        <v>3</v>
      </c>
      <c r="I795">
        <v>9</v>
      </c>
      <c r="J795" t="str">
        <f>TEXT(DATE(2012,Table1[[#This Row],[MONTH_ID]],10),"mmm")</f>
        <v>Sep</v>
      </c>
      <c r="K795">
        <v>2004</v>
      </c>
      <c r="L795" t="s">
        <v>580</v>
      </c>
      <c r="M795">
        <v>84</v>
      </c>
      <c r="N795" t="s">
        <v>606</v>
      </c>
      <c r="O795" t="s">
        <v>493</v>
      </c>
      <c r="P795" t="s">
        <v>494</v>
      </c>
      <c r="Q795" t="s">
        <v>495</v>
      </c>
      <c r="R795" t="s">
        <v>496</v>
      </c>
      <c r="S795" t="s">
        <v>497</v>
      </c>
      <c r="U795">
        <v>2</v>
      </c>
      <c r="V795" t="s">
        <v>498</v>
      </c>
      <c r="W795" t="s">
        <v>56</v>
      </c>
      <c r="X795" t="s">
        <v>499</v>
      </c>
      <c r="Y795" t="s">
        <v>500</v>
      </c>
      <c r="Z795" t="s">
        <v>50</v>
      </c>
    </row>
    <row r="796" spans="1:26" x14ac:dyDescent="0.3">
      <c r="A796">
        <v>10308</v>
      </c>
      <c r="B796">
        <v>27</v>
      </c>
      <c r="C796">
        <v>82.79</v>
      </c>
      <c r="D796">
        <v>7</v>
      </c>
      <c r="E796">
        <v>2235.33</v>
      </c>
      <c r="F796" s="1">
        <v>38275</v>
      </c>
      <c r="G796" t="s">
        <v>39</v>
      </c>
      <c r="H796">
        <v>4</v>
      </c>
      <c r="I796">
        <v>10</v>
      </c>
      <c r="J796" t="str">
        <f>TEXT(DATE(2012,Table1[[#This Row],[MONTH_ID]],10),"mmm")</f>
        <v>Oct</v>
      </c>
      <c r="K796">
        <v>2004</v>
      </c>
      <c r="L796" t="s">
        <v>580</v>
      </c>
      <c r="M796">
        <v>84</v>
      </c>
      <c r="N796" t="s">
        <v>606</v>
      </c>
      <c r="O796" t="s">
        <v>331</v>
      </c>
      <c r="P796">
        <v>9145554562</v>
      </c>
      <c r="Q796" t="s">
        <v>332</v>
      </c>
      <c r="S796" t="s">
        <v>333</v>
      </c>
      <c r="T796" t="s">
        <v>45</v>
      </c>
      <c r="U796">
        <v>24067</v>
      </c>
      <c r="V796" t="s">
        <v>46</v>
      </c>
      <c r="W796" t="s">
        <v>47</v>
      </c>
      <c r="X796" t="s">
        <v>116</v>
      </c>
      <c r="Y796" t="s">
        <v>252</v>
      </c>
      <c r="Z796" t="s">
        <v>50</v>
      </c>
    </row>
    <row r="797" spans="1:26" x14ac:dyDescent="0.3">
      <c r="A797">
        <v>10318</v>
      </c>
      <c r="B797">
        <v>31</v>
      </c>
      <c r="C797">
        <v>100</v>
      </c>
      <c r="D797">
        <v>9</v>
      </c>
      <c r="E797">
        <v>3116.43</v>
      </c>
      <c r="F797" s="1">
        <v>38293</v>
      </c>
      <c r="G797" t="s">
        <v>39</v>
      </c>
      <c r="H797">
        <v>4</v>
      </c>
      <c r="I797">
        <v>11</v>
      </c>
      <c r="J797" t="str">
        <f>TEXT(DATE(2012,Table1[[#This Row],[MONTH_ID]],10),"mmm")</f>
        <v>Nov</v>
      </c>
      <c r="K797">
        <v>2004</v>
      </c>
      <c r="L797" t="s">
        <v>580</v>
      </c>
      <c r="M797">
        <v>84</v>
      </c>
      <c r="N797" t="s">
        <v>606</v>
      </c>
      <c r="O797" t="s">
        <v>153</v>
      </c>
      <c r="P797">
        <v>2155551555</v>
      </c>
      <c r="Q797" t="s">
        <v>154</v>
      </c>
      <c r="S797" t="s">
        <v>155</v>
      </c>
      <c r="T797" t="s">
        <v>156</v>
      </c>
      <c r="U797">
        <v>70267</v>
      </c>
      <c r="V797" t="s">
        <v>46</v>
      </c>
      <c r="W797" t="s">
        <v>47</v>
      </c>
      <c r="X797" t="s">
        <v>48</v>
      </c>
      <c r="Y797" t="s">
        <v>157</v>
      </c>
      <c r="Z797" t="s">
        <v>65</v>
      </c>
    </row>
    <row r="798" spans="1:26" x14ac:dyDescent="0.3">
      <c r="A798">
        <v>10327</v>
      </c>
      <c r="B798">
        <v>45</v>
      </c>
      <c r="C798">
        <v>100</v>
      </c>
      <c r="D798">
        <v>8</v>
      </c>
      <c r="E798">
        <v>4781.7</v>
      </c>
      <c r="F798" s="1">
        <v>38301</v>
      </c>
      <c r="G798" t="s">
        <v>422</v>
      </c>
      <c r="H798">
        <v>4</v>
      </c>
      <c r="I798">
        <v>11</v>
      </c>
      <c r="J798" t="str">
        <f>TEXT(DATE(2012,Table1[[#This Row],[MONTH_ID]],10),"mmm")</f>
        <v>Nov</v>
      </c>
      <c r="K798">
        <v>2004</v>
      </c>
      <c r="L798" t="s">
        <v>580</v>
      </c>
      <c r="M798">
        <v>84</v>
      </c>
      <c r="N798" t="s">
        <v>606</v>
      </c>
      <c r="O798" t="s">
        <v>336</v>
      </c>
      <c r="P798" t="s">
        <v>337</v>
      </c>
      <c r="Q798" t="s">
        <v>338</v>
      </c>
      <c r="S798" t="s">
        <v>339</v>
      </c>
      <c r="U798">
        <v>1734</v>
      </c>
      <c r="V798" t="s">
        <v>340</v>
      </c>
      <c r="W798" t="s">
        <v>56</v>
      </c>
      <c r="X798" t="s">
        <v>341</v>
      </c>
      <c r="Y798" t="s">
        <v>342</v>
      </c>
      <c r="Z798" t="s">
        <v>65</v>
      </c>
    </row>
    <row r="799" spans="1:26" x14ac:dyDescent="0.3">
      <c r="A799">
        <v>10339</v>
      </c>
      <c r="B799">
        <v>27</v>
      </c>
      <c r="C799">
        <v>100</v>
      </c>
      <c r="D799">
        <v>2</v>
      </c>
      <c r="E799">
        <v>2810.7</v>
      </c>
      <c r="F799" s="1">
        <v>38314</v>
      </c>
      <c r="G799" t="s">
        <v>39</v>
      </c>
      <c r="H799">
        <v>4</v>
      </c>
      <c r="I799">
        <v>11</v>
      </c>
      <c r="J799" t="str">
        <f>TEXT(DATE(2012,Table1[[#This Row],[MONTH_ID]],10),"mmm")</f>
        <v>Nov</v>
      </c>
      <c r="K799">
        <v>2004</v>
      </c>
      <c r="L799" t="s">
        <v>580</v>
      </c>
      <c r="M799">
        <v>84</v>
      </c>
      <c r="N799" t="s">
        <v>606</v>
      </c>
      <c r="O799" t="s">
        <v>260</v>
      </c>
      <c r="P799" t="s">
        <v>261</v>
      </c>
      <c r="Q799" t="s">
        <v>262</v>
      </c>
      <c r="S799" t="s">
        <v>263</v>
      </c>
      <c r="T799" t="s">
        <v>264</v>
      </c>
      <c r="U799" t="s">
        <v>265</v>
      </c>
      <c r="V799" t="s">
        <v>214</v>
      </c>
      <c r="W799" t="s">
        <v>214</v>
      </c>
      <c r="X799" t="s">
        <v>266</v>
      </c>
      <c r="Y799" t="s">
        <v>267</v>
      </c>
      <c r="Z799" t="s">
        <v>50</v>
      </c>
    </row>
    <row r="800" spans="1:26" x14ac:dyDescent="0.3">
      <c r="A800">
        <v>10353</v>
      </c>
      <c r="B800">
        <v>27</v>
      </c>
      <c r="C800">
        <v>100</v>
      </c>
      <c r="D800">
        <v>1</v>
      </c>
      <c r="E800">
        <v>3515.67</v>
      </c>
      <c r="F800" s="1">
        <v>38325</v>
      </c>
      <c r="G800" t="s">
        <v>39</v>
      </c>
      <c r="H800">
        <v>4</v>
      </c>
      <c r="I800">
        <v>12</v>
      </c>
      <c r="J800" t="str">
        <f>TEXT(DATE(2012,Table1[[#This Row],[MONTH_ID]],10),"mmm")</f>
        <v>Dec</v>
      </c>
      <c r="K800">
        <v>2004</v>
      </c>
      <c r="L800" t="s">
        <v>580</v>
      </c>
      <c r="M800">
        <v>84</v>
      </c>
      <c r="N800" t="s">
        <v>606</v>
      </c>
      <c r="O800" t="s">
        <v>582</v>
      </c>
      <c r="P800">
        <v>2035554407</v>
      </c>
      <c r="Q800" t="s">
        <v>583</v>
      </c>
      <c r="S800" t="s">
        <v>530</v>
      </c>
      <c r="T800" t="s">
        <v>126</v>
      </c>
      <c r="U800">
        <v>97561</v>
      </c>
      <c r="V800" t="s">
        <v>46</v>
      </c>
      <c r="W800" t="s">
        <v>47</v>
      </c>
      <c r="X800" t="s">
        <v>584</v>
      </c>
      <c r="Y800" t="s">
        <v>585</v>
      </c>
      <c r="Z800" t="s">
        <v>65</v>
      </c>
    </row>
    <row r="801" spans="1:26" x14ac:dyDescent="0.3">
      <c r="A801">
        <v>10374</v>
      </c>
      <c r="B801">
        <v>42</v>
      </c>
      <c r="C801">
        <v>69.27</v>
      </c>
      <c r="D801">
        <v>2</v>
      </c>
      <c r="E801">
        <v>2909.34</v>
      </c>
      <c r="F801" s="1">
        <v>38385</v>
      </c>
      <c r="G801" t="s">
        <v>39</v>
      </c>
      <c r="H801">
        <v>1</v>
      </c>
      <c r="I801">
        <v>2</v>
      </c>
      <c r="J801" t="str">
        <f>TEXT(DATE(2012,Table1[[#This Row],[MONTH_ID]],10),"mmm")</f>
        <v>Feb</v>
      </c>
      <c r="K801">
        <v>2005</v>
      </c>
      <c r="L801" t="s">
        <v>580</v>
      </c>
      <c r="M801">
        <v>84</v>
      </c>
      <c r="N801" t="s">
        <v>606</v>
      </c>
      <c r="O801" t="s">
        <v>221</v>
      </c>
      <c r="P801" t="s">
        <v>222</v>
      </c>
      <c r="Q801" t="s">
        <v>223</v>
      </c>
      <c r="S801" t="s">
        <v>224</v>
      </c>
      <c r="T801" t="s">
        <v>225</v>
      </c>
      <c r="U801">
        <v>4101</v>
      </c>
      <c r="V801" t="s">
        <v>109</v>
      </c>
      <c r="W801" t="s">
        <v>110</v>
      </c>
      <c r="X801" t="s">
        <v>226</v>
      </c>
      <c r="Y801" t="s">
        <v>227</v>
      </c>
      <c r="Z801" t="s">
        <v>50</v>
      </c>
    </row>
    <row r="802" spans="1:26" x14ac:dyDescent="0.3">
      <c r="A802">
        <v>10386</v>
      </c>
      <c r="B802">
        <v>21</v>
      </c>
      <c r="C802">
        <v>74.77</v>
      </c>
      <c r="D802">
        <v>18</v>
      </c>
      <c r="E802">
        <v>1570.17</v>
      </c>
      <c r="F802" s="1">
        <v>38412</v>
      </c>
      <c r="G802" t="s">
        <v>422</v>
      </c>
      <c r="H802">
        <v>1</v>
      </c>
      <c r="I802">
        <v>3</v>
      </c>
      <c r="J802" t="str">
        <f>TEXT(DATE(2012,Table1[[#This Row],[MONTH_ID]],10),"mmm")</f>
        <v>Mar</v>
      </c>
      <c r="K802">
        <v>2005</v>
      </c>
      <c r="L802" t="s">
        <v>580</v>
      </c>
      <c r="M802">
        <v>84</v>
      </c>
      <c r="N802" t="s">
        <v>606</v>
      </c>
      <c r="O802" t="s">
        <v>188</v>
      </c>
      <c r="P802" t="s">
        <v>189</v>
      </c>
      <c r="Q802" t="s">
        <v>190</v>
      </c>
      <c r="S802" t="s">
        <v>191</v>
      </c>
      <c r="U802">
        <v>28034</v>
      </c>
      <c r="V802" t="s">
        <v>192</v>
      </c>
      <c r="W802" t="s">
        <v>56</v>
      </c>
      <c r="X802" t="s">
        <v>193</v>
      </c>
      <c r="Y802" t="s">
        <v>194</v>
      </c>
      <c r="Z802" t="s">
        <v>50</v>
      </c>
    </row>
    <row r="803" spans="1:26" x14ac:dyDescent="0.3">
      <c r="A803">
        <v>10398</v>
      </c>
      <c r="B803">
        <v>34</v>
      </c>
      <c r="C803">
        <v>76.88</v>
      </c>
      <c r="D803">
        <v>15</v>
      </c>
      <c r="E803">
        <v>2613.92</v>
      </c>
      <c r="F803" s="1">
        <v>38441</v>
      </c>
      <c r="G803" t="s">
        <v>39</v>
      </c>
      <c r="H803">
        <v>1</v>
      </c>
      <c r="I803">
        <v>3</v>
      </c>
      <c r="J803" t="str">
        <f>TEXT(DATE(2012,Table1[[#This Row],[MONTH_ID]],10),"mmm")</f>
        <v>Mar</v>
      </c>
      <c r="K803">
        <v>2005</v>
      </c>
      <c r="L803" t="s">
        <v>580</v>
      </c>
      <c r="M803">
        <v>84</v>
      </c>
      <c r="N803" t="s">
        <v>606</v>
      </c>
      <c r="O803" t="s">
        <v>51</v>
      </c>
      <c r="P803" t="s">
        <v>52</v>
      </c>
      <c r="Q803" t="s">
        <v>53</v>
      </c>
      <c r="S803" t="s">
        <v>54</v>
      </c>
      <c r="U803">
        <v>51100</v>
      </c>
      <c r="V803" t="s">
        <v>55</v>
      </c>
      <c r="W803" t="s">
        <v>56</v>
      </c>
      <c r="X803" t="s">
        <v>57</v>
      </c>
      <c r="Y803" t="s">
        <v>58</v>
      </c>
      <c r="Z803" t="s">
        <v>50</v>
      </c>
    </row>
    <row r="804" spans="1:26" x14ac:dyDescent="0.3">
      <c r="A804">
        <v>10401</v>
      </c>
      <c r="B804">
        <v>42</v>
      </c>
      <c r="C804">
        <v>76.03</v>
      </c>
      <c r="D804">
        <v>3</v>
      </c>
      <c r="E804">
        <v>3193.26</v>
      </c>
      <c r="F804" s="1">
        <v>38445</v>
      </c>
      <c r="G804" t="s">
        <v>415</v>
      </c>
      <c r="H804">
        <v>2</v>
      </c>
      <c r="I804">
        <v>4</v>
      </c>
      <c r="J804" t="str">
        <f>TEXT(DATE(2012,Table1[[#This Row],[MONTH_ID]],10),"mmm")</f>
        <v>Apr</v>
      </c>
      <c r="K804">
        <v>2005</v>
      </c>
      <c r="L804" t="s">
        <v>580</v>
      </c>
      <c r="M804">
        <v>84</v>
      </c>
      <c r="N804" t="s">
        <v>606</v>
      </c>
      <c r="O804" t="s">
        <v>118</v>
      </c>
      <c r="P804">
        <v>2015559350</v>
      </c>
      <c r="Q804" t="s">
        <v>119</v>
      </c>
      <c r="S804" t="s">
        <v>120</v>
      </c>
      <c r="T804" t="s">
        <v>121</v>
      </c>
      <c r="U804">
        <v>94019</v>
      </c>
      <c r="V804" t="s">
        <v>46</v>
      </c>
      <c r="W804" t="s">
        <v>47</v>
      </c>
      <c r="X804" t="s">
        <v>75</v>
      </c>
      <c r="Y804" t="s">
        <v>122</v>
      </c>
      <c r="Z804" t="s">
        <v>65</v>
      </c>
    </row>
    <row r="805" spans="1:26" x14ac:dyDescent="0.3">
      <c r="A805">
        <v>10416</v>
      </c>
      <c r="B805">
        <v>15</v>
      </c>
      <c r="C805">
        <v>98.84</v>
      </c>
      <c r="D805">
        <v>4</v>
      </c>
      <c r="E805">
        <v>1482.6</v>
      </c>
      <c r="F805" s="1">
        <v>38482</v>
      </c>
      <c r="G805" t="s">
        <v>39</v>
      </c>
      <c r="H805">
        <v>2</v>
      </c>
      <c r="I805">
        <v>5</v>
      </c>
      <c r="J805" t="str">
        <f>TEXT(DATE(2012,Table1[[#This Row],[MONTH_ID]],10),"mmm")</f>
        <v>May</v>
      </c>
      <c r="K805">
        <v>2005</v>
      </c>
      <c r="L805" t="s">
        <v>580</v>
      </c>
      <c r="M805">
        <v>84</v>
      </c>
      <c r="N805" t="s">
        <v>606</v>
      </c>
      <c r="O805" t="s">
        <v>466</v>
      </c>
      <c r="P805" t="s">
        <v>467</v>
      </c>
      <c r="Q805" t="s">
        <v>468</v>
      </c>
      <c r="S805" t="s">
        <v>469</v>
      </c>
      <c r="U805">
        <v>42100</v>
      </c>
      <c r="V805" t="s">
        <v>272</v>
      </c>
      <c r="W805" t="s">
        <v>56</v>
      </c>
      <c r="X805" t="s">
        <v>470</v>
      </c>
      <c r="Y805" t="s">
        <v>471</v>
      </c>
      <c r="Z805" t="s">
        <v>50</v>
      </c>
    </row>
    <row r="806" spans="1:26" x14ac:dyDescent="0.3">
      <c r="A806">
        <v>10107</v>
      </c>
      <c r="B806">
        <v>29</v>
      </c>
      <c r="C806">
        <v>70.87</v>
      </c>
      <c r="D806">
        <v>6</v>
      </c>
      <c r="E806">
        <v>2055.23</v>
      </c>
      <c r="F806" s="1">
        <v>37676</v>
      </c>
      <c r="G806" t="s">
        <v>39</v>
      </c>
      <c r="H806">
        <v>1</v>
      </c>
      <c r="I806">
        <v>2</v>
      </c>
      <c r="J806" t="str">
        <f>TEXT(DATE(2012,Table1[[#This Row],[MONTH_ID]],10),"mmm")</f>
        <v>Feb</v>
      </c>
      <c r="K806">
        <v>2003</v>
      </c>
      <c r="L806" t="s">
        <v>40</v>
      </c>
      <c r="M806">
        <v>60</v>
      </c>
      <c r="N806" t="s">
        <v>607</v>
      </c>
      <c r="O806" t="s">
        <v>42</v>
      </c>
      <c r="P806">
        <v>2125557818</v>
      </c>
      <c r="Q806" t="s">
        <v>43</v>
      </c>
      <c r="S806" t="s">
        <v>44</v>
      </c>
      <c r="T806" t="s">
        <v>45</v>
      </c>
      <c r="U806">
        <v>10022</v>
      </c>
      <c r="V806" t="s">
        <v>46</v>
      </c>
      <c r="W806" t="s">
        <v>47</v>
      </c>
      <c r="X806" t="s">
        <v>48</v>
      </c>
      <c r="Y806" t="s">
        <v>49</v>
      </c>
      <c r="Z806" t="s">
        <v>50</v>
      </c>
    </row>
    <row r="807" spans="1:26" x14ac:dyDescent="0.3">
      <c r="A807">
        <v>10120</v>
      </c>
      <c r="B807">
        <v>46</v>
      </c>
      <c r="C807">
        <v>58.15</v>
      </c>
      <c r="D807">
        <v>4</v>
      </c>
      <c r="E807">
        <v>2674.9</v>
      </c>
      <c r="F807" s="1">
        <v>37740</v>
      </c>
      <c r="G807" t="s">
        <v>39</v>
      </c>
      <c r="H807">
        <v>2</v>
      </c>
      <c r="I807">
        <v>4</v>
      </c>
      <c r="J807" t="str">
        <f>TEXT(DATE(2012,Table1[[#This Row],[MONTH_ID]],10),"mmm")</f>
        <v>Apr</v>
      </c>
      <c r="K807">
        <v>2003</v>
      </c>
      <c r="L807" t="s">
        <v>40</v>
      </c>
      <c r="M807">
        <v>60</v>
      </c>
      <c r="N807" t="s">
        <v>607</v>
      </c>
      <c r="O807" t="s">
        <v>103</v>
      </c>
      <c r="P807" t="s">
        <v>104</v>
      </c>
      <c r="Q807" t="s">
        <v>105</v>
      </c>
      <c r="R807" t="s">
        <v>106</v>
      </c>
      <c r="S807" t="s">
        <v>107</v>
      </c>
      <c r="T807" t="s">
        <v>108</v>
      </c>
      <c r="U807">
        <v>3004</v>
      </c>
      <c r="V807" t="s">
        <v>109</v>
      </c>
      <c r="W807" t="s">
        <v>110</v>
      </c>
      <c r="X807" t="s">
        <v>111</v>
      </c>
      <c r="Y807" t="s">
        <v>112</v>
      </c>
      <c r="Z807" t="s">
        <v>50</v>
      </c>
    </row>
    <row r="808" spans="1:26" x14ac:dyDescent="0.3">
      <c r="A808">
        <v>10134</v>
      </c>
      <c r="B808">
        <v>30</v>
      </c>
      <c r="C808">
        <v>61.78</v>
      </c>
      <c r="D808">
        <v>6</v>
      </c>
      <c r="E808">
        <v>1853.4</v>
      </c>
      <c r="F808" s="1">
        <v>37803</v>
      </c>
      <c r="G808" t="s">
        <v>39</v>
      </c>
      <c r="H808">
        <v>3</v>
      </c>
      <c r="I808">
        <v>7</v>
      </c>
      <c r="J808" t="str">
        <f>TEXT(DATE(2012,Table1[[#This Row],[MONTH_ID]],10),"mmm")</f>
        <v>Jul</v>
      </c>
      <c r="K808">
        <v>2003</v>
      </c>
      <c r="L808" t="s">
        <v>40</v>
      </c>
      <c r="M808">
        <v>60</v>
      </c>
      <c r="N808" t="s">
        <v>607</v>
      </c>
      <c r="O808" t="s">
        <v>59</v>
      </c>
      <c r="P808" t="s">
        <v>60</v>
      </c>
      <c r="Q808" t="s">
        <v>61</v>
      </c>
      <c r="S808" t="s">
        <v>62</v>
      </c>
      <c r="U808">
        <v>75508</v>
      </c>
      <c r="V808" t="s">
        <v>55</v>
      </c>
      <c r="W808" t="s">
        <v>56</v>
      </c>
      <c r="X808" t="s">
        <v>63</v>
      </c>
      <c r="Y808" t="s">
        <v>64</v>
      </c>
      <c r="Z808" t="s">
        <v>50</v>
      </c>
    </row>
    <row r="809" spans="1:26" x14ac:dyDescent="0.3">
      <c r="A809">
        <v>10145</v>
      </c>
      <c r="B809">
        <v>30</v>
      </c>
      <c r="C809">
        <v>49.67</v>
      </c>
      <c r="D809">
        <v>10</v>
      </c>
      <c r="E809">
        <v>1490.1</v>
      </c>
      <c r="F809" s="1">
        <v>37858</v>
      </c>
      <c r="G809" t="s">
        <v>39</v>
      </c>
      <c r="H809">
        <v>3</v>
      </c>
      <c r="I809">
        <v>8</v>
      </c>
      <c r="J809" t="str">
        <f>TEXT(DATE(2012,Table1[[#This Row],[MONTH_ID]],10),"mmm")</f>
        <v>Aug</v>
      </c>
      <c r="K809">
        <v>2003</v>
      </c>
      <c r="L809" t="s">
        <v>40</v>
      </c>
      <c r="M809">
        <v>60</v>
      </c>
      <c r="N809" t="s">
        <v>607</v>
      </c>
      <c r="O809" t="s">
        <v>66</v>
      </c>
      <c r="P809">
        <v>6265557265</v>
      </c>
      <c r="Q809" t="s">
        <v>67</v>
      </c>
      <c r="S809" t="s">
        <v>68</v>
      </c>
      <c r="T809" t="s">
        <v>69</v>
      </c>
      <c r="U809">
        <v>90003</v>
      </c>
      <c r="V809" t="s">
        <v>46</v>
      </c>
      <c r="W809" t="s">
        <v>47</v>
      </c>
      <c r="X809" t="s">
        <v>70</v>
      </c>
      <c r="Y809" t="s">
        <v>71</v>
      </c>
      <c r="Z809" t="s">
        <v>50</v>
      </c>
    </row>
    <row r="810" spans="1:26" x14ac:dyDescent="0.3">
      <c r="A810">
        <v>10159</v>
      </c>
      <c r="B810">
        <v>42</v>
      </c>
      <c r="C810">
        <v>51.48</v>
      </c>
      <c r="D810">
        <v>18</v>
      </c>
      <c r="E810">
        <v>2162.16</v>
      </c>
      <c r="F810" s="1">
        <v>37904</v>
      </c>
      <c r="G810" t="s">
        <v>39</v>
      </c>
      <c r="H810">
        <v>4</v>
      </c>
      <c r="I810">
        <v>10</v>
      </c>
      <c r="J810" t="str">
        <f>TEXT(DATE(2012,Table1[[#This Row],[MONTH_ID]],10),"mmm")</f>
        <v>Oct</v>
      </c>
      <c r="K810">
        <v>2003</v>
      </c>
      <c r="L810" t="s">
        <v>40</v>
      </c>
      <c r="M810">
        <v>60</v>
      </c>
      <c r="N810" t="s">
        <v>607</v>
      </c>
      <c r="O810" t="s">
        <v>72</v>
      </c>
      <c r="P810">
        <v>6505551386</v>
      </c>
      <c r="Q810" t="s">
        <v>73</v>
      </c>
      <c r="S810" t="s">
        <v>74</v>
      </c>
      <c r="T810" t="s">
        <v>69</v>
      </c>
      <c r="V810" t="s">
        <v>46</v>
      </c>
      <c r="W810" t="s">
        <v>47</v>
      </c>
      <c r="X810" t="s">
        <v>75</v>
      </c>
      <c r="Y810" t="s">
        <v>71</v>
      </c>
      <c r="Z810" t="s">
        <v>50</v>
      </c>
    </row>
    <row r="811" spans="1:26" x14ac:dyDescent="0.3">
      <c r="A811">
        <v>10168</v>
      </c>
      <c r="B811">
        <v>46</v>
      </c>
      <c r="C811">
        <v>61.18</v>
      </c>
      <c r="D811">
        <v>5</v>
      </c>
      <c r="E811">
        <v>2814.28</v>
      </c>
      <c r="F811" s="1">
        <v>37922</v>
      </c>
      <c r="G811" t="s">
        <v>39</v>
      </c>
      <c r="H811">
        <v>4</v>
      </c>
      <c r="I811">
        <v>10</v>
      </c>
      <c r="J811" t="str">
        <f>TEXT(DATE(2012,Table1[[#This Row],[MONTH_ID]],10),"mmm")</f>
        <v>Oct</v>
      </c>
      <c r="K811">
        <v>2003</v>
      </c>
      <c r="L811" t="s">
        <v>40</v>
      </c>
      <c r="M811">
        <v>60</v>
      </c>
      <c r="N811" t="s">
        <v>607</v>
      </c>
      <c r="O811" t="s">
        <v>76</v>
      </c>
      <c r="P811">
        <v>6505556809</v>
      </c>
      <c r="Q811" t="s">
        <v>77</v>
      </c>
      <c r="S811" t="s">
        <v>78</v>
      </c>
      <c r="T811" t="s">
        <v>69</v>
      </c>
      <c r="U811">
        <v>94217</v>
      </c>
      <c r="V811" t="s">
        <v>46</v>
      </c>
      <c r="W811" t="s">
        <v>47</v>
      </c>
      <c r="X811" t="s">
        <v>79</v>
      </c>
      <c r="Y811" t="s">
        <v>80</v>
      </c>
      <c r="Z811" t="s">
        <v>50</v>
      </c>
    </row>
    <row r="812" spans="1:26" x14ac:dyDescent="0.3">
      <c r="A812">
        <v>10180</v>
      </c>
      <c r="B812">
        <v>25</v>
      </c>
      <c r="C812">
        <v>64.2</v>
      </c>
      <c r="D812">
        <v>13</v>
      </c>
      <c r="E812">
        <v>1605</v>
      </c>
      <c r="F812" s="1">
        <v>37936</v>
      </c>
      <c r="G812" t="s">
        <v>39</v>
      </c>
      <c r="H812">
        <v>4</v>
      </c>
      <c r="I812">
        <v>11</v>
      </c>
      <c r="J812" t="str">
        <f>TEXT(DATE(2012,Table1[[#This Row],[MONTH_ID]],10),"mmm")</f>
        <v>Nov</v>
      </c>
      <c r="K812">
        <v>2003</v>
      </c>
      <c r="L812" t="s">
        <v>40</v>
      </c>
      <c r="M812">
        <v>60</v>
      </c>
      <c r="N812" t="s">
        <v>607</v>
      </c>
      <c r="O812" t="s">
        <v>81</v>
      </c>
      <c r="P812" t="s">
        <v>82</v>
      </c>
      <c r="Q812" t="s">
        <v>83</v>
      </c>
      <c r="S812" t="s">
        <v>84</v>
      </c>
      <c r="U812">
        <v>59000</v>
      </c>
      <c r="V812" t="s">
        <v>55</v>
      </c>
      <c r="W812" t="s">
        <v>56</v>
      </c>
      <c r="X812" t="s">
        <v>85</v>
      </c>
      <c r="Y812" t="s">
        <v>86</v>
      </c>
      <c r="Z812" t="s">
        <v>50</v>
      </c>
    </row>
    <row r="813" spans="1:26" x14ac:dyDescent="0.3">
      <c r="A813">
        <v>10188</v>
      </c>
      <c r="B813">
        <v>32</v>
      </c>
      <c r="C813">
        <v>65.42</v>
      </c>
      <c r="D813">
        <v>5</v>
      </c>
      <c r="E813">
        <v>2093.44</v>
      </c>
      <c r="F813" s="1">
        <v>37943</v>
      </c>
      <c r="G813" t="s">
        <v>39</v>
      </c>
      <c r="H813">
        <v>4</v>
      </c>
      <c r="I813">
        <v>11</v>
      </c>
      <c r="J813" t="str">
        <f>TEXT(DATE(2012,Table1[[#This Row],[MONTH_ID]],10),"mmm")</f>
        <v>Nov</v>
      </c>
      <c r="K813">
        <v>2003</v>
      </c>
      <c r="L813" t="s">
        <v>40</v>
      </c>
      <c r="M813">
        <v>60</v>
      </c>
      <c r="N813" t="s">
        <v>607</v>
      </c>
      <c r="O813" t="s">
        <v>87</v>
      </c>
      <c r="P813" t="s">
        <v>88</v>
      </c>
      <c r="Q813" t="s">
        <v>89</v>
      </c>
      <c r="S813" t="s">
        <v>90</v>
      </c>
      <c r="U813" t="s">
        <v>91</v>
      </c>
      <c r="V813" t="s">
        <v>92</v>
      </c>
      <c r="W813" t="s">
        <v>56</v>
      </c>
      <c r="X813" t="s">
        <v>93</v>
      </c>
      <c r="Y813" t="s">
        <v>94</v>
      </c>
      <c r="Z813" t="s">
        <v>50</v>
      </c>
    </row>
    <row r="814" spans="1:26" x14ac:dyDescent="0.3">
      <c r="A814">
        <v>10201</v>
      </c>
      <c r="B814">
        <v>30</v>
      </c>
      <c r="C814">
        <v>64.81</v>
      </c>
      <c r="D814">
        <v>6</v>
      </c>
      <c r="E814">
        <v>1944.3</v>
      </c>
      <c r="F814" s="1">
        <v>37956</v>
      </c>
      <c r="G814" t="s">
        <v>39</v>
      </c>
      <c r="H814">
        <v>4</v>
      </c>
      <c r="I814">
        <v>12</v>
      </c>
      <c r="J814" t="str">
        <f>TEXT(DATE(2012,Table1[[#This Row],[MONTH_ID]],10),"mmm")</f>
        <v>Dec</v>
      </c>
      <c r="K814">
        <v>2003</v>
      </c>
      <c r="L814" t="s">
        <v>40</v>
      </c>
      <c r="M814">
        <v>60</v>
      </c>
      <c r="N814" t="s">
        <v>607</v>
      </c>
      <c r="O814" t="s">
        <v>95</v>
      </c>
      <c r="P814">
        <v>6505555787</v>
      </c>
      <c r="Q814" t="s">
        <v>96</v>
      </c>
      <c r="S814" t="s">
        <v>74</v>
      </c>
      <c r="T814" t="s">
        <v>69</v>
      </c>
      <c r="V814" t="s">
        <v>46</v>
      </c>
      <c r="W814" t="s">
        <v>47</v>
      </c>
      <c r="X814" t="s">
        <v>97</v>
      </c>
      <c r="Y814" t="s">
        <v>71</v>
      </c>
      <c r="Z814" t="s">
        <v>50</v>
      </c>
    </row>
    <row r="815" spans="1:26" x14ac:dyDescent="0.3">
      <c r="A815">
        <v>10210</v>
      </c>
      <c r="B815">
        <v>40</v>
      </c>
      <c r="C815">
        <v>49.67</v>
      </c>
      <c r="D815">
        <v>3</v>
      </c>
      <c r="E815">
        <v>1986.8</v>
      </c>
      <c r="F815" s="1">
        <v>37998</v>
      </c>
      <c r="G815" t="s">
        <v>39</v>
      </c>
      <c r="H815">
        <v>1</v>
      </c>
      <c r="I815">
        <v>1</v>
      </c>
      <c r="J815" t="str">
        <f>TEXT(DATE(2012,Table1[[#This Row],[MONTH_ID]],10),"mmm")</f>
        <v>Jan</v>
      </c>
      <c r="K815">
        <v>2004</v>
      </c>
      <c r="L815" t="s">
        <v>40</v>
      </c>
      <c r="M815">
        <v>60</v>
      </c>
      <c r="N815" t="s">
        <v>607</v>
      </c>
      <c r="O815" t="s">
        <v>316</v>
      </c>
      <c r="P815" t="s">
        <v>317</v>
      </c>
      <c r="Q815" t="s">
        <v>318</v>
      </c>
      <c r="S815" t="s">
        <v>319</v>
      </c>
      <c r="T815" t="s">
        <v>319</v>
      </c>
      <c r="U815" t="s">
        <v>320</v>
      </c>
      <c r="V815" t="s">
        <v>214</v>
      </c>
      <c r="W815" t="s">
        <v>214</v>
      </c>
      <c r="X815" t="s">
        <v>321</v>
      </c>
      <c r="Y815" t="s">
        <v>322</v>
      </c>
      <c r="Z815" t="s">
        <v>50</v>
      </c>
    </row>
    <row r="816" spans="1:26" x14ac:dyDescent="0.3">
      <c r="A816">
        <v>10223</v>
      </c>
      <c r="B816">
        <v>28</v>
      </c>
      <c r="C816">
        <v>60.57</v>
      </c>
      <c r="D816">
        <v>5</v>
      </c>
      <c r="E816">
        <v>1695.96</v>
      </c>
      <c r="F816" s="1">
        <v>38037</v>
      </c>
      <c r="G816" t="s">
        <v>39</v>
      </c>
      <c r="H816">
        <v>1</v>
      </c>
      <c r="I816">
        <v>2</v>
      </c>
      <c r="J816" t="str">
        <f>TEXT(DATE(2012,Table1[[#This Row],[MONTH_ID]],10),"mmm")</f>
        <v>Feb</v>
      </c>
      <c r="K816">
        <v>2004</v>
      </c>
      <c r="L816" t="s">
        <v>40</v>
      </c>
      <c r="M816">
        <v>60</v>
      </c>
      <c r="N816" t="s">
        <v>607</v>
      </c>
      <c r="O816" t="s">
        <v>103</v>
      </c>
      <c r="P816" t="s">
        <v>104</v>
      </c>
      <c r="Q816" t="s">
        <v>105</v>
      </c>
      <c r="R816" t="s">
        <v>106</v>
      </c>
      <c r="S816" t="s">
        <v>107</v>
      </c>
      <c r="T816" t="s">
        <v>108</v>
      </c>
      <c r="U816">
        <v>3004</v>
      </c>
      <c r="V816" t="s">
        <v>109</v>
      </c>
      <c r="W816" t="s">
        <v>110</v>
      </c>
      <c r="X816" t="s">
        <v>111</v>
      </c>
      <c r="Y816" t="s">
        <v>112</v>
      </c>
      <c r="Z816" t="s">
        <v>50</v>
      </c>
    </row>
    <row r="817" spans="1:26" x14ac:dyDescent="0.3">
      <c r="A817">
        <v>10236</v>
      </c>
      <c r="B817">
        <v>23</v>
      </c>
      <c r="C817">
        <v>55.72</v>
      </c>
      <c r="D817">
        <v>2</v>
      </c>
      <c r="E817">
        <v>1281.56</v>
      </c>
      <c r="F817" s="1">
        <v>38080</v>
      </c>
      <c r="G817" t="s">
        <v>39</v>
      </c>
      <c r="H817">
        <v>2</v>
      </c>
      <c r="I817">
        <v>4</v>
      </c>
      <c r="J817" t="str">
        <f>TEXT(DATE(2012,Table1[[#This Row],[MONTH_ID]],10),"mmm")</f>
        <v>Apr</v>
      </c>
      <c r="K817">
        <v>2004</v>
      </c>
      <c r="L817" t="s">
        <v>40</v>
      </c>
      <c r="M817">
        <v>60</v>
      </c>
      <c r="N817" t="s">
        <v>607</v>
      </c>
      <c r="O817" t="s">
        <v>323</v>
      </c>
      <c r="P817">
        <v>2155559857</v>
      </c>
      <c r="Q817" t="s">
        <v>324</v>
      </c>
      <c r="S817" t="s">
        <v>230</v>
      </c>
      <c r="T817" t="s">
        <v>156</v>
      </c>
      <c r="U817">
        <v>71270</v>
      </c>
      <c r="V817" t="s">
        <v>46</v>
      </c>
      <c r="W817" t="s">
        <v>47</v>
      </c>
      <c r="X817" t="s">
        <v>138</v>
      </c>
      <c r="Y817" t="s">
        <v>325</v>
      </c>
      <c r="Z817" t="s">
        <v>50</v>
      </c>
    </row>
    <row r="818" spans="1:26" x14ac:dyDescent="0.3">
      <c r="A818">
        <v>10251</v>
      </c>
      <c r="B818">
        <v>29</v>
      </c>
      <c r="C818">
        <v>61.18</v>
      </c>
      <c r="D818">
        <v>6</v>
      </c>
      <c r="E818">
        <v>1774.22</v>
      </c>
      <c r="F818" s="1">
        <v>38125</v>
      </c>
      <c r="G818" t="s">
        <v>39</v>
      </c>
      <c r="H818">
        <v>2</v>
      </c>
      <c r="I818">
        <v>5</v>
      </c>
      <c r="J818" t="str">
        <f>TEXT(DATE(2012,Table1[[#This Row],[MONTH_ID]],10),"mmm")</f>
        <v>May</v>
      </c>
      <c r="K818">
        <v>2004</v>
      </c>
      <c r="L818" t="s">
        <v>40</v>
      </c>
      <c r="M818">
        <v>60</v>
      </c>
      <c r="N818" t="s">
        <v>607</v>
      </c>
      <c r="O818" t="s">
        <v>118</v>
      </c>
      <c r="P818">
        <v>2015559350</v>
      </c>
      <c r="Q818" t="s">
        <v>119</v>
      </c>
      <c r="S818" t="s">
        <v>120</v>
      </c>
      <c r="T818" t="s">
        <v>121</v>
      </c>
      <c r="U818">
        <v>94019</v>
      </c>
      <c r="V818" t="s">
        <v>46</v>
      </c>
      <c r="W818" t="s">
        <v>47</v>
      </c>
      <c r="X818" t="s">
        <v>75</v>
      </c>
      <c r="Y818" t="s">
        <v>122</v>
      </c>
      <c r="Z818" t="s">
        <v>50</v>
      </c>
    </row>
    <row r="819" spans="1:26" x14ac:dyDescent="0.3">
      <c r="A819">
        <v>10263</v>
      </c>
      <c r="B819">
        <v>34</v>
      </c>
      <c r="C819">
        <v>58.75</v>
      </c>
      <c r="D819">
        <v>6</v>
      </c>
      <c r="E819">
        <v>1997.5</v>
      </c>
      <c r="F819" s="1">
        <v>38166</v>
      </c>
      <c r="G819" t="s">
        <v>39</v>
      </c>
      <c r="H819">
        <v>2</v>
      </c>
      <c r="I819">
        <v>6</v>
      </c>
      <c r="J819" t="str">
        <f>TEXT(DATE(2012,Table1[[#This Row],[MONTH_ID]],10),"mmm")</f>
        <v>Jun</v>
      </c>
      <c r="K819">
        <v>2004</v>
      </c>
      <c r="L819" t="s">
        <v>40</v>
      </c>
      <c r="M819">
        <v>60</v>
      </c>
      <c r="N819" t="s">
        <v>607</v>
      </c>
      <c r="O819" t="s">
        <v>123</v>
      </c>
      <c r="P819">
        <v>2035552570</v>
      </c>
      <c r="Q819" t="s">
        <v>124</v>
      </c>
      <c r="S819" t="s">
        <v>125</v>
      </c>
      <c r="T819" t="s">
        <v>126</v>
      </c>
      <c r="U819">
        <v>97562</v>
      </c>
      <c r="V819" t="s">
        <v>46</v>
      </c>
      <c r="W819" t="s">
        <v>47</v>
      </c>
      <c r="X819" t="s">
        <v>127</v>
      </c>
      <c r="Y819" t="s">
        <v>71</v>
      </c>
      <c r="Z819" t="s">
        <v>50</v>
      </c>
    </row>
    <row r="820" spans="1:26" x14ac:dyDescent="0.3">
      <c r="A820">
        <v>10275</v>
      </c>
      <c r="B820">
        <v>37</v>
      </c>
      <c r="C820">
        <v>63.6</v>
      </c>
      <c r="D820">
        <v>5</v>
      </c>
      <c r="E820">
        <v>2353.1999999999998</v>
      </c>
      <c r="F820" s="1">
        <v>38191</v>
      </c>
      <c r="G820" t="s">
        <v>39</v>
      </c>
      <c r="H820">
        <v>3</v>
      </c>
      <c r="I820">
        <v>7</v>
      </c>
      <c r="J820" t="str">
        <f>TEXT(DATE(2012,Table1[[#This Row],[MONTH_ID]],10),"mmm")</f>
        <v>Jul</v>
      </c>
      <c r="K820">
        <v>2004</v>
      </c>
      <c r="L820" t="s">
        <v>40</v>
      </c>
      <c r="M820">
        <v>60</v>
      </c>
      <c r="N820" t="s">
        <v>607</v>
      </c>
      <c r="O820" t="s">
        <v>128</v>
      </c>
      <c r="P820" t="s">
        <v>129</v>
      </c>
      <c r="Q820" t="s">
        <v>130</v>
      </c>
      <c r="S820" t="s">
        <v>131</v>
      </c>
      <c r="U820">
        <v>44000</v>
      </c>
      <c r="V820" t="s">
        <v>55</v>
      </c>
      <c r="W820" t="s">
        <v>56</v>
      </c>
      <c r="X820" t="s">
        <v>132</v>
      </c>
      <c r="Y820" t="s">
        <v>133</v>
      </c>
      <c r="Z820" t="s">
        <v>50</v>
      </c>
    </row>
    <row r="821" spans="1:26" x14ac:dyDescent="0.3">
      <c r="A821">
        <v>10285</v>
      </c>
      <c r="B821">
        <v>20</v>
      </c>
      <c r="C821">
        <v>49.06</v>
      </c>
      <c r="D821">
        <v>10</v>
      </c>
      <c r="E821">
        <v>981.2</v>
      </c>
      <c r="F821" s="1">
        <v>38226</v>
      </c>
      <c r="G821" t="s">
        <v>39</v>
      </c>
      <c r="H821">
        <v>3</v>
      </c>
      <c r="I821">
        <v>8</v>
      </c>
      <c r="J821" t="str">
        <f>TEXT(DATE(2012,Table1[[#This Row],[MONTH_ID]],10),"mmm")</f>
        <v>Aug</v>
      </c>
      <c r="K821">
        <v>2004</v>
      </c>
      <c r="L821" t="s">
        <v>40</v>
      </c>
      <c r="M821">
        <v>60</v>
      </c>
      <c r="N821" t="s">
        <v>607</v>
      </c>
      <c r="O821" t="s">
        <v>134</v>
      </c>
      <c r="P821">
        <v>6175558555</v>
      </c>
      <c r="Q821" t="s">
        <v>135</v>
      </c>
      <c r="S821" t="s">
        <v>136</v>
      </c>
      <c r="T821" t="s">
        <v>137</v>
      </c>
      <c r="U821">
        <v>51247</v>
      </c>
      <c r="V821" t="s">
        <v>46</v>
      </c>
      <c r="W821" t="s">
        <v>47</v>
      </c>
      <c r="X821" t="s">
        <v>138</v>
      </c>
      <c r="Y821" t="s">
        <v>139</v>
      </c>
      <c r="Z821" t="s">
        <v>50</v>
      </c>
    </row>
    <row r="822" spans="1:26" x14ac:dyDescent="0.3">
      <c r="A822">
        <v>10298</v>
      </c>
      <c r="B822">
        <v>32</v>
      </c>
      <c r="C822">
        <v>48.46</v>
      </c>
      <c r="D822">
        <v>2</v>
      </c>
      <c r="E822">
        <v>1550.72</v>
      </c>
      <c r="F822" s="1">
        <v>38257</v>
      </c>
      <c r="G822" t="s">
        <v>39</v>
      </c>
      <c r="H822">
        <v>3</v>
      </c>
      <c r="I822">
        <v>9</v>
      </c>
      <c r="J822" t="str">
        <f>TEXT(DATE(2012,Table1[[#This Row],[MONTH_ID]],10),"mmm")</f>
        <v>Sep</v>
      </c>
      <c r="K822">
        <v>2004</v>
      </c>
      <c r="L822" t="s">
        <v>40</v>
      </c>
      <c r="M822">
        <v>60</v>
      </c>
      <c r="N822" t="s">
        <v>607</v>
      </c>
      <c r="O822" t="s">
        <v>326</v>
      </c>
      <c r="P822" t="s">
        <v>327</v>
      </c>
      <c r="Q822" t="s">
        <v>328</v>
      </c>
      <c r="S822" t="s">
        <v>131</v>
      </c>
      <c r="U822">
        <v>44000</v>
      </c>
      <c r="V822" t="s">
        <v>55</v>
      </c>
      <c r="W822" t="s">
        <v>56</v>
      </c>
      <c r="X822" t="s">
        <v>329</v>
      </c>
      <c r="Y822" t="s">
        <v>330</v>
      </c>
      <c r="Z822" t="s">
        <v>50</v>
      </c>
    </row>
    <row r="823" spans="1:26" x14ac:dyDescent="0.3">
      <c r="A823">
        <v>10308</v>
      </c>
      <c r="B823">
        <v>34</v>
      </c>
      <c r="C823">
        <v>52.09</v>
      </c>
      <c r="D823">
        <v>3</v>
      </c>
      <c r="E823">
        <v>1771.06</v>
      </c>
      <c r="F823" s="1">
        <v>38275</v>
      </c>
      <c r="G823" t="s">
        <v>39</v>
      </c>
      <c r="H823">
        <v>4</v>
      </c>
      <c r="I823">
        <v>10</v>
      </c>
      <c r="J823" t="str">
        <f>TEXT(DATE(2012,Table1[[#This Row],[MONTH_ID]],10),"mmm")</f>
        <v>Oct</v>
      </c>
      <c r="K823">
        <v>2004</v>
      </c>
      <c r="L823" t="s">
        <v>40</v>
      </c>
      <c r="M823">
        <v>60</v>
      </c>
      <c r="N823" t="s">
        <v>607</v>
      </c>
      <c r="O823" t="s">
        <v>331</v>
      </c>
      <c r="P823">
        <v>9145554562</v>
      </c>
      <c r="Q823" t="s">
        <v>332</v>
      </c>
      <c r="S823" t="s">
        <v>333</v>
      </c>
      <c r="T823" t="s">
        <v>45</v>
      </c>
      <c r="U823">
        <v>24067</v>
      </c>
      <c r="V823" t="s">
        <v>46</v>
      </c>
      <c r="W823" t="s">
        <v>47</v>
      </c>
      <c r="X823" t="s">
        <v>116</v>
      </c>
      <c r="Y823" t="s">
        <v>252</v>
      </c>
      <c r="Z823" t="s">
        <v>50</v>
      </c>
    </row>
    <row r="824" spans="1:26" x14ac:dyDescent="0.3">
      <c r="A824">
        <v>10318</v>
      </c>
      <c r="B824">
        <v>42</v>
      </c>
      <c r="C824">
        <v>52.7</v>
      </c>
      <c r="D824">
        <v>5</v>
      </c>
      <c r="E824">
        <v>2213.4</v>
      </c>
      <c r="F824" s="1">
        <v>38293</v>
      </c>
      <c r="G824" t="s">
        <v>39</v>
      </c>
      <c r="H824">
        <v>4</v>
      </c>
      <c r="I824">
        <v>11</v>
      </c>
      <c r="J824" t="str">
        <f>TEXT(DATE(2012,Table1[[#This Row],[MONTH_ID]],10),"mmm")</f>
        <v>Nov</v>
      </c>
      <c r="K824">
        <v>2004</v>
      </c>
      <c r="L824" t="s">
        <v>40</v>
      </c>
      <c r="M824">
        <v>60</v>
      </c>
      <c r="N824" t="s">
        <v>607</v>
      </c>
      <c r="O824" t="s">
        <v>153</v>
      </c>
      <c r="P824">
        <v>2155551555</v>
      </c>
      <c r="Q824" t="s">
        <v>154</v>
      </c>
      <c r="S824" t="s">
        <v>155</v>
      </c>
      <c r="T824" t="s">
        <v>156</v>
      </c>
      <c r="U824">
        <v>70267</v>
      </c>
      <c r="V824" t="s">
        <v>46</v>
      </c>
      <c r="W824" t="s">
        <v>47</v>
      </c>
      <c r="X824" t="s">
        <v>48</v>
      </c>
      <c r="Y824" t="s">
        <v>157</v>
      </c>
      <c r="Z824" t="s">
        <v>50</v>
      </c>
    </row>
    <row r="825" spans="1:26" x14ac:dyDescent="0.3">
      <c r="A825">
        <v>10329</v>
      </c>
      <c r="B825">
        <v>38</v>
      </c>
      <c r="C825">
        <v>100</v>
      </c>
      <c r="D825">
        <v>12</v>
      </c>
      <c r="E825">
        <v>5266.04</v>
      </c>
      <c r="F825" s="1">
        <v>38306</v>
      </c>
      <c r="G825" t="s">
        <v>39</v>
      </c>
      <c r="H825">
        <v>4</v>
      </c>
      <c r="I825">
        <v>11</v>
      </c>
      <c r="J825" t="str">
        <f>TEXT(DATE(2012,Table1[[#This Row],[MONTH_ID]],10),"mmm")</f>
        <v>Nov</v>
      </c>
      <c r="K825">
        <v>2004</v>
      </c>
      <c r="L825" t="s">
        <v>40</v>
      </c>
      <c r="M825">
        <v>60</v>
      </c>
      <c r="N825" t="s">
        <v>607</v>
      </c>
      <c r="O825" t="s">
        <v>42</v>
      </c>
      <c r="P825">
        <v>2125557818</v>
      </c>
      <c r="Q825" t="s">
        <v>43</v>
      </c>
      <c r="S825" t="s">
        <v>44</v>
      </c>
      <c r="T825" t="s">
        <v>45</v>
      </c>
      <c r="U825">
        <v>10022</v>
      </c>
      <c r="V825" t="s">
        <v>46</v>
      </c>
      <c r="W825" t="s">
        <v>47</v>
      </c>
      <c r="X825" t="s">
        <v>48</v>
      </c>
      <c r="Y825" t="s">
        <v>49</v>
      </c>
      <c r="Z825" t="s">
        <v>65</v>
      </c>
    </row>
    <row r="826" spans="1:26" x14ac:dyDescent="0.3">
      <c r="A826">
        <v>10339</v>
      </c>
      <c r="B826">
        <v>30</v>
      </c>
      <c r="C826">
        <v>62.16</v>
      </c>
      <c r="D826">
        <v>1</v>
      </c>
      <c r="E826">
        <v>1864.8</v>
      </c>
      <c r="F826" s="1">
        <v>38314</v>
      </c>
      <c r="G826" t="s">
        <v>39</v>
      </c>
      <c r="H826">
        <v>4</v>
      </c>
      <c r="I826">
        <v>11</v>
      </c>
      <c r="J826" t="str">
        <f>TEXT(DATE(2012,Table1[[#This Row],[MONTH_ID]],10),"mmm")</f>
        <v>Nov</v>
      </c>
      <c r="K826">
        <v>2004</v>
      </c>
      <c r="L826" t="s">
        <v>40</v>
      </c>
      <c r="M826">
        <v>60</v>
      </c>
      <c r="N826" t="s">
        <v>607</v>
      </c>
      <c r="O826" t="s">
        <v>260</v>
      </c>
      <c r="P826" t="s">
        <v>261</v>
      </c>
      <c r="Q826" t="s">
        <v>262</v>
      </c>
      <c r="S826" t="s">
        <v>263</v>
      </c>
      <c r="T826" t="s">
        <v>264</v>
      </c>
      <c r="U826" t="s">
        <v>265</v>
      </c>
      <c r="V826" t="s">
        <v>214</v>
      </c>
      <c r="W826" t="s">
        <v>214</v>
      </c>
      <c r="X826" t="s">
        <v>266</v>
      </c>
      <c r="Y826" t="s">
        <v>267</v>
      </c>
      <c r="Z826" t="s">
        <v>50</v>
      </c>
    </row>
    <row r="827" spans="1:26" x14ac:dyDescent="0.3">
      <c r="A827">
        <v>10362</v>
      </c>
      <c r="B827">
        <v>23</v>
      </c>
      <c r="C827">
        <v>49.67</v>
      </c>
      <c r="D827">
        <v>3</v>
      </c>
      <c r="E827">
        <v>1142.4100000000001</v>
      </c>
      <c r="F827" s="1">
        <v>38357</v>
      </c>
      <c r="G827" t="s">
        <v>39</v>
      </c>
      <c r="H827">
        <v>1</v>
      </c>
      <c r="I827">
        <v>1</v>
      </c>
      <c r="J827" t="str">
        <f>TEXT(DATE(2012,Table1[[#This Row],[MONTH_ID]],10),"mmm")</f>
        <v>Jan</v>
      </c>
      <c r="K827">
        <v>2005</v>
      </c>
      <c r="L827" t="s">
        <v>40</v>
      </c>
      <c r="M827">
        <v>60</v>
      </c>
      <c r="N827" t="s">
        <v>607</v>
      </c>
      <c r="O827" t="s">
        <v>76</v>
      </c>
      <c r="P827">
        <v>6505556809</v>
      </c>
      <c r="Q827" t="s">
        <v>77</v>
      </c>
      <c r="S827" t="s">
        <v>78</v>
      </c>
      <c r="T827" t="s">
        <v>69</v>
      </c>
      <c r="U827">
        <v>94217</v>
      </c>
      <c r="V827" t="s">
        <v>46</v>
      </c>
      <c r="W827" t="s">
        <v>47</v>
      </c>
      <c r="X827" t="s">
        <v>79</v>
      </c>
      <c r="Y827" t="s">
        <v>80</v>
      </c>
      <c r="Z827" t="s">
        <v>50</v>
      </c>
    </row>
    <row r="828" spans="1:26" x14ac:dyDescent="0.3">
      <c r="A828">
        <v>10374</v>
      </c>
      <c r="B828">
        <v>22</v>
      </c>
      <c r="C828">
        <v>53.3</v>
      </c>
      <c r="D828">
        <v>4</v>
      </c>
      <c r="E828">
        <v>1172.5999999999999</v>
      </c>
      <c r="F828" s="1">
        <v>38385</v>
      </c>
      <c r="G828" t="s">
        <v>39</v>
      </c>
      <c r="H828">
        <v>1</v>
      </c>
      <c r="I828">
        <v>2</v>
      </c>
      <c r="J828" t="str">
        <f>TEXT(DATE(2012,Table1[[#This Row],[MONTH_ID]],10),"mmm")</f>
        <v>Feb</v>
      </c>
      <c r="K828">
        <v>2005</v>
      </c>
      <c r="L828" t="s">
        <v>40</v>
      </c>
      <c r="M828">
        <v>60</v>
      </c>
      <c r="N828" t="s">
        <v>607</v>
      </c>
      <c r="O828" t="s">
        <v>221</v>
      </c>
      <c r="P828" t="s">
        <v>222</v>
      </c>
      <c r="Q828" t="s">
        <v>223</v>
      </c>
      <c r="S828" t="s">
        <v>224</v>
      </c>
      <c r="T828" t="s">
        <v>225</v>
      </c>
      <c r="U828">
        <v>4101</v>
      </c>
      <c r="V828" t="s">
        <v>109</v>
      </c>
      <c r="W828" t="s">
        <v>110</v>
      </c>
      <c r="X828" t="s">
        <v>226</v>
      </c>
      <c r="Y828" t="s">
        <v>227</v>
      </c>
      <c r="Z828" t="s">
        <v>50</v>
      </c>
    </row>
    <row r="829" spans="1:26" x14ac:dyDescent="0.3">
      <c r="A829">
        <v>10389</v>
      </c>
      <c r="B829">
        <v>39</v>
      </c>
      <c r="C829">
        <v>100</v>
      </c>
      <c r="D829">
        <v>5</v>
      </c>
      <c r="E829">
        <v>6981</v>
      </c>
      <c r="F829" s="1">
        <v>38414</v>
      </c>
      <c r="G829" t="s">
        <v>39</v>
      </c>
      <c r="H829">
        <v>1</v>
      </c>
      <c r="I829">
        <v>3</v>
      </c>
      <c r="J829" t="str">
        <f>TEXT(DATE(2012,Table1[[#This Row],[MONTH_ID]],10),"mmm")</f>
        <v>Mar</v>
      </c>
      <c r="K829">
        <v>2005</v>
      </c>
      <c r="L829" t="s">
        <v>40</v>
      </c>
      <c r="M829">
        <v>60</v>
      </c>
      <c r="N829" t="s">
        <v>607</v>
      </c>
      <c r="O829" t="s">
        <v>275</v>
      </c>
      <c r="P829" t="s">
        <v>276</v>
      </c>
      <c r="Q829" t="s">
        <v>277</v>
      </c>
      <c r="S829" t="s">
        <v>278</v>
      </c>
      <c r="U829" t="s">
        <v>279</v>
      </c>
      <c r="V829" t="s">
        <v>202</v>
      </c>
      <c r="W829" t="s">
        <v>56</v>
      </c>
      <c r="X829" t="s">
        <v>280</v>
      </c>
      <c r="Y829" t="s">
        <v>220</v>
      </c>
      <c r="Z829" t="s">
        <v>65</v>
      </c>
    </row>
    <row r="830" spans="1:26" x14ac:dyDescent="0.3">
      <c r="A830">
        <v>10402</v>
      </c>
      <c r="B830">
        <v>55</v>
      </c>
      <c r="C830">
        <v>55.72</v>
      </c>
      <c r="D830">
        <v>2</v>
      </c>
      <c r="E830">
        <v>3064.6</v>
      </c>
      <c r="F830" s="1">
        <v>38449</v>
      </c>
      <c r="G830" t="s">
        <v>39</v>
      </c>
      <c r="H830">
        <v>2</v>
      </c>
      <c r="I830">
        <v>4</v>
      </c>
      <c r="J830" t="str">
        <f>TEXT(DATE(2012,Table1[[#This Row],[MONTH_ID]],10),"mmm")</f>
        <v>Apr</v>
      </c>
      <c r="K830">
        <v>2005</v>
      </c>
      <c r="L830" t="s">
        <v>40</v>
      </c>
      <c r="M830">
        <v>60</v>
      </c>
      <c r="N830" t="s">
        <v>607</v>
      </c>
      <c r="O830" t="s">
        <v>98</v>
      </c>
      <c r="P830" t="s">
        <v>99</v>
      </c>
      <c r="Q830" t="s">
        <v>100</v>
      </c>
      <c r="S830" t="s">
        <v>62</v>
      </c>
      <c r="U830">
        <v>75016</v>
      </c>
      <c r="V830" t="s">
        <v>55</v>
      </c>
      <c r="W830" t="s">
        <v>56</v>
      </c>
      <c r="X830" t="s">
        <v>101</v>
      </c>
      <c r="Y830" t="s">
        <v>102</v>
      </c>
      <c r="Z830" t="s">
        <v>65</v>
      </c>
    </row>
    <row r="831" spans="1:26" x14ac:dyDescent="0.3">
      <c r="A831">
        <v>10417</v>
      </c>
      <c r="B831">
        <v>36</v>
      </c>
      <c r="C831">
        <v>61.18</v>
      </c>
      <c r="D831">
        <v>6</v>
      </c>
      <c r="E831">
        <v>2202.48</v>
      </c>
      <c r="F831" s="1">
        <v>38485</v>
      </c>
      <c r="G831" t="s">
        <v>187</v>
      </c>
      <c r="H831">
        <v>2</v>
      </c>
      <c r="I831">
        <v>5</v>
      </c>
      <c r="J831" t="str">
        <f>TEXT(DATE(2012,Table1[[#This Row],[MONTH_ID]],10),"mmm")</f>
        <v>May</v>
      </c>
      <c r="K831">
        <v>2005</v>
      </c>
      <c r="L831" t="s">
        <v>40</v>
      </c>
      <c r="M831">
        <v>60</v>
      </c>
      <c r="N831" t="s">
        <v>607</v>
      </c>
      <c r="O831" t="s">
        <v>188</v>
      </c>
      <c r="P831" t="s">
        <v>189</v>
      </c>
      <c r="Q831" t="s">
        <v>190</v>
      </c>
      <c r="S831" t="s">
        <v>191</v>
      </c>
      <c r="U831">
        <v>28034</v>
      </c>
      <c r="V831" t="s">
        <v>192</v>
      </c>
      <c r="W831" t="s">
        <v>56</v>
      </c>
      <c r="X831" t="s">
        <v>193</v>
      </c>
      <c r="Y831" t="s">
        <v>194</v>
      </c>
      <c r="Z831" t="s">
        <v>50</v>
      </c>
    </row>
    <row r="832" spans="1:26" x14ac:dyDescent="0.3">
      <c r="A832">
        <v>10101</v>
      </c>
      <c r="B832">
        <v>26</v>
      </c>
      <c r="C832">
        <v>100</v>
      </c>
      <c r="D832">
        <v>1</v>
      </c>
      <c r="E832">
        <v>3773.38</v>
      </c>
      <c r="F832" s="1">
        <v>37630</v>
      </c>
      <c r="G832" t="s">
        <v>39</v>
      </c>
      <c r="H832">
        <v>1</v>
      </c>
      <c r="I832">
        <v>1</v>
      </c>
      <c r="J832" t="str">
        <f>TEXT(DATE(2012,Table1[[#This Row],[MONTH_ID]],10),"mmm")</f>
        <v>Jan</v>
      </c>
      <c r="K832">
        <v>2003</v>
      </c>
      <c r="L832" t="s">
        <v>564</v>
      </c>
      <c r="M832">
        <v>168</v>
      </c>
      <c r="N832" t="s">
        <v>608</v>
      </c>
      <c r="O832" t="s">
        <v>476</v>
      </c>
      <c r="P832" t="s">
        <v>477</v>
      </c>
      <c r="Q832" t="s">
        <v>478</v>
      </c>
      <c r="S832" t="s">
        <v>479</v>
      </c>
      <c r="U832">
        <v>60528</v>
      </c>
      <c r="V832" t="s">
        <v>457</v>
      </c>
      <c r="W832" t="s">
        <v>56</v>
      </c>
      <c r="X832" t="s">
        <v>480</v>
      </c>
      <c r="Y832" t="s">
        <v>428</v>
      </c>
      <c r="Z832" t="s">
        <v>65</v>
      </c>
    </row>
    <row r="833" spans="1:26" x14ac:dyDescent="0.3">
      <c r="A833">
        <v>10110</v>
      </c>
      <c r="B833">
        <v>31</v>
      </c>
      <c r="C833">
        <v>100</v>
      </c>
      <c r="D833">
        <v>1</v>
      </c>
      <c r="E833">
        <v>5074.3900000000003</v>
      </c>
      <c r="F833" s="1">
        <v>37698</v>
      </c>
      <c r="G833" t="s">
        <v>39</v>
      </c>
      <c r="H833">
        <v>1</v>
      </c>
      <c r="I833">
        <v>3</v>
      </c>
      <c r="J833" t="str">
        <f>TEXT(DATE(2012,Table1[[#This Row],[MONTH_ID]],10),"mmm")</f>
        <v>Mar</v>
      </c>
      <c r="K833">
        <v>2003</v>
      </c>
      <c r="L833" t="s">
        <v>564</v>
      </c>
      <c r="M833">
        <v>168</v>
      </c>
      <c r="N833" t="s">
        <v>608</v>
      </c>
      <c r="O833" t="s">
        <v>506</v>
      </c>
      <c r="P833" t="s">
        <v>507</v>
      </c>
      <c r="Q833" t="s">
        <v>508</v>
      </c>
      <c r="S833" t="s">
        <v>509</v>
      </c>
      <c r="U833" t="s">
        <v>510</v>
      </c>
      <c r="V833" t="s">
        <v>184</v>
      </c>
      <c r="W833" t="s">
        <v>56</v>
      </c>
      <c r="X833" t="s">
        <v>511</v>
      </c>
      <c r="Y833" t="s">
        <v>108</v>
      </c>
      <c r="Z833" t="s">
        <v>65</v>
      </c>
    </row>
    <row r="834" spans="1:26" x14ac:dyDescent="0.3">
      <c r="A834">
        <v>10125</v>
      </c>
      <c r="B834">
        <v>34</v>
      </c>
      <c r="C834">
        <v>100</v>
      </c>
      <c r="D834">
        <v>2</v>
      </c>
      <c r="E834">
        <v>6483.46</v>
      </c>
      <c r="F834" s="1">
        <v>37762</v>
      </c>
      <c r="G834" t="s">
        <v>39</v>
      </c>
      <c r="H834">
        <v>2</v>
      </c>
      <c r="I834">
        <v>5</v>
      </c>
      <c r="J834" t="str">
        <f>TEXT(DATE(2012,Table1[[#This Row],[MONTH_ID]],10),"mmm")</f>
        <v>May</v>
      </c>
      <c r="K834">
        <v>2003</v>
      </c>
      <c r="L834" t="s">
        <v>564</v>
      </c>
      <c r="M834">
        <v>168</v>
      </c>
      <c r="N834" t="s">
        <v>608</v>
      </c>
      <c r="O834" t="s">
        <v>103</v>
      </c>
      <c r="P834" t="s">
        <v>104</v>
      </c>
      <c r="Q834" t="s">
        <v>105</v>
      </c>
      <c r="R834" t="s">
        <v>106</v>
      </c>
      <c r="S834" t="s">
        <v>107</v>
      </c>
      <c r="T834" t="s">
        <v>108</v>
      </c>
      <c r="U834">
        <v>3004</v>
      </c>
      <c r="V834" t="s">
        <v>109</v>
      </c>
      <c r="W834" t="s">
        <v>110</v>
      </c>
      <c r="X834" t="s">
        <v>111</v>
      </c>
      <c r="Y834" t="s">
        <v>112</v>
      </c>
      <c r="Z834" t="s">
        <v>65</v>
      </c>
    </row>
    <row r="835" spans="1:26" x14ac:dyDescent="0.3">
      <c r="A835">
        <v>10139</v>
      </c>
      <c r="B835">
        <v>41</v>
      </c>
      <c r="C835">
        <v>100</v>
      </c>
      <c r="D835">
        <v>8</v>
      </c>
      <c r="E835">
        <v>7956.46</v>
      </c>
      <c r="F835" s="1">
        <v>37818</v>
      </c>
      <c r="G835" t="s">
        <v>39</v>
      </c>
      <c r="H835">
        <v>3</v>
      </c>
      <c r="I835">
        <v>7</v>
      </c>
      <c r="J835" t="str">
        <f>TEXT(DATE(2012,Table1[[#This Row],[MONTH_ID]],10),"mmm")</f>
        <v>Jul</v>
      </c>
      <c r="K835">
        <v>2003</v>
      </c>
      <c r="L835" t="s">
        <v>564</v>
      </c>
      <c r="M835">
        <v>168</v>
      </c>
      <c r="N835" t="s">
        <v>608</v>
      </c>
      <c r="O835" t="s">
        <v>166</v>
      </c>
      <c r="P835" t="s">
        <v>167</v>
      </c>
      <c r="Q835" t="s">
        <v>168</v>
      </c>
      <c r="R835" t="s">
        <v>169</v>
      </c>
      <c r="S835" t="s">
        <v>170</v>
      </c>
      <c r="T835" t="s">
        <v>171</v>
      </c>
      <c r="U835">
        <v>2067</v>
      </c>
      <c r="V835" t="s">
        <v>109</v>
      </c>
      <c r="W835" t="s">
        <v>110</v>
      </c>
      <c r="X835" t="s">
        <v>172</v>
      </c>
      <c r="Y835" t="s">
        <v>173</v>
      </c>
      <c r="Z835" t="s">
        <v>165</v>
      </c>
    </row>
    <row r="836" spans="1:26" x14ac:dyDescent="0.3">
      <c r="A836">
        <v>10149</v>
      </c>
      <c r="B836">
        <v>23</v>
      </c>
      <c r="C836">
        <v>100</v>
      </c>
      <c r="D836">
        <v>5</v>
      </c>
      <c r="E836">
        <v>4230.62</v>
      </c>
      <c r="F836" s="1">
        <v>37876</v>
      </c>
      <c r="G836" t="s">
        <v>39</v>
      </c>
      <c r="H836">
        <v>3</v>
      </c>
      <c r="I836">
        <v>9</v>
      </c>
      <c r="J836" t="str">
        <f>TEXT(DATE(2012,Table1[[#This Row],[MONTH_ID]],10),"mmm")</f>
        <v>Sep</v>
      </c>
      <c r="K836">
        <v>2003</v>
      </c>
      <c r="L836" t="s">
        <v>564</v>
      </c>
      <c r="M836">
        <v>168</v>
      </c>
      <c r="N836" t="s">
        <v>608</v>
      </c>
      <c r="O836" t="s">
        <v>540</v>
      </c>
      <c r="P836">
        <v>4155554312</v>
      </c>
      <c r="Q836" t="s">
        <v>541</v>
      </c>
      <c r="S836" t="s">
        <v>542</v>
      </c>
      <c r="T836" t="s">
        <v>69</v>
      </c>
      <c r="U836">
        <v>94217</v>
      </c>
      <c r="V836" t="s">
        <v>46</v>
      </c>
      <c r="W836" t="s">
        <v>47</v>
      </c>
      <c r="X836" t="s">
        <v>543</v>
      </c>
      <c r="Y836" t="s">
        <v>414</v>
      </c>
      <c r="Z836" t="s">
        <v>65</v>
      </c>
    </row>
    <row r="837" spans="1:26" x14ac:dyDescent="0.3">
      <c r="A837">
        <v>10162</v>
      </c>
      <c r="B837">
        <v>48</v>
      </c>
      <c r="C837">
        <v>100</v>
      </c>
      <c r="D837">
        <v>3</v>
      </c>
      <c r="E837">
        <v>7209.12</v>
      </c>
      <c r="F837" s="1">
        <v>37912</v>
      </c>
      <c r="G837" t="s">
        <v>39</v>
      </c>
      <c r="H837">
        <v>4</v>
      </c>
      <c r="I837">
        <v>10</v>
      </c>
      <c r="J837" t="str">
        <f>TEXT(DATE(2012,Table1[[#This Row],[MONTH_ID]],10),"mmm")</f>
        <v>Oct</v>
      </c>
      <c r="K837">
        <v>2003</v>
      </c>
      <c r="L837" t="s">
        <v>564</v>
      </c>
      <c r="M837">
        <v>168</v>
      </c>
      <c r="N837" t="s">
        <v>608</v>
      </c>
      <c r="O837" t="s">
        <v>72</v>
      </c>
      <c r="P837">
        <v>6505551386</v>
      </c>
      <c r="Q837" t="s">
        <v>73</v>
      </c>
      <c r="S837" t="s">
        <v>74</v>
      </c>
      <c r="T837" t="s">
        <v>69</v>
      </c>
      <c r="V837" t="s">
        <v>46</v>
      </c>
      <c r="W837" t="s">
        <v>47</v>
      </c>
      <c r="X837" t="s">
        <v>75</v>
      </c>
      <c r="Y837" t="s">
        <v>71</v>
      </c>
      <c r="Z837" t="s">
        <v>165</v>
      </c>
    </row>
    <row r="838" spans="1:26" x14ac:dyDescent="0.3">
      <c r="A838">
        <v>10173</v>
      </c>
      <c r="B838">
        <v>22</v>
      </c>
      <c r="C838">
        <v>100</v>
      </c>
      <c r="D838">
        <v>7</v>
      </c>
      <c r="E838">
        <v>3452.68</v>
      </c>
      <c r="F838" s="1">
        <v>37930</v>
      </c>
      <c r="G838" t="s">
        <v>39</v>
      </c>
      <c r="H838">
        <v>4</v>
      </c>
      <c r="I838">
        <v>11</v>
      </c>
      <c r="J838" t="str">
        <f>TEXT(DATE(2012,Table1[[#This Row],[MONTH_ID]],10),"mmm")</f>
        <v>Nov</v>
      </c>
      <c r="K838">
        <v>2003</v>
      </c>
      <c r="L838" t="s">
        <v>564</v>
      </c>
      <c r="M838">
        <v>168</v>
      </c>
      <c r="N838" t="s">
        <v>608</v>
      </c>
      <c r="O838" t="s">
        <v>566</v>
      </c>
      <c r="P838" t="s">
        <v>567</v>
      </c>
      <c r="Q838" t="s">
        <v>568</v>
      </c>
      <c r="S838" t="s">
        <v>569</v>
      </c>
      <c r="U838">
        <v>24100</v>
      </c>
      <c r="V838" t="s">
        <v>272</v>
      </c>
      <c r="W838" t="s">
        <v>56</v>
      </c>
      <c r="X838" t="s">
        <v>570</v>
      </c>
      <c r="Y838" t="s">
        <v>571</v>
      </c>
      <c r="Z838" t="s">
        <v>65</v>
      </c>
    </row>
    <row r="839" spans="1:26" x14ac:dyDescent="0.3">
      <c r="A839">
        <v>10182</v>
      </c>
      <c r="B839">
        <v>21</v>
      </c>
      <c r="C839">
        <v>100</v>
      </c>
      <c r="D839">
        <v>4</v>
      </c>
      <c r="E839">
        <v>3047.73</v>
      </c>
      <c r="F839" s="1">
        <v>37937</v>
      </c>
      <c r="G839" t="s">
        <v>39</v>
      </c>
      <c r="H839">
        <v>4</v>
      </c>
      <c r="I839">
        <v>11</v>
      </c>
      <c r="J839" t="str">
        <f>TEXT(DATE(2012,Table1[[#This Row],[MONTH_ID]],10),"mmm")</f>
        <v>Nov</v>
      </c>
      <c r="K839">
        <v>2003</v>
      </c>
      <c r="L839" t="s">
        <v>564</v>
      </c>
      <c r="M839">
        <v>168</v>
      </c>
      <c r="N839" t="s">
        <v>608</v>
      </c>
      <c r="O839" t="s">
        <v>286</v>
      </c>
      <c r="P839">
        <v>4155551450</v>
      </c>
      <c r="Q839" t="s">
        <v>287</v>
      </c>
      <c r="S839" t="s">
        <v>288</v>
      </c>
      <c r="T839" t="s">
        <v>69</v>
      </c>
      <c r="U839">
        <v>97562</v>
      </c>
      <c r="V839" t="s">
        <v>46</v>
      </c>
      <c r="W839" t="s">
        <v>47</v>
      </c>
      <c r="X839" t="s">
        <v>289</v>
      </c>
      <c r="Y839" t="s">
        <v>290</v>
      </c>
      <c r="Z839" t="s">
        <v>65</v>
      </c>
    </row>
    <row r="840" spans="1:26" x14ac:dyDescent="0.3">
      <c r="A840">
        <v>10193</v>
      </c>
      <c r="B840">
        <v>22</v>
      </c>
      <c r="C840">
        <v>100</v>
      </c>
      <c r="D840">
        <v>8</v>
      </c>
      <c r="E840">
        <v>3675.32</v>
      </c>
      <c r="F840" s="1">
        <v>37946</v>
      </c>
      <c r="G840" t="s">
        <v>39</v>
      </c>
      <c r="H840">
        <v>4</v>
      </c>
      <c r="I840">
        <v>11</v>
      </c>
      <c r="J840" t="str">
        <f>TEXT(DATE(2012,Table1[[#This Row],[MONTH_ID]],10),"mmm")</f>
        <v>Nov</v>
      </c>
      <c r="K840">
        <v>2003</v>
      </c>
      <c r="L840" t="s">
        <v>564</v>
      </c>
      <c r="M840">
        <v>168</v>
      </c>
      <c r="N840" t="s">
        <v>608</v>
      </c>
      <c r="O840" t="s">
        <v>572</v>
      </c>
      <c r="P840" t="s">
        <v>573</v>
      </c>
      <c r="Q840" t="s">
        <v>574</v>
      </c>
      <c r="S840" t="s">
        <v>575</v>
      </c>
      <c r="T840" t="s">
        <v>108</v>
      </c>
      <c r="U840">
        <v>3150</v>
      </c>
      <c r="V840" t="s">
        <v>109</v>
      </c>
      <c r="W840" t="s">
        <v>110</v>
      </c>
      <c r="X840" t="s">
        <v>576</v>
      </c>
      <c r="Y840" t="s">
        <v>577</v>
      </c>
      <c r="Z840" t="s">
        <v>65</v>
      </c>
    </row>
    <row r="841" spans="1:26" x14ac:dyDescent="0.3">
      <c r="A841">
        <v>10205</v>
      </c>
      <c r="B841">
        <v>40</v>
      </c>
      <c r="C841">
        <v>100</v>
      </c>
      <c r="D841">
        <v>3</v>
      </c>
      <c r="E841">
        <v>7492.4</v>
      </c>
      <c r="F841" s="1">
        <v>37958</v>
      </c>
      <c r="G841" t="s">
        <v>39</v>
      </c>
      <c r="H841">
        <v>4</v>
      </c>
      <c r="I841">
        <v>12</v>
      </c>
      <c r="J841" t="str">
        <f>TEXT(DATE(2012,Table1[[#This Row],[MONTH_ID]],10),"mmm")</f>
        <v>Dec</v>
      </c>
      <c r="K841">
        <v>2003</v>
      </c>
      <c r="L841" t="s">
        <v>564</v>
      </c>
      <c r="M841">
        <v>168</v>
      </c>
      <c r="N841" t="s">
        <v>608</v>
      </c>
      <c r="O841" t="s">
        <v>188</v>
      </c>
      <c r="P841" t="s">
        <v>189</v>
      </c>
      <c r="Q841" t="s">
        <v>190</v>
      </c>
      <c r="S841" t="s">
        <v>191</v>
      </c>
      <c r="U841">
        <v>28034</v>
      </c>
      <c r="V841" t="s">
        <v>192</v>
      </c>
      <c r="W841" t="s">
        <v>56</v>
      </c>
      <c r="X841" t="s">
        <v>193</v>
      </c>
      <c r="Y841" t="s">
        <v>194</v>
      </c>
      <c r="Z841" t="s">
        <v>165</v>
      </c>
    </row>
    <row r="842" spans="1:26" x14ac:dyDescent="0.3">
      <c r="A842">
        <v>10214</v>
      </c>
      <c r="B842">
        <v>50</v>
      </c>
      <c r="C842">
        <v>100</v>
      </c>
      <c r="D842">
        <v>1</v>
      </c>
      <c r="E842">
        <v>9534.5</v>
      </c>
      <c r="F842" s="1">
        <v>38012</v>
      </c>
      <c r="G842" t="s">
        <v>39</v>
      </c>
      <c r="H842">
        <v>1</v>
      </c>
      <c r="I842">
        <v>1</v>
      </c>
      <c r="J842" t="str">
        <f>TEXT(DATE(2012,Table1[[#This Row],[MONTH_ID]],10),"mmm")</f>
        <v>Jan</v>
      </c>
      <c r="K842">
        <v>2004</v>
      </c>
      <c r="L842" t="s">
        <v>564</v>
      </c>
      <c r="M842">
        <v>168</v>
      </c>
      <c r="N842" t="s">
        <v>608</v>
      </c>
      <c r="O842" t="s">
        <v>205</v>
      </c>
      <c r="P842" t="s">
        <v>206</v>
      </c>
      <c r="Q842" t="s">
        <v>207</v>
      </c>
      <c r="S842" t="s">
        <v>191</v>
      </c>
      <c r="U842">
        <v>28023</v>
      </c>
      <c r="V842" t="s">
        <v>192</v>
      </c>
      <c r="W842" t="s">
        <v>56</v>
      </c>
      <c r="X842" t="s">
        <v>208</v>
      </c>
      <c r="Y842" t="s">
        <v>209</v>
      </c>
      <c r="Z842" t="s">
        <v>165</v>
      </c>
    </row>
    <row r="843" spans="1:26" x14ac:dyDescent="0.3">
      <c r="A843">
        <v>10227</v>
      </c>
      <c r="B843">
        <v>29</v>
      </c>
      <c r="C843">
        <v>100</v>
      </c>
      <c r="D843">
        <v>4</v>
      </c>
      <c r="E843">
        <v>5579.02</v>
      </c>
      <c r="F843" s="1">
        <v>38048</v>
      </c>
      <c r="G843" t="s">
        <v>39</v>
      </c>
      <c r="H843">
        <v>1</v>
      </c>
      <c r="I843">
        <v>3</v>
      </c>
      <c r="J843" t="str">
        <f>TEXT(DATE(2012,Table1[[#This Row],[MONTH_ID]],10),"mmm")</f>
        <v>Mar</v>
      </c>
      <c r="K843">
        <v>2004</v>
      </c>
      <c r="L843" t="s">
        <v>564</v>
      </c>
      <c r="M843">
        <v>168</v>
      </c>
      <c r="N843" t="s">
        <v>608</v>
      </c>
      <c r="O843" t="s">
        <v>233</v>
      </c>
      <c r="P843" t="s">
        <v>234</v>
      </c>
      <c r="Q843" t="s">
        <v>235</v>
      </c>
      <c r="S843" t="s">
        <v>236</v>
      </c>
      <c r="U843">
        <v>69004</v>
      </c>
      <c r="V843" t="s">
        <v>55</v>
      </c>
      <c r="W843" t="s">
        <v>56</v>
      </c>
      <c r="X843" t="s">
        <v>237</v>
      </c>
      <c r="Y843" t="s">
        <v>238</v>
      </c>
      <c r="Z843" t="s">
        <v>65</v>
      </c>
    </row>
    <row r="844" spans="1:26" x14ac:dyDescent="0.3">
      <c r="A844">
        <v>10244</v>
      </c>
      <c r="B844">
        <v>43</v>
      </c>
      <c r="C844">
        <v>100</v>
      </c>
      <c r="D844">
        <v>8</v>
      </c>
      <c r="E844">
        <v>5950.34</v>
      </c>
      <c r="F844" s="1">
        <v>38106</v>
      </c>
      <c r="G844" t="s">
        <v>39</v>
      </c>
      <c r="H844">
        <v>2</v>
      </c>
      <c r="I844">
        <v>4</v>
      </c>
      <c r="J844" t="str">
        <f>TEXT(DATE(2012,Table1[[#This Row],[MONTH_ID]],10),"mmm")</f>
        <v>Apr</v>
      </c>
      <c r="K844">
        <v>2004</v>
      </c>
      <c r="L844" t="s">
        <v>564</v>
      </c>
      <c r="M844">
        <v>168</v>
      </c>
      <c r="N844" t="s">
        <v>608</v>
      </c>
      <c r="O844" t="s">
        <v>188</v>
      </c>
      <c r="P844" t="s">
        <v>189</v>
      </c>
      <c r="Q844" t="s">
        <v>190</v>
      </c>
      <c r="S844" t="s">
        <v>191</v>
      </c>
      <c r="U844">
        <v>28034</v>
      </c>
      <c r="V844" t="s">
        <v>192</v>
      </c>
      <c r="W844" t="s">
        <v>56</v>
      </c>
      <c r="X844" t="s">
        <v>193</v>
      </c>
      <c r="Y844" t="s">
        <v>194</v>
      </c>
      <c r="Z844" t="s">
        <v>65</v>
      </c>
    </row>
    <row r="845" spans="1:26" x14ac:dyDescent="0.3">
      <c r="A845">
        <v>10255</v>
      </c>
      <c r="B845">
        <v>24</v>
      </c>
      <c r="C845">
        <v>100</v>
      </c>
      <c r="D845">
        <v>1</v>
      </c>
      <c r="E845">
        <v>3726</v>
      </c>
      <c r="F845" s="1">
        <v>38142</v>
      </c>
      <c r="G845" t="s">
        <v>39</v>
      </c>
      <c r="H845">
        <v>2</v>
      </c>
      <c r="I845">
        <v>6</v>
      </c>
      <c r="J845" t="str">
        <f>TEXT(DATE(2012,Table1[[#This Row],[MONTH_ID]],10),"mmm")</f>
        <v>Jun</v>
      </c>
      <c r="K845">
        <v>2004</v>
      </c>
      <c r="L845" t="s">
        <v>564</v>
      </c>
      <c r="M845">
        <v>168</v>
      </c>
      <c r="N845" t="s">
        <v>608</v>
      </c>
      <c r="O845" t="s">
        <v>545</v>
      </c>
      <c r="P845" t="s">
        <v>546</v>
      </c>
      <c r="Q845" t="s">
        <v>547</v>
      </c>
      <c r="S845" t="s">
        <v>548</v>
      </c>
      <c r="U845">
        <v>67000</v>
      </c>
      <c r="V845" t="s">
        <v>55</v>
      </c>
      <c r="W845" t="s">
        <v>56</v>
      </c>
      <c r="X845" t="s">
        <v>549</v>
      </c>
      <c r="Y845" t="s">
        <v>550</v>
      </c>
      <c r="Z845" t="s">
        <v>65</v>
      </c>
    </row>
    <row r="846" spans="1:26" x14ac:dyDescent="0.3">
      <c r="A846">
        <v>10280</v>
      </c>
      <c r="B846">
        <v>22</v>
      </c>
      <c r="C846">
        <v>100</v>
      </c>
      <c r="D846">
        <v>10</v>
      </c>
      <c r="E846">
        <v>4455</v>
      </c>
      <c r="F846" s="1">
        <v>38216</v>
      </c>
      <c r="G846" t="s">
        <v>39</v>
      </c>
      <c r="H846">
        <v>3</v>
      </c>
      <c r="I846">
        <v>8</v>
      </c>
      <c r="J846" t="str">
        <f>TEXT(DATE(2012,Table1[[#This Row],[MONTH_ID]],10),"mmm")</f>
        <v>Aug</v>
      </c>
      <c r="K846">
        <v>2004</v>
      </c>
      <c r="L846" t="s">
        <v>564</v>
      </c>
      <c r="M846">
        <v>168</v>
      </c>
      <c r="N846" t="s">
        <v>608</v>
      </c>
      <c r="O846" t="s">
        <v>268</v>
      </c>
      <c r="P846" t="s">
        <v>269</v>
      </c>
      <c r="Q846" t="s">
        <v>270</v>
      </c>
      <c r="S846" t="s">
        <v>271</v>
      </c>
      <c r="U846">
        <v>10100</v>
      </c>
      <c r="V846" t="s">
        <v>272</v>
      </c>
      <c r="W846" t="s">
        <v>56</v>
      </c>
      <c r="X846" t="s">
        <v>273</v>
      </c>
      <c r="Y846" t="s">
        <v>274</v>
      </c>
      <c r="Z846" t="s">
        <v>65</v>
      </c>
    </row>
    <row r="847" spans="1:26" x14ac:dyDescent="0.3">
      <c r="A847">
        <v>10289</v>
      </c>
      <c r="B847">
        <v>43</v>
      </c>
      <c r="C847">
        <v>100</v>
      </c>
      <c r="D847">
        <v>3</v>
      </c>
      <c r="E847">
        <v>8272.34</v>
      </c>
      <c r="F847" s="1">
        <v>38233</v>
      </c>
      <c r="G847" t="s">
        <v>39</v>
      </c>
      <c r="H847">
        <v>3</v>
      </c>
      <c r="I847">
        <v>9</v>
      </c>
      <c r="J847" t="str">
        <f>TEXT(DATE(2012,Table1[[#This Row],[MONTH_ID]],10),"mmm")</f>
        <v>Sep</v>
      </c>
      <c r="K847">
        <v>2004</v>
      </c>
      <c r="L847" t="s">
        <v>564</v>
      </c>
      <c r="M847">
        <v>168</v>
      </c>
      <c r="N847" t="s">
        <v>608</v>
      </c>
      <c r="O847" t="s">
        <v>87</v>
      </c>
      <c r="P847" t="s">
        <v>88</v>
      </c>
      <c r="Q847" t="s">
        <v>89</v>
      </c>
      <c r="S847" t="s">
        <v>90</v>
      </c>
      <c r="U847" t="s">
        <v>91</v>
      </c>
      <c r="V847" t="s">
        <v>92</v>
      </c>
      <c r="W847" t="s">
        <v>56</v>
      </c>
      <c r="X847" t="s">
        <v>93</v>
      </c>
      <c r="Y847" t="s">
        <v>94</v>
      </c>
      <c r="Z847" t="s">
        <v>165</v>
      </c>
    </row>
    <row r="848" spans="1:26" x14ac:dyDescent="0.3">
      <c r="A848">
        <v>10304</v>
      </c>
      <c r="B848">
        <v>20</v>
      </c>
      <c r="C848">
        <v>100</v>
      </c>
      <c r="D848">
        <v>14</v>
      </c>
      <c r="E848">
        <v>3577.6</v>
      </c>
      <c r="F848" s="1">
        <v>38271</v>
      </c>
      <c r="G848" t="s">
        <v>39</v>
      </c>
      <c r="H848">
        <v>4</v>
      </c>
      <c r="I848">
        <v>10</v>
      </c>
      <c r="J848" t="str">
        <f>TEXT(DATE(2012,Table1[[#This Row],[MONTH_ID]],10),"mmm")</f>
        <v>Oct</v>
      </c>
      <c r="K848">
        <v>2004</v>
      </c>
      <c r="L848" t="s">
        <v>564</v>
      </c>
      <c r="M848">
        <v>168</v>
      </c>
      <c r="N848" t="s">
        <v>608</v>
      </c>
      <c r="O848" t="s">
        <v>281</v>
      </c>
      <c r="P848" t="s">
        <v>282</v>
      </c>
      <c r="Q848" t="s">
        <v>283</v>
      </c>
      <c r="S848" t="s">
        <v>284</v>
      </c>
      <c r="U848">
        <v>78000</v>
      </c>
      <c r="V848" t="s">
        <v>55</v>
      </c>
      <c r="W848" t="s">
        <v>56</v>
      </c>
      <c r="X848" t="s">
        <v>285</v>
      </c>
      <c r="Y848" t="s">
        <v>64</v>
      </c>
      <c r="Z848" t="s">
        <v>65</v>
      </c>
    </row>
    <row r="849" spans="1:26" x14ac:dyDescent="0.3">
      <c r="A849">
        <v>10312</v>
      </c>
      <c r="B849">
        <v>25</v>
      </c>
      <c r="C849">
        <v>100</v>
      </c>
      <c r="D849">
        <v>11</v>
      </c>
      <c r="E849">
        <v>3881.25</v>
      </c>
      <c r="F849" s="1">
        <v>38281</v>
      </c>
      <c r="G849" t="s">
        <v>39</v>
      </c>
      <c r="H849">
        <v>4</v>
      </c>
      <c r="I849">
        <v>10</v>
      </c>
      <c r="J849" t="str">
        <f>TEXT(DATE(2012,Table1[[#This Row],[MONTH_ID]],10),"mmm")</f>
        <v>Oct</v>
      </c>
      <c r="K849">
        <v>2004</v>
      </c>
      <c r="L849" t="s">
        <v>564</v>
      </c>
      <c r="M849">
        <v>168</v>
      </c>
      <c r="N849" t="s">
        <v>608</v>
      </c>
      <c r="O849" t="s">
        <v>286</v>
      </c>
      <c r="P849">
        <v>4155551450</v>
      </c>
      <c r="Q849" t="s">
        <v>287</v>
      </c>
      <c r="S849" t="s">
        <v>288</v>
      </c>
      <c r="T849" t="s">
        <v>69</v>
      </c>
      <c r="U849">
        <v>97562</v>
      </c>
      <c r="V849" t="s">
        <v>46</v>
      </c>
      <c r="W849" t="s">
        <v>47</v>
      </c>
      <c r="X849" t="s">
        <v>289</v>
      </c>
      <c r="Y849" t="s">
        <v>290</v>
      </c>
      <c r="Z849" t="s">
        <v>65</v>
      </c>
    </row>
    <row r="850" spans="1:26" x14ac:dyDescent="0.3">
      <c r="A850">
        <v>10322</v>
      </c>
      <c r="B850">
        <v>36</v>
      </c>
      <c r="C850">
        <v>100</v>
      </c>
      <c r="D850">
        <v>2</v>
      </c>
      <c r="E850">
        <v>5797.44</v>
      </c>
      <c r="F850" s="1">
        <v>38295</v>
      </c>
      <c r="G850" t="s">
        <v>39</v>
      </c>
      <c r="H850">
        <v>4</v>
      </c>
      <c r="I850">
        <v>11</v>
      </c>
      <c r="J850" t="str">
        <f>TEXT(DATE(2012,Table1[[#This Row],[MONTH_ID]],10),"mmm")</f>
        <v>Nov</v>
      </c>
      <c r="K850">
        <v>2004</v>
      </c>
      <c r="L850" t="s">
        <v>564</v>
      </c>
      <c r="M850">
        <v>168</v>
      </c>
      <c r="N850" t="s">
        <v>608</v>
      </c>
      <c r="O850" t="s">
        <v>291</v>
      </c>
      <c r="P850">
        <v>6035558647</v>
      </c>
      <c r="Q850" t="s">
        <v>292</v>
      </c>
      <c r="S850" t="s">
        <v>293</v>
      </c>
      <c r="T850" t="s">
        <v>294</v>
      </c>
      <c r="U850">
        <v>62005</v>
      </c>
      <c r="V850" t="s">
        <v>46</v>
      </c>
      <c r="W850" t="s">
        <v>47</v>
      </c>
      <c r="X850" t="s">
        <v>70</v>
      </c>
      <c r="Y850" t="s">
        <v>290</v>
      </c>
      <c r="Z850" t="s">
        <v>65</v>
      </c>
    </row>
    <row r="851" spans="1:26" x14ac:dyDescent="0.3">
      <c r="A851">
        <v>10332</v>
      </c>
      <c r="B851">
        <v>24</v>
      </c>
      <c r="C851">
        <v>52.67</v>
      </c>
      <c r="D851">
        <v>1</v>
      </c>
      <c r="E851">
        <v>1264.08</v>
      </c>
      <c r="F851" s="1">
        <v>38308</v>
      </c>
      <c r="G851" t="s">
        <v>39</v>
      </c>
      <c r="H851">
        <v>4</v>
      </c>
      <c r="I851">
        <v>11</v>
      </c>
      <c r="J851" t="str">
        <f>TEXT(DATE(2012,Table1[[#This Row],[MONTH_ID]],10),"mmm")</f>
        <v>Nov</v>
      </c>
      <c r="K851">
        <v>2004</v>
      </c>
      <c r="L851" t="s">
        <v>564</v>
      </c>
      <c r="M851">
        <v>168</v>
      </c>
      <c r="N851" t="s">
        <v>608</v>
      </c>
      <c r="O851" t="s">
        <v>506</v>
      </c>
      <c r="P851" t="s">
        <v>507</v>
      </c>
      <c r="Q851" t="s">
        <v>508</v>
      </c>
      <c r="S851" t="s">
        <v>509</v>
      </c>
      <c r="U851" t="s">
        <v>510</v>
      </c>
      <c r="V851" t="s">
        <v>184</v>
      </c>
      <c r="W851" t="s">
        <v>56</v>
      </c>
      <c r="X851" t="s">
        <v>511</v>
      </c>
      <c r="Y851" t="s">
        <v>108</v>
      </c>
      <c r="Z851" t="s">
        <v>50</v>
      </c>
    </row>
    <row r="852" spans="1:26" x14ac:dyDescent="0.3">
      <c r="A852">
        <v>10347</v>
      </c>
      <c r="B852">
        <v>21</v>
      </c>
      <c r="C852">
        <v>100</v>
      </c>
      <c r="D852">
        <v>6</v>
      </c>
      <c r="E852">
        <v>4815.3</v>
      </c>
      <c r="F852" s="1">
        <v>38320</v>
      </c>
      <c r="G852" t="s">
        <v>39</v>
      </c>
      <c r="H852">
        <v>4</v>
      </c>
      <c r="I852">
        <v>11</v>
      </c>
      <c r="J852" t="str">
        <f>TEXT(DATE(2012,Table1[[#This Row],[MONTH_ID]],10),"mmm")</f>
        <v>Nov</v>
      </c>
      <c r="K852">
        <v>2004</v>
      </c>
      <c r="L852" t="s">
        <v>564</v>
      </c>
      <c r="M852">
        <v>168</v>
      </c>
      <c r="N852" t="s">
        <v>608</v>
      </c>
      <c r="O852" t="s">
        <v>103</v>
      </c>
      <c r="P852" t="s">
        <v>104</v>
      </c>
      <c r="Q852" t="s">
        <v>105</v>
      </c>
      <c r="R852" t="s">
        <v>106</v>
      </c>
      <c r="S852" t="s">
        <v>107</v>
      </c>
      <c r="T852" t="s">
        <v>108</v>
      </c>
      <c r="U852">
        <v>3004</v>
      </c>
      <c r="V852" t="s">
        <v>109</v>
      </c>
      <c r="W852" t="s">
        <v>110</v>
      </c>
      <c r="X852" t="s">
        <v>111</v>
      </c>
      <c r="Y852" t="s">
        <v>112</v>
      </c>
      <c r="Z852" t="s">
        <v>65</v>
      </c>
    </row>
    <row r="853" spans="1:26" x14ac:dyDescent="0.3">
      <c r="A853">
        <v>10356</v>
      </c>
      <c r="B853">
        <v>30</v>
      </c>
      <c r="C853">
        <v>100</v>
      </c>
      <c r="D853">
        <v>1</v>
      </c>
      <c r="E853">
        <v>4462.2</v>
      </c>
      <c r="F853" s="1">
        <v>38330</v>
      </c>
      <c r="G853" t="s">
        <v>39</v>
      </c>
      <c r="H853">
        <v>4</v>
      </c>
      <c r="I853">
        <v>12</v>
      </c>
      <c r="J853" t="str">
        <f>TEXT(DATE(2012,Table1[[#This Row],[MONTH_ID]],10),"mmm")</f>
        <v>Dec</v>
      </c>
      <c r="K853">
        <v>2004</v>
      </c>
      <c r="L853" t="s">
        <v>564</v>
      </c>
      <c r="M853">
        <v>168</v>
      </c>
      <c r="N853" t="s">
        <v>608</v>
      </c>
      <c r="O853" t="s">
        <v>59</v>
      </c>
      <c r="P853" t="s">
        <v>60</v>
      </c>
      <c r="Q853" t="s">
        <v>61</v>
      </c>
      <c r="S853" t="s">
        <v>62</v>
      </c>
      <c r="U853">
        <v>75508</v>
      </c>
      <c r="V853" t="s">
        <v>55</v>
      </c>
      <c r="W853" t="s">
        <v>56</v>
      </c>
      <c r="X853" t="s">
        <v>63</v>
      </c>
      <c r="Y853" t="s">
        <v>64</v>
      </c>
      <c r="Z853" t="s">
        <v>65</v>
      </c>
    </row>
    <row r="854" spans="1:26" x14ac:dyDescent="0.3">
      <c r="A854">
        <v>10367</v>
      </c>
      <c r="B854">
        <v>32</v>
      </c>
      <c r="C854">
        <v>94.79</v>
      </c>
      <c r="D854">
        <v>7</v>
      </c>
      <c r="E854">
        <v>3033.28</v>
      </c>
      <c r="F854" s="1">
        <v>38364</v>
      </c>
      <c r="G854" t="s">
        <v>422</v>
      </c>
      <c r="H854">
        <v>1</v>
      </c>
      <c r="I854">
        <v>1</v>
      </c>
      <c r="J854" t="str">
        <f>TEXT(DATE(2012,Table1[[#This Row],[MONTH_ID]],10),"mmm")</f>
        <v>Jan</v>
      </c>
      <c r="K854">
        <v>2005</v>
      </c>
      <c r="L854" t="s">
        <v>564</v>
      </c>
      <c r="M854">
        <v>168</v>
      </c>
      <c r="N854" t="s">
        <v>608</v>
      </c>
      <c r="O854" t="s">
        <v>66</v>
      </c>
      <c r="P854">
        <v>6265557265</v>
      </c>
      <c r="Q854" t="s">
        <v>67</v>
      </c>
      <c r="S854" t="s">
        <v>68</v>
      </c>
      <c r="T854" t="s">
        <v>69</v>
      </c>
      <c r="U854">
        <v>90003</v>
      </c>
      <c r="V854" t="s">
        <v>46</v>
      </c>
      <c r="W854" t="s">
        <v>47</v>
      </c>
      <c r="X854" t="s">
        <v>70</v>
      </c>
      <c r="Y854" t="s">
        <v>71</v>
      </c>
      <c r="Z854" t="s">
        <v>65</v>
      </c>
    </row>
    <row r="855" spans="1:26" x14ac:dyDescent="0.3">
      <c r="A855">
        <v>10380</v>
      </c>
      <c r="B855">
        <v>21</v>
      </c>
      <c r="C855">
        <v>47.18</v>
      </c>
      <c r="D855">
        <v>8</v>
      </c>
      <c r="E855">
        <v>990.78</v>
      </c>
      <c r="F855" s="1">
        <v>38399</v>
      </c>
      <c r="G855" t="s">
        <v>39</v>
      </c>
      <c r="H855">
        <v>1</v>
      </c>
      <c r="I855">
        <v>2</v>
      </c>
      <c r="J855" t="str">
        <f>TEXT(DATE(2012,Table1[[#This Row],[MONTH_ID]],10),"mmm")</f>
        <v>Feb</v>
      </c>
      <c r="K855">
        <v>2005</v>
      </c>
      <c r="L855" t="s">
        <v>564</v>
      </c>
      <c r="M855">
        <v>168</v>
      </c>
      <c r="N855" t="s">
        <v>608</v>
      </c>
      <c r="O855" t="s">
        <v>188</v>
      </c>
      <c r="P855" t="s">
        <v>189</v>
      </c>
      <c r="Q855" t="s">
        <v>190</v>
      </c>
      <c r="S855" t="s">
        <v>191</v>
      </c>
      <c r="U855">
        <v>28034</v>
      </c>
      <c r="V855" t="s">
        <v>192</v>
      </c>
      <c r="W855" t="s">
        <v>56</v>
      </c>
      <c r="X855" t="s">
        <v>193</v>
      </c>
      <c r="Y855" t="s">
        <v>194</v>
      </c>
      <c r="Z855" t="s">
        <v>50</v>
      </c>
    </row>
    <row r="856" spans="1:26" x14ac:dyDescent="0.3">
      <c r="A856">
        <v>10390</v>
      </c>
      <c r="B856">
        <v>26</v>
      </c>
      <c r="C856">
        <v>78.11</v>
      </c>
      <c r="D856">
        <v>7</v>
      </c>
      <c r="E856">
        <v>2030.86</v>
      </c>
      <c r="F856" s="1">
        <v>38415</v>
      </c>
      <c r="G856" t="s">
        <v>39</v>
      </c>
      <c r="H856">
        <v>1</v>
      </c>
      <c r="I856">
        <v>3</v>
      </c>
      <c r="J856" t="str">
        <f>TEXT(DATE(2012,Table1[[#This Row],[MONTH_ID]],10),"mmm")</f>
        <v>Mar</v>
      </c>
      <c r="K856">
        <v>2005</v>
      </c>
      <c r="L856" t="s">
        <v>564</v>
      </c>
      <c r="M856">
        <v>168</v>
      </c>
      <c r="N856" t="s">
        <v>608</v>
      </c>
      <c r="O856" t="s">
        <v>286</v>
      </c>
      <c r="P856">
        <v>4155551450</v>
      </c>
      <c r="Q856" t="s">
        <v>287</v>
      </c>
      <c r="S856" t="s">
        <v>288</v>
      </c>
      <c r="T856" t="s">
        <v>69</v>
      </c>
      <c r="U856">
        <v>97562</v>
      </c>
      <c r="V856" t="s">
        <v>46</v>
      </c>
      <c r="W856" t="s">
        <v>47</v>
      </c>
      <c r="X856" t="s">
        <v>289</v>
      </c>
      <c r="Y856" t="s">
        <v>290</v>
      </c>
      <c r="Z856" t="s">
        <v>50</v>
      </c>
    </row>
    <row r="857" spans="1:26" x14ac:dyDescent="0.3">
      <c r="A857">
        <v>10421</v>
      </c>
      <c r="B857">
        <v>35</v>
      </c>
      <c r="C857">
        <v>100</v>
      </c>
      <c r="D857">
        <v>1</v>
      </c>
      <c r="E857">
        <v>5433.75</v>
      </c>
      <c r="F857" s="1">
        <v>38501</v>
      </c>
      <c r="G857" t="s">
        <v>314</v>
      </c>
      <c r="H857">
        <v>2</v>
      </c>
      <c r="I857">
        <v>5</v>
      </c>
      <c r="J857" t="str">
        <f>TEXT(DATE(2012,Table1[[#This Row],[MONTH_ID]],10),"mmm")</f>
        <v>May</v>
      </c>
      <c r="K857">
        <v>2005</v>
      </c>
      <c r="L857" t="s">
        <v>564</v>
      </c>
      <c r="M857">
        <v>168</v>
      </c>
      <c r="N857" t="s">
        <v>608</v>
      </c>
      <c r="O857" t="s">
        <v>286</v>
      </c>
      <c r="P857">
        <v>4155551450</v>
      </c>
      <c r="Q857" t="s">
        <v>287</v>
      </c>
      <c r="S857" t="s">
        <v>288</v>
      </c>
      <c r="T857" t="s">
        <v>69</v>
      </c>
      <c r="U857">
        <v>97562</v>
      </c>
      <c r="V857" t="s">
        <v>46</v>
      </c>
      <c r="W857" t="s">
        <v>47</v>
      </c>
      <c r="X857" t="s">
        <v>289</v>
      </c>
      <c r="Y857" t="s">
        <v>290</v>
      </c>
      <c r="Z857" t="s">
        <v>65</v>
      </c>
    </row>
    <row r="858" spans="1:26" x14ac:dyDescent="0.3">
      <c r="A858">
        <v>10109</v>
      </c>
      <c r="B858">
        <v>26</v>
      </c>
      <c r="C858">
        <v>100</v>
      </c>
      <c r="D858">
        <v>1</v>
      </c>
      <c r="E858">
        <v>3157.44</v>
      </c>
      <c r="F858" s="1">
        <v>37690</v>
      </c>
      <c r="G858" t="s">
        <v>39</v>
      </c>
      <c r="H858">
        <v>1</v>
      </c>
      <c r="I858">
        <v>3</v>
      </c>
      <c r="J858" t="str">
        <f>TEXT(DATE(2012,Table1[[#This Row],[MONTH_ID]],10),"mmm")</f>
        <v>Mar</v>
      </c>
      <c r="K858">
        <v>2003</v>
      </c>
      <c r="L858" t="s">
        <v>195</v>
      </c>
      <c r="M858">
        <v>132</v>
      </c>
      <c r="N858" t="s">
        <v>609</v>
      </c>
      <c r="O858" t="s">
        <v>323</v>
      </c>
      <c r="P858">
        <v>2155559857</v>
      </c>
      <c r="Q858" t="s">
        <v>324</v>
      </c>
      <c r="S858" t="s">
        <v>230</v>
      </c>
      <c r="T858" t="s">
        <v>156</v>
      </c>
      <c r="U858">
        <v>71270</v>
      </c>
      <c r="V858" t="s">
        <v>46</v>
      </c>
      <c r="W858" t="s">
        <v>47</v>
      </c>
      <c r="X858" t="s">
        <v>138</v>
      </c>
      <c r="Y858" t="s">
        <v>325</v>
      </c>
      <c r="Z858" t="s">
        <v>65</v>
      </c>
    </row>
    <row r="859" spans="1:26" x14ac:dyDescent="0.3">
      <c r="A859">
        <v>10123</v>
      </c>
      <c r="B859">
        <v>46</v>
      </c>
      <c r="C859">
        <v>100</v>
      </c>
      <c r="D859">
        <v>3</v>
      </c>
      <c r="E859">
        <v>5161.2</v>
      </c>
      <c r="F859" s="1">
        <v>37761</v>
      </c>
      <c r="G859" t="s">
        <v>39</v>
      </c>
      <c r="H859">
        <v>2</v>
      </c>
      <c r="I859">
        <v>5</v>
      </c>
      <c r="J859" t="str">
        <f>TEXT(DATE(2012,Table1[[#This Row],[MONTH_ID]],10),"mmm")</f>
        <v>May</v>
      </c>
      <c r="K859">
        <v>2003</v>
      </c>
      <c r="L859" t="s">
        <v>195</v>
      </c>
      <c r="M859">
        <v>132</v>
      </c>
      <c r="N859" t="s">
        <v>609</v>
      </c>
      <c r="O859" t="s">
        <v>326</v>
      </c>
      <c r="P859" t="s">
        <v>327</v>
      </c>
      <c r="Q859" t="s">
        <v>328</v>
      </c>
      <c r="S859" t="s">
        <v>131</v>
      </c>
      <c r="U859">
        <v>44000</v>
      </c>
      <c r="V859" t="s">
        <v>55</v>
      </c>
      <c r="W859" t="s">
        <v>56</v>
      </c>
      <c r="X859" t="s">
        <v>329</v>
      </c>
      <c r="Y859" t="s">
        <v>330</v>
      </c>
      <c r="Z859" t="s">
        <v>65</v>
      </c>
    </row>
    <row r="860" spans="1:26" x14ac:dyDescent="0.3">
      <c r="A860">
        <v>10137</v>
      </c>
      <c r="B860">
        <v>37</v>
      </c>
      <c r="C860">
        <v>100</v>
      </c>
      <c r="D860">
        <v>3</v>
      </c>
      <c r="E860">
        <v>4346.76</v>
      </c>
      <c r="F860" s="1">
        <v>37812</v>
      </c>
      <c r="G860" t="s">
        <v>39</v>
      </c>
      <c r="H860">
        <v>3</v>
      </c>
      <c r="I860">
        <v>7</v>
      </c>
      <c r="J860" t="str">
        <f>TEXT(DATE(2012,Table1[[#This Row],[MONTH_ID]],10),"mmm")</f>
        <v>Jul</v>
      </c>
      <c r="K860">
        <v>2003</v>
      </c>
      <c r="L860" t="s">
        <v>195</v>
      </c>
      <c r="M860">
        <v>132</v>
      </c>
      <c r="N860" t="s">
        <v>609</v>
      </c>
      <c r="O860" t="s">
        <v>51</v>
      </c>
      <c r="P860" t="s">
        <v>52</v>
      </c>
      <c r="Q860" t="s">
        <v>53</v>
      </c>
      <c r="S860" t="s">
        <v>54</v>
      </c>
      <c r="U860">
        <v>51100</v>
      </c>
      <c r="V860" t="s">
        <v>55</v>
      </c>
      <c r="W860" t="s">
        <v>56</v>
      </c>
      <c r="X860" t="s">
        <v>57</v>
      </c>
      <c r="Y860" t="s">
        <v>58</v>
      </c>
      <c r="Z860" t="s">
        <v>65</v>
      </c>
    </row>
    <row r="861" spans="1:26" x14ac:dyDescent="0.3">
      <c r="A861">
        <v>10148</v>
      </c>
      <c r="B861">
        <v>27</v>
      </c>
      <c r="C861">
        <v>100</v>
      </c>
      <c r="D861">
        <v>10</v>
      </c>
      <c r="E861">
        <v>3528.36</v>
      </c>
      <c r="F861" s="1">
        <v>37875</v>
      </c>
      <c r="G861" t="s">
        <v>39</v>
      </c>
      <c r="H861">
        <v>3</v>
      </c>
      <c r="I861">
        <v>9</v>
      </c>
      <c r="J861" t="str">
        <f>TEXT(DATE(2012,Table1[[#This Row],[MONTH_ID]],10),"mmm")</f>
        <v>Sep</v>
      </c>
      <c r="K861">
        <v>2003</v>
      </c>
      <c r="L861" t="s">
        <v>195</v>
      </c>
      <c r="M861">
        <v>132</v>
      </c>
      <c r="N861" t="s">
        <v>609</v>
      </c>
      <c r="O861" t="s">
        <v>299</v>
      </c>
      <c r="P861" t="s">
        <v>300</v>
      </c>
      <c r="Q861" t="s">
        <v>301</v>
      </c>
      <c r="R861" t="s">
        <v>302</v>
      </c>
      <c r="S861" t="s">
        <v>303</v>
      </c>
      <c r="T861" t="s">
        <v>171</v>
      </c>
      <c r="U861">
        <v>2060</v>
      </c>
      <c r="V861" t="s">
        <v>109</v>
      </c>
      <c r="W861" t="s">
        <v>110</v>
      </c>
      <c r="X861" t="s">
        <v>304</v>
      </c>
      <c r="Y861" t="s">
        <v>305</v>
      </c>
      <c r="Z861" t="s">
        <v>65</v>
      </c>
    </row>
    <row r="862" spans="1:26" x14ac:dyDescent="0.3">
      <c r="A862">
        <v>10161</v>
      </c>
      <c r="B862">
        <v>23</v>
      </c>
      <c r="C862">
        <v>100</v>
      </c>
      <c r="D862">
        <v>9</v>
      </c>
      <c r="E862">
        <v>3187.8</v>
      </c>
      <c r="F862" s="1">
        <v>37911</v>
      </c>
      <c r="G862" t="s">
        <v>39</v>
      </c>
      <c r="H862">
        <v>4</v>
      </c>
      <c r="I862">
        <v>10</v>
      </c>
      <c r="J862" t="str">
        <f>TEXT(DATE(2012,Table1[[#This Row],[MONTH_ID]],10),"mmm")</f>
        <v>Oct</v>
      </c>
      <c r="K862">
        <v>2003</v>
      </c>
      <c r="L862" t="s">
        <v>195</v>
      </c>
      <c r="M862">
        <v>132</v>
      </c>
      <c r="N862" t="s">
        <v>609</v>
      </c>
      <c r="O862" t="s">
        <v>512</v>
      </c>
      <c r="P862" t="s">
        <v>513</v>
      </c>
      <c r="Q862" t="s">
        <v>514</v>
      </c>
      <c r="S862" t="s">
        <v>515</v>
      </c>
      <c r="U862">
        <v>8200</v>
      </c>
      <c r="V862" t="s">
        <v>340</v>
      </c>
      <c r="W862" t="s">
        <v>56</v>
      </c>
      <c r="X862" t="s">
        <v>516</v>
      </c>
      <c r="Y862" t="s">
        <v>517</v>
      </c>
      <c r="Z862" t="s">
        <v>65</v>
      </c>
    </row>
    <row r="863" spans="1:26" x14ac:dyDescent="0.3">
      <c r="A863">
        <v>10172</v>
      </c>
      <c r="B863">
        <v>39</v>
      </c>
      <c r="C863">
        <v>100</v>
      </c>
      <c r="D863">
        <v>7</v>
      </c>
      <c r="E863">
        <v>6023.16</v>
      </c>
      <c r="F863" s="1">
        <v>37930</v>
      </c>
      <c r="G863" t="s">
        <v>39</v>
      </c>
      <c r="H863">
        <v>4</v>
      </c>
      <c r="I863">
        <v>11</v>
      </c>
      <c r="J863" t="str">
        <f>TEXT(DATE(2012,Table1[[#This Row],[MONTH_ID]],10),"mmm")</f>
        <v>Nov</v>
      </c>
      <c r="K863">
        <v>2003</v>
      </c>
      <c r="L863" t="s">
        <v>195</v>
      </c>
      <c r="M863">
        <v>132</v>
      </c>
      <c r="N863" t="s">
        <v>609</v>
      </c>
      <c r="O863" t="s">
        <v>123</v>
      </c>
      <c r="P863">
        <v>2035552570</v>
      </c>
      <c r="Q863" t="s">
        <v>124</v>
      </c>
      <c r="S863" t="s">
        <v>125</v>
      </c>
      <c r="T863" t="s">
        <v>126</v>
      </c>
      <c r="U863">
        <v>97562</v>
      </c>
      <c r="V863" t="s">
        <v>46</v>
      </c>
      <c r="W863" t="s">
        <v>47</v>
      </c>
      <c r="X863" t="s">
        <v>127</v>
      </c>
      <c r="Y863" t="s">
        <v>71</v>
      </c>
      <c r="Z863" t="s">
        <v>65</v>
      </c>
    </row>
    <row r="864" spans="1:26" x14ac:dyDescent="0.3">
      <c r="A864">
        <v>10181</v>
      </c>
      <c r="B864">
        <v>27</v>
      </c>
      <c r="C864">
        <v>100</v>
      </c>
      <c r="D864">
        <v>3</v>
      </c>
      <c r="E864">
        <v>3884.76</v>
      </c>
      <c r="F864" s="1">
        <v>37937</v>
      </c>
      <c r="G864" t="s">
        <v>39</v>
      </c>
      <c r="H864">
        <v>4</v>
      </c>
      <c r="I864">
        <v>11</v>
      </c>
      <c r="J864" t="str">
        <f>TEXT(DATE(2012,Table1[[#This Row],[MONTH_ID]],10),"mmm")</f>
        <v>Nov</v>
      </c>
      <c r="K864">
        <v>2003</v>
      </c>
      <c r="L864" t="s">
        <v>195</v>
      </c>
      <c r="M864">
        <v>132</v>
      </c>
      <c r="N864" t="s">
        <v>609</v>
      </c>
      <c r="O864" t="s">
        <v>87</v>
      </c>
      <c r="P864" t="s">
        <v>88</v>
      </c>
      <c r="Q864" t="s">
        <v>89</v>
      </c>
      <c r="S864" t="s">
        <v>90</v>
      </c>
      <c r="U864" t="s">
        <v>91</v>
      </c>
      <c r="V864" t="s">
        <v>92</v>
      </c>
      <c r="W864" t="s">
        <v>56</v>
      </c>
      <c r="X864" t="s">
        <v>93</v>
      </c>
      <c r="Y864" t="s">
        <v>94</v>
      </c>
      <c r="Z864" t="s">
        <v>65</v>
      </c>
    </row>
    <row r="865" spans="1:26" x14ac:dyDescent="0.3">
      <c r="A865">
        <v>10192</v>
      </c>
      <c r="B865">
        <v>38</v>
      </c>
      <c r="C865">
        <v>100</v>
      </c>
      <c r="D865">
        <v>8</v>
      </c>
      <c r="E865">
        <v>4965.84</v>
      </c>
      <c r="F865" s="1">
        <v>37945</v>
      </c>
      <c r="G865" t="s">
        <v>39</v>
      </c>
      <c r="H865">
        <v>4</v>
      </c>
      <c r="I865">
        <v>11</v>
      </c>
      <c r="J865" t="str">
        <f>TEXT(DATE(2012,Table1[[#This Row],[MONTH_ID]],10),"mmm")</f>
        <v>Nov</v>
      </c>
      <c r="K865">
        <v>2003</v>
      </c>
      <c r="L865" t="s">
        <v>195</v>
      </c>
      <c r="M865">
        <v>132</v>
      </c>
      <c r="N865" t="s">
        <v>609</v>
      </c>
      <c r="O865" t="s">
        <v>291</v>
      </c>
      <c r="P865">
        <v>6035558647</v>
      </c>
      <c r="Q865" t="s">
        <v>292</v>
      </c>
      <c r="S865" t="s">
        <v>293</v>
      </c>
      <c r="T865" t="s">
        <v>294</v>
      </c>
      <c r="U865">
        <v>62005</v>
      </c>
      <c r="V865" t="s">
        <v>46</v>
      </c>
      <c r="W865" t="s">
        <v>47</v>
      </c>
      <c r="X865" t="s">
        <v>70</v>
      </c>
      <c r="Y865" t="s">
        <v>290</v>
      </c>
      <c r="Z865" t="s">
        <v>65</v>
      </c>
    </row>
    <row r="866" spans="1:26" x14ac:dyDescent="0.3">
      <c r="A866">
        <v>10204</v>
      </c>
      <c r="B866">
        <v>27</v>
      </c>
      <c r="C866">
        <v>100</v>
      </c>
      <c r="D866">
        <v>14</v>
      </c>
      <c r="E866">
        <v>4169.88</v>
      </c>
      <c r="F866" s="1">
        <v>37957</v>
      </c>
      <c r="G866" t="s">
        <v>39</v>
      </c>
      <c r="H866">
        <v>4</v>
      </c>
      <c r="I866">
        <v>12</v>
      </c>
      <c r="J866" t="str">
        <f>TEXT(DATE(2012,Table1[[#This Row],[MONTH_ID]],10),"mmm")</f>
        <v>Dec</v>
      </c>
      <c r="K866">
        <v>2003</v>
      </c>
      <c r="L866" t="s">
        <v>195</v>
      </c>
      <c r="M866">
        <v>132</v>
      </c>
      <c r="N866" t="s">
        <v>609</v>
      </c>
      <c r="O866" t="s">
        <v>489</v>
      </c>
      <c r="P866">
        <v>2125557413</v>
      </c>
      <c r="Q866" t="s">
        <v>490</v>
      </c>
      <c r="R866" t="s">
        <v>491</v>
      </c>
      <c r="S866" t="s">
        <v>44</v>
      </c>
      <c r="T866" t="s">
        <v>45</v>
      </c>
      <c r="U866">
        <v>10022</v>
      </c>
      <c r="V866" t="s">
        <v>46</v>
      </c>
      <c r="W866" t="s">
        <v>47</v>
      </c>
      <c r="X866" t="s">
        <v>70</v>
      </c>
      <c r="Y866" t="s">
        <v>492</v>
      </c>
      <c r="Z866" t="s">
        <v>65</v>
      </c>
    </row>
    <row r="867" spans="1:26" x14ac:dyDescent="0.3">
      <c r="A867">
        <v>10212</v>
      </c>
      <c r="B867">
        <v>40</v>
      </c>
      <c r="C867">
        <v>100</v>
      </c>
      <c r="D867">
        <v>7</v>
      </c>
      <c r="E867">
        <v>4910.3999999999996</v>
      </c>
      <c r="F867" s="1">
        <v>38002</v>
      </c>
      <c r="G867" t="s">
        <v>39</v>
      </c>
      <c r="H867">
        <v>1</v>
      </c>
      <c r="I867">
        <v>1</v>
      </c>
      <c r="J867" t="str">
        <f>TEXT(DATE(2012,Table1[[#This Row],[MONTH_ID]],10),"mmm")</f>
        <v>Jan</v>
      </c>
      <c r="K867">
        <v>2004</v>
      </c>
      <c r="L867" t="s">
        <v>195</v>
      </c>
      <c r="M867">
        <v>132</v>
      </c>
      <c r="N867" t="s">
        <v>609</v>
      </c>
      <c r="O867" t="s">
        <v>188</v>
      </c>
      <c r="P867" t="s">
        <v>189</v>
      </c>
      <c r="Q867" t="s">
        <v>190</v>
      </c>
      <c r="S867" t="s">
        <v>191</v>
      </c>
      <c r="U867">
        <v>28034</v>
      </c>
      <c r="V867" t="s">
        <v>192</v>
      </c>
      <c r="W867" t="s">
        <v>56</v>
      </c>
      <c r="X867" t="s">
        <v>193</v>
      </c>
      <c r="Y867" t="s">
        <v>194</v>
      </c>
      <c r="Z867" t="s">
        <v>65</v>
      </c>
    </row>
    <row r="868" spans="1:26" x14ac:dyDescent="0.3">
      <c r="A868">
        <v>10226</v>
      </c>
      <c r="B868">
        <v>24</v>
      </c>
      <c r="C868">
        <v>100</v>
      </c>
      <c r="D868">
        <v>5</v>
      </c>
      <c r="E868">
        <v>3231.36</v>
      </c>
      <c r="F868" s="1">
        <v>38043</v>
      </c>
      <c r="G868" t="s">
        <v>39</v>
      </c>
      <c r="H868">
        <v>1</v>
      </c>
      <c r="I868">
        <v>2</v>
      </c>
      <c r="J868" t="str">
        <f>TEXT(DATE(2012,Table1[[#This Row],[MONTH_ID]],10),"mmm")</f>
        <v>Feb</v>
      </c>
      <c r="K868">
        <v>2004</v>
      </c>
      <c r="L868" t="s">
        <v>195</v>
      </c>
      <c r="M868">
        <v>132</v>
      </c>
      <c r="N868" t="s">
        <v>609</v>
      </c>
      <c r="O868" t="s">
        <v>376</v>
      </c>
      <c r="P868">
        <v>7605558146</v>
      </c>
      <c r="Q868" t="s">
        <v>377</v>
      </c>
      <c r="S868" t="s">
        <v>378</v>
      </c>
      <c r="T868" t="s">
        <v>69</v>
      </c>
      <c r="U868">
        <v>91217</v>
      </c>
      <c r="V868" t="s">
        <v>46</v>
      </c>
      <c r="W868" t="s">
        <v>47</v>
      </c>
      <c r="X868" t="s">
        <v>251</v>
      </c>
      <c r="Y868" t="s">
        <v>290</v>
      </c>
      <c r="Z868" t="s">
        <v>65</v>
      </c>
    </row>
    <row r="869" spans="1:26" x14ac:dyDescent="0.3">
      <c r="A869">
        <v>10241</v>
      </c>
      <c r="B869">
        <v>44</v>
      </c>
      <c r="C869">
        <v>100</v>
      </c>
      <c r="D869">
        <v>12</v>
      </c>
      <c r="E869">
        <v>6853.44</v>
      </c>
      <c r="F869" s="1">
        <v>38090</v>
      </c>
      <c r="G869" t="s">
        <v>39</v>
      </c>
      <c r="H869">
        <v>2</v>
      </c>
      <c r="I869">
        <v>4</v>
      </c>
      <c r="J869" t="str">
        <f>TEXT(DATE(2012,Table1[[#This Row],[MONTH_ID]],10),"mmm")</f>
        <v>Apr</v>
      </c>
      <c r="K869">
        <v>2004</v>
      </c>
      <c r="L869" t="s">
        <v>195</v>
      </c>
      <c r="M869">
        <v>132</v>
      </c>
      <c r="N869" t="s">
        <v>609</v>
      </c>
      <c r="O869" t="s">
        <v>545</v>
      </c>
      <c r="P869" t="s">
        <v>546</v>
      </c>
      <c r="Q869" t="s">
        <v>547</v>
      </c>
      <c r="S869" t="s">
        <v>548</v>
      </c>
      <c r="U869">
        <v>67000</v>
      </c>
      <c r="V869" t="s">
        <v>55</v>
      </c>
      <c r="W869" t="s">
        <v>56</v>
      </c>
      <c r="X869" t="s">
        <v>549</v>
      </c>
      <c r="Y869" t="s">
        <v>550</v>
      </c>
      <c r="Z869" t="s">
        <v>65</v>
      </c>
    </row>
    <row r="870" spans="1:26" x14ac:dyDescent="0.3">
      <c r="A870">
        <v>10253</v>
      </c>
      <c r="B870">
        <v>37</v>
      </c>
      <c r="C870">
        <v>100</v>
      </c>
      <c r="D870">
        <v>2</v>
      </c>
      <c r="E870">
        <v>5177.04</v>
      </c>
      <c r="F870" s="1">
        <v>38139</v>
      </c>
      <c r="G870" t="s">
        <v>353</v>
      </c>
      <c r="H870">
        <v>2</v>
      </c>
      <c r="I870">
        <v>6</v>
      </c>
      <c r="J870" t="str">
        <f>TEXT(DATE(2012,Table1[[#This Row],[MONTH_ID]],10),"mmm")</f>
        <v>Jun</v>
      </c>
      <c r="K870">
        <v>2004</v>
      </c>
      <c r="L870" t="s">
        <v>195</v>
      </c>
      <c r="M870">
        <v>132</v>
      </c>
      <c r="N870" t="s">
        <v>609</v>
      </c>
      <c r="O870" t="s">
        <v>179</v>
      </c>
      <c r="P870" t="s">
        <v>180</v>
      </c>
      <c r="Q870" t="s">
        <v>181</v>
      </c>
      <c r="S870" t="s">
        <v>182</v>
      </c>
      <c r="U870" t="s">
        <v>183</v>
      </c>
      <c r="V870" t="s">
        <v>184</v>
      </c>
      <c r="W870" t="s">
        <v>56</v>
      </c>
      <c r="X870" t="s">
        <v>185</v>
      </c>
      <c r="Y870" t="s">
        <v>186</v>
      </c>
      <c r="Z870" t="s">
        <v>65</v>
      </c>
    </row>
    <row r="871" spans="1:26" x14ac:dyDescent="0.3">
      <c r="A871">
        <v>10266</v>
      </c>
      <c r="B871">
        <v>20</v>
      </c>
      <c r="C871">
        <v>100</v>
      </c>
      <c r="D871">
        <v>3</v>
      </c>
      <c r="E871">
        <v>2824.8</v>
      </c>
      <c r="F871" s="1">
        <v>38174</v>
      </c>
      <c r="G871" t="s">
        <v>39</v>
      </c>
      <c r="H871">
        <v>3</v>
      </c>
      <c r="I871">
        <v>7</v>
      </c>
      <c r="J871" t="str">
        <f>TEXT(DATE(2012,Table1[[#This Row],[MONTH_ID]],10),"mmm")</f>
        <v>Jul</v>
      </c>
      <c r="K871">
        <v>2004</v>
      </c>
      <c r="L871" t="s">
        <v>195</v>
      </c>
      <c r="M871">
        <v>132</v>
      </c>
      <c r="N871" t="s">
        <v>609</v>
      </c>
      <c r="O871" t="s">
        <v>466</v>
      </c>
      <c r="P871" t="s">
        <v>467</v>
      </c>
      <c r="Q871" t="s">
        <v>468</v>
      </c>
      <c r="S871" t="s">
        <v>469</v>
      </c>
      <c r="U871">
        <v>42100</v>
      </c>
      <c r="V871" t="s">
        <v>272</v>
      </c>
      <c r="W871" t="s">
        <v>56</v>
      </c>
      <c r="X871" t="s">
        <v>470</v>
      </c>
      <c r="Y871" t="s">
        <v>471</v>
      </c>
      <c r="Z871" t="s">
        <v>50</v>
      </c>
    </row>
    <row r="872" spans="1:26" x14ac:dyDescent="0.3">
      <c r="A872">
        <v>10278</v>
      </c>
      <c r="B872">
        <v>39</v>
      </c>
      <c r="C872">
        <v>100</v>
      </c>
      <c r="D872">
        <v>3</v>
      </c>
      <c r="E872">
        <v>4324.32</v>
      </c>
      <c r="F872" s="1">
        <v>38205</v>
      </c>
      <c r="G872" t="s">
        <v>39</v>
      </c>
      <c r="H872">
        <v>3</v>
      </c>
      <c r="I872">
        <v>8</v>
      </c>
      <c r="J872" t="str">
        <f>TEXT(DATE(2012,Table1[[#This Row],[MONTH_ID]],10),"mmm")</f>
        <v>Aug</v>
      </c>
      <c r="K872">
        <v>2004</v>
      </c>
      <c r="L872" t="s">
        <v>195</v>
      </c>
      <c r="M872">
        <v>132</v>
      </c>
      <c r="N872" t="s">
        <v>609</v>
      </c>
      <c r="O872" t="s">
        <v>553</v>
      </c>
      <c r="P872">
        <v>7025551838</v>
      </c>
      <c r="Q872" t="s">
        <v>554</v>
      </c>
      <c r="S872" t="s">
        <v>555</v>
      </c>
      <c r="T872" t="s">
        <v>556</v>
      </c>
      <c r="U872">
        <v>83030</v>
      </c>
      <c r="V872" t="s">
        <v>46</v>
      </c>
      <c r="W872" t="s">
        <v>47</v>
      </c>
      <c r="X872" t="s">
        <v>127</v>
      </c>
      <c r="Y872" t="s">
        <v>414</v>
      </c>
      <c r="Z872" t="s">
        <v>65</v>
      </c>
    </row>
    <row r="873" spans="1:26" x14ac:dyDescent="0.3">
      <c r="A873">
        <v>10287</v>
      </c>
      <c r="B873">
        <v>44</v>
      </c>
      <c r="C873">
        <v>100</v>
      </c>
      <c r="D873">
        <v>1</v>
      </c>
      <c r="E873">
        <v>5052.96</v>
      </c>
      <c r="F873" s="1">
        <v>38229</v>
      </c>
      <c r="G873" t="s">
        <v>39</v>
      </c>
      <c r="H873">
        <v>3</v>
      </c>
      <c r="I873">
        <v>8</v>
      </c>
      <c r="J873" t="str">
        <f>TEXT(DATE(2012,Table1[[#This Row],[MONTH_ID]],10),"mmm")</f>
        <v>Aug</v>
      </c>
      <c r="K873">
        <v>2004</v>
      </c>
      <c r="L873" t="s">
        <v>195</v>
      </c>
      <c r="M873">
        <v>132</v>
      </c>
      <c r="N873" t="s">
        <v>609</v>
      </c>
      <c r="O873" t="s">
        <v>460</v>
      </c>
      <c r="P873" t="s">
        <v>461</v>
      </c>
      <c r="Q873" t="s">
        <v>462</v>
      </c>
      <c r="S873" t="s">
        <v>463</v>
      </c>
      <c r="U873">
        <v>1203</v>
      </c>
      <c r="V873" t="s">
        <v>464</v>
      </c>
      <c r="W873" t="s">
        <v>56</v>
      </c>
      <c r="X873" t="s">
        <v>465</v>
      </c>
      <c r="Y873" t="s">
        <v>117</v>
      </c>
      <c r="Z873" t="s">
        <v>65</v>
      </c>
    </row>
    <row r="874" spans="1:26" x14ac:dyDescent="0.3">
      <c r="A874">
        <v>10301</v>
      </c>
      <c r="B874">
        <v>22</v>
      </c>
      <c r="C874">
        <v>100</v>
      </c>
      <c r="D874">
        <v>5</v>
      </c>
      <c r="E874">
        <v>3223.44</v>
      </c>
      <c r="F874" s="1">
        <v>37899</v>
      </c>
      <c r="G874" t="s">
        <v>39</v>
      </c>
      <c r="H874">
        <v>4</v>
      </c>
      <c r="I874">
        <v>10</v>
      </c>
      <c r="J874" t="str">
        <f>TEXT(DATE(2012,Table1[[#This Row],[MONTH_ID]],10),"mmm")</f>
        <v>Oct</v>
      </c>
      <c r="K874">
        <v>2003</v>
      </c>
      <c r="L874" t="s">
        <v>195</v>
      </c>
      <c r="M874">
        <v>132</v>
      </c>
      <c r="N874" t="s">
        <v>609</v>
      </c>
      <c r="O874" t="s">
        <v>557</v>
      </c>
      <c r="P874" t="s">
        <v>558</v>
      </c>
      <c r="Q874" t="s">
        <v>559</v>
      </c>
      <c r="S874" t="s">
        <v>560</v>
      </c>
      <c r="U874" t="s">
        <v>561</v>
      </c>
      <c r="V874" t="s">
        <v>92</v>
      </c>
      <c r="W874" t="s">
        <v>56</v>
      </c>
      <c r="X874" t="s">
        <v>562</v>
      </c>
      <c r="Y874" t="s">
        <v>563</v>
      </c>
      <c r="Z874" t="s">
        <v>65</v>
      </c>
    </row>
    <row r="875" spans="1:26" x14ac:dyDescent="0.3">
      <c r="A875">
        <v>10311</v>
      </c>
      <c r="B875">
        <v>43</v>
      </c>
      <c r="C875">
        <v>100</v>
      </c>
      <c r="D875">
        <v>10</v>
      </c>
      <c r="E875">
        <v>5278.68</v>
      </c>
      <c r="F875" s="1">
        <v>38276</v>
      </c>
      <c r="G875" t="s">
        <v>39</v>
      </c>
      <c r="H875">
        <v>4</v>
      </c>
      <c r="I875">
        <v>10</v>
      </c>
      <c r="J875" t="str">
        <f>TEXT(DATE(2012,Table1[[#This Row],[MONTH_ID]],10),"mmm")</f>
        <v>Oct</v>
      </c>
      <c r="K875">
        <v>2004</v>
      </c>
      <c r="L875" t="s">
        <v>195</v>
      </c>
      <c r="M875">
        <v>132</v>
      </c>
      <c r="N875" t="s">
        <v>609</v>
      </c>
      <c r="O875" t="s">
        <v>188</v>
      </c>
      <c r="P875" t="s">
        <v>189</v>
      </c>
      <c r="Q875" t="s">
        <v>190</v>
      </c>
      <c r="S875" t="s">
        <v>191</v>
      </c>
      <c r="U875">
        <v>28034</v>
      </c>
      <c r="V875" t="s">
        <v>192</v>
      </c>
      <c r="W875" t="s">
        <v>56</v>
      </c>
      <c r="X875" t="s">
        <v>193</v>
      </c>
      <c r="Y875" t="s">
        <v>194</v>
      </c>
      <c r="Z875" t="s">
        <v>65</v>
      </c>
    </row>
    <row r="876" spans="1:26" x14ac:dyDescent="0.3">
      <c r="A876">
        <v>10321</v>
      </c>
      <c r="B876">
        <v>27</v>
      </c>
      <c r="C876">
        <v>100</v>
      </c>
      <c r="D876">
        <v>7</v>
      </c>
      <c r="E876">
        <v>2851.2</v>
      </c>
      <c r="F876" s="1">
        <v>38295</v>
      </c>
      <c r="G876" t="s">
        <v>39</v>
      </c>
      <c r="H876">
        <v>4</v>
      </c>
      <c r="I876">
        <v>11</v>
      </c>
      <c r="J876" t="str">
        <f>TEXT(DATE(2012,Table1[[#This Row],[MONTH_ID]],10),"mmm")</f>
        <v>Nov</v>
      </c>
      <c r="K876">
        <v>2004</v>
      </c>
      <c r="L876" t="s">
        <v>195</v>
      </c>
      <c r="M876">
        <v>132</v>
      </c>
      <c r="N876" t="s">
        <v>609</v>
      </c>
      <c r="O876" t="s">
        <v>174</v>
      </c>
      <c r="P876">
        <v>5085552555</v>
      </c>
      <c r="Q876" t="s">
        <v>175</v>
      </c>
      <c r="S876" t="s">
        <v>176</v>
      </c>
      <c r="T876" t="s">
        <v>137</v>
      </c>
      <c r="U876">
        <v>50553</v>
      </c>
      <c r="V876" t="s">
        <v>46</v>
      </c>
      <c r="W876" t="s">
        <v>47</v>
      </c>
      <c r="X876" t="s">
        <v>177</v>
      </c>
      <c r="Y876" t="s">
        <v>178</v>
      </c>
      <c r="Z876" t="s">
        <v>50</v>
      </c>
    </row>
    <row r="877" spans="1:26" x14ac:dyDescent="0.3">
      <c r="A877">
        <v>10331</v>
      </c>
      <c r="B877">
        <v>26</v>
      </c>
      <c r="C877">
        <v>64.900000000000006</v>
      </c>
      <c r="D877">
        <v>10</v>
      </c>
      <c r="E877">
        <v>1687.4</v>
      </c>
      <c r="F877" s="1">
        <v>38308</v>
      </c>
      <c r="G877" t="s">
        <v>39</v>
      </c>
      <c r="H877">
        <v>4</v>
      </c>
      <c r="I877">
        <v>11</v>
      </c>
      <c r="J877" t="str">
        <f>TEXT(DATE(2012,Table1[[#This Row],[MONTH_ID]],10),"mmm")</f>
        <v>Nov</v>
      </c>
      <c r="K877">
        <v>2004</v>
      </c>
      <c r="L877" t="s">
        <v>195</v>
      </c>
      <c r="M877">
        <v>132</v>
      </c>
      <c r="N877" t="s">
        <v>609</v>
      </c>
      <c r="O877" t="s">
        <v>323</v>
      </c>
      <c r="P877">
        <v>2155559857</v>
      </c>
      <c r="Q877" t="s">
        <v>324</v>
      </c>
      <c r="S877" t="s">
        <v>230</v>
      </c>
      <c r="T877" t="s">
        <v>156</v>
      </c>
      <c r="U877">
        <v>71270</v>
      </c>
      <c r="V877" t="s">
        <v>46</v>
      </c>
      <c r="W877" t="s">
        <v>47</v>
      </c>
      <c r="X877" t="s">
        <v>138</v>
      </c>
      <c r="Y877" t="s">
        <v>325</v>
      </c>
      <c r="Z877" t="s">
        <v>50</v>
      </c>
    </row>
    <row r="878" spans="1:26" x14ac:dyDescent="0.3">
      <c r="A878">
        <v>10343</v>
      </c>
      <c r="B878">
        <v>25</v>
      </c>
      <c r="C878">
        <v>52.32</v>
      </c>
      <c r="D878">
        <v>3</v>
      </c>
      <c r="E878">
        <v>1308</v>
      </c>
      <c r="F878" s="1">
        <v>38315</v>
      </c>
      <c r="G878" t="s">
        <v>39</v>
      </c>
      <c r="H878">
        <v>4</v>
      </c>
      <c r="I878">
        <v>11</v>
      </c>
      <c r="J878" t="str">
        <f>TEXT(DATE(2012,Table1[[#This Row],[MONTH_ID]],10),"mmm")</f>
        <v>Nov</v>
      </c>
      <c r="K878">
        <v>2004</v>
      </c>
      <c r="L878" t="s">
        <v>195</v>
      </c>
      <c r="M878">
        <v>132</v>
      </c>
      <c r="N878" t="s">
        <v>609</v>
      </c>
      <c r="O878" t="s">
        <v>51</v>
      </c>
      <c r="P878" t="s">
        <v>52</v>
      </c>
      <c r="Q878" t="s">
        <v>53</v>
      </c>
      <c r="S878" t="s">
        <v>54</v>
      </c>
      <c r="U878">
        <v>51100</v>
      </c>
      <c r="V878" t="s">
        <v>55</v>
      </c>
      <c r="W878" t="s">
        <v>56</v>
      </c>
      <c r="X878" t="s">
        <v>57</v>
      </c>
      <c r="Y878" t="s">
        <v>58</v>
      </c>
      <c r="Z878" t="s">
        <v>50</v>
      </c>
    </row>
    <row r="879" spans="1:26" x14ac:dyDescent="0.3">
      <c r="A879">
        <v>10366</v>
      </c>
      <c r="B879">
        <v>49</v>
      </c>
      <c r="C879">
        <v>100</v>
      </c>
      <c r="D879">
        <v>2</v>
      </c>
      <c r="E879">
        <v>6144.6</v>
      </c>
      <c r="F879" s="1">
        <v>38362</v>
      </c>
      <c r="G879" t="s">
        <v>39</v>
      </c>
      <c r="H879">
        <v>1</v>
      </c>
      <c r="I879">
        <v>1</v>
      </c>
      <c r="J879" t="str">
        <f>TEXT(DATE(2012,Table1[[#This Row],[MONTH_ID]],10),"mmm")</f>
        <v>Jan</v>
      </c>
      <c r="K879">
        <v>2005</v>
      </c>
      <c r="L879" t="s">
        <v>195</v>
      </c>
      <c r="M879">
        <v>132</v>
      </c>
      <c r="N879" t="s">
        <v>609</v>
      </c>
      <c r="O879" t="s">
        <v>591</v>
      </c>
      <c r="P879" t="s">
        <v>592</v>
      </c>
      <c r="Q879" t="s">
        <v>593</v>
      </c>
      <c r="S879" t="s">
        <v>594</v>
      </c>
      <c r="U879" t="s">
        <v>595</v>
      </c>
      <c r="V879" t="s">
        <v>384</v>
      </c>
      <c r="W879" t="s">
        <v>56</v>
      </c>
      <c r="X879" t="s">
        <v>596</v>
      </c>
      <c r="Y879" t="s">
        <v>597</v>
      </c>
      <c r="Z879" t="s">
        <v>65</v>
      </c>
    </row>
    <row r="880" spans="1:26" x14ac:dyDescent="0.3">
      <c r="A880">
        <v>10379</v>
      </c>
      <c r="B880">
        <v>29</v>
      </c>
      <c r="C880">
        <v>100</v>
      </c>
      <c r="D880">
        <v>5</v>
      </c>
      <c r="E880">
        <v>5127.2</v>
      </c>
      <c r="F880" s="1">
        <v>38393</v>
      </c>
      <c r="G880" t="s">
        <v>39</v>
      </c>
      <c r="H880">
        <v>1</v>
      </c>
      <c r="I880">
        <v>2</v>
      </c>
      <c r="J880" t="str">
        <f>TEXT(DATE(2012,Table1[[#This Row],[MONTH_ID]],10),"mmm")</f>
        <v>Feb</v>
      </c>
      <c r="K880">
        <v>2005</v>
      </c>
      <c r="L880" t="s">
        <v>195</v>
      </c>
      <c r="M880">
        <v>132</v>
      </c>
      <c r="N880" t="s">
        <v>609</v>
      </c>
      <c r="O880" t="s">
        <v>188</v>
      </c>
      <c r="P880" t="s">
        <v>189</v>
      </c>
      <c r="Q880" t="s">
        <v>190</v>
      </c>
      <c r="S880" t="s">
        <v>191</v>
      </c>
      <c r="U880">
        <v>28034</v>
      </c>
      <c r="V880" t="s">
        <v>192</v>
      </c>
      <c r="W880" t="s">
        <v>56</v>
      </c>
      <c r="X880" t="s">
        <v>193</v>
      </c>
      <c r="Y880" t="s">
        <v>194</v>
      </c>
      <c r="Z880" t="s">
        <v>65</v>
      </c>
    </row>
    <row r="881" spans="1:26" x14ac:dyDescent="0.3">
      <c r="A881">
        <v>10407</v>
      </c>
      <c r="B881">
        <v>41</v>
      </c>
      <c r="C881">
        <v>100</v>
      </c>
      <c r="D881">
        <v>12</v>
      </c>
      <c r="E881">
        <v>6386.16</v>
      </c>
      <c r="F881" s="1">
        <v>38464</v>
      </c>
      <c r="G881" t="s">
        <v>415</v>
      </c>
      <c r="H881">
        <v>2</v>
      </c>
      <c r="I881">
        <v>4</v>
      </c>
      <c r="J881" t="str">
        <f>TEXT(DATE(2012,Table1[[#This Row],[MONTH_ID]],10),"mmm")</f>
        <v>Apr</v>
      </c>
      <c r="K881">
        <v>2005</v>
      </c>
      <c r="L881" t="s">
        <v>195</v>
      </c>
      <c r="M881">
        <v>132</v>
      </c>
      <c r="N881" t="s">
        <v>609</v>
      </c>
      <c r="O881" t="s">
        <v>411</v>
      </c>
      <c r="P881">
        <v>4085553659</v>
      </c>
      <c r="Q881" t="s">
        <v>412</v>
      </c>
      <c r="S881" t="s">
        <v>413</v>
      </c>
      <c r="T881" t="s">
        <v>69</v>
      </c>
      <c r="U881">
        <v>94217</v>
      </c>
      <c r="V881" t="s">
        <v>46</v>
      </c>
      <c r="W881" t="s">
        <v>47</v>
      </c>
      <c r="X881" t="s">
        <v>116</v>
      </c>
      <c r="Y881" t="s">
        <v>414</v>
      </c>
      <c r="Z881" t="s">
        <v>65</v>
      </c>
    </row>
    <row r="882" spans="1:26" x14ac:dyDescent="0.3">
      <c r="A882">
        <v>10419</v>
      </c>
      <c r="B882">
        <v>55</v>
      </c>
      <c r="C882">
        <v>100</v>
      </c>
      <c r="D882">
        <v>2</v>
      </c>
      <c r="E882">
        <v>7695.6</v>
      </c>
      <c r="F882" s="1">
        <v>38489</v>
      </c>
      <c r="G882" t="s">
        <v>39</v>
      </c>
      <c r="H882">
        <v>2</v>
      </c>
      <c r="I882">
        <v>5</v>
      </c>
      <c r="J882" t="str">
        <f>TEXT(DATE(2012,Table1[[#This Row],[MONTH_ID]],10),"mmm")</f>
        <v>May</v>
      </c>
      <c r="K882">
        <v>2005</v>
      </c>
      <c r="L882" t="s">
        <v>195</v>
      </c>
      <c r="M882">
        <v>132</v>
      </c>
      <c r="N882" t="s">
        <v>609</v>
      </c>
      <c r="O882" t="s">
        <v>158</v>
      </c>
      <c r="P882" t="s">
        <v>159</v>
      </c>
      <c r="Q882" t="s">
        <v>160</v>
      </c>
      <c r="S882" t="s">
        <v>161</v>
      </c>
      <c r="U882">
        <v>5020</v>
      </c>
      <c r="V882" t="s">
        <v>162</v>
      </c>
      <c r="W882" t="s">
        <v>56</v>
      </c>
      <c r="X882" t="s">
        <v>163</v>
      </c>
      <c r="Y882" t="s">
        <v>164</v>
      </c>
      <c r="Z882" t="s">
        <v>165</v>
      </c>
    </row>
    <row r="883" spans="1:26" x14ac:dyDescent="0.3">
      <c r="A883">
        <v>10103</v>
      </c>
      <c r="B883">
        <v>27</v>
      </c>
      <c r="C883">
        <v>83.07</v>
      </c>
      <c r="D883">
        <v>12</v>
      </c>
      <c r="E883">
        <v>2242.89</v>
      </c>
      <c r="F883" s="1">
        <v>37650</v>
      </c>
      <c r="G883" t="s">
        <v>39</v>
      </c>
      <c r="H883">
        <v>1</v>
      </c>
      <c r="I883">
        <v>1</v>
      </c>
      <c r="J883" t="str">
        <f>TEXT(DATE(2012,Table1[[#This Row],[MONTH_ID]],10),"mmm")</f>
        <v>Jan</v>
      </c>
      <c r="K883">
        <v>2003</v>
      </c>
      <c r="L883" t="s">
        <v>564</v>
      </c>
      <c r="M883">
        <v>101</v>
      </c>
      <c r="N883" t="s">
        <v>610</v>
      </c>
      <c r="O883" t="s">
        <v>147</v>
      </c>
      <c r="P883" t="s">
        <v>148</v>
      </c>
      <c r="Q883" t="s">
        <v>149</v>
      </c>
      <c r="S883" t="s">
        <v>150</v>
      </c>
      <c r="U883">
        <v>4110</v>
      </c>
      <c r="V883" t="s">
        <v>92</v>
      </c>
      <c r="W883" t="s">
        <v>56</v>
      </c>
      <c r="X883" t="s">
        <v>151</v>
      </c>
      <c r="Y883" t="s">
        <v>152</v>
      </c>
      <c r="Z883" t="s">
        <v>50</v>
      </c>
    </row>
    <row r="884" spans="1:26" x14ac:dyDescent="0.3">
      <c r="A884">
        <v>10112</v>
      </c>
      <c r="B884">
        <v>23</v>
      </c>
      <c r="C884">
        <v>100</v>
      </c>
      <c r="D884">
        <v>2</v>
      </c>
      <c r="E884">
        <v>2539.89</v>
      </c>
      <c r="F884" s="1">
        <v>37704</v>
      </c>
      <c r="G884" t="s">
        <v>39</v>
      </c>
      <c r="H884">
        <v>1</v>
      </c>
      <c r="I884">
        <v>3</v>
      </c>
      <c r="J884" t="str">
        <f>TEXT(DATE(2012,Table1[[#This Row],[MONTH_ID]],10),"mmm")</f>
        <v>Mar</v>
      </c>
      <c r="K884">
        <v>2003</v>
      </c>
      <c r="L884" t="s">
        <v>564</v>
      </c>
      <c r="M884">
        <v>101</v>
      </c>
      <c r="N884" t="s">
        <v>610</v>
      </c>
      <c r="O884" t="s">
        <v>197</v>
      </c>
      <c r="P884" t="s">
        <v>198</v>
      </c>
      <c r="Q884" t="s">
        <v>199</v>
      </c>
      <c r="S884" t="s">
        <v>200</v>
      </c>
      <c r="U884" t="s">
        <v>201</v>
      </c>
      <c r="V884" t="s">
        <v>202</v>
      </c>
      <c r="W884" t="s">
        <v>56</v>
      </c>
      <c r="X884" t="s">
        <v>203</v>
      </c>
      <c r="Y884" t="s">
        <v>204</v>
      </c>
      <c r="Z884" t="s">
        <v>50</v>
      </c>
    </row>
    <row r="885" spans="1:26" x14ac:dyDescent="0.3">
      <c r="A885">
        <v>10126</v>
      </c>
      <c r="B885">
        <v>31</v>
      </c>
      <c r="C885">
        <v>90.17</v>
      </c>
      <c r="D885">
        <v>12</v>
      </c>
      <c r="E885">
        <v>2795.27</v>
      </c>
      <c r="F885" s="1">
        <v>37769</v>
      </c>
      <c r="G885" t="s">
        <v>39</v>
      </c>
      <c r="H885">
        <v>2</v>
      </c>
      <c r="I885">
        <v>5</v>
      </c>
      <c r="J885" t="str">
        <f>TEXT(DATE(2012,Table1[[#This Row],[MONTH_ID]],10),"mmm")</f>
        <v>May</v>
      </c>
      <c r="K885">
        <v>2003</v>
      </c>
      <c r="L885" t="s">
        <v>564</v>
      </c>
      <c r="M885">
        <v>101</v>
      </c>
      <c r="N885" t="s">
        <v>610</v>
      </c>
      <c r="O885" t="s">
        <v>205</v>
      </c>
      <c r="P885" t="s">
        <v>206</v>
      </c>
      <c r="Q885" t="s">
        <v>207</v>
      </c>
      <c r="S885" t="s">
        <v>191</v>
      </c>
      <c r="U885">
        <v>28023</v>
      </c>
      <c r="V885" t="s">
        <v>192</v>
      </c>
      <c r="W885" t="s">
        <v>56</v>
      </c>
      <c r="X885" t="s">
        <v>208</v>
      </c>
      <c r="Y885" t="s">
        <v>209</v>
      </c>
      <c r="Z885" t="s">
        <v>50</v>
      </c>
    </row>
    <row r="886" spans="1:26" x14ac:dyDescent="0.3">
      <c r="A886">
        <v>10139</v>
      </c>
      <c r="B886">
        <v>46</v>
      </c>
      <c r="C886">
        <v>100</v>
      </c>
      <c r="D886">
        <v>1</v>
      </c>
      <c r="E886">
        <v>5545.76</v>
      </c>
      <c r="F886" s="1">
        <v>37818</v>
      </c>
      <c r="G886" t="s">
        <v>39</v>
      </c>
      <c r="H886">
        <v>3</v>
      </c>
      <c r="I886">
        <v>7</v>
      </c>
      <c r="J886" t="str">
        <f>TEXT(DATE(2012,Table1[[#This Row],[MONTH_ID]],10),"mmm")</f>
        <v>Jul</v>
      </c>
      <c r="K886">
        <v>2003</v>
      </c>
      <c r="L886" t="s">
        <v>564</v>
      </c>
      <c r="M886">
        <v>101</v>
      </c>
      <c r="N886" t="s">
        <v>610</v>
      </c>
      <c r="O886" t="s">
        <v>166</v>
      </c>
      <c r="P886" t="s">
        <v>167</v>
      </c>
      <c r="Q886" t="s">
        <v>168</v>
      </c>
      <c r="R886" t="s">
        <v>169</v>
      </c>
      <c r="S886" t="s">
        <v>170</v>
      </c>
      <c r="T886" t="s">
        <v>171</v>
      </c>
      <c r="U886">
        <v>2067</v>
      </c>
      <c r="V886" t="s">
        <v>109</v>
      </c>
      <c r="W886" t="s">
        <v>110</v>
      </c>
      <c r="X886" t="s">
        <v>172</v>
      </c>
      <c r="Y886" t="s">
        <v>173</v>
      </c>
      <c r="Z886" t="s">
        <v>65</v>
      </c>
    </row>
    <row r="887" spans="1:26" x14ac:dyDescent="0.3">
      <c r="A887">
        <v>10150</v>
      </c>
      <c r="B887">
        <v>47</v>
      </c>
      <c r="C887">
        <v>91.18</v>
      </c>
      <c r="D887">
        <v>9</v>
      </c>
      <c r="E887">
        <v>4285.46</v>
      </c>
      <c r="F887" s="1">
        <v>37883</v>
      </c>
      <c r="G887" t="s">
        <v>39</v>
      </c>
      <c r="H887">
        <v>3</v>
      </c>
      <c r="I887">
        <v>9</v>
      </c>
      <c r="J887" t="str">
        <f>TEXT(DATE(2012,Table1[[#This Row],[MONTH_ID]],10),"mmm")</f>
        <v>Sep</v>
      </c>
      <c r="K887">
        <v>2003</v>
      </c>
      <c r="L887" t="s">
        <v>564</v>
      </c>
      <c r="M887">
        <v>101</v>
      </c>
      <c r="N887" t="s">
        <v>610</v>
      </c>
      <c r="O887" t="s">
        <v>210</v>
      </c>
      <c r="P887" t="s">
        <v>211</v>
      </c>
      <c r="Q887" t="s">
        <v>212</v>
      </c>
      <c r="S887" t="s">
        <v>213</v>
      </c>
      <c r="U887">
        <v>79903</v>
      </c>
      <c r="V887" t="s">
        <v>213</v>
      </c>
      <c r="W887" t="s">
        <v>214</v>
      </c>
      <c r="X887" t="s">
        <v>215</v>
      </c>
      <c r="Y887" t="s">
        <v>216</v>
      </c>
      <c r="Z887" t="s">
        <v>65</v>
      </c>
    </row>
    <row r="888" spans="1:26" x14ac:dyDescent="0.3">
      <c r="A888">
        <v>10163</v>
      </c>
      <c r="B888">
        <v>31</v>
      </c>
      <c r="C888">
        <v>100</v>
      </c>
      <c r="D888">
        <v>2</v>
      </c>
      <c r="E888">
        <v>3329.09</v>
      </c>
      <c r="F888" s="1">
        <v>37914</v>
      </c>
      <c r="G888" t="s">
        <v>39</v>
      </c>
      <c r="H888">
        <v>4</v>
      </c>
      <c r="I888">
        <v>10</v>
      </c>
      <c r="J888" t="str">
        <f>TEXT(DATE(2012,Table1[[#This Row],[MONTH_ID]],10),"mmm")</f>
        <v>Oct</v>
      </c>
      <c r="K888">
        <v>2003</v>
      </c>
      <c r="L888" t="s">
        <v>564</v>
      </c>
      <c r="M888">
        <v>101</v>
      </c>
      <c r="N888" t="s">
        <v>610</v>
      </c>
      <c r="O888" t="s">
        <v>217</v>
      </c>
      <c r="P888">
        <v>2125558493</v>
      </c>
      <c r="Q888" t="s">
        <v>218</v>
      </c>
      <c r="R888" t="s">
        <v>219</v>
      </c>
      <c r="S888" t="s">
        <v>44</v>
      </c>
      <c r="T888" t="s">
        <v>45</v>
      </c>
      <c r="U888">
        <v>10022</v>
      </c>
      <c r="V888" t="s">
        <v>46</v>
      </c>
      <c r="W888" t="s">
        <v>47</v>
      </c>
      <c r="X888" t="s">
        <v>138</v>
      </c>
      <c r="Y888" t="s">
        <v>220</v>
      </c>
      <c r="Z888" t="s">
        <v>65</v>
      </c>
    </row>
    <row r="889" spans="1:26" x14ac:dyDescent="0.3">
      <c r="A889">
        <v>10174</v>
      </c>
      <c r="B889">
        <v>46</v>
      </c>
      <c r="C889">
        <v>100</v>
      </c>
      <c r="D889">
        <v>5</v>
      </c>
      <c r="E889">
        <v>5592.22</v>
      </c>
      <c r="F889" s="1">
        <v>37931</v>
      </c>
      <c r="G889" t="s">
        <v>39</v>
      </c>
      <c r="H889">
        <v>4</v>
      </c>
      <c r="I889">
        <v>11</v>
      </c>
      <c r="J889" t="str">
        <f>TEXT(DATE(2012,Table1[[#This Row],[MONTH_ID]],10),"mmm")</f>
        <v>Nov</v>
      </c>
      <c r="K889">
        <v>2003</v>
      </c>
      <c r="L889" t="s">
        <v>564</v>
      </c>
      <c r="M889">
        <v>101</v>
      </c>
      <c r="N889" t="s">
        <v>610</v>
      </c>
      <c r="O889" t="s">
        <v>221</v>
      </c>
      <c r="P889" t="s">
        <v>222</v>
      </c>
      <c r="Q889" t="s">
        <v>223</v>
      </c>
      <c r="S889" t="s">
        <v>224</v>
      </c>
      <c r="T889" t="s">
        <v>225</v>
      </c>
      <c r="U889">
        <v>4101</v>
      </c>
      <c r="V889" t="s">
        <v>109</v>
      </c>
      <c r="W889" t="s">
        <v>110</v>
      </c>
      <c r="X889" t="s">
        <v>226</v>
      </c>
      <c r="Y889" t="s">
        <v>227</v>
      </c>
      <c r="Z889" t="s">
        <v>65</v>
      </c>
    </row>
    <row r="890" spans="1:26" x14ac:dyDescent="0.3">
      <c r="A890">
        <v>10183</v>
      </c>
      <c r="B890">
        <v>37</v>
      </c>
      <c r="C890">
        <v>89.15</v>
      </c>
      <c r="D890">
        <v>9</v>
      </c>
      <c r="E890">
        <v>3298.55</v>
      </c>
      <c r="F890" s="1">
        <v>37938</v>
      </c>
      <c r="G890" t="s">
        <v>39</v>
      </c>
      <c r="H890">
        <v>4</v>
      </c>
      <c r="I890">
        <v>11</v>
      </c>
      <c r="J890" t="str">
        <f>TEXT(DATE(2012,Table1[[#This Row],[MONTH_ID]],10),"mmm")</f>
        <v>Nov</v>
      </c>
      <c r="K890">
        <v>2003</v>
      </c>
      <c r="L890" t="s">
        <v>564</v>
      </c>
      <c r="M890">
        <v>101</v>
      </c>
      <c r="N890" t="s">
        <v>610</v>
      </c>
      <c r="O890" t="s">
        <v>228</v>
      </c>
      <c r="P890">
        <v>2155554695</v>
      </c>
      <c r="Q890" t="s">
        <v>229</v>
      </c>
      <c r="S890" t="s">
        <v>230</v>
      </c>
      <c r="T890" t="s">
        <v>156</v>
      </c>
      <c r="U890">
        <v>71270</v>
      </c>
      <c r="V890" t="s">
        <v>46</v>
      </c>
      <c r="W890" t="s">
        <v>47</v>
      </c>
      <c r="X890" t="s">
        <v>231</v>
      </c>
      <c r="Y890" t="s">
        <v>232</v>
      </c>
      <c r="Z890" t="s">
        <v>65</v>
      </c>
    </row>
    <row r="891" spans="1:26" x14ac:dyDescent="0.3">
      <c r="A891">
        <v>10193</v>
      </c>
      <c r="B891">
        <v>28</v>
      </c>
      <c r="C891">
        <v>93.21</v>
      </c>
      <c r="D891">
        <v>1</v>
      </c>
      <c r="E891">
        <v>2609.88</v>
      </c>
      <c r="F891" s="1">
        <v>37946</v>
      </c>
      <c r="G891" t="s">
        <v>39</v>
      </c>
      <c r="H891">
        <v>4</v>
      </c>
      <c r="I891">
        <v>11</v>
      </c>
      <c r="J891" t="str">
        <f>TEXT(DATE(2012,Table1[[#This Row],[MONTH_ID]],10),"mmm")</f>
        <v>Nov</v>
      </c>
      <c r="K891">
        <v>2003</v>
      </c>
      <c r="L891" t="s">
        <v>564</v>
      </c>
      <c r="M891">
        <v>101</v>
      </c>
      <c r="N891" t="s">
        <v>610</v>
      </c>
      <c r="O891" t="s">
        <v>572</v>
      </c>
      <c r="P891" t="s">
        <v>573</v>
      </c>
      <c r="Q891" t="s">
        <v>574</v>
      </c>
      <c r="S891" t="s">
        <v>575</v>
      </c>
      <c r="T891" t="s">
        <v>108</v>
      </c>
      <c r="U891">
        <v>3150</v>
      </c>
      <c r="V891" t="s">
        <v>109</v>
      </c>
      <c r="W891" t="s">
        <v>110</v>
      </c>
      <c r="X891" t="s">
        <v>576</v>
      </c>
      <c r="Y891" t="s">
        <v>577</v>
      </c>
      <c r="Z891" t="s">
        <v>50</v>
      </c>
    </row>
    <row r="892" spans="1:26" x14ac:dyDescent="0.3">
      <c r="A892">
        <v>10206</v>
      </c>
      <c r="B892">
        <v>37</v>
      </c>
      <c r="C892">
        <v>90.17</v>
      </c>
      <c r="D892">
        <v>7</v>
      </c>
      <c r="E892">
        <v>3336.29</v>
      </c>
      <c r="F892" s="1">
        <v>37960</v>
      </c>
      <c r="G892" t="s">
        <v>39</v>
      </c>
      <c r="H892">
        <v>4</v>
      </c>
      <c r="I892">
        <v>12</v>
      </c>
      <c r="J892" t="str">
        <f>TEXT(DATE(2012,Table1[[#This Row],[MONTH_ID]],10),"mmm")</f>
        <v>Dec</v>
      </c>
      <c r="K892">
        <v>2003</v>
      </c>
      <c r="L892" t="s">
        <v>564</v>
      </c>
      <c r="M892">
        <v>101</v>
      </c>
      <c r="N892" t="s">
        <v>610</v>
      </c>
      <c r="O892" t="s">
        <v>239</v>
      </c>
      <c r="P892" t="s">
        <v>240</v>
      </c>
      <c r="Q892" t="s">
        <v>241</v>
      </c>
      <c r="S892" t="s">
        <v>242</v>
      </c>
      <c r="T892" t="s">
        <v>243</v>
      </c>
      <c r="U892" t="s">
        <v>244</v>
      </c>
      <c r="V892" t="s">
        <v>245</v>
      </c>
      <c r="W892" t="s">
        <v>47</v>
      </c>
      <c r="X892" t="s">
        <v>246</v>
      </c>
      <c r="Y892" t="s">
        <v>247</v>
      </c>
      <c r="Z892" t="s">
        <v>65</v>
      </c>
    </row>
    <row r="893" spans="1:26" x14ac:dyDescent="0.3">
      <c r="A893">
        <v>10215</v>
      </c>
      <c r="B893">
        <v>49</v>
      </c>
      <c r="C893">
        <v>100</v>
      </c>
      <c r="D893">
        <v>4</v>
      </c>
      <c r="E893">
        <v>5510.05</v>
      </c>
      <c r="F893" s="1">
        <v>38015</v>
      </c>
      <c r="G893" t="s">
        <v>39</v>
      </c>
      <c r="H893">
        <v>1</v>
      </c>
      <c r="I893">
        <v>1</v>
      </c>
      <c r="J893" t="str">
        <f>TEXT(DATE(2012,Table1[[#This Row],[MONTH_ID]],10),"mmm")</f>
        <v>Jan</v>
      </c>
      <c r="K893">
        <v>2004</v>
      </c>
      <c r="L893" t="s">
        <v>564</v>
      </c>
      <c r="M893">
        <v>101</v>
      </c>
      <c r="N893" t="s">
        <v>610</v>
      </c>
      <c r="O893" t="s">
        <v>248</v>
      </c>
      <c r="P893">
        <v>3105553722</v>
      </c>
      <c r="Q893" t="s">
        <v>249</v>
      </c>
      <c r="S893" t="s">
        <v>250</v>
      </c>
      <c r="T893" t="s">
        <v>69</v>
      </c>
      <c r="U893">
        <v>94019</v>
      </c>
      <c r="V893" t="s">
        <v>46</v>
      </c>
      <c r="W893" t="s">
        <v>47</v>
      </c>
      <c r="X893" t="s">
        <v>251</v>
      </c>
      <c r="Y893" t="s">
        <v>252</v>
      </c>
      <c r="Z893" t="s">
        <v>65</v>
      </c>
    </row>
    <row r="894" spans="1:26" x14ac:dyDescent="0.3">
      <c r="A894">
        <v>10228</v>
      </c>
      <c r="B894">
        <v>24</v>
      </c>
      <c r="C894">
        <v>100</v>
      </c>
      <c r="D894">
        <v>3</v>
      </c>
      <c r="E894">
        <v>2504.4</v>
      </c>
      <c r="F894" s="1">
        <v>38056</v>
      </c>
      <c r="G894" t="s">
        <v>39</v>
      </c>
      <c r="H894">
        <v>1</v>
      </c>
      <c r="I894">
        <v>3</v>
      </c>
      <c r="J894" t="str">
        <f>TEXT(DATE(2012,Table1[[#This Row],[MONTH_ID]],10),"mmm")</f>
        <v>Mar</v>
      </c>
      <c r="K894">
        <v>2004</v>
      </c>
      <c r="L894" t="s">
        <v>564</v>
      </c>
      <c r="M894">
        <v>101</v>
      </c>
      <c r="N894" t="s">
        <v>610</v>
      </c>
      <c r="O894" t="s">
        <v>253</v>
      </c>
      <c r="P894">
        <v>6175555555</v>
      </c>
      <c r="Q894" t="s">
        <v>254</v>
      </c>
      <c r="S894" t="s">
        <v>136</v>
      </c>
      <c r="T894" t="s">
        <v>137</v>
      </c>
      <c r="U894">
        <v>51247</v>
      </c>
      <c r="V894" t="s">
        <v>46</v>
      </c>
      <c r="W894" t="s">
        <v>47</v>
      </c>
      <c r="X894" t="s">
        <v>255</v>
      </c>
      <c r="Y894" t="s">
        <v>157</v>
      </c>
      <c r="Z894" t="s">
        <v>50</v>
      </c>
    </row>
    <row r="895" spans="1:26" x14ac:dyDescent="0.3">
      <c r="A895">
        <v>10244</v>
      </c>
      <c r="B895">
        <v>30</v>
      </c>
      <c r="C895">
        <v>100</v>
      </c>
      <c r="D895">
        <v>1</v>
      </c>
      <c r="E895">
        <v>3525.6</v>
      </c>
      <c r="F895" s="1">
        <v>38106</v>
      </c>
      <c r="G895" t="s">
        <v>39</v>
      </c>
      <c r="H895">
        <v>2</v>
      </c>
      <c r="I895">
        <v>4</v>
      </c>
      <c r="J895" t="str">
        <f>TEXT(DATE(2012,Table1[[#This Row],[MONTH_ID]],10),"mmm")</f>
        <v>Apr</v>
      </c>
      <c r="K895">
        <v>2004</v>
      </c>
      <c r="L895" t="s">
        <v>564</v>
      </c>
      <c r="M895">
        <v>101</v>
      </c>
      <c r="N895" t="s">
        <v>610</v>
      </c>
      <c r="O895" t="s">
        <v>188</v>
      </c>
      <c r="P895" t="s">
        <v>189</v>
      </c>
      <c r="Q895" t="s">
        <v>190</v>
      </c>
      <c r="S895" t="s">
        <v>191</v>
      </c>
      <c r="U895">
        <v>28034</v>
      </c>
      <c r="V895" t="s">
        <v>192</v>
      </c>
      <c r="W895" t="s">
        <v>56</v>
      </c>
      <c r="X895" t="s">
        <v>193</v>
      </c>
      <c r="Y895" t="s">
        <v>194</v>
      </c>
      <c r="Z895" t="s">
        <v>65</v>
      </c>
    </row>
    <row r="896" spans="1:26" x14ac:dyDescent="0.3">
      <c r="A896">
        <v>10257</v>
      </c>
      <c r="B896">
        <v>50</v>
      </c>
      <c r="C896">
        <v>88.14</v>
      </c>
      <c r="D896">
        <v>1</v>
      </c>
      <c r="E896">
        <v>4407</v>
      </c>
      <c r="F896" s="1">
        <v>38152</v>
      </c>
      <c r="G896" t="s">
        <v>39</v>
      </c>
      <c r="H896">
        <v>2</v>
      </c>
      <c r="I896">
        <v>6</v>
      </c>
      <c r="J896" t="str">
        <f>TEXT(DATE(2012,Table1[[#This Row],[MONTH_ID]],10),"mmm")</f>
        <v>Jun</v>
      </c>
      <c r="K896">
        <v>2004</v>
      </c>
      <c r="L896" t="s">
        <v>564</v>
      </c>
      <c r="M896">
        <v>101</v>
      </c>
      <c r="N896" t="s">
        <v>610</v>
      </c>
      <c r="O896" t="s">
        <v>411</v>
      </c>
      <c r="P896">
        <v>4085553659</v>
      </c>
      <c r="Q896" t="s">
        <v>412</v>
      </c>
      <c r="S896" t="s">
        <v>413</v>
      </c>
      <c r="T896" t="s">
        <v>69</v>
      </c>
      <c r="U896">
        <v>94217</v>
      </c>
      <c r="V896" t="s">
        <v>46</v>
      </c>
      <c r="W896" t="s">
        <v>47</v>
      </c>
      <c r="X896" t="s">
        <v>116</v>
      </c>
      <c r="Y896" t="s">
        <v>414</v>
      </c>
      <c r="Z896" t="s">
        <v>65</v>
      </c>
    </row>
    <row r="897" spans="1:26" x14ac:dyDescent="0.3">
      <c r="A897">
        <v>10270</v>
      </c>
      <c r="B897">
        <v>31</v>
      </c>
      <c r="C897">
        <v>96.24</v>
      </c>
      <c r="D897">
        <v>10</v>
      </c>
      <c r="E897">
        <v>2983.44</v>
      </c>
      <c r="F897" s="1">
        <v>38187</v>
      </c>
      <c r="G897" t="s">
        <v>39</v>
      </c>
      <c r="H897">
        <v>3</v>
      </c>
      <c r="I897">
        <v>7</v>
      </c>
      <c r="J897" t="str">
        <f>TEXT(DATE(2012,Table1[[#This Row],[MONTH_ID]],10),"mmm")</f>
        <v>Jul</v>
      </c>
      <c r="K897">
        <v>2004</v>
      </c>
      <c r="L897" t="s">
        <v>564</v>
      </c>
      <c r="M897">
        <v>101</v>
      </c>
      <c r="N897" t="s">
        <v>610</v>
      </c>
      <c r="O897" t="s">
        <v>166</v>
      </c>
      <c r="P897" t="s">
        <v>167</v>
      </c>
      <c r="Q897" t="s">
        <v>168</v>
      </c>
      <c r="R897" t="s">
        <v>169</v>
      </c>
      <c r="S897" t="s">
        <v>170</v>
      </c>
      <c r="T897" t="s">
        <v>171</v>
      </c>
      <c r="U897">
        <v>2067</v>
      </c>
      <c r="V897" t="s">
        <v>109</v>
      </c>
      <c r="W897" t="s">
        <v>110</v>
      </c>
      <c r="X897" t="s">
        <v>172</v>
      </c>
      <c r="Y897" t="s">
        <v>173</v>
      </c>
      <c r="Z897" t="s">
        <v>50</v>
      </c>
    </row>
    <row r="898" spans="1:26" x14ac:dyDescent="0.3">
      <c r="A898">
        <v>10280</v>
      </c>
      <c r="B898">
        <v>46</v>
      </c>
      <c r="C898">
        <v>100</v>
      </c>
      <c r="D898">
        <v>3</v>
      </c>
      <c r="E898">
        <v>5126.24</v>
      </c>
      <c r="F898" s="1">
        <v>38216</v>
      </c>
      <c r="G898" t="s">
        <v>39</v>
      </c>
      <c r="H898">
        <v>3</v>
      </c>
      <c r="I898">
        <v>8</v>
      </c>
      <c r="J898" t="str">
        <f>TEXT(DATE(2012,Table1[[#This Row],[MONTH_ID]],10),"mmm")</f>
        <v>Aug</v>
      </c>
      <c r="K898">
        <v>2004</v>
      </c>
      <c r="L898" t="s">
        <v>564</v>
      </c>
      <c r="M898">
        <v>101</v>
      </c>
      <c r="N898" t="s">
        <v>610</v>
      </c>
      <c r="O898" t="s">
        <v>268</v>
      </c>
      <c r="P898" t="s">
        <v>269</v>
      </c>
      <c r="Q898" t="s">
        <v>270</v>
      </c>
      <c r="S898" t="s">
        <v>271</v>
      </c>
      <c r="U898">
        <v>10100</v>
      </c>
      <c r="V898" t="s">
        <v>272</v>
      </c>
      <c r="W898" t="s">
        <v>56</v>
      </c>
      <c r="X898" t="s">
        <v>273</v>
      </c>
      <c r="Y898" t="s">
        <v>274</v>
      </c>
      <c r="Z898" t="s">
        <v>65</v>
      </c>
    </row>
    <row r="899" spans="1:26" x14ac:dyDescent="0.3">
      <c r="A899">
        <v>10291</v>
      </c>
      <c r="B899">
        <v>47</v>
      </c>
      <c r="C899">
        <v>100</v>
      </c>
      <c r="D899">
        <v>12</v>
      </c>
      <c r="E899">
        <v>5713.79</v>
      </c>
      <c r="F899" s="1">
        <v>38238</v>
      </c>
      <c r="G899" t="s">
        <v>39</v>
      </c>
      <c r="H899">
        <v>3</v>
      </c>
      <c r="I899">
        <v>9</v>
      </c>
      <c r="J899" t="str">
        <f>TEXT(DATE(2012,Table1[[#This Row],[MONTH_ID]],10),"mmm")</f>
        <v>Sep</v>
      </c>
      <c r="K899">
        <v>2004</v>
      </c>
      <c r="L899" t="s">
        <v>564</v>
      </c>
      <c r="M899">
        <v>101</v>
      </c>
      <c r="N899" t="s">
        <v>610</v>
      </c>
      <c r="O899" t="s">
        <v>275</v>
      </c>
      <c r="P899" t="s">
        <v>276</v>
      </c>
      <c r="Q899" t="s">
        <v>277</v>
      </c>
      <c r="S899" t="s">
        <v>278</v>
      </c>
      <c r="U899" t="s">
        <v>279</v>
      </c>
      <c r="V899" t="s">
        <v>202</v>
      </c>
      <c r="W899" t="s">
        <v>56</v>
      </c>
      <c r="X899" t="s">
        <v>280</v>
      </c>
      <c r="Y899" t="s">
        <v>220</v>
      </c>
      <c r="Z899" t="s">
        <v>65</v>
      </c>
    </row>
    <row r="900" spans="1:26" x14ac:dyDescent="0.3">
      <c r="A900">
        <v>10304</v>
      </c>
      <c r="B900">
        <v>46</v>
      </c>
      <c r="C900">
        <v>100</v>
      </c>
      <c r="D900">
        <v>7</v>
      </c>
      <c r="E900">
        <v>4613.8</v>
      </c>
      <c r="F900" s="1">
        <v>38271</v>
      </c>
      <c r="G900" t="s">
        <v>39</v>
      </c>
      <c r="H900">
        <v>4</v>
      </c>
      <c r="I900">
        <v>10</v>
      </c>
      <c r="J900" t="str">
        <f>TEXT(DATE(2012,Table1[[#This Row],[MONTH_ID]],10),"mmm")</f>
        <v>Oct</v>
      </c>
      <c r="K900">
        <v>2004</v>
      </c>
      <c r="L900" t="s">
        <v>564</v>
      </c>
      <c r="M900">
        <v>101</v>
      </c>
      <c r="N900" t="s">
        <v>610</v>
      </c>
      <c r="O900" t="s">
        <v>281</v>
      </c>
      <c r="P900" t="s">
        <v>282</v>
      </c>
      <c r="Q900" t="s">
        <v>283</v>
      </c>
      <c r="S900" t="s">
        <v>284</v>
      </c>
      <c r="U900">
        <v>78000</v>
      </c>
      <c r="V900" t="s">
        <v>55</v>
      </c>
      <c r="W900" t="s">
        <v>56</v>
      </c>
      <c r="X900" t="s">
        <v>285</v>
      </c>
      <c r="Y900" t="s">
        <v>64</v>
      </c>
      <c r="Z900" t="s">
        <v>65</v>
      </c>
    </row>
    <row r="901" spans="1:26" x14ac:dyDescent="0.3">
      <c r="A901">
        <v>10312</v>
      </c>
      <c r="B901">
        <v>37</v>
      </c>
      <c r="C901">
        <v>100</v>
      </c>
      <c r="D901">
        <v>4</v>
      </c>
      <c r="E901">
        <v>3711.1</v>
      </c>
      <c r="F901" s="1">
        <v>38281</v>
      </c>
      <c r="G901" t="s">
        <v>39</v>
      </c>
      <c r="H901">
        <v>4</v>
      </c>
      <c r="I901">
        <v>10</v>
      </c>
      <c r="J901" t="str">
        <f>TEXT(DATE(2012,Table1[[#This Row],[MONTH_ID]],10),"mmm")</f>
        <v>Oct</v>
      </c>
      <c r="K901">
        <v>2004</v>
      </c>
      <c r="L901" t="s">
        <v>564</v>
      </c>
      <c r="M901">
        <v>101</v>
      </c>
      <c r="N901" t="s">
        <v>610</v>
      </c>
      <c r="O901" t="s">
        <v>286</v>
      </c>
      <c r="P901">
        <v>4155551450</v>
      </c>
      <c r="Q901" t="s">
        <v>287</v>
      </c>
      <c r="S901" t="s">
        <v>288</v>
      </c>
      <c r="T901" t="s">
        <v>69</v>
      </c>
      <c r="U901">
        <v>97562</v>
      </c>
      <c r="V901" t="s">
        <v>46</v>
      </c>
      <c r="W901" t="s">
        <v>47</v>
      </c>
      <c r="X901" t="s">
        <v>289</v>
      </c>
      <c r="Y901" t="s">
        <v>290</v>
      </c>
      <c r="Z901" t="s">
        <v>65</v>
      </c>
    </row>
    <row r="902" spans="1:26" x14ac:dyDescent="0.3">
      <c r="A902">
        <v>10322</v>
      </c>
      <c r="B902">
        <v>33</v>
      </c>
      <c r="C902">
        <v>100</v>
      </c>
      <c r="D902">
        <v>12</v>
      </c>
      <c r="E902">
        <v>3524.73</v>
      </c>
      <c r="F902" s="1">
        <v>38295</v>
      </c>
      <c r="G902" t="s">
        <v>39</v>
      </c>
      <c r="H902">
        <v>4</v>
      </c>
      <c r="I902">
        <v>11</v>
      </c>
      <c r="J902" t="str">
        <f>TEXT(DATE(2012,Table1[[#This Row],[MONTH_ID]],10),"mmm")</f>
        <v>Nov</v>
      </c>
      <c r="K902">
        <v>2004</v>
      </c>
      <c r="L902" t="s">
        <v>564</v>
      </c>
      <c r="M902">
        <v>101</v>
      </c>
      <c r="N902" t="s">
        <v>610</v>
      </c>
      <c r="O902" t="s">
        <v>291</v>
      </c>
      <c r="P902">
        <v>6035558647</v>
      </c>
      <c r="Q902" t="s">
        <v>292</v>
      </c>
      <c r="S902" t="s">
        <v>293</v>
      </c>
      <c r="T902" t="s">
        <v>294</v>
      </c>
      <c r="U902">
        <v>62005</v>
      </c>
      <c r="V902" t="s">
        <v>46</v>
      </c>
      <c r="W902" t="s">
        <v>47</v>
      </c>
      <c r="X902" t="s">
        <v>70</v>
      </c>
      <c r="Y902" t="s">
        <v>290</v>
      </c>
      <c r="Z902" t="s">
        <v>65</v>
      </c>
    </row>
    <row r="903" spans="1:26" x14ac:dyDescent="0.3">
      <c r="A903">
        <v>10333</v>
      </c>
      <c r="B903">
        <v>31</v>
      </c>
      <c r="C903">
        <v>90.17</v>
      </c>
      <c r="D903">
        <v>5</v>
      </c>
      <c r="E903">
        <v>2795.27</v>
      </c>
      <c r="F903" s="1">
        <v>38309</v>
      </c>
      <c r="G903" t="s">
        <v>39</v>
      </c>
      <c r="H903">
        <v>4</v>
      </c>
      <c r="I903">
        <v>11</v>
      </c>
      <c r="J903" t="str">
        <f>TEXT(DATE(2012,Table1[[#This Row],[MONTH_ID]],10),"mmm")</f>
        <v>Nov</v>
      </c>
      <c r="K903">
        <v>2004</v>
      </c>
      <c r="L903" t="s">
        <v>564</v>
      </c>
      <c r="M903">
        <v>101</v>
      </c>
      <c r="N903" t="s">
        <v>610</v>
      </c>
      <c r="O903" t="s">
        <v>95</v>
      </c>
      <c r="P903">
        <v>6505555787</v>
      </c>
      <c r="Q903" t="s">
        <v>96</v>
      </c>
      <c r="S903" t="s">
        <v>74</v>
      </c>
      <c r="T903" t="s">
        <v>69</v>
      </c>
      <c r="V903" t="s">
        <v>46</v>
      </c>
      <c r="W903" t="s">
        <v>47</v>
      </c>
      <c r="X903" t="s">
        <v>97</v>
      </c>
      <c r="Y903" t="s">
        <v>71</v>
      </c>
      <c r="Z903" t="s">
        <v>50</v>
      </c>
    </row>
    <row r="904" spans="1:26" x14ac:dyDescent="0.3">
      <c r="A904">
        <v>10347</v>
      </c>
      <c r="B904">
        <v>48</v>
      </c>
      <c r="C904">
        <v>100</v>
      </c>
      <c r="D904">
        <v>9</v>
      </c>
      <c r="E904">
        <v>4814.3999999999996</v>
      </c>
      <c r="F904" s="1">
        <v>38320</v>
      </c>
      <c r="G904" t="s">
        <v>39</v>
      </c>
      <c r="H904">
        <v>4</v>
      </c>
      <c r="I904">
        <v>11</v>
      </c>
      <c r="J904" t="str">
        <f>TEXT(DATE(2012,Table1[[#This Row],[MONTH_ID]],10),"mmm")</f>
        <v>Nov</v>
      </c>
      <c r="K904">
        <v>2004</v>
      </c>
      <c r="L904" t="s">
        <v>564</v>
      </c>
      <c r="M904">
        <v>101</v>
      </c>
      <c r="N904" t="s">
        <v>610</v>
      </c>
      <c r="O904" t="s">
        <v>103</v>
      </c>
      <c r="P904" t="s">
        <v>104</v>
      </c>
      <c r="Q904" t="s">
        <v>105</v>
      </c>
      <c r="R904" t="s">
        <v>106</v>
      </c>
      <c r="S904" t="s">
        <v>107</v>
      </c>
      <c r="T904" t="s">
        <v>108</v>
      </c>
      <c r="U904">
        <v>3004</v>
      </c>
      <c r="V904" t="s">
        <v>109</v>
      </c>
      <c r="W904" t="s">
        <v>110</v>
      </c>
      <c r="X904" t="s">
        <v>111</v>
      </c>
      <c r="Y904" t="s">
        <v>112</v>
      </c>
      <c r="Z904" t="s">
        <v>65</v>
      </c>
    </row>
    <row r="905" spans="1:26" x14ac:dyDescent="0.3">
      <c r="A905">
        <v>10357</v>
      </c>
      <c r="B905">
        <v>41</v>
      </c>
      <c r="C905">
        <v>87.13</v>
      </c>
      <c r="D905">
        <v>6</v>
      </c>
      <c r="E905">
        <v>3572.33</v>
      </c>
      <c r="F905" s="1">
        <v>38331</v>
      </c>
      <c r="G905" t="s">
        <v>39</v>
      </c>
      <c r="H905">
        <v>4</v>
      </c>
      <c r="I905">
        <v>12</v>
      </c>
      <c r="J905" t="str">
        <f>TEXT(DATE(2012,Table1[[#This Row],[MONTH_ID]],10),"mmm")</f>
        <v>Dec</v>
      </c>
      <c r="K905">
        <v>2004</v>
      </c>
      <c r="L905" t="s">
        <v>564</v>
      </c>
      <c r="M905">
        <v>101</v>
      </c>
      <c r="N905" t="s">
        <v>610</v>
      </c>
      <c r="O905" t="s">
        <v>286</v>
      </c>
      <c r="P905">
        <v>4155551450</v>
      </c>
      <c r="Q905" t="s">
        <v>287</v>
      </c>
      <c r="S905" t="s">
        <v>288</v>
      </c>
      <c r="T905" t="s">
        <v>69</v>
      </c>
      <c r="U905">
        <v>97562</v>
      </c>
      <c r="V905" t="s">
        <v>46</v>
      </c>
      <c r="W905" t="s">
        <v>47</v>
      </c>
      <c r="X905" t="s">
        <v>289</v>
      </c>
      <c r="Y905" t="s">
        <v>290</v>
      </c>
      <c r="Z905" t="s">
        <v>65</v>
      </c>
    </row>
    <row r="906" spans="1:26" x14ac:dyDescent="0.3">
      <c r="A906">
        <v>10369</v>
      </c>
      <c r="B906">
        <v>42</v>
      </c>
      <c r="C906">
        <v>100</v>
      </c>
      <c r="D906">
        <v>1</v>
      </c>
      <c r="E906">
        <v>4581.3599999999997</v>
      </c>
      <c r="F906" s="1">
        <v>38372</v>
      </c>
      <c r="G906" t="s">
        <v>39</v>
      </c>
      <c r="H906">
        <v>1</v>
      </c>
      <c r="I906">
        <v>1</v>
      </c>
      <c r="J906" t="str">
        <f>TEXT(DATE(2012,Table1[[#This Row],[MONTH_ID]],10),"mmm")</f>
        <v>Jan</v>
      </c>
      <c r="K906">
        <v>2005</v>
      </c>
      <c r="L906" t="s">
        <v>564</v>
      </c>
      <c r="M906">
        <v>101</v>
      </c>
      <c r="N906" t="s">
        <v>610</v>
      </c>
      <c r="O906" t="s">
        <v>295</v>
      </c>
      <c r="P906">
        <v>6175558555</v>
      </c>
      <c r="Q906" t="s">
        <v>296</v>
      </c>
      <c r="S906" t="s">
        <v>297</v>
      </c>
      <c r="T906" t="s">
        <v>137</v>
      </c>
      <c r="U906">
        <v>58339</v>
      </c>
      <c r="V906" t="s">
        <v>46</v>
      </c>
      <c r="W906" t="s">
        <v>47</v>
      </c>
      <c r="X906" t="s">
        <v>289</v>
      </c>
      <c r="Y906" t="s">
        <v>298</v>
      </c>
      <c r="Z906" t="s">
        <v>65</v>
      </c>
    </row>
    <row r="907" spans="1:26" x14ac:dyDescent="0.3">
      <c r="A907">
        <v>10381</v>
      </c>
      <c r="B907">
        <v>41</v>
      </c>
      <c r="C907">
        <v>100</v>
      </c>
      <c r="D907">
        <v>8</v>
      </c>
      <c r="E907">
        <v>4319.76</v>
      </c>
      <c r="F907" s="1">
        <v>38400</v>
      </c>
      <c r="G907" t="s">
        <v>39</v>
      </c>
      <c r="H907">
        <v>1</v>
      </c>
      <c r="I907">
        <v>2</v>
      </c>
      <c r="J907" t="str">
        <f>TEXT(DATE(2012,Table1[[#This Row],[MONTH_ID]],10),"mmm")</f>
        <v>Feb</v>
      </c>
      <c r="K907">
        <v>2005</v>
      </c>
      <c r="L907" t="s">
        <v>564</v>
      </c>
      <c r="M907">
        <v>101</v>
      </c>
      <c r="N907" t="s">
        <v>610</v>
      </c>
      <c r="O907" t="s">
        <v>72</v>
      </c>
      <c r="P907">
        <v>6505551386</v>
      </c>
      <c r="Q907" t="s">
        <v>73</v>
      </c>
      <c r="S907" t="s">
        <v>74</v>
      </c>
      <c r="T907" t="s">
        <v>69</v>
      </c>
      <c r="V907" t="s">
        <v>46</v>
      </c>
      <c r="W907" t="s">
        <v>47</v>
      </c>
      <c r="X907" t="s">
        <v>75</v>
      </c>
      <c r="Y907" t="s">
        <v>71</v>
      </c>
      <c r="Z907" t="s">
        <v>65</v>
      </c>
    </row>
    <row r="908" spans="1:26" x14ac:dyDescent="0.3">
      <c r="A908">
        <v>10391</v>
      </c>
      <c r="B908">
        <v>32</v>
      </c>
      <c r="C908">
        <v>45.25</v>
      </c>
      <c r="D908">
        <v>6</v>
      </c>
      <c r="E908">
        <v>1448</v>
      </c>
      <c r="F908" s="1">
        <v>38420</v>
      </c>
      <c r="G908" t="s">
        <v>39</v>
      </c>
      <c r="H908">
        <v>1</v>
      </c>
      <c r="I908">
        <v>3</v>
      </c>
      <c r="J908" t="str">
        <f>TEXT(DATE(2012,Table1[[#This Row],[MONTH_ID]],10),"mmm")</f>
        <v>Mar</v>
      </c>
      <c r="K908">
        <v>2005</v>
      </c>
      <c r="L908" t="s">
        <v>564</v>
      </c>
      <c r="M908">
        <v>101</v>
      </c>
      <c r="N908" t="s">
        <v>610</v>
      </c>
      <c r="O908" t="s">
        <v>299</v>
      </c>
      <c r="P908" t="s">
        <v>300</v>
      </c>
      <c r="Q908" t="s">
        <v>301</v>
      </c>
      <c r="R908" t="s">
        <v>302</v>
      </c>
      <c r="S908" t="s">
        <v>303</v>
      </c>
      <c r="T908" t="s">
        <v>171</v>
      </c>
      <c r="U908">
        <v>2060</v>
      </c>
      <c r="V908" t="s">
        <v>109</v>
      </c>
      <c r="W908" t="s">
        <v>110</v>
      </c>
      <c r="X908" t="s">
        <v>304</v>
      </c>
      <c r="Y908" t="s">
        <v>305</v>
      </c>
      <c r="Z908" t="s">
        <v>50</v>
      </c>
    </row>
    <row r="909" spans="1:26" x14ac:dyDescent="0.3">
      <c r="A909">
        <v>10423</v>
      </c>
      <c r="B909">
        <v>10</v>
      </c>
      <c r="C909">
        <v>88.14</v>
      </c>
      <c r="D909">
        <v>1</v>
      </c>
      <c r="E909">
        <v>881.4</v>
      </c>
      <c r="F909" s="1">
        <v>38502</v>
      </c>
      <c r="G909" t="s">
        <v>314</v>
      </c>
      <c r="H909">
        <v>2</v>
      </c>
      <c r="I909">
        <v>5</v>
      </c>
      <c r="J909" t="str">
        <f>TEXT(DATE(2012,Table1[[#This Row],[MONTH_ID]],10),"mmm")</f>
        <v>May</v>
      </c>
      <c r="K909">
        <v>2005</v>
      </c>
      <c r="L909" t="s">
        <v>564</v>
      </c>
      <c r="M909">
        <v>101</v>
      </c>
      <c r="N909" t="s">
        <v>610</v>
      </c>
      <c r="O909" t="s">
        <v>379</v>
      </c>
      <c r="P909" t="s">
        <v>380</v>
      </c>
      <c r="Q909" t="s">
        <v>381</v>
      </c>
      <c r="S909" t="s">
        <v>382</v>
      </c>
      <c r="U909" t="s">
        <v>383</v>
      </c>
      <c r="V909" t="s">
        <v>384</v>
      </c>
      <c r="W909" t="s">
        <v>56</v>
      </c>
      <c r="X909" t="s">
        <v>385</v>
      </c>
      <c r="Y909" t="s">
        <v>386</v>
      </c>
      <c r="Z909" t="s">
        <v>50</v>
      </c>
    </row>
    <row r="910" spans="1:26" x14ac:dyDescent="0.3">
      <c r="A910">
        <v>10103</v>
      </c>
      <c r="B910">
        <v>35</v>
      </c>
      <c r="C910">
        <v>57.46</v>
      </c>
      <c r="D910">
        <v>14</v>
      </c>
      <c r="E910">
        <v>2011.1</v>
      </c>
      <c r="F910" s="1">
        <v>37650</v>
      </c>
      <c r="G910" t="s">
        <v>39</v>
      </c>
      <c r="H910">
        <v>1</v>
      </c>
      <c r="I910">
        <v>1</v>
      </c>
      <c r="J910" t="str">
        <f>TEXT(DATE(2012,Table1[[#This Row],[MONTH_ID]],10),"mmm")</f>
        <v>Jan</v>
      </c>
      <c r="K910">
        <v>2003</v>
      </c>
      <c r="L910" t="s">
        <v>564</v>
      </c>
      <c r="M910">
        <v>62</v>
      </c>
      <c r="N910" t="s">
        <v>611</v>
      </c>
      <c r="O910" t="s">
        <v>147</v>
      </c>
      <c r="P910" t="s">
        <v>148</v>
      </c>
      <c r="Q910" t="s">
        <v>149</v>
      </c>
      <c r="S910" t="s">
        <v>150</v>
      </c>
      <c r="U910">
        <v>4110</v>
      </c>
      <c r="V910" t="s">
        <v>92</v>
      </c>
      <c r="W910" t="s">
        <v>56</v>
      </c>
      <c r="X910" t="s">
        <v>151</v>
      </c>
      <c r="Y910" t="s">
        <v>152</v>
      </c>
      <c r="Z910" t="s">
        <v>50</v>
      </c>
    </row>
    <row r="911" spans="1:26" x14ac:dyDescent="0.3">
      <c r="A911">
        <v>10111</v>
      </c>
      <c r="B911">
        <v>28</v>
      </c>
      <c r="C911">
        <v>64.33</v>
      </c>
      <c r="D911">
        <v>2</v>
      </c>
      <c r="E911">
        <v>1801.24</v>
      </c>
      <c r="F911" s="1">
        <v>37705</v>
      </c>
      <c r="G911" t="s">
        <v>39</v>
      </c>
      <c r="H911">
        <v>1</v>
      </c>
      <c r="I911">
        <v>3</v>
      </c>
      <c r="J911" t="str">
        <f>TEXT(DATE(2012,Table1[[#This Row],[MONTH_ID]],10),"mmm")</f>
        <v>Mar</v>
      </c>
      <c r="K911">
        <v>2003</v>
      </c>
      <c r="L911" t="s">
        <v>564</v>
      </c>
      <c r="M911">
        <v>62</v>
      </c>
      <c r="N911" t="s">
        <v>611</v>
      </c>
      <c r="O911" t="s">
        <v>95</v>
      </c>
      <c r="P911">
        <v>6505555787</v>
      </c>
      <c r="Q911" t="s">
        <v>96</v>
      </c>
      <c r="S911" t="s">
        <v>74</v>
      </c>
      <c r="T911" t="s">
        <v>69</v>
      </c>
      <c r="V911" t="s">
        <v>46</v>
      </c>
      <c r="W911" t="s">
        <v>47</v>
      </c>
      <c r="X911" t="s">
        <v>97</v>
      </c>
      <c r="Y911" t="s">
        <v>71</v>
      </c>
      <c r="Z911" t="s">
        <v>50</v>
      </c>
    </row>
    <row r="912" spans="1:26" x14ac:dyDescent="0.3">
      <c r="A912">
        <v>10126</v>
      </c>
      <c r="B912">
        <v>46</v>
      </c>
      <c r="C912">
        <v>73.7</v>
      </c>
      <c r="D912">
        <v>14</v>
      </c>
      <c r="E912">
        <v>3390.2</v>
      </c>
      <c r="F912" s="1">
        <v>37769</v>
      </c>
      <c r="G912" t="s">
        <v>39</v>
      </c>
      <c r="H912">
        <v>2</v>
      </c>
      <c r="I912">
        <v>5</v>
      </c>
      <c r="J912" t="str">
        <f>TEXT(DATE(2012,Table1[[#This Row],[MONTH_ID]],10),"mmm")</f>
        <v>May</v>
      </c>
      <c r="K912">
        <v>2003</v>
      </c>
      <c r="L912" t="s">
        <v>564</v>
      </c>
      <c r="M912">
        <v>62</v>
      </c>
      <c r="N912" t="s">
        <v>611</v>
      </c>
      <c r="O912" t="s">
        <v>205</v>
      </c>
      <c r="P912" t="s">
        <v>206</v>
      </c>
      <c r="Q912" t="s">
        <v>207</v>
      </c>
      <c r="S912" t="s">
        <v>191</v>
      </c>
      <c r="U912">
        <v>28023</v>
      </c>
      <c r="V912" t="s">
        <v>192</v>
      </c>
      <c r="W912" t="s">
        <v>56</v>
      </c>
      <c r="X912" t="s">
        <v>208</v>
      </c>
      <c r="Y912" t="s">
        <v>209</v>
      </c>
      <c r="Z912" t="s">
        <v>65</v>
      </c>
    </row>
    <row r="913" spans="1:26" x14ac:dyDescent="0.3">
      <c r="A913">
        <v>10139</v>
      </c>
      <c r="B913">
        <v>20</v>
      </c>
      <c r="C913">
        <v>71.2</v>
      </c>
      <c r="D913">
        <v>3</v>
      </c>
      <c r="E913">
        <v>1424</v>
      </c>
      <c r="F913" s="1">
        <v>37818</v>
      </c>
      <c r="G913" t="s">
        <v>39</v>
      </c>
      <c r="H913">
        <v>3</v>
      </c>
      <c r="I913">
        <v>7</v>
      </c>
      <c r="J913" t="str">
        <f>TEXT(DATE(2012,Table1[[#This Row],[MONTH_ID]],10),"mmm")</f>
        <v>Jul</v>
      </c>
      <c r="K913">
        <v>2003</v>
      </c>
      <c r="L913" t="s">
        <v>564</v>
      </c>
      <c r="M913">
        <v>62</v>
      </c>
      <c r="N913" t="s">
        <v>611</v>
      </c>
      <c r="O913" t="s">
        <v>166</v>
      </c>
      <c r="P913" t="s">
        <v>167</v>
      </c>
      <c r="Q913" t="s">
        <v>168</v>
      </c>
      <c r="R913" t="s">
        <v>169</v>
      </c>
      <c r="S913" t="s">
        <v>170</v>
      </c>
      <c r="T913" t="s">
        <v>171</v>
      </c>
      <c r="U913">
        <v>2067</v>
      </c>
      <c r="V913" t="s">
        <v>109</v>
      </c>
      <c r="W913" t="s">
        <v>110</v>
      </c>
      <c r="X913" t="s">
        <v>172</v>
      </c>
      <c r="Y913" t="s">
        <v>173</v>
      </c>
      <c r="Z913" t="s">
        <v>50</v>
      </c>
    </row>
    <row r="914" spans="1:26" x14ac:dyDescent="0.3">
      <c r="A914">
        <v>10150</v>
      </c>
      <c r="B914">
        <v>30</v>
      </c>
      <c r="C914">
        <v>49.97</v>
      </c>
      <c r="D914">
        <v>11</v>
      </c>
      <c r="E914">
        <v>1499.1</v>
      </c>
      <c r="F914" s="1">
        <v>37883</v>
      </c>
      <c r="G914" t="s">
        <v>39</v>
      </c>
      <c r="H914">
        <v>3</v>
      </c>
      <c r="I914">
        <v>9</v>
      </c>
      <c r="J914" t="str">
        <f>TEXT(DATE(2012,Table1[[#This Row],[MONTH_ID]],10),"mmm")</f>
        <v>Sep</v>
      </c>
      <c r="K914">
        <v>2003</v>
      </c>
      <c r="L914" t="s">
        <v>564</v>
      </c>
      <c r="M914">
        <v>62</v>
      </c>
      <c r="N914" t="s">
        <v>611</v>
      </c>
      <c r="O914" t="s">
        <v>210</v>
      </c>
      <c r="P914" t="s">
        <v>211</v>
      </c>
      <c r="Q914" t="s">
        <v>212</v>
      </c>
      <c r="S914" t="s">
        <v>213</v>
      </c>
      <c r="U914">
        <v>79903</v>
      </c>
      <c r="V914" t="s">
        <v>213</v>
      </c>
      <c r="W914" t="s">
        <v>214</v>
      </c>
      <c r="X914" t="s">
        <v>215</v>
      </c>
      <c r="Y914" t="s">
        <v>216</v>
      </c>
      <c r="Z914" t="s">
        <v>50</v>
      </c>
    </row>
    <row r="915" spans="1:26" x14ac:dyDescent="0.3">
      <c r="A915">
        <v>10163</v>
      </c>
      <c r="B915">
        <v>48</v>
      </c>
      <c r="C915">
        <v>69.959999999999994</v>
      </c>
      <c r="D915">
        <v>4</v>
      </c>
      <c r="E915">
        <v>3358.08</v>
      </c>
      <c r="F915" s="1">
        <v>37914</v>
      </c>
      <c r="G915" t="s">
        <v>39</v>
      </c>
      <c r="H915">
        <v>4</v>
      </c>
      <c r="I915">
        <v>10</v>
      </c>
      <c r="J915" t="str">
        <f>TEXT(DATE(2012,Table1[[#This Row],[MONTH_ID]],10),"mmm")</f>
        <v>Oct</v>
      </c>
      <c r="K915">
        <v>2003</v>
      </c>
      <c r="L915" t="s">
        <v>564</v>
      </c>
      <c r="M915">
        <v>62</v>
      </c>
      <c r="N915" t="s">
        <v>611</v>
      </c>
      <c r="O915" t="s">
        <v>217</v>
      </c>
      <c r="P915">
        <v>2125558493</v>
      </c>
      <c r="Q915" t="s">
        <v>218</v>
      </c>
      <c r="R915" t="s">
        <v>219</v>
      </c>
      <c r="S915" t="s">
        <v>44</v>
      </c>
      <c r="T915" t="s">
        <v>45</v>
      </c>
      <c r="U915">
        <v>10022</v>
      </c>
      <c r="V915" t="s">
        <v>46</v>
      </c>
      <c r="W915" t="s">
        <v>47</v>
      </c>
      <c r="X915" t="s">
        <v>138</v>
      </c>
      <c r="Y915" t="s">
        <v>220</v>
      </c>
      <c r="Z915" t="s">
        <v>65</v>
      </c>
    </row>
    <row r="916" spans="1:26" x14ac:dyDescent="0.3">
      <c r="A916">
        <v>10173</v>
      </c>
      <c r="B916">
        <v>28</v>
      </c>
      <c r="C916">
        <v>53.72</v>
      </c>
      <c r="D916">
        <v>2</v>
      </c>
      <c r="E916">
        <v>1504.16</v>
      </c>
      <c r="F916" s="1">
        <v>37930</v>
      </c>
      <c r="G916" t="s">
        <v>39</v>
      </c>
      <c r="H916">
        <v>4</v>
      </c>
      <c r="I916">
        <v>11</v>
      </c>
      <c r="J916" t="str">
        <f>TEXT(DATE(2012,Table1[[#This Row],[MONTH_ID]],10),"mmm")</f>
        <v>Nov</v>
      </c>
      <c r="K916">
        <v>2003</v>
      </c>
      <c r="L916" t="s">
        <v>564</v>
      </c>
      <c r="M916">
        <v>62</v>
      </c>
      <c r="N916" t="s">
        <v>611</v>
      </c>
      <c r="O916" t="s">
        <v>566</v>
      </c>
      <c r="P916" t="s">
        <v>567</v>
      </c>
      <c r="Q916" t="s">
        <v>568</v>
      </c>
      <c r="S916" t="s">
        <v>569</v>
      </c>
      <c r="U916">
        <v>24100</v>
      </c>
      <c r="V916" t="s">
        <v>272</v>
      </c>
      <c r="W916" t="s">
        <v>56</v>
      </c>
      <c r="X916" t="s">
        <v>570</v>
      </c>
      <c r="Y916" t="s">
        <v>571</v>
      </c>
      <c r="Z916" t="s">
        <v>50</v>
      </c>
    </row>
    <row r="917" spans="1:26" x14ac:dyDescent="0.3">
      <c r="A917">
        <v>10183</v>
      </c>
      <c r="B917">
        <v>39</v>
      </c>
      <c r="C917">
        <v>68.08</v>
      </c>
      <c r="D917">
        <v>11</v>
      </c>
      <c r="E917">
        <v>2655.12</v>
      </c>
      <c r="F917" s="1">
        <v>37938</v>
      </c>
      <c r="G917" t="s">
        <v>39</v>
      </c>
      <c r="H917">
        <v>4</v>
      </c>
      <c r="I917">
        <v>11</v>
      </c>
      <c r="J917" t="str">
        <f>TEXT(DATE(2012,Table1[[#This Row],[MONTH_ID]],10),"mmm")</f>
        <v>Nov</v>
      </c>
      <c r="K917">
        <v>2003</v>
      </c>
      <c r="L917" t="s">
        <v>564</v>
      </c>
      <c r="M917">
        <v>62</v>
      </c>
      <c r="N917" t="s">
        <v>611</v>
      </c>
      <c r="O917" t="s">
        <v>228</v>
      </c>
      <c r="P917">
        <v>2155554695</v>
      </c>
      <c r="Q917" t="s">
        <v>229</v>
      </c>
      <c r="S917" t="s">
        <v>230</v>
      </c>
      <c r="T917" t="s">
        <v>156</v>
      </c>
      <c r="U917">
        <v>71270</v>
      </c>
      <c r="V917" t="s">
        <v>46</v>
      </c>
      <c r="W917" t="s">
        <v>47</v>
      </c>
      <c r="X917" t="s">
        <v>231</v>
      </c>
      <c r="Y917" t="s">
        <v>232</v>
      </c>
      <c r="Z917" t="s">
        <v>50</v>
      </c>
    </row>
    <row r="918" spans="1:26" x14ac:dyDescent="0.3">
      <c r="A918">
        <v>10193</v>
      </c>
      <c r="B918">
        <v>24</v>
      </c>
      <c r="C918">
        <v>51.84</v>
      </c>
      <c r="D918">
        <v>3</v>
      </c>
      <c r="E918">
        <v>1244.1600000000001</v>
      </c>
      <c r="F918" s="1">
        <v>37946</v>
      </c>
      <c r="G918" t="s">
        <v>39</v>
      </c>
      <c r="H918">
        <v>4</v>
      </c>
      <c r="I918">
        <v>11</v>
      </c>
      <c r="J918" t="str">
        <f>TEXT(DATE(2012,Table1[[#This Row],[MONTH_ID]],10),"mmm")</f>
        <v>Nov</v>
      </c>
      <c r="K918">
        <v>2003</v>
      </c>
      <c r="L918" t="s">
        <v>564</v>
      </c>
      <c r="M918">
        <v>62</v>
      </c>
      <c r="N918" t="s">
        <v>611</v>
      </c>
      <c r="O918" t="s">
        <v>572</v>
      </c>
      <c r="P918" t="s">
        <v>573</v>
      </c>
      <c r="Q918" t="s">
        <v>574</v>
      </c>
      <c r="S918" t="s">
        <v>575</v>
      </c>
      <c r="T918" t="s">
        <v>108</v>
      </c>
      <c r="U918">
        <v>3150</v>
      </c>
      <c r="V918" t="s">
        <v>109</v>
      </c>
      <c r="W918" t="s">
        <v>110</v>
      </c>
      <c r="X918" t="s">
        <v>576</v>
      </c>
      <c r="Y918" t="s">
        <v>577</v>
      </c>
      <c r="Z918" t="s">
        <v>50</v>
      </c>
    </row>
    <row r="919" spans="1:26" x14ac:dyDescent="0.3">
      <c r="A919">
        <v>10206</v>
      </c>
      <c r="B919">
        <v>28</v>
      </c>
      <c r="C919">
        <v>67.459999999999994</v>
      </c>
      <c r="D919">
        <v>9</v>
      </c>
      <c r="E919">
        <v>1888.88</v>
      </c>
      <c r="F919" s="1">
        <v>37960</v>
      </c>
      <c r="G919" t="s">
        <v>39</v>
      </c>
      <c r="H919">
        <v>4</v>
      </c>
      <c r="I919">
        <v>12</v>
      </c>
      <c r="J919" t="str">
        <f>TEXT(DATE(2012,Table1[[#This Row],[MONTH_ID]],10),"mmm")</f>
        <v>Dec</v>
      </c>
      <c r="K919">
        <v>2003</v>
      </c>
      <c r="L919" t="s">
        <v>564</v>
      </c>
      <c r="M919">
        <v>62</v>
      </c>
      <c r="N919" t="s">
        <v>611</v>
      </c>
      <c r="O919" t="s">
        <v>239</v>
      </c>
      <c r="P919" t="s">
        <v>240</v>
      </c>
      <c r="Q919" t="s">
        <v>241</v>
      </c>
      <c r="S919" t="s">
        <v>242</v>
      </c>
      <c r="T919" t="s">
        <v>243</v>
      </c>
      <c r="U919" t="s">
        <v>244</v>
      </c>
      <c r="V919" t="s">
        <v>245</v>
      </c>
      <c r="W919" t="s">
        <v>47</v>
      </c>
      <c r="X919" t="s">
        <v>246</v>
      </c>
      <c r="Y919" t="s">
        <v>247</v>
      </c>
      <c r="Z919" t="s">
        <v>50</v>
      </c>
    </row>
    <row r="920" spans="1:26" x14ac:dyDescent="0.3">
      <c r="A920">
        <v>10215</v>
      </c>
      <c r="B920">
        <v>31</v>
      </c>
      <c r="C920">
        <v>58.71</v>
      </c>
      <c r="D920">
        <v>6</v>
      </c>
      <c r="E920">
        <v>1820.01</v>
      </c>
      <c r="F920" s="1">
        <v>38015</v>
      </c>
      <c r="G920" t="s">
        <v>39</v>
      </c>
      <c r="H920">
        <v>1</v>
      </c>
      <c r="I920">
        <v>1</v>
      </c>
      <c r="J920" t="str">
        <f>TEXT(DATE(2012,Table1[[#This Row],[MONTH_ID]],10),"mmm")</f>
        <v>Jan</v>
      </c>
      <c r="K920">
        <v>2004</v>
      </c>
      <c r="L920" t="s">
        <v>564</v>
      </c>
      <c r="M920">
        <v>62</v>
      </c>
      <c r="N920" t="s">
        <v>611</v>
      </c>
      <c r="O920" t="s">
        <v>248</v>
      </c>
      <c r="P920">
        <v>3105553722</v>
      </c>
      <c r="Q920" t="s">
        <v>249</v>
      </c>
      <c r="S920" t="s">
        <v>250</v>
      </c>
      <c r="T920" t="s">
        <v>69</v>
      </c>
      <c r="U920">
        <v>94019</v>
      </c>
      <c r="V920" t="s">
        <v>46</v>
      </c>
      <c r="W920" t="s">
        <v>47</v>
      </c>
      <c r="X920" t="s">
        <v>251</v>
      </c>
      <c r="Y920" t="s">
        <v>252</v>
      </c>
      <c r="Z920" t="s">
        <v>50</v>
      </c>
    </row>
    <row r="921" spans="1:26" x14ac:dyDescent="0.3">
      <c r="A921">
        <v>10228</v>
      </c>
      <c r="B921">
        <v>45</v>
      </c>
      <c r="C921">
        <v>63.71</v>
      </c>
      <c r="D921">
        <v>5</v>
      </c>
      <c r="E921">
        <v>2866.95</v>
      </c>
      <c r="F921" s="1">
        <v>38056</v>
      </c>
      <c r="G921" t="s">
        <v>39</v>
      </c>
      <c r="H921">
        <v>1</v>
      </c>
      <c r="I921">
        <v>3</v>
      </c>
      <c r="J921" t="str">
        <f>TEXT(DATE(2012,Table1[[#This Row],[MONTH_ID]],10),"mmm")</f>
        <v>Mar</v>
      </c>
      <c r="K921">
        <v>2004</v>
      </c>
      <c r="L921" t="s">
        <v>564</v>
      </c>
      <c r="M921">
        <v>62</v>
      </c>
      <c r="N921" t="s">
        <v>611</v>
      </c>
      <c r="O921" t="s">
        <v>253</v>
      </c>
      <c r="P921">
        <v>6175555555</v>
      </c>
      <c r="Q921" t="s">
        <v>254</v>
      </c>
      <c r="S921" t="s">
        <v>136</v>
      </c>
      <c r="T921" t="s">
        <v>137</v>
      </c>
      <c r="U921">
        <v>51247</v>
      </c>
      <c r="V921" t="s">
        <v>46</v>
      </c>
      <c r="W921" t="s">
        <v>47</v>
      </c>
      <c r="X921" t="s">
        <v>255</v>
      </c>
      <c r="Y921" t="s">
        <v>157</v>
      </c>
      <c r="Z921" t="s">
        <v>50</v>
      </c>
    </row>
    <row r="922" spans="1:26" x14ac:dyDescent="0.3">
      <c r="A922">
        <v>10244</v>
      </c>
      <c r="B922">
        <v>24</v>
      </c>
      <c r="C922">
        <v>58.09</v>
      </c>
      <c r="D922">
        <v>3</v>
      </c>
      <c r="E922">
        <v>1394.16</v>
      </c>
      <c r="F922" s="1">
        <v>38106</v>
      </c>
      <c r="G922" t="s">
        <v>39</v>
      </c>
      <c r="H922">
        <v>2</v>
      </c>
      <c r="I922">
        <v>4</v>
      </c>
      <c r="J922" t="str">
        <f>TEXT(DATE(2012,Table1[[#This Row],[MONTH_ID]],10),"mmm")</f>
        <v>Apr</v>
      </c>
      <c r="K922">
        <v>2004</v>
      </c>
      <c r="L922" t="s">
        <v>564</v>
      </c>
      <c r="M922">
        <v>62</v>
      </c>
      <c r="N922" t="s">
        <v>611</v>
      </c>
      <c r="O922" t="s">
        <v>188</v>
      </c>
      <c r="P922" t="s">
        <v>189</v>
      </c>
      <c r="Q922" t="s">
        <v>190</v>
      </c>
      <c r="S922" t="s">
        <v>191</v>
      </c>
      <c r="U922">
        <v>28034</v>
      </c>
      <c r="V922" t="s">
        <v>192</v>
      </c>
      <c r="W922" t="s">
        <v>56</v>
      </c>
      <c r="X922" t="s">
        <v>193</v>
      </c>
      <c r="Y922" t="s">
        <v>194</v>
      </c>
      <c r="Z922" t="s">
        <v>50</v>
      </c>
    </row>
    <row r="923" spans="1:26" x14ac:dyDescent="0.3">
      <c r="A923">
        <v>10257</v>
      </c>
      <c r="B923">
        <v>49</v>
      </c>
      <c r="C923">
        <v>53.72</v>
      </c>
      <c r="D923">
        <v>3</v>
      </c>
      <c r="E923">
        <v>2632.28</v>
      </c>
      <c r="F923" s="1">
        <v>38152</v>
      </c>
      <c r="G923" t="s">
        <v>39</v>
      </c>
      <c r="H923">
        <v>2</v>
      </c>
      <c r="I923">
        <v>6</v>
      </c>
      <c r="J923" t="str">
        <f>TEXT(DATE(2012,Table1[[#This Row],[MONTH_ID]],10),"mmm")</f>
        <v>Jun</v>
      </c>
      <c r="K923">
        <v>2004</v>
      </c>
      <c r="L923" t="s">
        <v>564</v>
      </c>
      <c r="M923">
        <v>62</v>
      </c>
      <c r="N923" t="s">
        <v>611</v>
      </c>
      <c r="O923" t="s">
        <v>411</v>
      </c>
      <c r="P923">
        <v>4085553659</v>
      </c>
      <c r="Q923" t="s">
        <v>412</v>
      </c>
      <c r="S923" t="s">
        <v>413</v>
      </c>
      <c r="T923" t="s">
        <v>69</v>
      </c>
      <c r="U923">
        <v>94217</v>
      </c>
      <c r="V923" t="s">
        <v>46</v>
      </c>
      <c r="W923" t="s">
        <v>47</v>
      </c>
      <c r="X923" t="s">
        <v>116</v>
      </c>
      <c r="Y923" t="s">
        <v>414</v>
      </c>
      <c r="Z923" t="s">
        <v>50</v>
      </c>
    </row>
    <row r="924" spans="1:26" x14ac:dyDescent="0.3">
      <c r="A924">
        <v>10269</v>
      </c>
      <c r="B924">
        <v>32</v>
      </c>
      <c r="C924">
        <v>63.08</v>
      </c>
      <c r="D924">
        <v>1</v>
      </c>
      <c r="E924">
        <v>2018.56</v>
      </c>
      <c r="F924" s="1">
        <v>38184</v>
      </c>
      <c r="G924" t="s">
        <v>39</v>
      </c>
      <c r="H924">
        <v>3</v>
      </c>
      <c r="I924">
        <v>7</v>
      </c>
      <c r="J924" t="str">
        <f>TEXT(DATE(2012,Table1[[#This Row],[MONTH_ID]],10),"mmm")</f>
        <v>Jul</v>
      </c>
      <c r="K924">
        <v>2004</v>
      </c>
      <c r="L924" t="s">
        <v>564</v>
      </c>
      <c r="M924">
        <v>62</v>
      </c>
      <c r="N924" t="s">
        <v>611</v>
      </c>
      <c r="O924" t="s">
        <v>158</v>
      </c>
      <c r="P924" t="s">
        <v>159</v>
      </c>
      <c r="Q924" t="s">
        <v>160</v>
      </c>
      <c r="S924" t="s">
        <v>161</v>
      </c>
      <c r="U924">
        <v>5020</v>
      </c>
      <c r="V924" t="s">
        <v>162</v>
      </c>
      <c r="W924" t="s">
        <v>56</v>
      </c>
      <c r="X924" t="s">
        <v>163</v>
      </c>
      <c r="Y924" t="s">
        <v>164</v>
      </c>
      <c r="Z924" t="s">
        <v>50</v>
      </c>
    </row>
    <row r="925" spans="1:26" x14ac:dyDescent="0.3">
      <c r="A925">
        <v>10280</v>
      </c>
      <c r="B925">
        <v>43</v>
      </c>
      <c r="C925">
        <v>68.709999999999994</v>
      </c>
      <c r="D925">
        <v>5</v>
      </c>
      <c r="E925">
        <v>2954.53</v>
      </c>
      <c r="F925" s="1">
        <v>38216</v>
      </c>
      <c r="G925" t="s">
        <v>39</v>
      </c>
      <c r="H925">
        <v>3</v>
      </c>
      <c r="I925">
        <v>8</v>
      </c>
      <c r="J925" t="str">
        <f>TEXT(DATE(2012,Table1[[#This Row],[MONTH_ID]],10),"mmm")</f>
        <v>Aug</v>
      </c>
      <c r="K925">
        <v>2004</v>
      </c>
      <c r="L925" t="s">
        <v>564</v>
      </c>
      <c r="M925">
        <v>62</v>
      </c>
      <c r="N925" t="s">
        <v>611</v>
      </c>
      <c r="O925" t="s">
        <v>268</v>
      </c>
      <c r="P925" t="s">
        <v>269</v>
      </c>
      <c r="Q925" t="s">
        <v>270</v>
      </c>
      <c r="S925" t="s">
        <v>271</v>
      </c>
      <c r="U925">
        <v>10100</v>
      </c>
      <c r="V925" t="s">
        <v>272</v>
      </c>
      <c r="W925" t="s">
        <v>56</v>
      </c>
      <c r="X925" t="s">
        <v>273</v>
      </c>
      <c r="Y925" t="s">
        <v>274</v>
      </c>
      <c r="Z925" t="s">
        <v>50</v>
      </c>
    </row>
    <row r="926" spans="1:26" x14ac:dyDescent="0.3">
      <c r="A926">
        <v>10291</v>
      </c>
      <c r="B926">
        <v>37</v>
      </c>
      <c r="C926">
        <v>50.59</v>
      </c>
      <c r="D926">
        <v>14</v>
      </c>
      <c r="E926">
        <v>1871.83</v>
      </c>
      <c r="F926" s="1">
        <v>38238</v>
      </c>
      <c r="G926" t="s">
        <v>39</v>
      </c>
      <c r="H926">
        <v>3</v>
      </c>
      <c r="I926">
        <v>9</v>
      </c>
      <c r="J926" t="str">
        <f>TEXT(DATE(2012,Table1[[#This Row],[MONTH_ID]],10),"mmm")</f>
        <v>Sep</v>
      </c>
      <c r="K926">
        <v>2004</v>
      </c>
      <c r="L926" t="s">
        <v>564</v>
      </c>
      <c r="M926">
        <v>62</v>
      </c>
      <c r="N926" t="s">
        <v>611</v>
      </c>
      <c r="O926" t="s">
        <v>275</v>
      </c>
      <c r="P926" t="s">
        <v>276</v>
      </c>
      <c r="Q926" t="s">
        <v>277</v>
      </c>
      <c r="S926" t="s">
        <v>278</v>
      </c>
      <c r="U926" t="s">
        <v>279</v>
      </c>
      <c r="V926" t="s">
        <v>202</v>
      </c>
      <c r="W926" t="s">
        <v>56</v>
      </c>
      <c r="X926" t="s">
        <v>280</v>
      </c>
      <c r="Y926" t="s">
        <v>220</v>
      </c>
      <c r="Z926" t="s">
        <v>50</v>
      </c>
    </row>
    <row r="927" spans="1:26" x14ac:dyDescent="0.3">
      <c r="A927">
        <v>10304</v>
      </c>
      <c r="B927">
        <v>24</v>
      </c>
      <c r="C927">
        <v>64.959999999999994</v>
      </c>
      <c r="D927">
        <v>9</v>
      </c>
      <c r="E927">
        <v>1559.04</v>
      </c>
      <c r="F927" s="1">
        <v>38271</v>
      </c>
      <c r="G927" t="s">
        <v>39</v>
      </c>
      <c r="H927">
        <v>4</v>
      </c>
      <c r="I927">
        <v>10</v>
      </c>
      <c r="J927" t="str">
        <f>TEXT(DATE(2012,Table1[[#This Row],[MONTH_ID]],10),"mmm")</f>
        <v>Oct</v>
      </c>
      <c r="K927">
        <v>2004</v>
      </c>
      <c r="L927" t="s">
        <v>564</v>
      </c>
      <c r="M927">
        <v>62</v>
      </c>
      <c r="N927" t="s">
        <v>611</v>
      </c>
      <c r="O927" t="s">
        <v>281</v>
      </c>
      <c r="P927" t="s">
        <v>282</v>
      </c>
      <c r="Q927" t="s">
        <v>283</v>
      </c>
      <c r="S927" t="s">
        <v>284</v>
      </c>
      <c r="U927">
        <v>78000</v>
      </c>
      <c r="V927" t="s">
        <v>55</v>
      </c>
      <c r="W927" t="s">
        <v>56</v>
      </c>
      <c r="X927" t="s">
        <v>285</v>
      </c>
      <c r="Y927" t="s">
        <v>64</v>
      </c>
      <c r="Z927" t="s">
        <v>50</v>
      </c>
    </row>
    <row r="928" spans="1:26" x14ac:dyDescent="0.3">
      <c r="A928">
        <v>10312</v>
      </c>
      <c r="B928">
        <v>35</v>
      </c>
      <c r="C928">
        <v>53.72</v>
      </c>
      <c r="D928">
        <v>6</v>
      </c>
      <c r="E928">
        <v>1880.2</v>
      </c>
      <c r="F928" s="1">
        <v>38281</v>
      </c>
      <c r="G928" t="s">
        <v>39</v>
      </c>
      <c r="H928">
        <v>4</v>
      </c>
      <c r="I928">
        <v>10</v>
      </c>
      <c r="J928" t="str">
        <f>TEXT(DATE(2012,Table1[[#This Row],[MONTH_ID]],10),"mmm")</f>
        <v>Oct</v>
      </c>
      <c r="K928">
        <v>2004</v>
      </c>
      <c r="L928" t="s">
        <v>564</v>
      </c>
      <c r="M928">
        <v>62</v>
      </c>
      <c r="N928" t="s">
        <v>611</v>
      </c>
      <c r="O928" t="s">
        <v>286</v>
      </c>
      <c r="P928">
        <v>4155551450</v>
      </c>
      <c r="Q928" t="s">
        <v>287</v>
      </c>
      <c r="S928" t="s">
        <v>288</v>
      </c>
      <c r="T928" t="s">
        <v>69</v>
      </c>
      <c r="U928">
        <v>97562</v>
      </c>
      <c r="V928" t="s">
        <v>46</v>
      </c>
      <c r="W928" t="s">
        <v>47</v>
      </c>
      <c r="X928" t="s">
        <v>289</v>
      </c>
      <c r="Y928" t="s">
        <v>290</v>
      </c>
      <c r="Z928" t="s">
        <v>50</v>
      </c>
    </row>
    <row r="929" spans="1:26" x14ac:dyDescent="0.3">
      <c r="A929">
        <v>10322</v>
      </c>
      <c r="B929">
        <v>41</v>
      </c>
      <c r="C929">
        <v>29.87</v>
      </c>
      <c r="D929">
        <v>13</v>
      </c>
      <c r="E929">
        <v>1224.67</v>
      </c>
      <c r="F929" s="1">
        <v>38295</v>
      </c>
      <c r="G929" t="s">
        <v>39</v>
      </c>
      <c r="H929">
        <v>4</v>
      </c>
      <c r="I929">
        <v>11</v>
      </c>
      <c r="J929" t="str">
        <f>TEXT(DATE(2012,Table1[[#This Row],[MONTH_ID]],10),"mmm")</f>
        <v>Nov</v>
      </c>
      <c r="K929">
        <v>2004</v>
      </c>
      <c r="L929" t="s">
        <v>564</v>
      </c>
      <c r="M929">
        <v>62</v>
      </c>
      <c r="N929" t="s">
        <v>611</v>
      </c>
      <c r="O929" t="s">
        <v>291</v>
      </c>
      <c r="P929">
        <v>6035558647</v>
      </c>
      <c r="Q929" t="s">
        <v>292</v>
      </c>
      <c r="S929" t="s">
        <v>293</v>
      </c>
      <c r="T929" t="s">
        <v>294</v>
      </c>
      <c r="U929">
        <v>62005</v>
      </c>
      <c r="V929" t="s">
        <v>46</v>
      </c>
      <c r="W929" t="s">
        <v>47</v>
      </c>
      <c r="X929" t="s">
        <v>70</v>
      </c>
      <c r="Y929" t="s">
        <v>290</v>
      </c>
      <c r="Z929" t="s">
        <v>50</v>
      </c>
    </row>
    <row r="930" spans="1:26" x14ac:dyDescent="0.3">
      <c r="A930">
        <v>10332</v>
      </c>
      <c r="B930">
        <v>26</v>
      </c>
      <c r="C930">
        <v>100</v>
      </c>
      <c r="D930">
        <v>17</v>
      </c>
      <c r="E930">
        <v>2979.08</v>
      </c>
      <c r="F930" s="1">
        <v>38308</v>
      </c>
      <c r="G930" t="s">
        <v>39</v>
      </c>
      <c r="H930">
        <v>4</v>
      </c>
      <c r="I930">
        <v>11</v>
      </c>
      <c r="J930" t="str">
        <f>TEXT(DATE(2012,Table1[[#This Row],[MONTH_ID]],10),"mmm")</f>
        <v>Nov</v>
      </c>
      <c r="K930">
        <v>2004</v>
      </c>
      <c r="L930" t="s">
        <v>564</v>
      </c>
      <c r="M930">
        <v>62</v>
      </c>
      <c r="N930" t="s">
        <v>611</v>
      </c>
      <c r="O930" t="s">
        <v>506</v>
      </c>
      <c r="P930" t="s">
        <v>507</v>
      </c>
      <c r="Q930" t="s">
        <v>508</v>
      </c>
      <c r="S930" t="s">
        <v>509</v>
      </c>
      <c r="U930" t="s">
        <v>510</v>
      </c>
      <c r="V930" t="s">
        <v>184</v>
      </c>
      <c r="W930" t="s">
        <v>56</v>
      </c>
      <c r="X930" t="s">
        <v>511</v>
      </c>
      <c r="Y930" t="s">
        <v>108</v>
      </c>
      <c r="Z930" t="s">
        <v>50</v>
      </c>
    </row>
    <row r="931" spans="1:26" x14ac:dyDescent="0.3">
      <c r="A931">
        <v>10347</v>
      </c>
      <c r="B931">
        <v>34</v>
      </c>
      <c r="C931">
        <v>64.959999999999994</v>
      </c>
      <c r="D931">
        <v>10</v>
      </c>
      <c r="E931">
        <v>2208.64</v>
      </c>
      <c r="F931" s="1">
        <v>38320</v>
      </c>
      <c r="G931" t="s">
        <v>39</v>
      </c>
      <c r="H931">
        <v>4</v>
      </c>
      <c r="I931">
        <v>11</v>
      </c>
      <c r="J931" t="str">
        <f>TEXT(DATE(2012,Table1[[#This Row],[MONTH_ID]],10),"mmm")</f>
        <v>Nov</v>
      </c>
      <c r="K931">
        <v>2004</v>
      </c>
      <c r="L931" t="s">
        <v>564</v>
      </c>
      <c r="M931">
        <v>62</v>
      </c>
      <c r="N931" t="s">
        <v>611</v>
      </c>
      <c r="O931" t="s">
        <v>103</v>
      </c>
      <c r="P931" t="s">
        <v>104</v>
      </c>
      <c r="Q931" t="s">
        <v>105</v>
      </c>
      <c r="R931" t="s">
        <v>106</v>
      </c>
      <c r="S931" t="s">
        <v>107</v>
      </c>
      <c r="T931" t="s">
        <v>108</v>
      </c>
      <c r="U931">
        <v>3004</v>
      </c>
      <c r="V931" t="s">
        <v>109</v>
      </c>
      <c r="W931" t="s">
        <v>110</v>
      </c>
      <c r="X931" t="s">
        <v>111</v>
      </c>
      <c r="Y931" t="s">
        <v>112</v>
      </c>
      <c r="Z931" t="s">
        <v>50</v>
      </c>
    </row>
    <row r="932" spans="1:26" x14ac:dyDescent="0.3">
      <c r="A932">
        <v>10357</v>
      </c>
      <c r="B932">
        <v>49</v>
      </c>
      <c r="C932">
        <v>70.58</v>
      </c>
      <c r="D932">
        <v>5</v>
      </c>
      <c r="E932">
        <v>3458.42</v>
      </c>
      <c r="F932" s="1">
        <v>38331</v>
      </c>
      <c r="G932" t="s">
        <v>39</v>
      </c>
      <c r="H932">
        <v>4</v>
      </c>
      <c r="I932">
        <v>12</v>
      </c>
      <c r="J932" t="str">
        <f>TEXT(DATE(2012,Table1[[#This Row],[MONTH_ID]],10),"mmm")</f>
        <v>Dec</v>
      </c>
      <c r="K932">
        <v>2004</v>
      </c>
      <c r="L932" t="s">
        <v>564</v>
      </c>
      <c r="M932">
        <v>62</v>
      </c>
      <c r="N932" t="s">
        <v>611</v>
      </c>
      <c r="O932" t="s">
        <v>286</v>
      </c>
      <c r="P932">
        <v>4155551450</v>
      </c>
      <c r="Q932" t="s">
        <v>287</v>
      </c>
      <c r="S932" t="s">
        <v>288</v>
      </c>
      <c r="T932" t="s">
        <v>69</v>
      </c>
      <c r="U932">
        <v>97562</v>
      </c>
      <c r="V932" t="s">
        <v>46</v>
      </c>
      <c r="W932" t="s">
        <v>47</v>
      </c>
      <c r="X932" t="s">
        <v>289</v>
      </c>
      <c r="Y932" t="s">
        <v>290</v>
      </c>
      <c r="Z932" t="s">
        <v>65</v>
      </c>
    </row>
    <row r="933" spans="1:26" x14ac:dyDescent="0.3">
      <c r="A933">
        <v>10369</v>
      </c>
      <c r="B933">
        <v>28</v>
      </c>
      <c r="C933">
        <v>44.21</v>
      </c>
      <c r="D933">
        <v>6</v>
      </c>
      <c r="E933">
        <v>1237.8800000000001</v>
      </c>
      <c r="F933" s="1">
        <v>38372</v>
      </c>
      <c r="G933" t="s">
        <v>39</v>
      </c>
      <c r="H933">
        <v>1</v>
      </c>
      <c r="I933">
        <v>1</v>
      </c>
      <c r="J933" t="str">
        <f>TEXT(DATE(2012,Table1[[#This Row],[MONTH_ID]],10),"mmm")</f>
        <v>Jan</v>
      </c>
      <c r="K933">
        <v>2005</v>
      </c>
      <c r="L933" t="s">
        <v>564</v>
      </c>
      <c r="M933">
        <v>62</v>
      </c>
      <c r="N933" t="s">
        <v>611</v>
      </c>
      <c r="O933" t="s">
        <v>295</v>
      </c>
      <c r="P933">
        <v>6175558555</v>
      </c>
      <c r="Q933" t="s">
        <v>296</v>
      </c>
      <c r="S933" t="s">
        <v>297</v>
      </c>
      <c r="T933" t="s">
        <v>137</v>
      </c>
      <c r="U933">
        <v>58339</v>
      </c>
      <c r="V933" t="s">
        <v>46</v>
      </c>
      <c r="W933" t="s">
        <v>47</v>
      </c>
      <c r="X933" t="s">
        <v>289</v>
      </c>
      <c r="Y933" t="s">
        <v>298</v>
      </c>
      <c r="Z933" t="s">
        <v>50</v>
      </c>
    </row>
    <row r="934" spans="1:26" x14ac:dyDescent="0.3">
      <c r="A934">
        <v>10381</v>
      </c>
      <c r="B934">
        <v>40</v>
      </c>
      <c r="C934">
        <v>68.08</v>
      </c>
      <c r="D934">
        <v>4</v>
      </c>
      <c r="E934">
        <v>2723.2</v>
      </c>
      <c r="F934" s="1">
        <v>38400</v>
      </c>
      <c r="G934" t="s">
        <v>39</v>
      </c>
      <c r="H934">
        <v>1</v>
      </c>
      <c r="I934">
        <v>2</v>
      </c>
      <c r="J934" t="str">
        <f>TEXT(DATE(2012,Table1[[#This Row],[MONTH_ID]],10),"mmm")</f>
        <v>Feb</v>
      </c>
      <c r="K934">
        <v>2005</v>
      </c>
      <c r="L934" t="s">
        <v>564</v>
      </c>
      <c r="M934">
        <v>62</v>
      </c>
      <c r="N934" t="s">
        <v>611</v>
      </c>
      <c r="O934" t="s">
        <v>72</v>
      </c>
      <c r="P934">
        <v>6505551386</v>
      </c>
      <c r="Q934" t="s">
        <v>73</v>
      </c>
      <c r="S934" t="s">
        <v>74</v>
      </c>
      <c r="T934" t="s">
        <v>69</v>
      </c>
      <c r="V934" t="s">
        <v>46</v>
      </c>
      <c r="W934" t="s">
        <v>47</v>
      </c>
      <c r="X934" t="s">
        <v>75</v>
      </c>
      <c r="Y934" t="s">
        <v>71</v>
      </c>
      <c r="Z934" t="s">
        <v>50</v>
      </c>
    </row>
    <row r="935" spans="1:26" x14ac:dyDescent="0.3">
      <c r="A935">
        <v>10392</v>
      </c>
      <c r="B935">
        <v>37</v>
      </c>
      <c r="C935">
        <v>59.96</v>
      </c>
      <c r="D935">
        <v>3</v>
      </c>
      <c r="E935">
        <v>2218.52</v>
      </c>
      <c r="F935" s="1">
        <v>38421</v>
      </c>
      <c r="G935" t="s">
        <v>39</v>
      </c>
      <c r="H935">
        <v>1</v>
      </c>
      <c r="I935">
        <v>3</v>
      </c>
      <c r="J935" t="str">
        <f>TEXT(DATE(2012,Table1[[#This Row],[MONTH_ID]],10),"mmm")</f>
        <v>Mar</v>
      </c>
      <c r="K935">
        <v>2005</v>
      </c>
      <c r="L935" t="s">
        <v>564</v>
      </c>
      <c r="M935">
        <v>62</v>
      </c>
      <c r="N935" t="s">
        <v>611</v>
      </c>
      <c r="O935" t="s">
        <v>423</v>
      </c>
      <c r="P935" t="s">
        <v>424</v>
      </c>
      <c r="Q935" t="s">
        <v>425</v>
      </c>
      <c r="S935" t="s">
        <v>426</v>
      </c>
      <c r="U935">
        <v>8010</v>
      </c>
      <c r="V935" t="s">
        <v>162</v>
      </c>
      <c r="W935" t="s">
        <v>56</v>
      </c>
      <c r="X935" t="s">
        <v>427</v>
      </c>
      <c r="Y935" t="s">
        <v>428</v>
      </c>
      <c r="Z935" t="s">
        <v>50</v>
      </c>
    </row>
    <row r="936" spans="1:26" x14ac:dyDescent="0.3">
      <c r="A936">
        <v>10423</v>
      </c>
      <c r="B936">
        <v>31</v>
      </c>
      <c r="C936">
        <v>53.72</v>
      </c>
      <c r="D936">
        <v>3</v>
      </c>
      <c r="E936">
        <v>1665.32</v>
      </c>
      <c r="F936" s="1">
        <v>38502</v>
      </c>
      <c r="G936" t="s">
        <v>314</v>
      </c>
      <c r="H936">
        <v>2</v>
      </c>
      <c r="I936">
        <v>5</v>
      </c>
      <c r="J936" t="str">
        <f>TEXT(DATE(2012,Table1[[#This Row],[MONTH_ID]],10),"mmm")</f>
        <v>May</v>
      </c>
      <c r="K936">
        <v>2005</v>
      </c>
      <c r="L936" t="s">
        <v>564</v>
      </c>
      <c r="M936">
        <v>62</v>
      </c>
      <c r="N936" t="s">
        <v>611</v>
      </c>
      <c r="O936" t="s">
        <v>379</v>
      </c>
      <c r="P936" t="s">
        <v>380</v>
      </c>
      <c r="Q936" t="s">
        <v>381</v>
      </c>
      <c r="S936" t="s">
        <v>382</v>
      </c>
      <c r="U936" t="s">
        <v>383</v>
      </c>
      <c r="V936" t="s">
        <v>384</v>
      </c>
      <c r="W936" t="s">
        <v>56</v>
      </c>
      <c r="X936" t="s">
        <v>385</v>
      </c>
      <c r="Y936" t="s">
        <v>386</v>
      </c>
      <c r="Z936" t="s">
        <v>50</v>
      </c>
    </row>
    <row r="937" spans="1:26" x14ac:dyDescent="0.3">
      <c r="A937">
        <v>10106</v>
      </c>
      <c r="B937">
        <v>41</v>
      </c>
      <c r="C937">
        <v>83.44</v>
      </c>
      <c r="D937">
        <v>18</v>
      </c>
      <c r="E937">
        <v>3421.04</v>
      </c>
      <c r="F937" s="1">
        <v>37669</v>
      </c>
      <c r="G937" t="s">
        <v>39</v>
      </c>
      <c r="H937">
        <v>1</v>
      </c>
      <c r="I937">
        <v>2</v>
      </c>
      <c r="J937" t="str">
        <f>TEXT(DATE(2012,Table1[[#This Row],[MONTH_ID]],10),"mmm")</f>
        <v>Feb</v>
      </c>
      <c r="K937">
        <v>2003</v>
      </c>
      <c r="L937" t="s">
        <v>612</v>
      </c>
      <c r="M937">
        <v>86</v>
      </c>
      <c r="N937" t="s">
        <v>613</v>
      </c>
      <c r="O937" t="s">
        <v>566</v>
      </c>
      <c r="P937" t="s">
        <v>567</v>
      </c>
      <c r="Q937" t="s">
        <v>568</v>
      </c>
      <c r="S937" t="s">
        <v>569</v>
      </c>
      <c r="U937">
        <v>24100</v>
      </c>
      <c r="V937" t="s">
        <v>272</v>
      </c>
      <c r="W937" t="s">
        <v>56</v>
      </c>
      <c r="X937" t="s">
        <v>570</v>
      </c>
      <c r="Y937" t="s">
        <v>571</v>
      </c>
      <c r="Z937" t="s">
        <v>65</v>
      </c>
    </row>
    <row r="938" spans="1:26" x14ac:dyDescent="0.3">
      <c r="A938">
        <v>10119</v>
      </c>
      <c r="B938">
        <v>21</v>
      </c>
      <c r="C938">
        <v>89.46</v>
      </c>
      <c r="D938">
        <v>9</v>
      </c>
      <c r="E938">
        <v>1878.66</v>
      </c>
      <c r="F938" s="1">
        <v>37739</v>
      </c>
      <c r="G938" t="s">
        <v>39</v>
      </c>
      <c r="H938">
        <v>2</v>
      </c>
      <c r="I938">
        <v>4</v>
      </c>
      <c r="J938" t="str">
        <f>TEXT(DATE(2012,Table1[[#This Row],[MONTH_ID]],10),"mmm")</f>
        <v>Apr</v>
      </c>
      <c r="K938">
        <v>2003</v>
      </c>
      <c r="L938" t="s">
        <v>612</v>
      </c>
      <c r="M938">
        <v>86</v>
      </c>
      <c r="N938" t="s">
        <v>613</v>
      </c>
      <c r="O938" t="s">
        <v>158</v>
      </c>
      <c r="P938" t="s">
        <v>159</v>
      </c>
      <c r="Q938" t="s">
        <v>160</v>
      </c>
      <c r="S938" t="s">
        <v>161</v>
      </c>
      <c r="U938">
        <v>5020</v>
      </c>
      <c r="V938" t="s">
        <v>162</v>
      </c>
      <c r="W938" t="s">
        <v>56</v>
      </c>
      <c r="X938" t="s">
        <v>163</v>
      </c>
      <c r="Y938" t="s">
        <v>164</v>
      </c>
      <c r="Z938" t="s">
        <v>50</v>
      </c>
    </row>
    <row r="939" spans="1:26" x14ac:dyDescent="0.3">
      <c r="A939">
        <v>10130</v>
      </c>
      <c r="B939">
        <v>40</v>
      </c>
      <c r="C939">
        <v>96.34</v>
      </c>
      <c r="D939">
        <v>2</v>
      </c>
      <c r="E939">
        <v>3853.6</v>
      </c>
      <c r="F939" s="1">
        <v>37788</v>
      </c>
      <c r="G939" t="s">
        <v>39</v>
      </c>
      <c r="H939">
        <v>2</v>
      </c>
      <c r="I939">
        <v>6</v>
      </c>
      <c r="J939" t="str">
        <f>TEXT(DATE(2012,Table1[[#This Row],[MONTH_ID]],10),"mmm")</f>
        <v>Jun</v>
      </c>
      <c r="K939">
        <v>2003</v>
      </c>
      <c r="L939" t="s">
        <v>612</v>
      </c>
      <c r="M939">
        <v>86</v>
      </c>
      <c r="N939" t="s">
        <v>613</v>
      </c>
      <c r="O939" t="s">
        <v>614</v>
      </c>
      <c r="P939">
        <v>6175558428</v>
      </c>
      <c r="Q939" t="s">
        <v>615</v>
      </c>
      <c r="S939" t="s">
        <v>297</v>
      </c>
      <c r="T939" t="s">
        <v>137</v>
      </c>
      <c r="U939">
        <v>58339</v>
      </c>
      <c r="V939" t="s">
        <v>46</v>
      </c>
      <c r="W939" t="s">
        <v>47</v>
      </c>
      <c r="X939" t="s">
        <v>543</v>
      </c>
      <c r="Y939" t="s">
        <v>259</v>
      </c>
      <c r="Z939" t="s">
        <v>65</v>
      </c>
    </row>
    <row r="940" spans="1:26" x14ac:dyDescent="0.3">
      <c r="A940">
        <v>10143</v>
      </c>
      <c r="B940">
        <v>46</v>
      </c>
      <c r="C940">
        <v>74.84</v>
      </c>
      <c r="D940">
        <v>13</v>
      </c>
      <c r="E940">
        <v>3442.64</v>
      </c>
      <c r="F940" s="1">
        <v>37843</v>
      </c>
      <c r="G940" t="s">
        <v>39</v>
      </c>
      <c r="H940">
        <v>3</v>
      </c>
      <c r="I940">
        <v>8</v>
      </c>
      <c r="J940" t="str">
        <f>TEXT(DATE(2012,Table1[[#This Row],[MONTH_ID]],10),"mmm")</f>
        <v>Aug</v>
      </c>
      <c r="K940">
        <v>2003</v>
      </c>
      <c r="L940" t="s">
        <v>612</v>
      </c>
      <c r="M940">
        <v>86</v>
      </c>
      <c r="N940" t="s">
        <v>613</v>
      </c>
      <c r="O940" t="s">
        <v>349</v>
      </c>
      <c r="P940">
        <v>5085559555</v>
      </c>
      <c r="Q940" t="s">
        <v>350</v>
      </c>
      <c r="S940" t="s">
        <v>176</v>
      </c>
      <c r="T940" t="s">
        <v>137</v>
      </c>
      <c r="U940">
        <v>50553</v>
      </c>
      <c r="V940" t="s">
        <v>46</v>
      </c>
      <c r="W940" t="s">
        <v>47</v>
      </c>
      <c r="X940" t="s">
        <v>351</v>
      </c>
      <c r="Y940" t="s">
        <v>352</v>
      </c>
      <c r="Z940" t="s">
        <v>65</v>
      </c>
    </row>
    <row r="941" spans="1:26" x14ac:dyDescent="0.3">
      <c r="A941">
        <v>10155</v>
      </c>
      <c r="B941">
        <v>44</v>
      </c>
      <c r="C941">
        <v>79.14</v>
      </c>
      <c r="D941">
        <v>11</v>
      </c>
      <c r="E941">
        <v>3482.16</v>
      </c>
      <c r="F941" s="1">
        <v>37900</v>
      </c>
      <c r="G941" t="s">
        <v>39</v>
      </c>
      <c r="H941">
        <v>4</v>
      </c>
      <c r="I941">
        <v>10</v>
      </c>
      <c r="J941" t="str">
        <f>TEXT(DATE(2012,Table1[[#This Row],[MONTH_ID]],10),"mmm")</f>
        <v>Oct</v>
      </c>
      <c r="K941">
        <v>2003</v>
      </c>
      <c r="L941" t="s">
        <v>612</v>
      </c>
      <c r="M941">
        <v>86</v>
      </c>
      <c r="N941" t="s">
        <v>613</v>
      </c>
      <c r="O941" t="s">
        <v>140</v>
      </c>
      <c r="P941" t="s">
        <v>141</v>
      </c>
      <c r="Q941" t="s">
        <v>142</v>
      </c>
      <c r="S941" t="s">
        <v>143</v>
      </c>
      <c r="U941">
        <v>21240</v>
      </c>
      <c r="V941" t="s">
        <v>144</v>
      </c>
      <c r="W941" t="s">
        <v>56</v>
      </c>
      <c r="X941" t="s">
        <v>145</v>
      </c>
      <c r="Y941" t="s">
        <v>146</v>
      </c>
      <c r="Z941" t="s">
        <v>65</v>
      </c>
    </row>
    <row r="942" spans="1:26" x14ac:dyDescent="0.3">
      <c r="A942">
        <v>10167</v>
      </c>
      <c r="B942">
        <v>46</v>
      </c>
      <c r="C942">
        <v>73.12</v>
      </c>
      <c r="D942">
        <v>7</v>
      </c>
      <c r="E942">
        <v>3363.52</v>
      </c>
      <c r="F942" s="1">
        <v>37917</v>
      </c>
      <c r="G942" t="s">
        <v>353</v>
      </c>
      <c r="H942">
        <v>4</v>
      </c>
      <c r="I942">
        <v>10</v>
      </c>
      <c r="J942" t="str">
        <f>TEXT(DATE(2012,Table1[[#This Row],[MONTH_ID]],10),"mmm")</f>
        <v>Oct</v>
      </c>
      <c r="K942">
        <v>2003</v>
      </c>
      <c r="L942" t="s">
        <v>612</v>
      </c>
      <c r="M942">
        <v>86</v>
      </c>
      <c r="N942" t="s">
        <v>613</v>
      </c>
      <c r="O942" t="s">
        <v>275</v>
      </c>
      <c r="P942" t="s">
        <v>276</v>
      </c>
      <c r="Q942" t="s">
        <v>277</v>
      </c>
      <c r="S942" t="s">
        <v>278</v>
      </c>
      <c r="U942" t="s">
        <v>279</v>
      </c>
      <c r="V942" t="s">
        <v>202</v>
      </c>
      <c r="W942" t="s">
        <v>56</v>
      </c>
      <c r="X942" t="s">
        <v>280</v>
      </c>
      <c r="Y942" t="s">
        <v>220</v>
      </c>
      <c r="Z942" t="s">
        <v>65</v>
      </c>
    </row>
    <row r="943" spans="1:26" x14ac:dyDescent="0.3">
      <c r="A943">
        <v>10178</v>
      </c>
      <c r="B943">
        <v>41</v>
      </c>
      <c r="C943">
        <v>81.72</v>
      </c>
      <c r="D943">
        <v>10</v>
      </c>
      <c r="E943">
        <v>3350.52</v>
      </c>
      <c r="F943" s="1">
        <v>37933</v>
      </c>
      <c r="G943" t="s">
        <v>39</v>
      </c>
      <c r="H943">
        <v>4</v>
      </c>
      <c r="I943">
        <v>11</v>
      </c>
      <c r="J943" t="str">
        <f>TEXT(DATE(2012,Table1[[#This Row],[MONTH_ID]],10),"mmm")</f>
        <v>Nov</v>
      </c>
      <c r="K943">
        <v>2003</v>
      </c>
      <c r="L943" t="s">
        <v>612</v>
      </c>
      <c r="M943">
        <v>86</v>
      </c>
      <c r="N943" t="s">
        <v>613</v>
      </c>
      <c r="O943" t="s">
        <v>354</v>
      </c>
      <c r="P943" t="s">
        <v>355</v>
      </c>
      <c r="Q943" t="s">
        <v>356</v>
      </c>
      <c r="S943" t="s">
        <v>357</v>
      </c>
      <c r="U943">
        <v>31000</v>
      </c>
      <c r="V943" t="s">
        <v>55</v>
      </c>
      <c r="W943" t="s">
        <v>56</v>
      </c>
      <c r="X943" t="s">
        <v>358</v>
      </c>
      <c r="Y943" t="s">
        <v>359</v>
      </c>
      <c r="Z943" t="s">
        <v>65</v>
      </c>
    </row>
    <row r="944" spans="1:26" x14ac:dyDescent="0.3">
      <c r="A944">
        <v>10186</v>
      </c>
      <c r="B944">
        <v>32</v>
      </c>
      <c r="C944">
        <v>89.46</v>
      </c>
      <c r="D944">
        <v>7</v>
      </c>
      <c r="E944">
        <v>2862.72</v>
      </c>
      <c r="F944" s="1">
        <v>37939</v>
      </c>
      <c r="G944" t="s">
        <v>39</v>
      </c>
      <c r="H944">
        <v>4</v>
      </c>
      <c r="I944">
        <v>11</v>
      </c>
      <c r="J944" t="str">
        <f>TEXT(DATE(2012,Table1[[#This Row],[MONTH_ID]],10),"mmm")</f>
        <v>Nov</v>
      </c>
      <c r="K944">
        <v>2003</v>
      </c>
      <c r="L944" t="s">
        <v>612</v>
      </c>
      <c r="M944">
        <v>86</v>
      </c>
      <c r="N944" t="s">
        <v>613</v>
      </c>
      <c r="O944" t="s">
        <v>360</v>
      </c>
      <c r="P944" t="s">
        <v>361</v>
      </c>
      <c r="Q944" t="s">
        <v>362</v>
      </c>
      <c r="S944" t="s">
        <v>346</v>
      </c>
      <c r="U944" t="s">
        <v>363</v>
      </c>
      <c r="V944" t="s">
        <v>184</v>
      </c>
      <c r="W944" t="s">
        <v>56</v>
      </c>
      <c r="X944" t="s">
        <v>364</v>
      </c>
      <c r="Y944" t="s">
        <v>365</v>
      </c>
      <c r="Z944" t="s">
        <v>50</v>
      </c>
    </row>
    <row r="945" spans="1:26" x14ac:dyDescent="0.3">
      <c r="A945">
        <v>10197</v>
      </c>
      <c r="B945">
        <v>46</v>
      </c>
      <c r="C945">
        <v>87.74</v>
      </c>
      <c r="D945">
        <v>4</v>
      </c>
      <c r="E945">
        <v>4036.04</v>
      </c>
      <c r="F945" s="1">
        <v>37951</v>
      </c>
      <c r="G945" t="s">
        <v>39</v>
      </c>
      <c r="H945">
        <v>4</v>
      </c>
      <c r="I945">
        <v>11</v>
      </c>
      <c r="J945" t="str">
        <f>TEXT(DATE(2012,Table1[[#This Row],[MONTH_ID]],10),"mmm")</f>
        <v>Nov</v>
      </c>
      <c r="K945">
        <v>2003</v>
      </c>
      <c r="L945" t="s">
        <v>612</v>
      </c>
      <c r="M945">
        <v>86</v>
      </c>
      <c r="N945" t="s">
        <v>613</v>
      </c>
      <c r="O945" t="s">
        <v>366</v>
      </c>
      <c r="P945" t="s">
        <v>367</v>
      </c>
      <c r="Q945" t="s">
        <v>368</v>
      </c>
      <c r="S945" t="s">
        <v>369</v>
      </c>
      <c r="U945">
        <v>8022</v>
      </c>
      <c r="V945" t="s">
        <v>192</v>
      </c>
      <c r="W945" t="s">
        <v>56</v>
      </c>
      <c r="X945" t="s">
        <v>370</v>
      </c>
      <c r="Y945" t="s">
        <v>371</v>
      </c>
      <c r="Z945" t="s">
        <v>65</v>
      </c>
    </row>
    <row r="946" spans="1:26" x14ac:dyDescent="0.3">
      <c r="A946">
        <v>10209</v>
      </c>
      <c r="B946">
        <v>28</v>
      </c>
      <c r="C946">
        <v>100</v>
      </c>
      <c r="D946">
        <v>6</v>
      </c>
      <c r="E946">
        <v>2817.92</v>
      </c>
      <c r="F946" s="1">
        <v>37995</v>
      </c>
      <c r="G946" t="s">
        <v>39</v>
      </c>
      <c r="H946">
        <v>1</v>
      </c>
      <c r="I946">
        <v>1</v>
      </c>
      <c r="J946" t="str">
        <f>TEXT(DATE(2012,Table1[[#This Row],[MONTH_ID]],10),"mmm")</f>
        <v>Jan</v>
      </c>
      <c r="K946">
        <v>2004</v>
      </c>
      <c r="L946" t="s">
        <v>612</v>
      </c>
      <c r="M946">
        <v>86</v>
      </c>
      <c r="N946" t="s">
        <v>613</v>
      </c>
      <c r="O946" t="s">
        <v>372</v>
      </c>
      <c r="P946">
        <v>2155554369</v>
      </c>
      <c r="Q946" t="s">
        <v>373</v>
      </c>
      <c r="S946" t="s">
        <v>374</v>
      </c>
      <c r="T946" t="s">
        <v>69</v>
      </c>
      <c r="V946" t="s">
        <v>46</v>
      </c>
      <c r="W946" t="s">
        <v>47</v>
      </c>
      <c r="X946" t="s">
        <v>375</v>
      </c>
      <c r="Y946" t="s">
        <v>117</v>
      </c>
      <c r="Z946" t="s">
        <v>50</v>
      </c>
    </row>
    <row r="947" spans="1:26" x14ac:dyDescent="0.3">
      <c r="A947">
        <v>10222</v>
      </c>
      <c r="B947">
        <v>49</v>
      </c>
      <c r="C947">
        <v>94.62</v>
      </c>
      <c r="D947">
        <v>10</v>
      </c>
      <c r="E947">
        <v>4636.38</v>
      </c>
      <c r="F947" s="1">
        <v>38036</v>
      </c>
      <c r="G947" t="s">
        <v>39</v>
      </c>
      <c r="H947">
        <v>1</v>
      </c>
      <c r="I947">
        <v>2</v>
      </c>
      <c r="J947" t="str">
        <f>TEXT(DATE(2012,Table1[[#This Row],[MONTH_ID]],10),"mmm")</f>
        <v>Feb</v>
      </c>
      <c r="K947">
        <v>2004</v>
      </c>
      <c r="L947" t="s">
        <v>612</v>
      </c>
      <c r="M947">
        <v>86</v>
      </c>
      <c r="N947" t="s">
        <v>613</v>
      </c>
      <c r="O947" t="s">
        <v>376</v>
      </c>
      <c r="P947">
        <v>7605558146</v>
      </c>
      <c r="Q947" t="s">
        <v>377</v>
      </c>
      <c r="S947" t="s">
        <v>378</v>
      </c>
      <c r="T947" t="s">
        <v>69</v>
      </c>
      <c r="U947">
        <v>91217</v>
      </c>
      <c r="V947" t="s">
        <v>46</v>
      </c>
      <c r="W947" t="s">
        <v>47</v>
      </c>
      <c r="X947" t="s">
        <v>251</v>
      </c>
      <c r="Y947" t="s">
        <v>290</v>
      </c>
      <c r="Z947" t="s">
        <v>65</v>
      </c>
    </row>
    <row r="948" spans="1:26" x14ac:dyDescent="0.3">
      <c r="A948">
        <v>10248</v>
      </c>
      <c r="B948">
        <v>21</v>
      </c>
      <c r="C948">
        <v>73.98</v>
      </c>
      <c r="D948">
        <v>1</v>
      </c>
      <c r="E948">
        <v>1553.58</v>
      </c>
      <c r="F948" s="1">
        <v>38114</v>
      </c>
      <c r="G948" t="s">
        <v>353</v>
      </c>
      <c r="H948">
        <v>2</v>
      </c>
      <c r="I948">
        <v>5</v>
      </c>
      <c r="J948" t="str">
        <f>TEXT(DATE(2012,Table1[[#This Row],[MONTH_ID]],10),"mmm")</f>
        <v>May</v>
      </c>
      <c r="K948">
        <v>2004</v>
      </c>
      <c r="L948" t="s">
        <v>612</v>
      </c>
      <c r="M948">
        <v>86</v>
      </c>
      <c r="N948" t="s">
        <v>613</v>
      </c>
      <c r="O948" t="s">
        <v>42</v>
      </c>
      <c r="P948">
        <v>2125557818</v>
      </c>
      <c r="Q948" t="s">
        <v>43</v>
      </c>
      <c r="S948" t="s">
        <v>44</v>
      </c>
      <c r="T948" t="s">
        <v>45</v>
      </c>
      <c r="U948">
        <v>10022</v>
      </c>
      <c r="V948" t="s">
        <v>46</v>
      </c>
      <c r="W948" t="s">
        <v>47</v>
      </c>
      <c r="X948" t="s">
        <v>48</v>
      </c>
      <c r="Y948" t="s">
        <v>49</v>
      </c>
      <c r="Z948" t="s">
        <v>50</v>
      </c>
    </row>
    <row r="949" spans="1:26" x14ac:dyDescent="0.3">
      <c r="A949">
        <v>10262</v>
      </c>
      <c r="B949">
        <v>32</v>
      </c>
      <c r="C949">
        <v>84.3</v>
      </c>
      <c r="D949">
        <v>15</v>
      </c>
      <c r="E949">
        <v>2697.6</v>
      </c>
      <c r="F949" s="1">
        <v>38162</v>
      </c>
      <c r="G949" t="s">
        <v>353</v>
      </c>
      <c r="H949">
        <v>2</v>
      </c>
      <c r="I949">
        <v>6</v>
      </c>
      <c r="J949" t="str">
        <f>TEXT(DATE(2012,Table1[[#This Row],[MONTH_ID]],10),"mmm")</f>
        <v>Jun</v>
      </c>
      <c r="K949">
        <v>2004</v>
      </c>
      <c r="L949" t="s">
        <v>612</v>
      </c>
      <c r="M949">
        <v>86</v>
      </c>
      <c r="N949" t="s">
        <v>613</v>
      </c>
      <c r="O949" t="s">
        <v>188</v>
      </c>
      <c r="P949" t="s">
        <v>189</v>
      </c>
      <c r="Q949" t="s">
        <v>190</v>
      </c>
      <c r="S949" t="s">
        <v>191</v>
      </c>
      <c r="U949">
        <v>28034</v>
      </c>
      <c r="V949" t="s">
        <v>192</v>
      </c>
      <c r="W949" t="s">
        <v>56</v>
      </c>
      <c r="X949" t="s">
        <v>193</v>
      </c>
      <c r="Y949" t="s">
        <v>194</v>
      </c>
      <c r="Z949" t="s">
        <v>50</v>
      </c>
    </row>
    <row r="950" spans="1:26" x14ac:dyDescent="0.3">
      <c r="A950">
        <v>10273</v>
      </c>
      <c r="B950">
        <v>34</v>
      </c>
      <c r="C950">
        <v>98.06</v>
      </c>
      <c r="D950">
        <v>2</v>
      </c>
      <c r="E950">
        <v>3334.04</v>
      </c>
      <c r="F950" s="1">
        <v>38189</v>
      </c>
      <c r="G950" t="s">
        <v>39</v>
      </c>
      <c r="H950">
        <v>3</v>
      </c>
      <c r="I950">
        <v>7</v>
      </c>
      <c r="J950" t="str">
        <f>TEXT(DATE(2012,Table1[[#This Row],[MONTH_ID]],10),"mmm")</f>
        <v>Jul</v>
      </c>
      <c r="K950">
        <v>2004</v>
      </c>
      <c r="L950" t="s">
        <v>612</v>
      </c>
      <c r="M950">
        <v>86</v>
      </c>
      <c r="N950" t="s">
        <v>613</v>
      </c>
      <c r="O950" t="s">
        <v>379</v>
      </c>
      <c r="P950" t="s">
        <v>380</v>
      </c>
      <c r="Q950" t="s">
        <v>381</v>
      </c>
      <c r="S950" t="s">
        <v>382</v>
      </c>
      <c r="U950" t="s">
        <v>383</v>
      </c>
      <c r="V950" t="s">
        <v>384</v>
      </c>
      <c r="W950" t="s">
        <v>56</v>
      </c>
      <c r="X950" t="s">
        <v>385</v>
      </c>
      <c r="Y950" t="s">
        <v>386</v>
      </c>
      <c r="Z950" t="s">
        <v>65</v>
      </c>
    </row>
    <row r="951" spans="1:26" x14ac:dyDescent="0.3">
      <c r="A951">
        <v>10283</v>
      </c>
      <c r="B951">
        <v>21</v>
      </c>
      <c r="C951">
        <v>98.06</v>
      </c>
      <c r="D951">
        <v>4</v>
      </c>
      <c r="E951">
        <v>2059.2600000000002</v>
      </c>
      <c r="F951" s="1">
        <v>38219</v>
      </c>
      <c r="G951" t="s">
        <v>39</v>
      </c>
      <c r="H951">
        <v>3</v>
      </c>
      <c r="I951">
        <v>8</v>
      </c>
      <c r="J951" t="str">
        <f>TEXT(DATE(2012,Table1[[#This Row],[MONTH_ID]],10),"mmm")</f>
        <v>Aug</v>
      </c>
      <c r="K951">
        <v>2004</v>
      </c>
      <c r="L951" t="s">
        <v>612</v>
      </c>
      <c r="M951">
        <v>86</v>
      </c>
      <c r="N951" t="s">
        <v>613</v>
      </c>
      <c r="O951" t="s">
        <v>387</v>
      </c>
      <c r="P951" t="s">
        <v>388</v>
      </c>
      <c r="Q951" t="s">
        <v>389</v>
      </c>
      <c r="S951" t="s">
        <v>390</v>
      </c>
      <c r="T951" t="s">
        <v>243</v>
      </c>
      <c r="U951" t="s">
        <v>391</v>
      </c>
      <c r="V951" t="s">
        <v>245</v>
      </c>
      <c r="W951" t="s">
        <v>47</v>
      </c>
      <c r="X951" t="s">
        <v>392</v>
      </c>
      <c r="Y951" t="s">
        <v>186</v>
      </c>
      <c r="Z951" t="s">
        <v>50</v>
      </c>
    </row>
    <row r="952" spans="1:26" x14ac:dyDescent="0.3">
      <c r="A952">
        <v>10296</v>
      </c>
      <c r="B952">
        <v>21</v>
      </c>
      <c r="C952">
        <v>96.34</v>
      </c>
      <c r="D952">
        <v>13</v>
      </c>
      <c r="E952">
        <v>2023.14</v>
      </c>
      <c r="F952" s="1">
        <v>38245</v>
      </c>
      <c r="G952" t="s">
        <v>39</v>
      </c>
      <c r="H952">
        <v>3</v>
      </c>
      <c r="I952">
        <v>9</v>
      </c>
      <c r="J952" t="str">
        <f>TEXT(DATE(2012,Table1[[#This Row],[MONTH_ID]],10),"mmm")</f>
        <v>Sep</v>
      </c>
      <c r="K952">
        <v>2004</v>
      </c>
      <c r="L952" t="s">
        <v>612</v>
      </c>
      <c r="M952">
        <v>86</v>
      </c>
      <c r="N952" t="s">
        <v>613</v>
      </c>
      <c r="O952" t="s">
        <v>586</v>
      </c>
      <c r="P952" t="s">
        <v>587</v>
      </c>
      <c r="Q952" t="s">
        <v>588</v>
      </c>
      <c r="S952" t="s">
        <v>589</v>
      </c>
      <c r="U952">
        <v>80686</v>
      </c>
      <c r="V952" t="s">
        <v>457</v>
      </c>
      <c r="W952" t="s">
        <v>56</v>
      </c>
      <c r="X952" t="s">
        <v>590</v>
      </c>
      <c r="Y952" t="s">
        <v>117</v>
      </c>
      <c r="Z952" t="s">
        <v>50</v>
      </c>
    </row>
    <row r="953" spans="1:26" x14ac:dyDescent="0.3">
      <c r="A953">
        <v>10307</v>
      </c>
      <c r="B953">
        <v>31</v>
      </c>
      <c r="C953">
        <v>83.44</v>
      </c>
      <c r="D953">
        <v>7</v>
      </c>
      <c r="E953">
        <v>2586.64</v>
      </c>
      <c r="F953" s="1">
        <v>38274</v>
      </c>
      <c r="G953" t="s">
        <v>39</v>
      </c>
      <c r="H953">
        <v>4</v>
      </c>
      <c r="I953">
        <v>10</v>
      </c>
      <c r="J953" t="str">
        <f>TEXT(DATE(2012,Table1[[#This Row],[MONTH_ID]],10),"mmm")</f>
        <v>Oct</v>
      </c>
      <c r="K953">
        <v>2004</v>
      </c>
      <c r="L953" t="s">
        <v>612</v>
      </c>
      <c r="M953">
        <v>86</v>
      </c>
      <c r="N953" t="s">
        <v>613</v>
      </c>
      <c r="O953" t="s">
        <v>228</v>
      </c>
      <c r="P953">
        <v>2155554695</v>
      </c>
      <c r="Q953" t="s">
        <v>229</v>
      </c>
      <c r="S953" t="s">
        <v>230</v>
      </c>
      <c r="T953" t="s">
        <v>156</v>
      </c>
      <c r="U953">
        <v>71270</v>
      </c>
      <c r="V953" t="s">
        <v>46</v>
      </c>
      <c r="W953" t="s">
        <v>47</v>
      </c>
      <c r="X953" t="s">
        <v>231</v>
      </c>
      <c r="Y953" t="s">
        <v>232</v>
      </c>
      <c r="Z953" t="s">
        <v>50</v>
      </c>
    </row>
    <row r="954" spans="1:26" x14ac:dyDescent="0.3">
      <c r="A954">
        <v>10316</v>
      </c>
      <c r="B954">
        <v>21</v>
      </c>
      <c r="C954">
        <v>94.62</v>
      </c>
      <c r="D954">
        <v>15</v>
      </c>
      <c r="E954">
        <v>1987.02</v>
      </c>
      <c r="F954" s="1">
        <v>38292</v>
      </c>
      <c r="G954" t="s">
        <v>39</v>
      </c>
      <c r="H954">
        <v>4</v>
      </c>
      <c r="I954">
        <v>11</v>
      </c>
      <c r="J954" t="str">
        <f>TEXT(DATE(2012,Table1[[#This Row],[MONTH_ID]],10),"mmm")</f>
        <v>Nov</v>
      </c>
      <c r="K954">
        <v>2004</v>
      </c>
      <c r="L954" t="s">
        <v>612</v>
      </c>
      <c r="M954">
        <v>86</v>
      </c>
      <c r="N954" t="s">
        <v>613</v>
      </c>
      <c r="O954" t="s">
        <v>397</v>
      </c>
      <c r="P954" t="s">
        <v>398</v>
      </c>
      <c r="Q954" t="s">
        <v>399</v>
      </c>
      <c r="S954" t="s">
        <v>400</v>
      </c>
      <c r="T954" t="s">
        <v>401</v>
      </c>
      <c r="U954" t="s">
        <v>402</v>
      </c>
      <c r="V954" t="s">
        <v>184</v>
      </c>
      <c r="W954" t="s">
        <v>56</v>
      </c>
      <c r="X954" t="s">
        <v>403</v>
      </c>
      <c r="Y954" t="s">
        <v>404</v>
      </c>
      <c r="Z954" t="s">
        <v>50</v>
      </c>
    </row>
    <row r="955" spans="1:26" x14ac:dyDescent="0.3">
      <c r="A955">
        <v>10327</v>
      </c>
      <c r="B955">
        <v>25</v>
      </c>
      <c r="C955">
        <v>45.86</v>
      </c>
      <c r="D955">
        <v>5</v>
      </c>
      <c r="E955">
        <v>1146.5</v>
      </c>
      <c r="F955" s="1">
        <v>38301</v>
      </c>
      <c r="G955" t="s">
        <v>422</v>
      </c>
      <c r="H955">
        <v>4</v>
      </c>
      <c r="I955">
        <v>11</v>
      </c>
      <c r="J955" t="str">
        <f>TEXT(DATE(2012,Table1[[#This Row],[MONTH_ID]],10),"mmm")</f>
        <v>Nov</v>
      </c>
      <c r="K955">
        <v>2004</v>
      </c>
      <c r="L955" t="s">
        <v>612</v>
      </c>
      <c r="M955">
        <v>86</v>
      </c>
      <c r="N955" t="s">
        <v>613</v>
      </c>
      <c r="O955" t="s">
        <v>336</v>
      </c>
      <c r="P955" t="s">
        <v>337</v>
      </c>
      <c r="Q955" t="s">
        <v>338</v>
      </c>
      <c r="S955" t="s">
        <v>339</v>
      </c>
      <c r="U955">
        <v>1734</v>
      </c>
      <c r="V955" t="s">
        <v>340</v>
      </c>
      <c r="W955" t="s">
        <v>56</v>
      </c>
      <c r="X955" t="s">
        <v>341</v>
      </c>
      <c r="Y955" t="s">
        <v>342</v>
      </c>
      <c r="Z955" t="s">
        <v>50</v>
      </c>
    </row>
    <row r="956" spans="1:26" x14ac:dyDescent="0.3">
      <c r="A956">
        <v>10338</v>
      </c>
      <c r="B956">
        <v>28</v>
      </c>
      <c r="C956">
        <v>82.58</v>
      </c>
      <c r="D956">
        <v>3</v>
      </c>
      <c r="E956">
        <v>2312.2399999999998</v>
      </c>
      <c r="F956" s="1">
        <v>38313</v>
      </c>
      <c r="G956" t="s">
        <v>39</v>
      </c>
      <c r="H956">
        <v>4</v>
      </c>
      <c r="I956">
        <v>11</v>
      </c>
      <c r="J956" t="str">
        <f>TEXT(DATE(2012,Table1[[#This Row],[MONTH_ID]],10),"mmm")</f>
        <v>Nov</v>
      </c>
      <c r="K956">
        <v>2004</v>
      </c>
      <c r="L956" t="s">
        <v>612</v>
      </c>
      <c r="M956">
        <v>86</v>
      </c>
      <c r="N956" t="s">
        <v>613</v>
      </c>
      <c r="O956" t="s">
        <v>591</v>
      </c>
      <c r="P956" t="s">
        <v>592</v>
      </c>
      <c r="Q956" t="s">
        <v>593</v>
      </c>
      <c r="S956" t="s">
        <v>594</v>
      </c>
      <c r="U956" t="s">
        <v>595</v>
      </c>
      <c r="V956" t="s">
        <v>384</v>
      </c>
      <c r="W956" t="s">
        <v>56</v>
      </c>
      <c r="X956" t="s">
        <v>596</v>
      </c>
      <c r="Y956" t="s">
        <v>597</v>
      </c>
      <c r="Z956" t="s">
        <v>50</v>
      </c>
    </row>
    <row r="957" spans="1:26" x14ac:dyDescent="0.3">
      <c r="A957">
        <v>10350</v>
      </c>
      <c r="B957">
        <v>43</v>
      </c>
      <c r="C957">
        <v>64.97</v>
      </c>
      <c r="D957">
        <v>6</v>
      </c>
      <c r="E957">
        <v>2793.71</v>
      </c>
      <c r="F957" s="1">
        <v>38323</v>
      </c>
      <c r="G957" t="s">
        <v>39</v>
      </c>
      <c r="H957">
        <v>4</v>
      </c>
      <c r="I957">
        <v>12</v>
      </c>
      <c r="J957" t="str">
        <f>TEXT(DATE(2012,Table1[[#This Row],[MONTH_ID]],10),"mmm")</f>
        <v>Dec</v>
      </c>
      <c r="K957">
        <v>2004</v>
      </c>
      <c r="L957" t="s">
        <v>612</v>
      </c>
      <c r="M957">
        <v>86</v>
      </c>
      <c r="N957" t="s">
        <v>613</v>
      </c>
      <c r="O957" t="s">
        <v>188</v>
      </c>
      <c r="P957" t="s">
        <v>189</v>
      </c>
      <c r="Q957" t="s">
        <v>190</v>
      </c>
      <c r="S957" t="s">
        <v>191</v>
      </c>
      <c r="U957">
        <v>28034</v>
      </c>
      <c r="V957" t="s">
        <v>192</v>
      </c>
      <c r="W957" t="s">
        <v>56</v>
      </c>
      <c r="X957" t="s">
        <v>193</v>
      </c>
      <c r="Y957" t="s">
        <v>194</v>
      </c>
      <c r="Z957" t="s">
        <v>50</v>
      </c>
    </row>
    <row r="958" spans="1:26" x14ac:dyDescent="0.3">
      <c r="A958">
        <v>10373</v>
      </c>
      <c r="B958">
        <v>22</v>
      </c>
      <c r="C958">
        <v>86.74</v>
      </c>
      <c r="D958">
        <v>5</v>
      </c>
      <c r="E958">
        <v>1908.28</v>
      </c>
      <c r="F958" s="1">
        <v>38383</v>
      </c>
      <c r="G958" t="s">
        <v>39</v>
      </c>
      <c r="H958">
        <v>1</v>
      </c>
      <c r="I958">
        <v>1</v>
      </c>
      <c r="J958" t="str">
        <f>TEXT(DATE(2012,Table1[[#This Row],[MONTH_ID]],10),"mmm")</f>
        <v>Jan</v>
      </c>
      <c r="K958">
        <v>2005</v>
      </c>
      <c r="L958" t="s">
        <v>612</v>
      </c>
      <c r="M958">
        <v>86</v>
      </c>
      <c r="N958" t="s">
        <v>613</v>
      </c>
      <c r="O958" t="s">
        <v>405</v>
      </c>
      <c r="P958" t="s">
        <v>406</v>
      </c>
      <c r="Q958" t="s">
        <v>407</v>
      </c>
      <c r="S958" t="s">
        <v>408</v>
      </c>
      <c r="U958">
        <v>90110</v>
      </c>
      <c r="V958" t="s">
        <v>144</v>
      </c>
      <c r="W958" t="s">
        <v>56</v>
      </c>
      <c r="X958" t="s">
        <v>409</v>
      </c>
      <c r="Y958" t="s">
        <v>410</v>
      </c>
      <c r="Z958" t="s">
        <v>50</v>
      </c>
    </row>
    <row r="959" spans="1:26" x14ac:dyDescent="0.3">
      <c r="A959">
        <v>10386</v>
      </c>
      <c r="B959">
        <v>37</v>
      </c>
      <c r="C959">
        <v>93.01</v>
      </c>
      <c r="D959">
        <v>5</v>
      </c>
      <c r="E959">
        <v>3441.37</v>
      </c>
      <c r="F959" s="1">
        <v>38412</v>
      </c>
      <c r="G959" t="s">
        <v>422</v>
      </c>
      <c r="H959">
        <v>1</v>
      </c>
      <c r="I959">
        <v>3</v>
      </c>
      <c r="J959" t="str">
        <f>TEXT(DATE(2012,Table1[[#This Row],[MONTH_ID]],10),"mmm")</f>
        <v>Mar</v>
      </c>
      <c r="K959">
        <v>2005</v>
      </c>
      <c r="L959" t="s">
        <v>612</v>
      </c>
      <c r="M959">
        <v>86</v>
      </c>
      <c r="N959" t="s">
        <v>613</v>
      </c>
      <c r="O959" t="s">
        <v>188</v>
      </c>
      <c r="P959" t="s">
        <v>189</v>
      </c>
      <c r="Q959" t="s">
        <v>190</v>
      </c>
      <c r="S959" t="s">
        <v>191</v>
      </c>
      <c r="U959">
        <v>28034</v>
      </c>
      <c r="V959" t="s">
        <v>192</v>
      </c>
      <c r="W959" t="s">
        <v>56</v>
      </c>
      <c r="X959" t="s">
        <v>193</v>
      </c>
      <c r="Y959" t="s">
        <v>194</v>
      </c>
      <c r="Z959" t="s">
        <v>65</v>
      </c>
    </row>
    <row r="960" spans="1:26" x14ac:dyDescent="0.3">
      <c r="A960">
        <v>10398</v>
      </c>
      <c r="B960">
        <v>28</v>
      </c>
      <c r="C960">
        <v>72.260000000000005</v>
      </c>
      <c r="D960">
        <v>18</v>
      </c>
      <c r="E960">
        <v>2023.28</v>
      </c>
      <c r="F960" s="1">
        <v>38441</v>
      </c>
      <c r="G960" t="s">
        <v>39</v>
      </c>
      <c r="H960">
        <v>1</v>
      </c>
      <c r="I960">
        <v>3</v>
      </c>
      <c r="J960" t="str">
        <f>TEXT(DATE(2012,Table1[[#This Row],[MONTH_ID]],10),"mmm")</f>
        <v>Mar</v>
      </c>
      <c r="K960">
        <v>2005</v>
      </c>
      <c r="L960" t="s">
        <v>612</v>
      </c>
      <c r="M960">
        <v>86</v>
      </c>
      <c r="N960" t="s">
        <v>613</v>
      </c>
      <c r="O960" t="s">
        <v>51</v>
      </c>
      <c r="P960" t="s">
        <v>52</v>
      </c>
      <c r="Q960" t="s">
        <v>53</v>
      </c>
      <c r="S960" t="s">
        <v>54</v>
      </c>
      <c r="U960">
        <v>51100</v>
      </c>
      <c r="V960" t="s">
        <v>55</v>
      </c>
      <c r="W960" t="s">
        <v>56</v>
      </c>
      <c r="X960" t="s">
        <v>57</v>
      </c>
      <c r="Y960" t="s">
        <v>58</v>
      </c>
      <c r="Z960" t="s">
        <v>50</v>
      </c>
    </row>
    <row r="961" spans="1:26" x14ac:dyDescent="0.3">
      <c r="A961">
        <v>10400</v>
      </c>
      <c r="B961">
        <v>30</v>
      </c>
      <c r="C961">
        <v>74.84</v>
      </c>
      <c r="D961">
        <v>7</v>
      </c>
      <c r="E961">
        <v>2245.1999999999998</v>
      </c>
      <c r="F961" s="1">
        <v>38443</v>
      </c>
      <c r="G961" t="s">
        <v>39</v>
      </c>
      <c r="H961">
        <v>2</v>
      </c>
      <c r="I961">
        <v>4</v>
      </c>
      <c r="J961" t="str">
        <f>TEXT(DATE(2012,Table1[[#This Row],[MONTH_ID]],10),"mmm")</f>
        <v>Apr</v>
      </c>
      <c r="K961">
        <v>2005</v>
      </c>
      <c r="L961" t="s">
        <v>612</v>
      </c>
      <c r="M961">
        <v>86</v>
      </c>
      <c r="N961" t="s">
        <v>613</v>
      </c>
      <c r="O961" t="s">
        <v>411</v>
      </c>
      <c r="P961">
        <v>4085553659</v>
      </c>
      <c r="Q961" t="s">
        <v>412</v>
      </c>
      <c r="S961" t="s">
        <v>413</v>
      </c>
      <c r="T961" t="s">
        <v>69</v>
      </c>
      <c r="U961">
        <v>94217</v>
      </c>
      <c r="V961" t="s">
        <v>46</v>
      </c>
      <c r="W961" t="s">
        <v>47</v>
      </c>
      <c r="X961" t="s">
        <v>116</v>
      </c>
      <c r="Y961" t="s">
        <v>414</v>
      </c>
      <c r="Z961" t="s">
        <v>50</v>
      </c>
    </row>
    <row r="962" spans="1:26" x14ac:dyDescent="0.3">
      <c r="A962">
        <v>10414</v>
      </c>
      <c r="B962">
        <v>44</v>
      </c>
      <c r="C962">
        <v>73.98</v>
      </c>
      <c r="D962">
        <v>1</v>
      </c>
      <c r="E962">
        <v>3255.12</v>
      </c>
      <c r="F962" s="1">
        <v>38478</v>
      </c>
      <c r="G962" t="s">
        <v>415</v>
      </c>
      <c r="H962">
        <v>2</v>
      </c>
      <c r="I962">
        <v>5</v>
      </c>
      <c r="J962" t="str">
        <f>TEXT(DATE(2012,Table1[[#This Row],[MONTH_ID]],10),"mmm")</f>
        <v>May</v>
      </c>
      <c r="K962">
        <v>2005</v>
      </c>
      <c r="L962" t="s">
        <v>612</v>
      </c>
      <c r="M962">
        <v>86</v>
      </c>
      <c r="N962" t="s">
        <v>613</v>
      </c>
      <c r="O962" t="s">
        <v>393</v>
      </c>
      <c r="P962">
        <v>6175559555</v>
      </c>
      <c r="Q962" t="s">
        <v>394</v>
      </c>
      <c r="S962" t="s">
        <v>395</v>
      </c>
      <c r="T962" t="s">
        <v>137</v>
      </c>
      <c r="U962">
        <v>51003</v>
      </c>
      <c r="V962" t="s">
        <v>46</v>
      </c>
      <c r="W962" t="s">
        <v>47</v>
      </c>
      <c r="X962" t="s">
        <v>396</v>
      </c>
      <c r="Y962" t="s">
        <v>80</v>
      </c>
      <c r="Z962" t="s">
        <v>65</v>
      </c>
    </row>
    <row r="963" spans="1:26" x14ac:dyDescent="0.3">
      <c r="A963">
        <v>10103</v>
      </c>
      <c r="B963">
        <v>25</v>
      </c>
      <c r="C963">
        <v>100</v>
      </c>
      <c r="D963">
        <v>13</v>
      </c>
      <c r="E963">
        <v>2539.5</v>
      </c>
      <c r="F963" s="1">
        <v>37650</v>
      </c>
      <c r="G963" t="s">
        <v>39</v>
      </c>
      <c r="H963">
        <v>1</v>
      </c>
      <c r="I963">
        <v>1</v>
      </c>
      <c r="J963" t="str">
        <f>TEXT(DATE(2012,Table1[[#This Row],[MONTH_ID]],10),"mmm")</f>
        <v>Jan</v>
      </c>
      <c r="K963">
        <v>2003</v>
      </c>
      <c r="L963" t="s">
        <v>564</v>
      </c>
      <c r="M963">
        <v>104</v>
      </c>
      <c r="N963" t="s">
        <v>616</v>
      </c>
      <c r="O963" t="s">
        <v>147</v>
      </c>
      <c r="P963" t="s">
        <v>148</v>
      </c>
      <c r="Q963" t="s">
        <v>149</v>
      </c>
      <c r="S963" t="s">
        <v>150</v>
      </c>
      <c r="U963">
        <v>4110</v>
      </c>
      <c r="V963" t="s">
        <v>92</v>
      </c>
      <c r="W963" t="s">
        <v>56</v>
      </c>
      <c r="X963" t="s">
        <v>151</v>
      </c>
      <c r="Y963" t="s">
        <v>152</v>
      </c>
      <c r="Z963" t="s">
        <v>50</v>
      </c>
    </row>
    <row r="964" spans="1:26" x14ac:dyDescent="0.3">
      <c r="A964">
        <v>10111</v>
      </c>
      <c r="B964">
        <v>43</v>
      </c>
      <c r="C964">
        <v>100</v>
      </c>
      <c r="D964">
        <v>1</v>
      </c>
      <c r="E964">
        <v>4818.1499999999996</v>
      </c>
      <c r="F964" s="1">
        <v>37705</v>
      </c>
      <c r="G964" t="s">
        <v>39</v>
      </c>
      <c r="H964">
        <v>1</v>
      </c>
      <c r="I964">
        <v>3</v>
      </c>
      <c r="J964" t="str">
        <f>TEXT(DATE(2012,Table1[[#This Row],[MONTH_ID]],10),"mmm")</f>
        <v>Mar</v>
      </c>
      <c r="K964">
        <v>2003</v>
      </c>
      <c r="L964" t="s">
        <v>564</v>
      </c>
      <c r="M964">
        <v>104</v>
      </c>
      <c r="N964" t="s">
        <v>616</v>
      </c>
      <c r="O964" t="s">
        <v>95</v>
      </c>
      <c r="P964">
        <v>6505555787</v>
      </c>
      <c r="Q964" t="s">
        <v>96</v>
      </c>
      <c r="S964" t="s">
        <v>74</v>
      </c>
      <c r="T964" t="s">
        <v>69</v>
      </c>
      <c r="V964" t="s">
        <v>46</v>
      </c>
      <c r="W964" t="s">
        <v>47</v>
      </c>
      <c r="X964" t="s">
        <v>97</v>
      </c>
      <c r="Y964" t="s">
        <v>71</v>
      </c>
      <c r="Z964" t="s">
        <v>65</v>
      </c>
    </row>
    <row r="965" spans="1:26" x14ac:dyDescent="0.3">
      <c r="A965">
        <v>10126</v>
      </c>
      <c r="B965">
        <v>30</v>
      </c>
      <c r="C965">
        <v>97.39</v>
      </c>
      <c r="D965">
        <v>13</v>
      </c>
      <c r="E965">
        <v>2921.7</v>
      </c>
      <c r="F965" s="1">
        <v>37769</v>
      </c>
      <c r="G965" t="s">
        <v>39</v>
      </c>
      <c r="H965">
        <v>2</v>
      </c>
      <c r="I965">
        <v>5</v>
      </c>
      <c r="J965" t="str">
        <f>TEXT(DATE(2012,Table1[[#This Row],[MONTH_ID]],10),"mmm")</f>
        <v>May</v>
      </c>
      <c r="K965">
        <v>2003</v>
      </c>
      <c r="L965" t="s">
        <v>564</v>
      </c>
      <c r="M965">
        <v>104</v>
      </c>
      <c r="N965" t="s">
        <v>616</v>
      </c>
      <c r="O965" t="s">
        <v>205</v>
      </c>
      <c r="P965" t="s">
        <v>206</v>
      </c>
      <c r="Q965" t="s">
        <v>207</v>
      </c>
      <c r="S965" t="s">
        <v>191</v>
      </c>
      <c r="U965">
        <v>28023</v>
      </c>
      <c r="V965" t="s">
        <v>192</v>
      </c>
      <c r="W965" t="s">
        <v>56</v>
      </c>
      <c r="X965" t="s">
        <v>208</v>
      </c>
      <c r="Y965" t="s">
        <v>209</v>
      </c>
      <c r="Z965" t="s">
        <v>50</v>
      </c>
    </row>
    <row r="966" spans="1:26" x14ac:dyDescent="0.3">
      <c r="A966">
        <v>10139</v>
      </c>
      <c r="B966">
        <v>20</v>
      </c>
      <c r="C966">
        <v>90.06</v>
      </c>
      <c r="D966">
        <v>2</v>
      </c>
      <c r="E966">
        <v>1801.2</v>
      </c>
      <c r="F966" s="1">
        <v>37818</v>
      </c>
      <c r="G966" t="s">
        <v>39</v>
      </c>
      <c r="H966">
        <v>3</v>
      </c>
      <c r="I966">
        <v>7</v>
      </c>
      <c r="J966" t="str">
        <f>TEXT(DATE(2012,Table1[[#This Row],[MONTH_ID]],10),"mmm")</f>
        <v>Jul</v>
      </c>
      <c r="K966">
        <v>2003</v>
      </c>
      <c r="L966" t="s">
        <v>564</v>
      </c>
      <c r="M966">
        <v>104</v>
      </c>
      <c r="N966" t="s">
        <v>616</v>
      </c>
      <c r="O966" t="s">
        <v>166</v>
      </c>
      <c r="P966" t="s">
        <v>167</v>
      </c>
      <c r="Q966" t="s">
        <v>168</v>
      </c>
      <c r="R966" t="s">
        <v>169</v>
      </c>
      <c r="S966" t="s">
        <v>170</v>
      </c>
      <c r="T966" t="s">
        <v>171</v>
      </c>
      <c r="U966">
        <v>2067</v>
      </c>
      <c r="V966" t="s">
        <v>109</v>
      </c>
      <c r="W966" t="s">
        <v>110</v>
      </c>
      <c r="X966" t="s">
        <v>172</v>
      </c>
      <c r="Y966" t="s">
        <v>173</v>
      </c>
      <c r="Z966" t="s">
        <v>50</v>
      </c>
    </row>
    <row r="967" spans="1:26" x14ac:dyDescent="0.3">
      <c r="A967">
        <v>10150</v>
      </c>
      <c r="B967">
        <v>26</v>
      </c>
      <c r="C967">
        <v>100</v>
      </c>
      <c r="D967">
        <v>10</v>
      </c>
      <c r="E967">
        <v>2804.36</v>
      </c>
      <c r="F967" s="1">
        <v>37883</v>
      </c>
      <c r="G967" t="s">
        <v>39</v>
      </c>
      <c r="H967">
        <v>3</v>
      </c>
      <c r="I967">
        <v>9</v>
      </c>
      <c r="J967" t="str">
        <f>TEXT(DATE(2012,Table1[[#This Row],[MONTH_ID]],10),"mmm")</f>
        <v>Sep</v>
      </c>
      <c r="K967">
        <v>2003</v>
      </c>
      <c r="L967" t="s">
        <v>564</v>
      </c>
      <c r="M967">
        <v>104</v>
      </c>
      <c r="N967" t="s">
        <v>616</v>
      </c>
      <c r="O967" t="s">
        <v>210</v>
      </c>
      <c r="P967" t="s">
        <v>211</v>
      </c>
      <c r="Q967" t="s">
        <v>212</v>
      </c>
      <c r="S967" t="s">
        <v>213</v>
      </c>
      <c r="U967">
        <v>79903</v>
      </c>
      <c r="V967" t="s">
        <v>213</v>
      </c>
      <c r="W967" t="s">
        <v>214</v>
      </c>
      <c r="X967" t="s">
        <v>215</v>
      </c>
      <c r="Y967" t="s">
        <v>216</v>
      </c>
      <c r="Z967" t="s">
        <v>50</v>
      </c>
    </row>
    <row r="968" spans="1:26" x14ac:dyDescent="0.3">
      <c r="A968">
        <v>10163</v>
      </c>
      <c r="B968">
        <v>40</v>
      </c>
      <c r="C968">
        <v>100</v>
      </c>
      <c r="D968">
        <v>3</v>
      </c>
      <c r="E968">
        <v>4900.8</v>
      </c>
      <c r="F968" s="1">
        <v>37914</v>
      </c>
      <c r="G968" t="s">
        <v>39</v>
      </c>
      <c r="H968">
        <v>4</v>
      </c>
      <c r="I968">
        <v>10</v>
      </c>
      <c r="J968" t="str">
        <f>TEXT(DATE(2012,Table1[[#This Row],[MONTH_ID]],10),"mmm")</f>
        <v>Oct</v>
      </c>
      <c r="K968">
        <v>2003</v>
      </c>
      <c r="L968" t="s">
        <v>564</v>
      </c>
      <c r="M968">
        <v>104</v>
      </c>
      <c r="N968" t="s">
        <v>616</v>
      </c>
      <c r="O968" t="s">
        <v>217</v>
      </c>
      <c r="P968">
        <v>2125558493</v>
      </c>
      <c r="Q968" t="s">
        <v>218</v>
      </c>
      <c r="R968" t="s">
        <v>219</v>
      </c>
      <c r="S968" t="s">
        <v>44</v>
      </c>
      <c r="T968" t="s">
        <v>45</v>
      </c>
      <c r="U968">
        <v>10022</v>
      </c>
      <c r="V968" t="s">
        <v>46</v>
      </c>
      <c r="W968" t="s">
        <v>47</v>
      </c>
      <c r="X968" t="s">
        <v>138</v>
      </c>
      <c r="Y968" t="s">
        <v>220</v>
      </c>
      <c r="Z968" t="s">
        <v>65</v>
      </c>
    </row>
    <row r="969" spans="1:26" x14ac:dyDescent="0.3">
      <c r="A969">
        <v>10173</v>
      </c>
      <c r="B969">
        <v>31</v>
      </c>
      <c r="C969">
        <v>89.01</v>
      </c>
      <c r="D969">
        <v>1</v>
      </c>
      <c r="E969">
        <v>2759.31</v>
      </c>
      <c r="F969" s="1">
        <v>37930</v>
      </c>
      <c r="G969" t="s">
        <v>39</v>
      </c>
      <c r="H969">
        <v>4</v>
      </c>
      <c r="I969">
        <v>11</v>
      </c>
      <c r="J969" t="str">
        <f>TEXT(DATE(2012,Table1[[#This Row],[MONTH_ID]],10),"mmm")</f>
        <v>Nov</v>
      </c>
      <c r="K969">
        <v>2003</v>
      </c>
      <c r="L969" t="s">
        <v>564</v>
      </c>
      <c r="M969">
        <v>104</v>
      </c>
      <c r="N969" t="s">
        <v>616</v>
      </c>
      <c r="O969" t="s">
        <v>566</v>
      </c>
      <c r="P969" t="s">
        <v>567</v>
      </c>
      <c r="Q969" t="s">
        <v>568</v>
      </c>
      <c r="S969" t="s">
        <v>569</v>
      </c>
      <c r="U969">
        <v>24100</v>
      </c>
      <c r="V969" t="s">
        <v>272</v>
      </c>
      <c r="W969" t="s">
        <v>56</v>
      </c>
      <c r="X969" t="s">
        <v>570</v>
      </c>
      <c r="Y969" t="s">
        <v>571</v>
      </c>
      <c r="Z969" t="s">
        <v>50</v>
      </c>
    </row>
    <row r="970" spans="1:26" x14ac:dyDescent="0.3">
      <c r="A970">
        <v>10183</v>
      </c>
      <c r="B970">
        <v>22</v>
      </c>
      <c r="C970">
        <v>100</v>
      </c>
      <c r="D970">
        <v>10</v>
      </c>
      <c r="E970">
        <v>2488.1999999999998</v>
      </c>
      <c r="F970" s="1">
        <v>37938</v>
      </c>
      <c r="G970" t="s">
        <v>39</v>
      </c>
      <c r="H970">
        <v>4</v>
      </c>
      <c r="I970">
        <v>11</v>
      </c>
      <c r="J970" t="str">
        <f>TEXT(DATE(2012,Table1[[#This Row],[MONTH_ID]],10),"mmm")</f>
        <v>Nov</v>
      </c>
      <c r="K970">
        <v>2003</v>
      </c>
      <c r="L970" t="s">
        <v>564</v>
      </c>
      <c r="M970">
        <v>104</v>
      </c>
      <c r="N970" t="s">
        <v>616</v>
      </c>
      <c r="O970" t="s">
        <v>228</v>
      </c>
      <c r="P970">
        <v>2155554695</v>
      </c>
      <c r="Q970" t="s">
        <v>229</v>
      </c>
      <c r="S970" t="s">
        <v>230</v>
      </c>
      <c r="T970" t="s">
        <v>156</v>
      </c>
      <c r="U970">
        <v>71270</v>
      </c>
      <c r="V970" t="s">
        <v>46</v>
      </c>
      <c r="W970" t="s">
        <v>47</v>
      </c>
      <c r="X970" t="s">
        <v>231</v>
      </c>
      <c r="Y970" t="s">
        <v>232</v>
      </c>
      <c r="Z970" t="s">
        <v>50</v>
      </c>
    </row>
    <row r="971" spans="1:26" x14ac:dyDescent="0.3">
      <c r="A971">
        <v>10193</v>
      </c>
      <c r="B971">
        <v>23</v>
      </c>
      <c r="C971">
        <v>100</v>
      </c>
      <c r="D971">
        <v>2</v>
      </c>
      <c r="E971">
        <v>2769.89</v>
      </c>
      <c r="F971" s="1">
        <v>37946</v>
      </c>
      <c r="G971" t="s">
        <v>39</v>
      </c>
      <c r="H971">
        <v>4</v>
      </c>
      <c r="I971">
        <v>11</v>
      </c>
      <c r="J971" t="str">
        <f>TEXT(DATE(2012,Table1[[#This Row],[MONTH_ID]],10),"mmm")</f>
        <v>Nov</v>
      </c>
      <c r="K971">
        <v>2003</v>
      </c>
      <c r="L971" t="s">
        <v>564</v>
      </c>
      <c r="M971">
        <v>104</v>
      </c>
      <c r="N971" t="s">
        <v>616</v>
      </c>
      <c r="O971" t="s">
        <v>572</v>
      </c>
      <c r="P971" t="s">
        <v>573</v>
      </c>
      <c r="Q971" t="s">
        <v>574</v>
      </c>
      <c r="S971" t="s">
        <v>575</v>
      </c>
      <c r="T971" t="s">
        <v>108</v>
      </c>
      <c r="U971">
        <v>3150</v>
      </c>
      <c r="V971" t="s">
        <v>109</v>
      </c>
      <c r="W971" t="s">
        <v>110</v>
      </c>
      <c r="X971" t="s">
        <v>576</v>
      </c>
      <c r="Y971" t="s">
        <v>577</v>
      </c>
      <c r="Z971" t="s">
        <v>50</v>
      </c>
    </row>
    <row r="972" spans="1:26" x14ac:dyDescent="0.3">
      <c r="A972">
        <v>10206</v>
      </c>
      <c r="B972">
        <v>30</v>
      </c>
      <c r="C972">
        <v>100</v>
      </c>
      <c r="D972">
        <v>8</v>
      </c>
      <c r="E972">
        <v>3581.4</v>
      </c>
      <c r="F972" s="1">
        <v>37960</v>
      </c>
      <c r="G972" t="s">
        <v>39</v>
      </c>
      <c r="H972">
        <v>4</v>
      </c>
      <c r="I972">
        <v>12</v>
      </c>
      <c r="J972" t="str">
        <f>TEXT(DATE(2012,Table1[[#This Row],[MONTH_ID]],10),"mmm")</f>
        <v>Dec</v>
      </c>
      <c r="K972">
        <v>2003</v>
      </c>
      <c r="L972" t="s">
        <v>564</v>
      </c>
      <c r="M972">
        <v>104</v>
      </c>
      <c r="N972" t="s">
        <v>616</v>
      </c>
      <c r="O972" t="s">
        <v>239</v>
      </c>
      <c r="P972" t="s">
        <v>240</v>
      </c>
      <c r="Q972" t="s">
        <v>241</v>
      </c>
      <c r="S972" t="s">
        <v>242</v>
      </c>
      <c r="T972" t="s">
        <v>243</v>
      </c>
      <c r="U972" t="s">
        <v>244</v>
      </c>
      <c r="V972" t="s">
        <v>245</v>
      </c>
      <c r="W972" t="s">
        <v>47</v>
      </c>
      <c r="X972" t="s">
        <v>246</v>
      </c>
      <c r="Y972" t="s">
        <v>247</v>
      </c>
      <c r="Z972" t="s">
        <v>65</v>
      </c>
    </row>
    <row r="973" spans="1:26" x14ac:dyDescent="0.3">
      <c r="A973">
        <v>10215</v>
      </c>
      <c r="B973">
        <v>49</v>
      </c>
      <c r="C973">
        <v>100</v>
      </c>
      <c r="D973">
        <v>5</v>
      </c>
      <c r="E973">
        <v>5285.14</v>
      </c>
      <c r="F973" s="1">
        <v>38015</v>
      </c>
      <c r="G973" t="s">
        <v>39</v>
      </c>
      <c r="H973">
        <v>1</v>
      </c>
      <c r="I973">
        <v>1</v>
      </c>
      <c r="J973" t="str">
        <f>TEXT(DATE(2012,Table1[[#This Row],[MONTH_ID]],10),"mmm")</f>
        <v>Jan</v>
      </c>
      <c r="K973">
        <v>2004</v>
      </c>
      <c r="L973" t="s">
        <v>564</v>
      </c>
      <c r="M973">
        <v>104</v>
      </c>
      <c r="N973" t="s">
        <v>616</v>
      </c>
      <c r="O973" t="s">
        <v>248</v>
      </c>
      <c r="P973">
        <v>3105553722</v>
      </c>
      <c r="Q973" t="s">
        <v>249</v>
      </c>
      <c r="S973" t="s">
        <v>250</v>
      </c>
      <c r="T973" t="s">
        <v>69</v>
      </c>
      <c r="U973">
        <v>94019</v>
      </c>
      <c r="V973" t="s">
        <v>46</v>
      </c>
      <c r="W973" t="s">
        <v>47</v>
      </c>
      <c r="X973" t="s">
        <v>251</v>
      </c>
      <c r="Y973" t="s">
        <v>252</v>
      </c>
      <c r="Z973" t="s">
        <v>65</v>
      </c>
    </row>
    <row r="974" spans="1:26" x14ac:dyDescent="0.3">
      <c r="A974">
        <v>10228</v>
      </c>
      <c r="B974">
        <v>31</v>
      </c>
      <c r="C974">
        <v>100</v>
      </c>
      <c r="D974">
        <v>4</v>
      </c>
      <c r="E974">
        <v>3181.53</v>
      </c>
      <c r="F974" s="1">
        <v>38056</v>
      </c>
      <c r="G974" t="s">
        <v>39</v>
      </c>
      <c r="H974">
        <v>1</v>
      </c>
      <c r="I974">
        <v>3</v>
      </c>
      <c r="J974" t="str">
        <f>TEXT(DATE(2012,Table1[[#This Row],[MONTH_ID]],10),"mmm")</f>
        <v>Mar</v>
      </c>
      <c r="K974">
        <v>2004</v>
      </c>
      <c r="L974" t="s">
        <v>564</v>
      </c>
      <c r="M974">
        <v>104</v>
      </c>
      <c r="N974" t="s">
        <v>616</v>
      </c>
      <c r="O974" t="s">
        <v>253</v>
      </c>
      <c r="P974">
        <v>6175555555</v>
      </c>
      <c r="Q974" t="s">
        <v>254</v>
      </c>
      <c r="S974" t="s">
        <v>136</v>
      </c>
      <c r="T974" t="s">
        <v>137</v>
      </c>
      <c r="U974">
        <v>51247</v>
      </c>
      <c r="V974" t="s">
        <v>46</v>
      </c>
      <c r="W974" t="s">
        <v>47</v>
      </c>
      <c r="X974" t="s">
        <v>255</v>
      </c>
      <c r="Y974" t="s">
        <v>157</v>
      </c>
      <c r="Z974" t="s">
        <v>65</v>
      </c>
    </row>
    <row r="975" spans="1:26" x14ac:dyDescent="0.3">
      <c r="A975">
        <v>10244</v>
      </c>
      <c r="B975">
        <v>29</v>
      </c>
      <c r="C975">
        <v>100</v>
      </c>
      <c r="D975">
        <v>2</v>
      </c>
      <c r="E975">
        <v>3340.51</v>
      </c>
      <c r="F975" s="1">
        <v>38106</v>
      </c>
      <c r="G975" t="s">
        <v>39</v>
      </c>
      <c r="H975">
        <v>2</v>
      </c>
      <c r="I975">
        <v>4</v>
      </c>
      <c r="J975" t="str">
        <f>TEXT(DATE(2012,Table1[[#This Row],[MONTH_ID]],10),"mmm")</f>
        <v>Apr</v>
      </c>
      <c r="K975">
        <v>2004</v>
      </c>
      <c r="L975" t="s">
        <v>564</v>
      </c>
      <c r="M975">
        <v>104</v>
      </c>
      <c r="N975" t="s">
        <v>616</v>
      </c>
      <c r="O975" t="s">
        <v>188</v>
      </c>
      <c r="P975" t="s">
        <v>189</v>
      </c>
      <c r="Q975" t="s">
        <v>190</v>
      </c>
      <c r="S975" t="s">
        <v>191</v>
      </c>
      <c r="U975">
        <v>28034</v>
      </c>
      <c r="V975" t="s">
        <v>192</v>
      </c>
      <c r="W975" t="s">
        <v>56</v>
      </c>
      <c r="X975" t="s">
        <v>193</v>
      </c>
      <c r="Y975" t="s">
        <v>194</v>
      </c>
      <c r="Z975" t="s">
        <v>65</v>
      </c>
    </row>
    <row r="976" spans="1:26" x14ac:dyDescent="0.3">
      <c r="A976">
        <v>10257</v>
      </c>
      <c r="B976">
        <v>37</v>
      </c>
      <c r="C976">
        <v>84.82</v>
      </c>
      <c r="D976">
        <v>2</v>
      </c>
      <c r="E976">
        <v>3138.34</v>
      </c>
      <c r="F976" s="1">
        <v>38152</v>
      </c>
      <c r="G976" t="s">
        <v>39</v>
      </c>
      <c r="H976">
        <v>2</v>
      </c>
      <c r="I976">
        <v>6</v>
      </c>
      <c r="J976" t="str">
        <f>TEXT(DATE(2012,Table1[[#This Row],[MONTH_ID]],10),"mmm")</f>
        <v>Jun</v>
      </c>
      <c r="K976">
        <v>2004</v>
      </c>
      <c r="L976" t="s">
        <v>564</v>
      </c>
      <c r="M976">
        <v>104</v>
      </c>
      <c r="N976" t="s">
        <v>616</v>
      </c>
      <c r="O976" t="s">
        <v>411</v>
      </c>
      <c r="P976">
        <v>4085553659</v>
      </c>
      <c r="Q976" t="s">
        <v>412</v>
      </c>
      <c r="S976" t="s">
        <v>413</v>
      </c>
      <c r="T976" t="s">
        <v>69</v>
      </c>
      <c r="U976">
        <v>94217</v>
      </c>
      <c r="V976" t="s">
        <v>46</v>
      </c>
      <c r="W976" t="s">
        <v>47</v>
      </c>
      <c r="X976" t="s">
        <v>116</v>
      </c>
      <c r="Y976" t="s">
        <v>414</v>
      </c>
      <c r="Z976" t="s">
        <v>65</v>
      </c>
    </row>
    <row r="977" spans="1:26" x14ac:dyDescent="0.3">
      <c r="A977">
        <v>10270</v>
      </c>
      <c r="B977">
        <v>38</v>
      </c>
      <c r="C977">
        <v>100</v>
      </c>
      <c r="D977">
        <v>11</v>
      </c>
      <c r="E977">
        <v>4775.08</v>
      </c>
      <c r="F977" s="1">
        <v>38187</v>
      </c>
      <c r="G977" t="s">
        <v>39</v>
      </c>
      <c r="H977">
        <v>3</v>
      </c>
      <c r="I977">
        <v>7</v>
      </c>
      <c r="J977" t="str">
        <f>TEXT(DATE(2012,Table1[[#This Row],[MONTH_ID]],10),"mmm")</f>
        <v>Jul</v>
      </c>
      <c r="K977">
        <v>2004</v>
      </c>
      <c r="L977" t="s">
        <v>564</v>
      </c>
      <c r="M977">
        <v>104</v>
      </c>
      <c r="N977" t="s">
        <v>616</v>
      </c>
      <c r="O977" t="s">
        <v>166</v>
      </c>
      <c r="P977" t="s">
        <v>167</v>
      </c>
      <c r="Q977" t="s">
        <v>168</v>
      </c>
      <c r="R977" t="s">
        <v>169</v>
      </c>
      <c r="S977" t="s">
        <v>170</v>
      </c>
      <c r="T977" t="s">
        <v>171</v>
      </c>
      <c r="U977">
        <v>2067</v>
      </c>
      <c r="V977" t="s">
        <v>109</v>
      </c>
      <c r="W977" t="s">
        <v>110</v>
      </c>
      <c r="X977" t="s">
        <v>172</v>
      </c>
      <c r="Y977" t="s">
        <v>173</v>
      </c>
      <c r="Z977" t="s">
        <v>65</v>
      </c>
    </row>
    <row r="978" spans="1:26" x14ac:dyDescent="0.3">
      <c r="A978">
        <v>10280</v>
      </c>
      <c r="B978">
        <v>29</v>
      </c>
      <c r="C978">
        <v>100</v>
      </c>
      <c r="D978">
        <v>4</v>
      </c>
      <c r="E978">
        <v>3006.43</v>
      </c>
      <c r="F978" s="1">
        <v>38216</v>
      </c>
      <c r="G978" t="s">
        <v>39</v>
      </c>
      <c r="H978">
        <v>3</v>
      </c>
      <c r="I978">
        <v>8</v>
      </c>
      <c r="J978" t="str">
        <f>TEXT(DATE(2012,Table1[[#This Row],[MONTH_ID]],10),"mmm")</f>
        <v>Aug</v>
      </c>
      <c r="K978">
        <v>2004</v>
      </c>
      <c r="L978" t="s">
        <v>564</v>
      </c>
      <c r="M978">
        <v>104</v>
      </c>
      <c r="N978" t="s">
        <v>616</v>
      </c>
      <c r="O978" t="s">
        <v>268</v>
      </c>
      <c r="P978" t="s">
        <v>269</v>
      </c>
      <c r="Q978" t="s">
        <v>270</v>
      </c>
      <c r="S978" t="s">
        <v>271</v>
      </c>
      <c r="U978">
        <v>10100</v>
      </c>
      <c r="V978" t="s">
        <v>272</v>
      </c>
      <c r="W978" t="s">
        <v>56</v>
      </c>
      <c r="X978" t="s">
        <v>273</v>
      </c>
      <c r="Y978" t="s">
        <v>274</v>
      </c>
      <c r="Z978" t="s">
        <v>65</v>
      </c>
    </row>
    <row r="979" spans="1:26" x14ac:dyDescent="0.3">
      <c r="A979">
        <v>10291</v>
      </c>
      <c r="B979">
        <v>23</v>
      </c>
      <c r="C979">
        <v>100</v>
      </c>
      <c r="D979">
        <v>13</v>
      </c>
      <c r="E979">
        <v>2866.26</v>
      </c>
      <c r="F979" s="1">
        <v>38238</v>
      </c>
      <c r="G979" t="s">
        <v>39</v>
      </c>
      <c r="H979">
        <v>3</v>
      </c>
      <c r="I979">
        <v>9</v>
      </c>
      <c r="J979" t="str">
        <f>TEXT(DATE(2012,Table1[[#This Row],[MONTH_ID]],10),"mmm")</f>
        <v>Sep</v>
      </c>
      <c r="K979">
        <v>2004</v>
      </c>
      <c r="L979" t="s">
        <v>564</v>
      </c>
      <c r="M979">
        <v>104</v>
      </c>
      <c r="N979" t="s">
        <v>616</v>
      </c>
      <c r="O979" t="s">
        <v>275</v>
      </c>
      <c r="P979" t="s">
        <v>276</v>
      </c>
      <c r="Q979" t="s">
        <v>277</v>
      </c>
      <c r="S979" t="s">
        <v>278</v>
      </c>
      <c r="U979" t="s">
        <v>279</v>
      </c>
      <c r="V979" t="s">
        <v>202</v>
      </c>
      <c r="W979" t="s">
        <v>56</v>
      </c>
      <c r="X979" t="s">
        <v>280</v>
      </c>
      <c r="Y979" t="s">
        <v>220</v>
      </c>
      <c r="Z979" t="s">
        <v>50</v>
      </c>
    </row>
    <row r="980" spans="1:26" x14ac:dyDescent="0.3">
      <c r="A980">
        <v>10304</v>
      </c>
      <c r="B980">
        <v>26</v>
      </c>
      <c r="C980">
        <v>85.87</v>
      </c>
      <c r="D980">
        <v>8</v>
      </c>
      <c r="E980">
        <v>2232.62</v>
      </c>
      <c r="F980" s="1">
        <v>38271</v>
      </c>
      <c r="G980" t="s">
        <v>39</v>
      </c>
      <c r="H980">
        <v>4</v>
      </c>
      <c r="I980">
        <v>10</v>
      </c>
      <c r="J980" t="str">
        <f>TEXT(DATE(2012,Table1[[#This Row],[MONTH_ID]],10),"mmm")</f>
        <v>Oct</v>
      </c>
      <c r="K980">
        <v>2004</v>
      </c>
      <c r="L980" t="s">
        <v>564</v>
      </c>
      <c r="M980">
        <v>104</v>
      </c>
      <c r="N980" t="s">
        <v>616</v>
      </c>
      <c r="O980" t="s">
        <v>281</v>
      </c>
      <c r="P980" t="s">
        <v>282</v>
      </c>
      <c r="Q980" t="s">
        <v>283</v>
      </c>
      <c r="S980" t="s">
        <v>284</v>
      </c>
      <c r="U980">
        <v>78000</v>
      </c>
      <c r="V980" t="s">
        <v>55</v>
      </c>
      <c r="W980" t="s">
        <v>56</v>
      </c>
      <c r="X980" t="s">
        <v>285</v>
      </c>
      <c r="Y980" t="s">
        <v>64</v>
      </c>
      <c r="Z980" t="s">
        <v>50</v>
      </c>
    </row>
    <row r="981" spans="1:26" x14ac:dyDescent="0.3">
      <c r="A981">
        <v>10312</v>
      </c>
      <c r="B981">
        <v>38</v>
      </c>
      <c r="C981">
        <v>100</v>
      </c>
      <c r="D981">
        <v>5</v>
      </c>
      <c r="E981">
        <v>4457.0200000000004</v>
      </c>
      <c r="F981" s="1">
        <v>38281</v>
      </c>
      <c r="G981" t="s">
        <v>39</v>
      </c>
      <c r="H981">
        <v>4</v>
      </c>
      <c r="I981">
        <v>10</v>
      </c>
      <c r="J981" t="str">
        <f>TEXT(DATE(2012,Table1[[#This Row],[MONTH_ID]],10),"mmm")</f>
        <v>Oct</v>
      </c>
      <c r="K981">
        <v>2004</v>
      </c>
      <c r="L981" t="s">
        <v>564</v>
      </c>
      <c r="M981">
        <v>104</v>
      </c>
      <c r="N981" t="s">
        <v>616</v>
      </c>
      <c r="O981" t="s">
        <v>286</v>
      </c>
      <c r="P981">
        <v>4155551450</v>
      </c>
      <c r="Q981" t="s">
        <v>287</v>
      </c>
      <c r="S981" t="s">
        <v>288</v>
      </c>
      <c r="T981" t="s">
        <v>69</v>
      </c>
      <c r="U981">
        <v>97562</v>
      </c>
      <c r="V981" t="s">
        <v>46</v>
      </c>
      <c r="W981" t="s">
        <v>47</v>
      </c>
      <c r="X981" t="s">
        <v>289</v>
      </c>
      <c r="Y981" t="s">
        <v>290</v>
      </c>
      <c r="Z981" t="s">
        <v>65</v>
      </c>
    </row>
    <row r="982" spans="1:26" x14ac:dyDescent="0.3">
      <c r="A982">
        <v>10322</v>
      </c>
      <c r="B982">
        <v>48</v>
      </c>
      <c r="C982">
        <v>47.04</v>
      </c>
      <c r="D982">
        <v>7</v>
      </c>
      <c r="E982">
        <v>2257.92</v>
      </c>
      <c r="F982" s="1">
        <v>38295</v>
      </c>
      <c r="G982" t="s">
        <v>39</v>
      </c>
      <c r="H982">
        <v>4</v>
      </c>
      <c r="I982">
        <v>11</v>
      </c>
      <c r="J982" t="str">
        <f>TEXT(DATE(2012,Table1[[#This Row],[MONTH_ID]],10),"mmm")</f>
        <v>Nov</v>
      </c>
      <c r="K982">
        <v>2004</v>
      </c>
      <c r="L982" t="s">
        <v>564</v>
      </c>
      <c r="M982">
        <v>104</v>
      </c>
      <c r="N982" t="s">
        <v>616</v>
      </c>
      <c r="O982" t="s">
        <v>291</v>
      </c>
      <c r="P982">
        <v>6035558647</v>
      </c>
      <c r="Q982" t="s">
        <v>292</v>
      </c>
      <c r="S982" t="s">
        <v>293</v>
      </c>
      <c r="T982" t="s">
        <v>294</v>
      </c>
      <c r="U982">
        <v>62005</v>
      </c>
      <c r="V982" t="s">
        <v>46</v>
      </c>
      <c r="W982" t="s">
        <v>47</v>
      </c>
      <c r="X982" t="s">
        <v>70</v>
      </c>
      <c r="Y982" t="s">
        <v>290</v>
      </c>
      <c r="Z982" t="s">
        <v>50</v>
      </c>
    </row>
    <row r="983" spans="1:26" x14ac:dyDescent="0.3">
      <c r="A983">
        <v>10332</v>
      </c>
      <c r="B983">
        <v>40</v>
      </c>
      <c r="C983">
        <v>39.799999999999997</v>
      </c>
      <c r="D983">
        <v>18</v>
      </c>
      <c r="E983">
        <v>1592</v>
      </c>
      <c r="F983" s="1">
        <v>38308</v>
      </c>
      <c r="G983" t="s">
        <v>39</v>
      </c>
      <c r="H983">
        <v>4</v>
      </c>
      <c r="I983">
        <v>11</v>
      </c>
      <c r="J983" t="str">
        <f>TEXT(DATE(2012,Table1[[#This Row],[MONTH_ID]],10),"mmm")</f>
        <v>Nov</v>
      </c>
      <c r="K983">
        <v>2004</v>
      </c>
      <c r="L983" t="s">
        <v>564</v>
      </c>
      <c r="M983">
        <v>104</v>
      </c>
      <c r="N983" t="s">
        <v>616</v>
      </c>
      <c r="O983" t="s">
        <v>506</v>
      </c>
      <c r="P983" t="s">
        <v>507</v>
      </c>
      <c r="Q983" t="s">
        <v>508</v>
      </c>
      <c r="S983" t="s">
        <v>509</v>
      </c>
      <c r="U983" t="s">
        <v>510</v>
      </c>
      <c r="V983" t="s">
        <v>184</v>
      </c>
      <c r="W983" t="s">
        <v>56</v>
      </c>
      <c r="X983" t="s">
        <v>511</v>
      </c>
      <c r="Y983" t="s">
        <v>108</v>
      </c>
      <c r="Z983" t="s">
        <v>50</v>
      </c>
    </row>
    <row r="984" spans="1:26" x14ac:dyDescent="0.3">
      <c r="A984">
        <v>10347</v>
      </c>
      <c r="B984">
        <v>45</v>
      </c>
      <c r="C984">
        <v>100</v>
      </c>
      <c r="D984">
        <v>11</v>
      </c>
      <c r="E984">
        <v>4948.2</v>
      </c>
      <c r="F984" s="1">
        <v>38320</v>
      </c>
      <c r="G984" t="s">
        <v>39</v>
      </c>
      <c r="H984">
        <v>4</v>
      </c>
      <c r="I984">
        <v>11</v>
      </c>
      <c r="J984" t="str">
        <f>TEXT(DATE(2012,Table1[[#This Row],[MONTH_ID]],10),"mmm")</f>
        <v>Nov</v>
      </c>
      <c r="K984">
        <v>2004</v>
      </c>
      <c r="L984" t="s">
        <v>564</v>
      </c>
      <c r="M984">
        <v>104</v>
      </c>
      <c r="N984" t="s">
        <v>616</v>
      </c>
      <c r="O984" t="s">
        <v>103</v>
      </c>
      <c r="P984" t="s">
        <v>104</v>
      </c>
      <c r="Q984" t="s">
        <v>105</v>
      </c>
      <c r="R984" t="s">
        <v>106</v>
      </c>
      <c r="S984" t="s">
        <v>107</v>
      </c>
      <c r="T984" t="s">
        <v>108</v>
      </c>
      <c r="U984">
        <v>3004</v>
      </c>
      <c r="V984" t="s">
        <v>109</v>
      </c>
      <c r="W984" t="s">
        <v>110</v>
      </c>
      <c r="X984" t="s">
        <v>111</v>
      </c>
      <c r="Y984" t="s">
        <v>112</v>
      </c>
      <c r="Z984" t="s">
        <v>65</v>
      </c>
    </row>
    <row r="985" spans="1:26" x14ac:dyDescent="0.3">
      <c r="A985">
        <v>10357</v>
      </c>
      <c r="B985">
        <v>44</v>
      </c>
      <c r="C985">
        <v>100</v>
      </c>
      <c r="D985">
        <v>4</v>
      </c>
      <c r="E985">
        <v>5160.76</v>
      </c>
      <c r="F985" s="1">
        <v>38331</v>
      </c>
      <c r="G985" t="s">
        <v>39</v>
      </c>
      <c r="H985">
        <v>4</v>
      </c>
      <c r="I985">
        <v>12</v>
      </c>
      <c r="J985" t="str">
        <f>TEXT(DATE(2012,Table1[[#This Row],[MONTH_ID]],10),"mmm")</f>
        <v>Dec</v>
      </c>
      <c r="K985">
        <v>2004</v>
      </c>
      <c r="L985" t="s">
        <v>564</v>
      </c>
      <c r="M985">
        <v>104</v>
      </c>
      <c r="N985" t="s">
        <v>616</v>
      </c>
      <c r="O985" t="s">
        <v>286</v>
      </c>
      <c r="P985">
        <v>4155551450</v>
      </c>
      <c r="Q985" t="s">
        <v>287</v>
      </c>
      <c r="S985" t="s">
        <v>288</v>
      </c>
      <c r="T985" t="s">
        <v>69</v>
      </c>
      <c r="U985">
        <v>97562</v>
      </c>
      <c r="V985" t="s">
        <v>46</v>
      </c>
      <c r="W985" t="s">
        <v>47</v>
      </c>
      <c r="X985" t="s">
        <v>289</v>
      </c>
      <c r="Y985" t="s">
        <v>290</v>
      </c>
      <c r="Z985" t="s">
        <v>65</v>
      </c>
    </row>
    <row r="986" spans="1:26" x14ac:dyDescent="0.3">
      <c r="A986">
        <v>10369</v>
      </c>
      <c r="B986">
        <v>21</v>
      </c>
      <c r="C986">
        <v>94.22</v>
      </c>
      <c r="D986">
        <v>5</v>
      </c>
      <c r="E986">
        <v>1978.62</v>
      </c>
      <c r="F986" s="1">
        <v>38372</v>
      </c>
      <c r="G986" t="s">
        <v>39</v>
      </c>
      <c r="H986">
        <v>1</v>
      </c>
      <c r="I986">
        <v>1</v>
      </c>
      <c r="J986" t="str">
        <f>TEXT(DATE(2012,Table1[[#This Row],[MONTH_ID]],10),"mmm")</f>
        <v>Jan</v>
      </c>
      <c r="K986">
        <v>2005</v>
      </c>
      <c r="L986" t="s">
        <v>564</v>
      </c>
      <c r="M986">
        <v>104</v>
      </c>
      <c r="N986" t="s">
        <v>616</v>
      </c>
      <c r="O986" t="s">
        <v>295</v>
      </c>
      <c r="P986">
        <v>6175558555</v>
      </c>
      <c r="Q986" t="s">
        <v>296</v>
      </c>
      <c r="S986" t="s">
        <v>297</v>
      </c>
      <c r="T986" t="s">
        <v>137</v>
      </c>
      <c r="U986">
        <v>58339</v>
      </c>
      <c r="V986" t="s">
        <v>46</v>
      </c>
      <c r="W986" t="s">
        <v>47</v>
      </c>
      <c r="X986" t="s">
        <v>289</v>
      </c>
      <c r="Y986" t="s">
        <v>298</v>
      </c>
      <c r="Z986" t="s">
        <v>50</v>
      </c>
    </row>
    <row r="987" spans="1:26" x14ac:dyDescent="0.3">
      <c r="A987">
        <v>10381</v>
      </c>
      <c r="B987">
        <v>35</v>
      </c>
      <c r="C987">
        <v>100</v>
      </c>
      <c r="D987">
        <v>5</v>
      </c>
      <c r="E987">
        <v>4288.2</v>
      </c>
      <c r="F987" s="1">
        <v>38400</v>
      </c>
      <c r="G987" t="s">
        <v>39</v>
      </c>
      <c r="H987">
        <v>1</v>
      </c>
      <c r="I987">
        <v>2</v>
      </c>
      <c r="J987" t="str">
        <f>TEXT(DATE(2012,Table1[[#This Row],[MONTH_ID]],10),"mmm")</f>
        <v>Feb</v>
      </c>
      <c r="K987">
        <v>2005</v>
      </c>
      <c r="L987" t="s">
        <v>564</v>
      </c>
      <c r="M987">
        <v>104</v>
      </c>
      <c r="N987" t="s">
        <v>616</v>
      </c>
      <c r="O987" t="s">
        <v>72</v>
      </c>
      <c r="P987">
        <v>6505551386</v>
      </c>
      <c r="Q987" t="s">
        <v>73</v>
      </c>
      <c r="S987" t="s">
        <v>74</v>
      </c>
      <c r="T987" t="s">
        <v>69</v>
      </c>
      <c r="V987" t="s">
        <v>46</v>
      </c>
      <c r="W987" t="s">
        <v>47</v>
      </c>
      <c r="X987" t="s">
        <v>75</v>
      </c>
      <c r="Y987" t="s">
        <v>71</v>
      </c>
      <c r="Z987" t="s">
        <v>65</v>
      </c>
    </row>
    <row r="988" spans="1:26" x14ac:dyDescent="0.3">
      <c r="A988">
        <v>10392</v>
      </c>
      <c r="B988">
        <v>29</v>
      </c>
      <c r="C988">
        <v>86.92</v>
      </c>
      <c r="D988">
        <v>2</v>
      </c>
      <c r="E988">
        <v>2520.6799999999998</v>
      </c>
      <c r="F988" s="1">
        <v>38421</v>
      </c>
      <c r="G988" t="s">
        <v>39</v>
      </c>
      <c r="H988">
        <v>1</v>
      </c>
      <c r="I988">
        <v>3</v>
      </c>
      <c r="J988" t="str">
        <f>TEXT(DATE(2012,Table1[[#This Row],[MONTH_ID]],10),"mmm")</f>
        <v>Mar</v>
      </c>
      <c r="K988">
        <v>2005</v>
      </c>
      <c r="L988" t="s">
        <v>564</v>
      </c>
      <c r="M988">
        <v>104</v>
      </c>
      <c r="N988" t="s">
        <v>616</v>
      </c>
      <c r="O988" t="s">
        <v>423</v>
      </c>
      <c r="P988" t="s">
        <v>424</v>
      </c>
      <c r="Q988" t="s">
        <v>425</v>
      </c>
      <c r="S988" t="s">
        <v>426</v>
      </c>
      <c r="U988">
        <v>8010</v>
      </c>
      <c r="V988" t="s">
        <v>162</v>
      </c>
      <c r="W988" t="s">
        <v>56</v>
      </c>
      <c r="X988" t="s">
        <v>427</v>
      </c>
      <c r="Y988" t="s">
        <v>428</v>
      </c>
      <c r="Z988" t="s">
        <v>50</v>
      </c>
    </row>
    <row r="989" spans="1:26" x14ac:dyDescent="0.3">
      <c r="A989">
        <v>10423</v>
      </c>
      <c r="B989">
        <v>21</v>
      </c>
      <c r="C989">
        <v>84.82</v>
      </c>
      <c r="D989">
        <v>2</v>
      </c>
      <c r="E989">
        <v>1781.22</v>
      </c>
      <c r="F989" s="1">
        <v>38502</v>
      </c>
      <c r="G989" t="s">
        <v>314</v>
      </c>
      <c r="H989">
        <v>2</v>
      </c>
      <c r="I989">
        <v>5</v>
      </c>
      <c r="J989" t="str">
        <f>TEXT(DATE(2012,Table1[[#This Row],[MONTH_ID]],10),"mmm")</f>
        <v>May</v>
      </c>
      <c r="K989">
        <v>2005</v>
      </c>
      <c r="L989" t="s">
        <v>564</v>
      </c>
      <c r="M989">
        <v>104</v>
      </c>
      <c r="N989" t="s">
        <v>616</v>
      </c>
      <c r="O989" t="s">
        <v>379</v>
      </c>
      <c r="P989" t="s">
        <v>380</v>
      </c>
      <c r="Q989" t="s">
        <v>381</v>
      </c>
      <c r="S989" t="s">
        <v>382</v>
      </c>
      <c r="U989" t="s">
        <v>383</v>
      </c>
      <c r="V989" t="s">
        <v>384</v>
      </c>
      <c r="W989" t="s">
        <v>56</v>
      </c>
      <c r="X989" t="s">
        <v>385</v>
      </c>
      <c r="Y989" t="s">
        <v>386</v>
      </c>
      <c r="Z989" t="s">
        <v>50</v>
      </c>
    </row>
    <row r="990" spans="1:26" x14ac:dyDescent="0.3">
      <c r="A990">
        <v>10105</v>
      </c>
      <c r="B990">
        <v>22</v>
      </c>
      <c r="C990">
        <v>100</v>
      </c>
      <c r="D990">
        <v>11</v>
      </c>
      <c r="E990">
        <v>3065.04</v>
      </c>
      <c r="F990" s="1">
        <v>37663</v>
      </c>
      <c r="G990" t="s">
        <v>39</v>
      </c>
      <c r="H990">
        <v>1</v>
      </c>
      <c r="I990">
        <v>2</v>
      </c>
      <c r="J990" t="str">
        <f>TEXT(DATE(2012,Table1[[#This Row],[MONTH_ID]],10),"mmm")</f>
        <v>Feb</v>
      </c>
      <c r="K990">
        <v>2003</v>
      </c>
      <c r="L990" t="s">
        <v>564</v>
      </c>
      <c r="M990">
        <v>136</v>
      </c>
      <c r="N990" t="s">
        <v>617</v>
      </c>
      <c r="O990" t="s">
        <v>336</v>
      </c>
      <c r="P990" t="s">
        <v>337</v>
      </c>
      <c r="Q990" t="s">
        <v>338</v>
      </c>
      <c r="S990" t="s">
        <v>339</v>
      </c>
      <c r="U990">
        <v>1734</v>
      </c>
      <c r="V990" t="s">
        <v>340</v>
      </c>
      <c r="W990" t="s">
        <v>56</v>
      </c>
      <c r="X990" t="s">
        <v>341</v>
      </c>
      <c r="Y990" t="s">
        <v>342</v>
      </c>
      <c r="Z990" t="s">
        <v>65</v>
      </c>
    </row>
    <row r="991" spans="1:26" x14ac:dyDescent="0.3">
      <c r="A991">
        <v>10117</v>
      </c>
      <c r="B991">
        <v>26</v>
      </c>
      <c r="C991">
        <v>100</v>
      </c>
      <c r="D991">
        <v>5</v>
      </c>
      <c r="E991">
        <v>3551.34</v>
      </c>
      <c r="F991" s="1">
        <v>37727</v>
      </c>
      <c r="G991" t="s">
        <v>39</v>
      </c>
      <c r="H991">
        <v>2</v>
      </c>
      <c r="I991">
        <v>4</v>
      </c>
      <c r="J991" t="str">
        <f>TEXT(DATE(2012,Table1[[#This Row],[MONTH_ID]],10),"mmm")</f>
        <v>Apr</v>
      </c>
      <c r="K991">
        <v>2003</v>
      </c>
      <c r="L991" t="s">
        <v>564</v>
      </c>
      <c r="M991">
        <v>136</v>
      </c>
      <c r="N991" t="s">
        <v>617</v>
      </c>
      <c r="O991" t="s">
        <v>210</v>
      </c>
      <c r="P991" t="s">
        <v>211</v>
      </c>
      <c r="Q991" t="s">
        <v>212</v>
      </c>
      <c r="S991" t="s">
        <v>213</v>
      </c>
      <c r="U991">
        <v>79903</v>
      </c>
      <c r="V991" t="s">
        <v>213</v>
      </c>
      <c r="W991" t="s">
        <v>214</v>
      </c>
      <c r="X991" t="s">
        <v>215</v>
      </c>
      <c r="Y991" t="s">
        <v>216</v>
      </c>
      <c r="Z991" t="s">
        <v>65</v>
      </c>
    </row>
    <row r="992" spans="1:26" x14ac:dyDescent="0.3">
      <c r="A992">
        <v>10128</v>
      </c>
      <c r="B992">
        <v>41</v>
      </c>
      <c r="C992">
        <v>100</v>
      </c>
      <c r="D992">
        <v>2</v>
      </c>
      <c r="E992">
        <v>5544.02</v>
      </c>
      <c r="F992" s="1">
        <v>37778</v>
      </c>
      <c r="G992" t="s">
        <v>39</v>
      </c>
      <c r="H992">
        <v>2</v>
      </c>
      <c r="I992">
        <v>6</v>
      </c>
      <c r="J992" t="str">
        <f>TEXT(DATE(2012,Table1[[#This Row],[MONTH_ID]],10),"mmm")</f>
        <v>Jun</v>
      </c>
      <c r="K992">
        <v>2003</v>
      </c>
      <c r="L992" t="s">
        <v>564</v>
      </c>
      <c r="M992">
        <v>136</v>
      </c>
      <c r="N992" t="s">
        <v>617</v>
      </c>
      <c r="O992" t="s">
        <v>188</v>
      </c>
      <c r="P992" t="s">
        <v>189</v>
      </c>
      <c r="Q992" t="s">
        <v>190</v>
      </c>
      <c r="S992" t="s">
        <v>191</v>
      </c>
      <c r="U992">
        <v>28034</v>
      </c>
      <c r="V992" t="s">
        <v>192</v>
      </c>
      <c r="W992" t="s">
        <v>56</v>
      </c>
      <c r="X992" t="s">
        <v>193</v>
      </c>
      <c r="Y992" t="s">
        <v>194</v>
      </c>
      <c r="Z992" t="s">
        <v>65</v>
      </c>
    </row>
    <row r="993" spans="1:26" x14ac:dyDescent="0.3">
      <c r="A993">
        <v>10142</v>
      </c>
      <c r="B993">
        <v>47</v>
      </c>
      <c r="C993">
        <v>100</v>
      </c>
      <c r="D993">
        <v>8</v>
      </c>
      <c r="E993">
        <v>6034.33</v>
      </c>
      <c r="F993" s="1">
        <v>37841</v>
      </c>
      <c r="G993" t="s">
        <v>39</v>
      </c>
      <c r="H993">
        <v>3</v>
      </c>
      <c r="I993">
        <v>8</v>
      </c>
      <c r="J993" t="str">
        <f>TEXT(DATE(2012,Table1[[#This Row],[MONTH_ID]],10),"mmm")</f>
        <v>Aug</v>
      </c>
      <c r="K993">
        <v>2003</v>
      </c>
      <c r="L993" t="s">
        <v>564</v>
      </c>
      <c r="M993">
        <v>136</v>
      </c>
      <c r="N993" t="s">
        <v>617</v>
      </c>
      <c r="O993" t="s">
        <v>286</v>
      </c>
      <c r="P993">
        <v>4155551450</v>
      </c>
      <c r="Q993" t="s">
        <v>287</v>
      </c>
      <c r="S993" t="s">
        <v>288</v>
      </c>
      <c r="T993" t="s">
        <v>69</v>
      </c>
      <c r="U993">
        <v>97562</v>
      </c>
      <c r="V993" t="s">
        <v>46</v>
      </c>
      <c r="W993" t="s">
        <v>47</v>
      </c>
      <c r="X993" t="s">
        <v>289</v>
      </c>
      <c r="Y993" t="s">
        <v>290</v>
      </c>
      <c r="Z993" t="s">
        <v>65</v>
      </c>
    </row>
    <row r="994" spans="1:26" x14ac:dyDescent="0.3">
      <c r="A994">
        <v>10153</v>
      </c>
      <c r="B994">
        <v>31</v>
      </c>
      <c r="C994">
        <v>100</v>
      </c>
      <c r="D994">
        <v>7</v>
      </c>
      <c r="E994">
        <v>3641.57</v>
      </c>
      <c r="F994" s="1">
        <v>37892</v>
      </c>
      <c r="G994" t="s">
        <v>39</v>
      </c>
      <c r="H994">
        <v>3</v>
      </c>
      <c r="I994">
        <v>9</v>
      </c>
      <c r="J994" t="str">
        <f>TEXT(DATE(2012,Table1[[#This Row],[MONTH_ID]],10),"mmm")</f>
        <v>Sep</v>
      </c>
      <c r="K994">
        <v>2003</v>
      </c>
      <c r="L994" t="s">
        <v>564</v>
      </c>
      <c r="M994">
        <v>136</v>
      </c>
      <c r="N994" t="s">
        <v>617</v>
      </c>
      <c r="O994" t="s">
        <v>188</v>
      </c>
      <c r="P994" t="s">
        <v>189</v>
      </c>
      <c r="Q994" t="s">
        <v>190</v>
      </c>
      <c r="S994" t="s">
        <v>191</v>
      </c>
      <c r="U994">
        <v>28034</v>
      </c>
      <c r="V994" t="s">
        <v>192</v>
      </c>
      <c r="W994" t="s">
        <v>56</v>
      </c>
      <c r="X994" t="s">
        <v>193</v>
      </c>
      <c r="Y994" t="s">
        <v>194</v>
      </c>
      <c r="Z994" t="s">
        <v>65</v>
      </c>
    </row>
    <row r="995" spans="1:26" x14ac:dyDescent="0.3">
      <c r="A995">
        <v>10166</v>
      </c>
      <c r="B995">
        <v>43</v>
      </c>
      <c r="C995">
        <v>100</v>
      </c>
      <c r="D995">
        <v>2</v>
      </c>
      <c r="E995">
        <v>6930.74</v>
      </c>
      <c r="F995" s="1">
        <v>37915</v>
      </c>
      <c r="G995" t="s">
        <v>39</v>
      </c>
      <c r="H995">
        <v>4</v>
      </c>
      <c r="I995">
        <v>10</v>
      </c>
      <c r="J995" t="str">
        <f>TEXT(DATE(2012,Table1[[#This Row],[MONTH_ID]],10),"mmm")</f>
        <v>Oct</v>
      </c>
      <c r="K995">
        <v>2003</v>
      </c>
      <c r="L995" t="s">
        <v>564</v>
      </c>
      <c r="M995">
        <v>136</v>
      </c>
      <c r="N995" t="s">
        <v>617</v>
      </c>
      <c r="O995" t="s">
        <v>174</v>
      </c>
      <c r="P995">
        <v>5085552555</v>
      </c>
      <c r="Q995" t="s">
        <v>175</v>
      </c>
      <c r="S995" t="s">
        <v>176</v>
      </c>
      <c r="T995" t="s">
        <v>137</v>
      </c>
      <c r="U995">
        <v>50553</v>
      </c>
      <c r="V995" t="s">
        <v>46</v>
      </c>
      <c r="W995" t="s">
        <v>47</v>
      </c>
      <c r="X995" t="s">
        <v>177</v>
      </c>
      <c r="Y995" t="s">
        <v>178</v>
      </c>
      <c r="Z995" t="s">
        <v>65</v>
      </c>
    </row>
    <row r="996" spans="1:26" x14ac:dyDescent="0.3">
      <c r="A996">
        <v>10177</v>
      </c>
      <c r="B996">
        <v>23</v>
      </c>
      <c r="C996">
        <v>100</v>
      </c>
      <c r="D996">
        <v>9</v>
      </c>
      <c r="E996">
        <v>3675.63</v>
      </c>
      <c r="F996" s="1">
        <v>37932</v>
      </c>
      <c r="G996" t="s">
        <v>39</v>
      </c>
      <c r="H996">
        <v>4</v>
      </c>
      <c r="I996">
        <v>11</v>
      </c>
      <c r="J996" t="str">
        <f>TEXT(DATE(2012,Table1[[#This Row],[MONTH_ID]],10),"mmm")</f>
        <v>Nov</v>
      </c>
      <c r="K996">
        <v>2003</v>
      </c>
      <c r="L996" t="s">
        <v>564</v>
      </c>
      <c r="M996">
        <v>136</v>
      </c>
      <c r="N996" t="s">
        <v>617</v>
      </c>
      <c r="O996" t="s">
        <v>501</v>
      </c>
      <c r="P996" t="s">
        <v>502</v>
      </c>
      <c r="Q996" t="s">
        <v>503</v>
      </c>
      <c r="S996" t="s">
        <v>191</v>
      </c>
      <c r="U996">
        <v>28023</v>
      </c>
      <c r="V996" t="s">
        <v>192</v>
      </c>
      <c r="W996" t="s">
        <v>56</v>
      </c>
      <c r="X996" t="s">
        <v>504</v>
      </c>
      <c r="Y996" t="s">
        <v>505</v>
      </c>
      <c r="Z996" t="s">
        <v>65</v>
      </c>
    </row>
    <row r="997" spans="1:26" x14ac:dyDescent="0.3">
      <c r="A997">
        <v>10185</v>
      </c>
      <c r="B997">
        <v>28</v>
      </c>
      <c r="C997">
        <v>100</v>
      </c>
      <c r="D997">
        <v>9</v>
      </c>
      <c r="E997">
        <v>3442.04</v>
      </c>
      <c r="F997" s="1">
        <v>37939</v>
      </c>
      <c r="G997" t="s">
        <v>39</v>
      </c>
      <c r="H997">
        <v>4</v>
      </c>
      <c r="I997">
        <v>11</v>
      </c>
      <c r="J997" t="str">
        <f>TEXT(DATE(2012,Table1[[#This Row],[MONTH_ID]],10),"mmm")</f>
        <v>Nov</v>
      </c>
      <c r="K997">
        <v>2003</v>
      </c>
      <c r="L997" t="s">
        <v>564</v>
      </c>
      <c r="M997">
        <v>136</v>
      </c>
      <c r="N997" t="s">
        <v>617</v>
      </c>
      <c r="O997" t="s">
        <v>349</v>
      </c>
      <c r="P997">
        <v>5085559555</v>
      </c>
      <c r="Q997" t="s">
        <v>350</v>
      </c>
      <c r="S997" t="s">
        <v>176</v>
      </c>
      <c r="T997" t="s">
        <v>137</v>
      </c>
      <c r="U997">
        <v>50553</v>
      </c>
      <c r="V997" t="s">
        <v>46</v>
      </c>
      <c r="W997" t="s">
        <v>47</v>
      </c>
      <c r="X997" t="s">
        <v>351</v>
      </c>
      <c r="Y997" t="s">
        <v>352</v>
      </c>
      <c r="Z997" t="s">
        <v>65</v>
      </c>
    </row>
    <row r="998" spans="1:26" x14ac:dyDescent="0.3">
      <c r="A998">
        <v>10196</v>
      </c>
      <c r="B998">
        <v>49</v>
      </c>
      <c r="C998">
        <v>100</v>
      </c>
      <c r="D998">
        <v>1</v>
      </c>
      <c r="E998">
        <v>6893.81</v>
      </c>
      <c r="F998" s="1">
        <v>37951</v>
      </c>
      <c r="G998" t="s">
        <v>39</v>
      </c>
      <c r="H998">
        <v>4</v>
      </c>
      <c r="I998">
        <v>11</v>
      </c>
      <c r="J998" t="str">
        <f>TEXT(DATE(2012,Table1[[#This Row],[MONTH_ID]],10),"mmm")</f>
        <v>Nov</v>
      </c>
      <c r="K998">
        <v>2003</v>
      </c>
      <c r="L998" t="s">
        <v>564</v>
      </c>
      <c r="M998">
        <v>136</v>
      </c>
      <c r="N998" t="s">
        <v>617</v>
      </c>
      <c r="O998" t="s">
        <v>256</v>
      </c>
      <c r="P998">
        <v>2035559545</v>
      </c>
      <c r="Q998" t="s">
        <v>257</v>
      </c>
      <c r="S998" t="s">
        <v>258</v>
      </c>
      <c r="T998" t="s">
        <v>126</v>
      </c>
      <c r="U998">
        <v>97823</v>
      </c>
      <c r="V998" t="s">
        <v>46</v>
      </c>
      <c r="W998" t="s">
        <v>47</v>
      </c>
      <c r="X998" t="s">
        <v>97</v>
      </c>
      <c r="Y998" t="s">
        <v>259</v>
      </c>
      <c r="Z998" t="s">
        <v>65</v>
      </c>
    </row>
    <row r="999" spans="1:26" x14ac:dyDescent="0.3">
      <c r="A999">
        <v>10208</v>
      </c>
      <c r="B999">
        <v>24</v>
      </c>
      <c r="C999">
        <v>100</v>
      </c>
      <c r="D999">
        <v>9</v>
      </c>
      <c r="E999">
        <v>2622.48</v>
      </c>
      <c r="F999" s="1">
        <v>37988</v>
      </c>
      <c r="G999" t="s">
        <v>39</v>
      </c>
      <c r="H999">
        <v>1</v>
      </c>
      <c r="I999">
        <v>1</v>
      </c>
      <c r="J999" t="str">
        <f>TEXT(DATE(2012,Table1[[#This Row],[MONTH_ID]],10),"mmm")</f>
        <v>Jan</v>
      </c>
      <c r="K999">
        <v>2004</v>
      </c>
      <c r="L999" t="s">
        <v>564</v>
      </c>
      <c r="M999">
        <v>136</v>
      </c>
      <c r="N999" t="s">
        <v>617</v>
      </c>
      <c r="O999" t="s">
        <v>233</v>
      </c>
      <c r="P999" t="s">
        <v>234</v>
      </c>
      <c r="Q999" t="s">
        <v>235</v>
      </c>
      <c r="S999" t="s">
        <v>236</v>
      </c>
      <c r="U999">
        <v>69004</v>
      </c>
      <c r="V999" t="s">
        <v>55</v>
      </c>
      <c r="W999" t="s">
        <v>56</v>
      </c>
      <c r="X999" t="s">
        <v>237</v>
      </c>
      <c r="Y999" t="s">
        <v>238</v>
      </c>
      <c r="Z999" t="s">
        <v>50</v>
      </c>
    </row>
    <row r="1000" spans="1:26" x14ac:dyDescent="0.3">
      <c r="A1000">
        <v>10221</v>
      </c>
      <c r="B1000">
        <v>33</v>
      </c>
      <c r="C1000">
        <v>100</v>
      </c>
      <c r="D1000">
        <v>3</v>
      </c>
      <c r="E1000">
        <v>4417.38</v>
      </c>
      <c r="F1000" s="1">
        <v>38035</v>
      </c>
      <c r="G1000" t="s">
        <v>39</v>
      </c>
      <c r="H1000">
        <v>1</v>
      </c>
      <c r="I1000">
        <v>2</v>
      </c>
      <c r="J1000" t="str">
        <f>TEXT(DATE(2012,Table1[[#This Row],[MONTH_ID]],10),"mmm")</f>
        <v>Feb</v>
      </c>
      <c r="K1000">
        <v>2004</v>
      </c>
      <c r="L1000" t="s">
        <v>564</v>
      </c>
      <c r="M1000">
        <v>136</v>
      </c>
      <c r="N1000" t="s">
        <v>617</v>
      </c>
      <c r="O1000" t="s">
        <v>379</v>
      </c>
      <c r="P1000" t="s">
        <v>380</v>
      </c>
      <c r="Q1000" t="s">
        <v>381</v>
      </c>
      <c r="S1000" t="s">
        <v>382</v>
      </c>
      <c r="U1000" t="s">
        <v>383</v>
      </c>
      <c r="V1000" t="s">
        <v>384</v>
      </c>
      <c r="W1000" t="s">
        <v>56</v>
      </c>
      <c r="X1000" t="s">
        <v>385</v>
      </c>
      <c r="Y1000" t="s">
        <v>386</v>
      </c>
      <c r="Z1000" t="s">
        <v>65</v>
      </c>
    </row>
    <row r="1001" spans="1:26" x14ac:dyDescent="0.3">
      <c r="A1001">
        <v>10232</v>
      </c>
      <c r="B1001">
        <v>22</v>
      </c>
      <c r="C1001">
        <v>100</v>
      </c>
      <c r="D1001">
        <v>6</v>
      </c>
      <c r="E1001">
        <v>3606.02</v>
      </c>
      <c r="F1001" s="1">
        <v>38066</v>
      </c>
      <c r="G1001" t="s">
        <v>39</v>
      </c>
      <c r="H1001">
        <v>1</v>
      </c>
      <c r="I1001">
        <v>3</v>
      </c>
      <c r="J1001" t="str">
        <f>TEXT(DATE(2012,Table1[[#This Row],[MONTH_ID]],10),"mmm")</f>
        <v>Mar</v>
      </c>
      <c r="K1001">
        <v>2004</v>
      </c>
      <c r="L1001" t="s">
        <v>564</v>
      </c>
      <c r="M1001">
        <v>136</v>
      </c>
      <c r="N1001" t="s">
        <v>617</v>
      </c>
      <c r="O1001" t="s">
        <v>397</v>
      </c>
      <c r="P1001" t="s">
        <v>398</v>
      </c>
      <c r="Q1001" t="s">
        <v>399</v>
      </c>
      <c r="S1001" t="s">
        <v>400</v>
      </c>
      <c r="T1001" t="s">
        <v>401</v>
      </c>
      <c r="U1001" t="s">
        <v>402</v>
      </c>
      <c r="V1001" t="s">
        <v>184</v>
      </c>
      <c r="W1001" t="s">
        <v>56</v>
      </c>
      <c r="X1001" t="s">
        <v>403</v>
      </c>
      <c r="Y1001" t="s">
        <v>404</v>
      </c>
      <c r="Z1001" t="s">
        <v>65</v>
      </c>
    </row>
    <row r="1002" spans="1:26" x14ac:dyDescent="0.3">
      <c r="A1002">
        <v>10248</v>
      </c>
      <c r="B1002">
        <v>32</v>
      </c>
      <c r="C1002">
        <v>100</v>
      </c>
      <c r="D1002">
        <v>12</v>
      </c>
      <c r="E1002">
        <v>3802.56</v>
      </c>
      <c r="F1002" s="1">
        <v>38114</v>
      </c>
      <c r="G1002" t="s">
        <v>353</v>
      </c>
      <c r="H1002">
        <v>2</v>
      </c>
      <c r="I1002">
        <v>5</v>
      </c>
      <c r="J1002" t="str">
        <f>TEXT(DATE(2012,Table1[[#This Row],[MONTH_ID]],10),"mmm")</f>
        <v>May</v>
      </c>
      <c r="K1002">
        <v>2004</v>
      </c>
      <c r="L1002" t="s">
        <v>564</v>
      </c>
      <c r="M1002">
        <v>136</v>
      </c>
      <c r="N1002" t="s">
        <v>617</v>
      </c>
      <c r="O1002" t="s">
        <v>42</v>
      </c>
      <c r="P1002">
        <v>2125557818</v>
      </c>
      <c r="Q1002" t="s">
        <v>43</v>
      </c>
      <c r="S1002" t="s">
        <v>44</v>
      </c>
      <c r="T1002" t="s">
        <v>45</v>
      </c>
      <c r="U1002">
        <v>10022</v>
      </c>
      <c r="V1002" t="s">
        <v>46</v>
      </c>
      <c r="W1002" t="s">
        <v>47</v>
      </c>
      <c r="X1002" t="s">
        <v>48</v>
      </c>
      <c r="Y1002" t="s">
        <v>49</v>
      </c>
      <c r="Z1002" t="s">
        <v>65</v>
      </c>
    </row>
    <row r="1003" spans="1:26" x14ac:dyDescent="0.3">
      <c r="A1003">
        <v>10273</v>
      </c>
      <c r="B1003">
        <v>40</v>
      </c>
      <c r="C1003">
        <v>100</v>
      </c>
      <c r="D1003">
        <v>13</v>
      </c>
      <c r="E1003">
        <v>5026.3999999999996</v>
      </c>
      <c r="F1003" s="1">
        <v>38189</v>
      </c>
      <c r="G1003" t="s">
        <v>39</v>
      </c>
      <c r="H1003">
        <v>3</v>
      </c>
      <c r="I1003">
        <v>7</v>
      </c>
      <c r="J1003" t="str">
        <f>TEXT(DATE(2012,Table1[[#This Row],[MONTH_ID]],10),"mmm")</f>
        <v>Jul</v>
      </c>
      <c r="K1003">
        <v>2004</v>
      </c>
      <c r="L1003" t="s">
        <v>564</v>
      </c>
      <c r="M1003">
        <v>136</v>
      </c>
      <c r="N1003" t="s">
        <v>617</v>
      </c>
      <c r="O1003" t="s">
        <v>379</v>
      </c>
      <c r="P1003" t="s">
        <v>380</v>
      </c>
      <c r="Q1003" t="s">
        <v>381</v>
      </c>
      <c r="S1003" t="s">
        <v>382</v>
      </c>
      <c r="U1003" t="s">
        <v>383</v>
      </c>
      <c r="V1003" t="s">
        <v>384</v>
      </c>
      <c r="W1003" t="s">
        <v>56</v>
      </c>
      <c r="X1003" t="s">
        <v>385</v>
      </c>
      <c r="Y1003" t="s">
        <v>386</v>
      </c>
      <c r="Z1003" t="s">
        <v>65</v>
      </c>
    </row>
    <row r="1004" spans="1:26" x14ac:dyDescent="0.3">
      <c r="A1004">
        <v>10282</v>
      </c>
      <c r="B1004">
        <v>43</v>
      </c>
      <c r="C1004">
        <v>100</v>
      </c>
      <c r="D1004">
        <v>1</v>
      </c>
      <c r="E1004">
        <v>6695.53</v>
      </c>
      <c r="F1004" s="1">
        <v>38219</v>
      </c>
      <c r="G1004" t="s">
        <v>39</v>
      </c>
      <c r="H1004">
        <v>3</v>
      </c>
      <c r="I1004">
        <v>8</v>
      </c>
      <c r="J1004" t="str">
        <f>TEXT(DATE(2012,Table1[[#This Row],[MONTH_ID]],10),"mmm")</f>
        <v>Aug</v>
      </c>
      <c r="K1004">
        <v>2004</v>
      </c>
      <c r="L1004" t="s">
        <v>564</v>
      </c>
      <c r="M1004">
        <v>136</v>
      </c>
      <c r="N1004" t="s">
        <v>617</v>
      </c>
      <c r="O1004" t="s">
        <v>286</v>
      </c>
      <c r="P1004">
        <v>4155551450</v>
      </c>
      <c r="Q1004" t="s">
        <v>287</v>
      </c>
      <c r="S1004" t="s">
        <v>288</v>
      </c>
      <c r="T1004" t="s">
        <v>69</v>
      </c>
      <c r="U1004">
        <v>97562</v>
      </c>
      <c r="V1004" t="s">
        <v>46</v>
      </c>
      <c r="W1004" t="s">
        <v>47</v>
      </c>
      <c r="X1004" t="s">
        <v>289</v>
      </c>
      <c r="Y1004" t="s">
        <v>290</v>
      </c>
      <c r="Z1004" t="s">
        <v>65</v>
      </c>
    </row>
    <row r="1005" spans="1:26" x14ac:dyDescent="0.3">
      <c r="A1005">
        <v>10293</v>
      </c>
      <c r="B1005">
        <v>24</v>
      </c>
      <c r="C1005">
        <v>100</v>
      </c>
      <c r="D1005">
        <v>4</v>
      </c>
      <c r="E1005">
        <v>2819.28</v>
      </c>
      <c r="F1005" s="1">
        <v>38239</v>
      </c>
      <c r="G1005" t="s">
        <v>39</v>
      </c>
      <c r="H1005">
        <v>3</v>
      </c>
      <c r="I1005">
        <v>9</v>
      </c>
      <c r="J1005" t="str">
        <f>TEXT(DATE(2012,Table1[[#This Row],[MONTH_ID]],10),"mmm")</f>
        <v>Sep</v>
      </c>
      <c r="K1005">
        <v>2004</v>
      </c>
      <c r="L1005" t="s">
        <v>564</v>
      </c>
      <c r="M1005">
        <v>136</v>
      </c>
      <c r="N1005" t="s">
        <v>617</v>
      </c>
      <c r="O1005" t="s">
        <v>268</v>
      </c>
      <c r="P1005" t="s">
        <v>269</v>
      </c>
      <c r="Q1005" t="s">
        <v>270</v>
      </c>
      <c r="S1005" t="s">
        <v>271</v>
      </c>
      <c r="U1005">
        <v>10100</v>
      </c>
      <c r="V1005" t="s">
        <v>272</v>
      </c>
      <c r="W1005" t="s">
        <v>56</v>
      </c>
      <c r="X1005" t="s">
        <v>273</v>
      </c>
      <c r="Y1005" t="s">
        <v>274</v>
      </c>
      <c r="Z1005" t="s">
        <v>50</v>
      </c>
    </row>
    <row r="1006" spans="1:26" x14ac:dyDescent="0.3">
      <c r="A1006">
        <v>10306</v>
      </c>
      <c r="B1006">
        <v>32</v>
      </c>
      <c r="C1006">
        <v>100</v>
      </c>
      <c r="D1006">
        <v>9</v>
      </c>
      <c r="E1006">
        <v>3759.04</v>
      </c>
      <c r="F1006" s="1">
        <v>38274</v>
      </c>
      <c r="G1006" t="s">
        <v>39</v>
      </c>
      <c r="H1006">
        <v>4</v>
      </c>
      <c r="I1006">
        <v>10</v>
      </c>
      <c r="J1006" t="str">
        <f>TEXT(DATE(2012,Table1[[#This Row],[MONTH_ID]],10),"mmm")</f>
        <v>Oct</v>
      </c>
      <c r="K1006">
        <v>2004</v>
      </c>
      <c r="L1006" t="s">
        <v>564</v>
      </c>
      <c r="M1006">
        <v>136</v>
      </c>
      <c r="N1006" t="s">
        <v>617</v>
      </c>
      <c r="O1006" t="s">
        <v>506</v>
      </c>
      <c r="P1006" t="s">
        <v>507</v>
      </c>
      <c r="Q1006" t="s">
        <v>508</v>
      </c>
      <c r="S1006" t="s">
        <v>509</v>
      </c>
      <c r="U1006" t="s">
        <v>510</v>
      </c>
      <c r="V1006" t="s">
        <v>184</v>
      </c>
      <c r="W1006" t="s">
        <v>56</v>
      </c>
      <c r="X1006" t="s">
        <v>511</v>
      </c>
      <c r="Y1006" t="s">
        <v>108</v>
      </c>
      <c r="Z1006" t="s">
        <v>65</v>
      </c>
    </row>
    <row r="1007" spans="1:26" x14ac:dyDescent="0.3">
      <c r="A1007">
        <v>10314</v>
      </c>
      <c r="B1007">
        <v>20</v>
      </c>
      <c r="C1007">
        <v>100</v>
      </c>
      <c r="D1007">
        <v>1</v>
      </c>
      <c r="E1007">
        <v>2731.8</v>
      </c>
      <c r="F1007" s="1">
        <v>38282</v>
      </c>
      <c r="G1007" t="s">
        <v>39</v>
      </c>
      <c r="H1007">
        <v>4</v>
      </c>
      <c r="I1007">
        <v>10</v>
      </c>
      <c r="J1007" t="str">
        <f>TEXT(DATE(2012,Table1[[#This Row],[MONTH_ID]],10),"mmm")</f>
        <v>Oct</v>
      </c>
      <c r="K1007">
        <v>2004</v>
      </c>
      <c r="L1007" t="s">
        <v>564</v>
      </c>
      <c r="M1007">
        <v>136</v>
      </c>
      <c r="N1007" t="s">
        <v>617</v>
      </c>
      <c r="O1007" t="s">
        <v>512</v>
      </c>
      <c r="P1007" t="s">
        <v>513</v>
      </c>
      <c r="Q1007" t="s">
        <v>514</v>
      </c>
      <c r="S1007" t="s">
        <v>515</v>
      </c>
      <c r="U1007">
        <v>8200</v>
      </c>
      <c r="V1007" t="s">
        <v>340</v>
      </c>
      <c r="W1007" t="s">
        <v>56</v>
      </c>
      <c r="X1007" t="s">
        <v>516</v>
      </c>
      <c r="Y1007" t="s">
        <v>517</v>
      </c>
      <c r="Z1007" t="s">
        <v>50</v>
      </c>
    </row>
    <row r="1008" spans="1:26" x14ac:dyDescent="0.3">
      <c r="A1008">
        <v>10325</v>
      </c>
      <c r="B1008">
        <v>24</v>
      </c>
      <c r="C1008">
        <v>69.12</v>
      </c>
      <c r="D1008">
        <v>9</v>
      </c>
      <c r="E1008">
        <v>1658.88</v>
      </c>
      <c r="F1008" s="1">
        <v>38296</v>
      </c>
      <c r="G1008" t="s">
        <v>39</v>
      </c>
      <c r="H1008">
        <v>4</v>
      </c>
      <c r="I1008">
        <v>11</v>
      </c>
      <c r="J1008" t="str">
        <f>TEXT(DATE(2012,Table1[[#This Row],[MONTH_ID]],10),"mmm")</f>
        <v>Nov</v>
      </c>
      <c r="K1008">
        <v>2004</v>
      </c>
      <c r="L1008" t="s">
        <v>564</v>
      </c>
      <c r="M1008">
        <v>136</v>
      </c>
      <c r="N1008" t="s">
        <v>617</v>
      </c>
      <c r="O1008" t="s">
        <v>147</v>
      </c>
      <c r="P1008" t="s">
        <v>148</v>
      </c>
      <c r="Q1008" t="s">
        <v>149</v>
      </c>
      <c r="S1008" t="s">
        <v>150</v>
      </c>
      <c r="U1008">
        <v>4110</v>
      </c>
      <c r="V1008" t="s">
        <v>92</v>
      </c>
      <c r="W1008" t="s">
        <v>56</v>
      </c>
      <c r="X1008" t="s">
        <v>151</v>
      </c>
      <c r="Y1008" t="s">
        <v>152</v>
      </c>
      <c r="Z1008" t="s">
        <v>50</v>
      </c>
    </row>
    <row r="1009" spans="1:26" x14ac:dyDescent="0.3">
      <c r="A1009">
        <v>10336</v>
      </c>
      <c r="B1009">
        <v>48</v>
      </c>
      <c r="C1009">
        <v>100</v>
      </c>
      <c r="D1009">
        <v>12</v>
      </c>
      <c r="E1009">
        <v>5778.24</v>
      </c>
      <c r="F1009" s="1">
        <v>38311</v>
      </c>
      <c r="G1009" t="s">
        <v>39</v>
      </c>
      <c r="H1009">
        <v>4</v>
      </c>
      <c r="I1009">
        <v>11</v>
      </c>
      <c r="J1009" t="str">
        <f>TEXT(DATE(2012,Table1[[#This Row],[MONTH_ID]],10),"mmm")</f>
        <v>Nov</v>
      </c>
      <c r="K1009">
        <v>2004</v>
      </c>
      <c r="L1009" t="s">
        <v>564</v>
      </c>
      <c r="M1009">
        <v>136</v>
      </c>
      <c r="N1009" t="s">
        <v>617</v>
      </c>
      <c r="O1009" t="s">
        <v>417</v>
      </c>
      <c r="P1009" t="s">
        <v>418</v>
      </c>
      <c r="Q1009" t="s">
        <v>419</v>
      </c>
      <c r="S1009" t="s">
        <v>62</v>
      </c>
      <c r="U1009">
        <v>75012</v>
      </c>
      <c r="V1009" t="s">
        <v>55</v>
      </c>
      <c r="W1009" t="s">
        <v>56</v>
      </c>
      <c r="X1009" t="s">
        <v>420</v>
      </c>
      <c r="Y1009" t="s">
        <v>421</v>
      </c>
      <c r="Z1009" t="s">
        <v>65</v>
      </c>
    </row>
    <row r="1010" spans="1:26" x14ac:dyDescent="0.3">
      <c r="A1010">
        <v>10350</v>
      </c>
      <c r="B1010">
        <v>44</v>
      </c>
      <c r="C1010">
        <v>100</v>
      </c>
      <c r="D1010">
        <v>1</v>
      </c>
      <c r="E1010">
        <v>5191.12</v>
      </c>
      <c r="F1010" s="1">
        <v>38323</v>
      </c>
      <c r="G1010" t="s">
        <v>39</v>
      </c>
      <c r="H1010">
        <v>4</v>
      </c>
      <c r="I1010">
        <v>12</v>
      </c>
      <c r="J1010" t="str">
        <f>TEXT(DATE(2012,Table1[[#This Row],[MONTH_ID]],10),"mmm")</f>
        <v>Dec</v>
      </c>
      <c r="K1010">
        <v>2004</v>
      </c>
      <c r="L1010" t="s">
        <v>564</v>
      </c>
      <c r="M1010">
        <v>136</v>
      </c>
      <c r="N1010" t="s">
        <v>617</v>
      </c>
      <c r="O1010" t="s">
        <v>188</v>
      </c>
      <c r="P1010" t="s">
        <v>189</v>
      </c>
      <c r="Q1010" t="s">
        <v>190</v>
      </c>
      <c r="S1010" t="s">
        <v>191</v>
      </c>
      <c r="U1010">
        <v>28034</v>
      </c>
      <c r="V1010" t="s">
        <v>192</v>
      </c>
      <c r="W1010" t="s">
        <v>56</v>
      </c>
      <c r="X1010" t="s">
        <v>193</v>
      </c>
      <c r="Y1010" t="s">
        <v>194</v>
      </c>
      <c r="Z1010" t="s">
        <v>65</v>
      </c>
    </row>
    <row r="1011" spans="1:26" x14ac:dyDescent="0.3">
      <c r="A1011">
        <v>10372</v>
      </c>
      <c r="B1011">
        <v>28</v>
      </c>
      <c r="C1011">
        <v>100</v>
      </c>
      <c r="D1011">
        <v>3</v>
      </c>
      <c r="E1011">
        <v>3862.88</v>
      </c>
      <c r="F1011" s="1">
        <v>38378</v>
      </c>
      <c r="G1011" t="s">
        <v>39</v>
      </c>
      <c r="H1011">
        <v>1</v>
      </c>
      <c r="I1011">
        <v>1</v>
      </c>
      <c r="J1011" t="str">
        <f>TEXT(DATE(2012,Table1[[#This Row],[MONTH_ID]],10),"mmm")</f>
        <v>Jan</v>
      </c>
      <c r="K1011">
        <v>2005</v>
      </c>
      <c r="L1011" t="s">
        <v>564</v>
      </c>
      <c r="M1011">
        <v>136</v>
      </c>
      <c r="N1011" t="s">
        <v>617</v>
      </c>
      <c r="O1011" t="s">
        <v>260</v>
      </c>
      <c r="P1011" t="s">
        <v>261</v>
      </c>
      <c r="Q1011" t="s">
        <v>262</v>
      </c>
      <c r="S1011" t="s">
        <v>263</v>
      </c>
      <c r="T1011" t="s">
        <v>264</v>
      </c>
      <c r="U1011" t="s">
        <v>265</v>
      </c>
      <c r="V1011" t="s">
        <v>214</v>
      </c>
      <c r="W1011" t="s">
        <v>214</v>
      </c>
      <c r="X1011" t="s">
        <v>266</v>
      </c>
      <c r="Y1011" t="s">
        <v>267</v>
      </c>
      <c r="Z1011" t="s">
        <v>65</v>
      </c>
    </row>
    <row r="1012" spans="1:26" x14ac:dyDescent="0.3">
      <c r="A1012">
        <v>10383</v>
      </c>
      <c r="B1012">
        <v>24</v>
      </c>
      <c r="C1012">
        <v>61.52</v>
      </c>
      <c r="D1012">
        <v>9</v>
      </c>
      <c r="E1012">
        <v>1476.48</v>
      </c>
      <c r="F1012" s="1">
        <v>38405</v>
      </c>
      <c r="G1012" t="s">
        <v>39</v>
      </c>
      <c r="H1012">
        <v>1</v>
      </c>
      <c r="I1012">
        <v>2</v>
      </c>
      <c r="J1012" t="str">
        <f>TEXT(DATE(2012,Table1[[#This Row],[MONTH_ID]],10),"mmm")</f>
        <v>Feb</v>
      </c>
      <c r="K1012">
        <v>2005</v>
      </c>
      <c r="L1012" t="s">
        <v>564</v>
      </c>
      <c r="M1012">
        <v>136</v>
      </c>
      <c r="N1012" t="s">
        <v>617</v>
      </c>
      <c r="O1012" t="s">
        <v>188</v>
      </c>
      <c r="P1012" t="s">
        <v>189</v>
      </c>
      <c r="Q1012" t="s">
        <v>190</v>
      </c>
      <c r="S1012" t="s">
        <v>191</v>
      </c>
      <c r="U1012">
        <v>28034</v>
      </c>
      <c r="V1012" t="s">
        <v>192</v>
      </c>
      <c r="W1012" t="s">
        <v>56</v>
      </c>
      <c r="X1012" t="s">
        <v>193</v>
      </c>
      <c r="Y1012" t="s">
        <v>194</v>
      </c>
      <c r="Z1012" t="s">
        <v>50</v>
      </c>
    </row>
    <row r="1013" spans="1:26" x14ac:dyDescent="0.3">
      <c r="A1013">
        <v>10396</v>
      </c>
      <c r="B1013">
        <v>33</v>
      </c>
      <c r="C1013">
        <v>100</v>
      </c>
      <c r="D1013">
        <v>2</v>
      </c>
      <c r="E1013">
        <v>5273.73</v>
      </c>
      <c r="F1013" s="1">
        <v>38434</v>
      </c>
      <c r="G1013" t="s">
        <v>39</v>
      </c>
      <c r="H1013">
        <v>1</v>
      </c>
      <c r="I1013">
        <v>3</v>
      </c>
      <c r="J1013" t="str">
        <f>TEXT(DATE(2012,Table1[[#This Row],[MONTH_ID]],10),"mmm")</f>
        <v>Mar</v>
      </c>
      <c r="K1013">
        <v>2005</v>
      </c>
      <c r="L1013" t="s">
        <v>564</v>
      </c>
      <c r="M1013">
        <v>136</v>
      </c>
      <c r="N1013" t="s">
        <v>617</v>
      </c>
      <c r="O1013" t="s">
        <v>286</v>
      </c>
      <c r="P1013">
        <v>4155551450</v>
      </c>
      <c r="Q1013" t="s">
        <v>287</v>
      </c>
      <c r="S1013" t="s">
        <v>288</v>
      </c>
      <c r="T1013" t="s">
        <v>69</v>
      </c>
      <c r="U1013">
        <v>97562</v>
      </c>
      <c r="V1013" t="s">
        <v>46</v>
      </c>
      <c r="W1013" t="s">
        <v>47</v>
      </c>
      <c r="X1013" t="s">
        <v>289</v>
      </c>
      <c r="Y1013" t="s">
        <v>290</v>
      </c>
      <c r="Z1013" t="s">
        <v>65</v>
      </c>
    </row>
    <row r="1014" spans="1:26" x14ac:dyDescent="0.3">
      <c r="A1014">
        <v>10414</v>
      </c>
      <c r="B1014">
        <v>41</v>
      </c>
      <c r="C1014">
        <v>100</v>
      </c>
      <c r="D1014">
        <v>12</v>
      </c>
      <c r="E1014">
        <v>4872.03</v>
      </c>
      <c r="F1014" s="1">
        <v>38478</v>
      </c>
      <c r="G1014" t="s">
        <v>415</v>
      </c>
      <c r="H1014">
        <v>2</v>
      </c>
      <c r="I1014">
        <v>5</v>
      </c>
      <c r="J1014" t="str">
        <f>TEXT(DATE(2012,Table1[[#This Row],[MONTH_ID]],10),"mmm")</f>
        <v>May</v>
      </c>
      <c r="K1014">
        <v>2005</v>
      </c>
      <c r="L1014" t="s">
        <v>564</v>
      </c>
      <c r="M1014">
        <v>136</v>
      </c>
      <c r="N1014" t="s">
        <v>617</v>
      </c>
      <c r="O1014" t="s">
        <v>393</v>
      </c>
      <c r="P1014">
        <v>6175559555</v>
      </c>
      <c r="Q1014" t="s">
        <v>394</v>
      </c>
      <c r="S1014" t="s">
        <v>395</v>
      </c>
      <c r="T1014" t="s">
        <v>137</v>
      </c>
      <c r="U1014">
        <v>51003</v>
      </c>
      <c r="V1014" t="s">
        <v>46</v>
      </c>
      <c r="W1014" t="s">
        <v>47</v>
      </c>
      <c r="X1014" t="s">
        <v>396</v>
      </c>
      <c r="Y1014" t="s">
        <v>80</v>
      </c>
      <c r="Z1014" t="s">
        <v>65</v>
      </c>
    </row>
    <row r="1015" spans="1:26" x14ac:dyDescent="0.3">
      <c r="A1015">
        <v>10104</v>
      </c>
      <c r="B1015">
        <v>23</v>
      </c>
      <c r="C1015">
        <v>100</v>
      </c>
      <c r="D1015">
        <v>13</v>
      </c>
      <c r="E1015">
        <v>4556.99</v>
      </c>
      <c r="F1015" s="1">
        <v>37652</v>
      </c>
      <c r="G1015" t="s">
        <v>39</v>
      </c>
      <c r="H1015">
        <v>1</v>
      </c>
      <c r="I1015">
        <v>1</v>
      </c>
      <c r="J1015" t="str">
        <f>TEXT(DATE(2012,Table1[[#This Row],[MONTH_ID]],10),"mmm")</f>
        <v>Jan</v>
      </c>
      <c r="K1015">
        <v>2003</v>
      </c>
      <c r="L1015" t="s">
        <v>195</v>
      </c>
      <c r="M1015">
        <v>169</v>
      </c>
      <c r="N1015" t="s">
        <v>618</v>
      </c>
      <c r="O1015" t="s">
        <v>188</v>
      </c>
      <c r="P1015" t="s">
        <v>189</v>
      </c>
      <c r="Q1015" t="s">
        <v>190</v>
      </c>
      <c r="S1015" t="s">
        <v>191</v>
      </c>
      <c r="U1015">
        <v>28034</v>
      </c>
      <c r="V1015" t="s">
        <v>192</v>
      </c>
      <c r="W1015" t="s">
        <v>56</v>
      </c>
      <c r="X1015" t="s">
        <v>193</v>
      </c>
      <c r="Y1015" t="s">
        <v>194</v>
      </c>
      <c r="Z1015" t="s">
        <v>65</v>
      </c>
    </row>
    <row r="1016" spans="1:26" x14ac:dyDescent="0.3">
      <c r="A1016">
        <v>10109</v>
      </c>
      <c r="B1016">
        <v>46</v>
      </c>
      <c r="C1016">
        <v>100</v>
      </c>
      <c r="D1016">
        <v>5</v>
      </c>
      <c r="E1016">
        <v>8257</v>
      </c>
      <c r="F1016" s="1">
        <v>37690</v>
      </c>
      <c r="G1016" t="s">
        <v>39</v>
      </c>
      <c r="H1016">
        <v>1</v>
      </c>
      <c r="I1016">
        <v>3</v>
      </c>
      <c r="J1016" t="str">
        <f>TEXT(DATE(2012,Table1[[#This Row],[MONTH_ID]],10),"mmm")</f>
        <v>Mar</v>
      </c>
      <c r="K1016">
        <v>2003</v>
      </c>
      <c r="L1016" t="s">
        <v>195</v>
      </c>
      <c r="M1016">
        <v>169</v>
      </c>
      <c r="N1016" t="s">
        <v>618</v>
      </c>
      <c r="O1016" t="s">
        <v>323</v>
      </c>
      <c r="P1016">
        <v>2155559857</v>
      </c>
      <c r="Q1016" t="s">
        <v>324</v>
      </c>
      <c r="S1016" t="s">
        <v>230</v>
      </c>
      <c r="T1016" t="s">
        <v>156</v>
      </c>
      <c r="U1016">
        <v>71270</v>
      </c>
      <c r="V1016" t="s">
        <v>46</v>
      </c>
      <c r="W1016" t="s">
        <v>47</v>
      </c>
      <c r="X1016" t="s">
        <v>138</v>
      </c>
      <c r="Y1016" t="s">
        <v>325</v>
      </c>
      <c r="Z1016" t="s">
        <v>165</v>
      </c>
    </row>
    <row r="1017" spans="1:26" x14ac:dyDescent="0.3">
      <c r="A1017">
        <v>10114</v>
      </c>
      <c r="B1017">
        <v>48</v>
      </c>
      <c r="C1017">
        <v>100</v>
      </c>
      <c r="D1017">
        <v>4</v>
      </c>
      <c r="E1017">
        <v>8209.44</v>
      </c>
      <c r="F1017" s="1">
        <v>37712</v>
      </c>
      <c r="G1017" t="s">
        <v>39</v>
      </c>
      <c r="H1017">
        <v>2</v>
      </c>
      <c r="I1017">
        <v>4</v>
      </c>
      <c r="J1017" t="str">
        <f>TEXT(DATE(2012,Table1[[#This Row],[MONTH_ID]],10),"mmm")</f>
        <v>Apr</v>
      </c>
      <c r="K1017">
        <v>2003</v>
      </c>
      <c r="L1017" t="s">
        <v>195</v>
      </c>
      <c r="M1017">
        <v>169</v>
      </c>
      <c r="N1017" t="s">
        <v>618</v>
      </c>
      <c r="O1017" t="s">
        <v>417</v>
      </c>
      <c r="P1017" t="s">
        <v>418</v>
      </c>
      <c r="Q1017" t="s">
        <v>419</v>
      </c>
      <c r="S1017" t="s">
        <v>62</v>
      </c>
      <c r="U1017">
        <v>75012</v>
      </c>
      <c r="V1017" t="s">
        <v>55</v>
      </c>
      <c r="W1017" t="s">
        <v>56</v>
      </c>
      <c r="X1017" t="s">
        <v>420</v>
      </c>
      <c r="Y1017" t="s">
        <v>421</v>
      </c>
      <c r="Z1017" t="s">
        <v>165</v>
      </c>
    </row>
    <row r="1018" spans="1:26" x14ac:dyDescent="0.3">
      <c r="A1018">
        <v>10122</v>
      </c>
      <c r="B1018">
        <v>25</v>
      </c>
      <c r="C1018">
        <v>100</v>
      </c>
      <c r="D1018">
        <v>3</v>
      </c>
      <c r="E1018">
        <v>3598.5</v>
      </c>
      <c r="F1018" s="1">
        <v>37749</v>
      </c>
      <c r="G1018" t="s">
        <v>39</v>
      </c>
      <c r="H1018">
        <v>2</v>
      </c>
      <c r="I1018">
        <v>5</v>
      </c>
      <c r="J1018" t="str">
        <f>TEXT(DATE(2012,Table1[[#This Row],[MONTH_ID]],10),"mmm")</f>
        <v>May</v>
      </c>
      <c r="K1018">
        <v>2003</v>
      </c>
      <c r="L1018" t="s">
        <v>195</v>
      </c>
      <c r="M1018">
        <v>169</v>
      </c>
      <c r="N1018" t="s">
        <v>618</v>
      </c>
      <c r="O1018" t="s">
        <v>447</v>
      </c>
      <c r="P1018" t="s">
        <v>448</v>
      </c>
      <c r="Q1018" t="s">
        <v>449</v>
      </c>
      <c r="S1018" t="s">
        <v>450</v>
      </c>
      <c r="U1018">
        <v>13008</v>
      </c>
      <c r="V1018" t="s">
        <v>55</v>
      </c>
      <c r="W1018" t="s">
        <v>56</v>
      </c>
      <c r="X1018" t="s">
        <v>451</v>
      </c>
      <c r="Y1018" t="s">
        <v>452</v>
      </c>
      <c r="Z1018" t="s">
        <v>65</v>
      </c>
    </row>
    <row r="1019" spans="1:26" x14ac:dyDescent="0.3">
      <c r="A1019">
        <v>10127</v>
      </c>
      <c r="B1019">
        <v>22</v>
      </c>
      <c r="C1019">
        <v>100</v>
      </c>
      <c r="D1019">
        <v>15</v>
      </c>
      <c r="E1019">
        <v>3837.24</v>
      </c>
      <c r="F1019" s="1">
        <v>37775</v>
      </c>
      <c r="G1019" t="s">
        <v>39</v>
      </c>
      <c r="H1019">
        <v>2</v>
      </c>
      <c r="I1019">
        <v>6</v>
      </c>
      <c r="J1019" t="str">
        <f>TEXT(DATE(2012,Table1[[#This Row],[MONTH_ID]],10),"mmm")</f>
        <v>Jun</v>
      </c>
      <c r="K1019">
        <v>2003</v>
      </c>
      <c r="L1019" t="s">
        <v>195</v>
      </c>
      <c r="M1019">
        <v>169</v>
      </c>
      <c r="N1019" t="s">
        <v>618</v>
      </c>
      <c r="O1019" t="s">
        <v>489</v>
      </c>
      <c r="P1019">
        <v>2125557413</v>
      </c>
      <c r="Q1019" t="s">
        <v>490</v>
      </c>
      <c r="R1019" t="s">
        <v>491</v>
      </c>
      <c r="S1019" t="s">
        <v>44</v>
      </c>
      <c r="T1019" t="s">
        <v>45</v>
      </c>
      <c r="U1019">
        <v>10022</v>
      </c>
      <c r="V1019" t="s">
        <v>46</v>
      </c>
      <c r="W1019" t="s">
        <v>47</v>
      </c>
      <c r="X1019" t="s">
        <v>70</v>
      </c>
      <c r="Y1019" t="s">
        <v>492</v>
      </c>
      <c r="Z1019" t="s">
        <v>65</v>
      </c>
    </row>
    <row r="1020" spans="1:26" x14ac:dyDescent="0.3">
      <c r="A1020">
        <v>10136</v>
      </c>
      <c r="B1020">
        <v>41</v>
      </c>
      <c r="C1020">
        <v>100</v>
      </c>
      <c r="D1020">
        <v>3</v>
      </c>
      <c r="E1020">
        <v>8331.61</v>
      </c>
      <c r="F1020" s="1">
        <v>37806</v>
      </c>
      <c r="G1020" t="s">
        <v>39</v>
      </c>
      <c r="H1020">
        <v>3</v>
      </c>
      <c r="I1020">
        <v>7</v>
      </c>
      <c r="J1020" t="str">
        <f>TEXT(DATE(2012,Table1[[#This Row],[MONTH_ID]],10),"mmm")</f>
        <v>Jul</v>
      </c>
      <c r="K1020">
        <v>2003</v>
      </c>
      <c r="L1020" t="s">
        <v>195</v>
      </c>
      <c r="M1020">
        <v>169</v>
      </c>
      <c r="N1020" t="s">
        <v>618</v>
      </c>
      <c r="O1020" t="s">
        <v>354</v>
      </c>
      <c r="P1020" t="s">
        <v>355</v>
      </c>
      <c r="Q1020" t="s">
        <v>356</v>
      </c>
      <c r="S1020" t="s">
        <v>357</v>
      </c>
      <c r="U1020">
        <v>31000</v>
      </c>
      <c r="V1020" t="s">
        <v>55</v>
      </c>
      <c r="W1020" t="s">
        <v>56</v>
      </c>
      <c r="X1020" t="s">
        <v>358</v>
      </c>
      <c r="Y1020" t="s">
        <v>359</v>
      </c>
      <c r="Z1020" t="s">
        <v>165</v>
      </c>
    </row>
    <row r="1021" spans="1:26" x14ac:dyDescent="0.3">
      <c r="A1021">
        <v>10141</v>
      </c>
      <c r="B1021">
        <v>34</v>
      </c>
      <c r="C1021">
        <v>100</v>
      </c>
      <c r="D1021">
        <v>9</v>
      </c>
      <c r="E1021">
        <v>4836.5</v>
      </c>
      <c r="F1021" s="1">
        <v>37834</v>
      </c>
      <c r="G1021" t="s">
        <v>39</v>
      </c>
      <c r="H1021">
        <v>3</v>
      </c>
      <c r="I1021">
        <v>8</v>
      </c>
      <c r="J1021" t="str">
        <f>TEXT(DATE(2012,Table1[[#This Row],[MONTH_ID]],10),"mmm")</f>
        <v>Aug</v>
      </c>
      <c r="K1021">
        <v>2003</v>
      </c>
      <c r="L1021" t="s">
        <v>195</v>
      </c>
      <c r="M1021">
        <v>169</v>
      </c>
      <c r="N1021" t="s">
        <v>618</v>
      </c>
      <c r="O1021" t="s">
        <v>481</v>
      </c>
      <c r="P1021" t="s">
        <v>482</v>
      </c>
      <c r="Q1021" t="s">
        <v>483</v>
      </c>
      <c r="S1021" t="s">
        <v>484</v>
      </c>
      <c r="U1021" t="s">
        <v>485</v>
      </c>
      <c r="V1021" t="s">
        <v>144</v>
      </c>
      <c r="W1021" t="s">
        <v>56</v>
      </c>
      <c r="X1021" t="s">
        <v>486</v>
      </c>
      <c r="Y1021" t="s">
        <v>487</v>
      </c>
      <c r="Z1021" t="s">
        <v>65</v>
      </c>
    </row>
    <row r="1022" spans="1:26" x14ac:dyDescent="0.3">
      <c r="A1022">
        <v>10148</v>
      </c>
      <c r="B1022">
        <v>32</v>
      </c>
      <c r="C1022">
        <v>100</v>
      </c>
      <c r="D1022">
        <v>14</v>
      </c>
      <c r="E1022">
        <v>5418.88</v>
      </c>
      <c r="F1022" s="1">
        <v>37875</v>
      </c>
      <c r="G1022" t="s">
        <v>39</v>
      </c>
      <c r="H1022">
        <v>3</v>
      </c>
      <c r="I1022">
        <v>9</v>
      </c>
      <c r="J1022" t="str">
        <f>TEXT(DATE(2012,Table1[[#This Row],[MONTH_ID]],10),"mmm")</f>
        <v>Sep</v>
      </c>
      <c r="K1022">
        <v>2003</v>
      </c>
      <c r="L1022" t="s">
        <v>195</v>
      </c>
      <c r="M1022">
        <v>169</v>
      </c>
      <c r="N1022" t="s">
        <v>618</v>
      </c>
      <c r="O1022" t="s">
        <v>299</v>
      </c>
      <c r="P1022" t="s">
        <v>300</v>
      </c>
      <c r="Q1022" t="s">
        <v>301</v>
      </c>
      <c r="R1022" t="s">
        <v>302</v>
      </c>
      <c r="S1022" t="s">
        <v>303</v>
      </c>
      <c r="T1022" t="s">
        <v>171</v>
      </c>
      <c r="U1022">
        <v>2060</v>
      </c>
      <c r="V1022" t="s">
        <v>109</v>
      </c>
      <c r="W1022" t="s">
        <v>110</v>
      </c>
      <c r="X1022" t="s">
        <v>304</v>
      </c>
      <c r="Y1022" t="s">
        <v>305</v>
      </c>
      <c r="Z1022" t="s">
        <v>65</v>
      </c>
    </row>
    <row r="1023" spans="1:26" x14ac:dyDescent="0.3">
      <c r="A1023">
        <v>10151</v>
      </c>
      <c r="B1023">
        <v>21</v>
      </c>
      <c r="C1023">
        <v>100</v>
      </c>
      <c r="D1023">
        <v>7</v>
      </c>
      <c r="E1023">
        <v>3734.01</v>
      </c>
      <c r="F1023" s="1">
        <v>37885</v>
      </c>
      <c r="G1023" t="s">
        <v>39</v>
      </c>
      <c r="H1023">
        <v>3</v>
      </c>
      <c r="I1023">
        <v>9</v>
      </c>
      <c r="J1023" t="str">
        <f>TEXT(DATE(2012,Table1[[#This Row],[MONTH_ID]],10),"mmm")</f>
        <v>Sep</v>
      </c>
      <c r="K1023">
        <v>2003</v>
      </c>
      <c r="L1023" t="s">
        <v>195</v>
      </c>
      <c r="M1023">
        <v>169</v>
      </c>
      <c r="N1023" t="s">
        <v>618</v>
      </c>
      <c r="O1023" t="s">
        <v>405</v>
      </c>
      <c r="P1023" t="s">
        <v>406</v>
      </c>
      <c r="Q1023" t="s">
        <v>407</v>
      </c>
      <c r="S1023" t="s">
        <v>408</v>
      </c>
      <c r="U1023">
        <v>90110</v>
      </c>
      <c r="V1023" t="s">
        <v>144</v>
      </c>
      <c r="W1023" t="s">
        <v>56</v>
      </c>
      <c r="X1023" t="s">
        <v>409</v>
      </c>
      <c r="Y1023" t="s">
        <v>410</v>
      </c>
      <c r="Z1023" t="s">
        <v>65</v>
      </c>
    </row>
    <row r="1024" spans="1:26" x14ac:dyDescent="0.3">
      <c r="A1024">
        <v>10160</v>
      </c>
      <c r="B1024">
        <v>20</v>
      </c>
      <c r="C1024">
        <v>100</v>
      </c>
      <c r="D1024">
        <v>1</v>
      </c>
      <c r="E1024">
        <v>3996.4</v>
      </c>
      <c r="F1024" s="1">
        <v>37905</v>
      </c>
      <c r="G1024" t="s">
        <v>39</v>
      </c>
      <c r="H1024">
        <v>4</v>
      </c>
      <c r="I1024">
        <v>10</v>
      </c>
      <c r="J1024" t="str">
        <f>TEXT(DATE(2012,Table1[[#This Row],[MONTH_ID]],10),"mmm")</f>
        <v>Oct</v>
      </c>
      <c r="K1024">
        <v>2003</v>
      </c>
      <c r="L1024" t="s">
        <v>195</v>
      </c>
      <c r="M1024">
        <v>169</v>
      </c>
      <c r="N1024" t="s">
        <v>618</v>
      </c>
      <c r="O1024" t="s">
        <v>372</v>
      </c>
      <c r="P1024">
        <v>2155554369</v>
      </c>
      <c r="Q1024" t="s">
        <v>373</v>
      </c>
      <c r="S1024" t="s">
        <v>374</v>
      </c>
      <c r="T1024" t="s">
        <v>69</v>
      </c>
      <c r="V1024" t="s">
        <v>46</v>
      </c>
      <c r="W1024" t="s">
        <v>47</v>
      </c>
      <c r="X1024" t="s">
        <v>375</v>
      </c>
      <c r="Y1024" t="s">
        <v>117</v>
      </c>
      <c r="Z1024" t="s">
        <v>65</v>
      </c>
    </row>
    <row r="1025" spans="1:26" x14ac:dyDescent="0.3">
      <c r="A1025">
        <v>10165</v>
      </c>
      <c r="B1025">
        <v>47</v>
      </c>
      <c r="C1025">
        <v>100</v>
      </c>
      <c r="D1025">
        <v>16</v>
      </c>
      <c r="E1025">
        <v>8754.69</v>
      </c>
      <c r="F1025" s="1">
        <v>37916</v>
      </c>
      <c r="G1025" t="s">
        <v>39</v>
      </c>
      <c r="H1025">
        <v>4</v>
      </c>
      <c r="I1025">
        <v>10</v>
      </c>
      <c r="J1025" t="str">
        <f>TEXT(DATE(2012,Table1[[#This Row],[MONTH_ID]],10),"mmm")</f>
        <v>Oct</v>
      </c>
      <c r="K1025">
        <v>2003</v>
      </c>
      <c r="L1025" t="s">
        <v>195</v>
      </c>
      <c r="M1025">
        <v>169</v>
      </c>
      <c r="N1025" t="s">
        <v>618</v>
      </c>
      <c r="O1025" t="s">
        <v>210</v>
      </c>
      <c r="P1025" t="s">
        <v>211</v>
      </c>
      <c r="Q1025" t="s">
        <v>212</v>
      </c>
      <c r="S1025" t="s">
        <v>213</v>
      </c>
      <c r="U1025">
        <v>79903</v>
      </c>
      <c r="V1025" t="s">
        <v>213</v>
      </c>
      <c r="W1025" t="s">
        <v>214</v>
      </c>
      <c r="X1025" t="s">
        <v>215</v>
      </c>
      <c r="Y1025" t="s">
        <v>216</v>
      </c>
      <c r="Z1025" t="s">
        <v>165</v>
      </c>
    </row>
    <row r="1026" spans="1:26" x14ac:dyDescent="0.3">
      <c r="A1026">
        <v>10171</v>
      </c>
      <c r="B1026">
        <v>39</v>
      </c>
      <c r="C1026">
        <v>100</v>
      </c>
      <c r="D1026">
        <v>3</v>
      </c>
      <c r="E1026">
        <v>5481.45</v>
      </c>
      <c r="F1026" s="1">
        <v>37930</v>
      </c>
      <c r="G1026" t="s">
        <v>39</v>
      </c>
      <c r="H1026">
        <v>4</v>
      </c>
      <c r="I1026">
        <v>11</v>
      </c>
      <c r="J1026" t="str">
        <f>TEXT(DATE(2012,Table1[[#This Row],[MONTH_ID]],10),"mmm")</f>
        <v>Nov</v>
      </c>
      <c r="K1026">
        <v>2003</v>
      </c>
      <c r="L1026" t="s">
        <v>195</v>
      </c>
      <c r="M1026">
        <v>169</v>
      </c>
      <c r="N1026" t="s">
        <v>618</v>
      </c>
      <c r="O1026" t="s">
        <v>306</v>
      </c>
      <c r="P1026" t="s">
        <v>307</v>
      </c>
      <c r="Q1026" t="s">
        <v>308</v>
      </c>
      <c r="S1026" t="s">
        <v>309</v>
      </c>
      <c r="T1026" t="s">
        <v>310</v>
      </c>
      <c r="U1026" t="s">
        <v>311</v>
      </c>
      <c r="V1026" t="s">
        <v>245</v>
      </c>
      <c r="W1026" t="s">
        <v>47</v>
      </c>
      <c r="X1026" t="s">
        <v>312</v>
      </c>
      <c r="Y1026" t="s">
        <v>313</v>
      </c>
      <c r="Z1026" t="s">
        <v>65</v>
      </c>
    </row>
    <row r="1027" spans="1:26" x14ac:dyDescent="0.3">
      <c r="A1027">
        <v>10175</v>
      </c>
      <c r="B1027">
        <v>29</v>
      </c>
      <c r="C1027">
        <v>100</v>
      </c>
      <c r="D1027">
        <v>5</v>
      </c>
      <c r="E1027">
        <v>4419.8900000000003</v>
      </c>
      <c r="F1027" s="1">
        <v>37931</v>
      </c>
      <c r="G1027" t="s">
        <v>39</v>
      </c>
      <c r="H1027">
        <v>4</v>
      </c>
      <c r="I1027">
        <v>11</v>
      </c>
      <c r="J1027" t="str">
        <f>TEXT(DATE(2012,Table1[[#This Row],[MONTH_ID]],10),"mmm")</f>
        <v>Nov</v>
      </c>
      <c r="K1027">
        <v>2003</v>
      </c>
      <c r="L1027" t="s">
        <v>195</v>
      </c>
      <c r="M1027">
        <v>169</v>
      </c>
      <c r="N1027" t="s">
        <v>618</v>
      </c>
      <c r="O1027" t="s">
        <v>343</v>
      </c>
      <c r="P1027" t="s">
        <v>344</v>
      </c>
      <c r="Q1027" t="s">
        <v>345</v>
      </c>
      <c r="S1027" t="s">
        <v>346</v>
      </c>
      <c r="U1027" t="s">
        <v>347</v>
      </c>
      <c r="V1027" t="s">
        <v>184</v>
      </c>
      <c r="W1027" t="s">
        <v>56</v>
      </c>
      <c r="X1027" t="s">
        <v>75</v>
      </c>
      <c r="Y1027" t="s">
        <v>348</v>
      </c>
      <c r="Z1027" t="s">
        <v>65</v>
      </c>
    </row>
    <row r="1028" spans="1:26" x14ac:dyDescent="0.3">
      <c r="A1028">
        <v>10181</v>
      </c>
      <c r="B1028">
        <v>45</v>
      </c>
      <c r="C1028">
        <v>100</v>
      </c>
      <c r="D1028">
        <v>7</v>
      </c>
      <c r="E1028">
        <v>6324.75</v>
      </c>
      <c r="F1028" s="1">
        <v>37937</v>
      </c>
      <c r="G1028" t="s">
        <v>39</v>
      </c>
      <c r="H1028">
        <v>4</v>
      </c>
      <c r="I1028">
        <v>11</v>
      </c>
      <c r="J1028" t="str">
        <f>TEXT(DATE(2012,Table1[[#This Row],[MONTH_ID]],10),"mmm")</f>
        <v>Nov</v>
      </c>
      <c r="K1028">
        <v>2003</v>
      </c>
      <c r="L1028" t="s">
        <v>195</v>
      </c>
      <c r="M1028">
        <v>169</v>
      </c>
      <c r="N1028" t="s">
        <v>618</v>
      </c>
      <c r="O1028" t="s">
        <v>87</v>
      </c>
      <c r="P1028" t="s">
        <v>88</v>
      </c>
      <c r="Q1028" t="s">
        <v>89</v>
      </c>
      <c r="S1028" t="s">
        <v>90</v>
      </c>
      <c r="U1028" t="s">
        <v>91</v>
      </c>
      <c r="V1028" t="s">
        <v>92</v>
      </c>
      <c r="W1028" t="s">
        <v>56</v>
      </c>
      <c r="X1028" t="s">
        <v>93</v>
      </c>
      <c r="Y1028" t="s">
        <v>94</v>
      </c>
      <c r="Z1028" t="s">
        <v>65</v>
      </c>
    </row>
    <row r="1029" spans="1:26" x14ac:dyDescent="0.3">
      <c r="A1029">
        <v>10184</v>
      </c>
      <c r="B1029">
        <v>28</v>
      </c>
      <c r="C1029">
        <v>100</v>
      </c>
      <c r="D1029">
        <v>10</v>
      </c>
      <c r="E1029">
        <v>4409.72</v>
      </c>
      <c r="F1029" s="1">
        <v>37939</v>
      </c>
      <c r="G1029" t="s">
        <v>39</v>
      </c>
      <c r="H1029">
        <v>4</v>
      </c>
      <c r="I1029">
        <v>11</v>
      </c>
      <c r="J1029" t="str">
        <f>TEXT(DATE(2012,Table1[[#This Row],[MONTH_ID]],10),"mmm")</f>
        <v>Nov</v>
      </c>
      <c r="K1029">
        <v>2003</v>
      </c>
      <c r="L1029" t="s">
        <v>195</v>
      </c>
      <c r="M1029">
        <v>169</v>
      </c>
      <c r="N1029" t="s">
        <v>618</v>
      </c>
      <c r="O1029" t="s">
        <v>534</v>
      </c>
      <c r="P1029" t="s">
        <v>535</v>
      </c>
      <c r="Q1029" t="s">
        <v>536</v>
      </c>
      <c r="S1029" t="s">
        <v>537</v>
      </c>
      <c r="U1029">
        <v>41101</v>
      </c>
      <c r="V1029" t="s">
        <v>192</v>
      </c>
      <c r="W1029" t="s">
        <v>56</v>
      </c>
      <c r="X1029" t="s">
        <v>538</v>
      </c>
      <c r="Y1029" t="s">
        <v>539</v>
      </c>
      <c r="Z1029" t="s">
        <v>65</v>
      </c>
    </row>
    <row r="1030" spans="1:26" x14ac:dyDescent="0.3">
      <c r="A1030">
        <v>10192</v>
      </c>
      <c r="B1030">
        <v>26</v>
      </c>
      <c r="C1030">
        <v>100</v>
      </c>
      <c r="D1030">
        <v>12</v>
      </c>
      <c r="E1030">
        <v>3918.46</v>
      </c>
      <c r="F1030" s="1">
        <v>37945</v>
      </c>
      <c r="G1030" t="s">
        <v>39</v>
      </c>
      <c r="H1030">
        <v>4</v>
      </c>
      <c r="I1030">
        <v>11</v>
      </c>
      <c r="J1030" t="str">
        <f>TEXT(DATE(2012,Table1[[#This Row],[MONTH_ID]],10),"mmm")</f>
        <v>Nov</v>
      </c>
      <c r="K1030">
        <v>2003</v>
      </c>
      <c r="L1030" t="s">
        <v>195</v>
      </c>
      <c r="M1030">
        <v>169</v>
      </c>
      <c r="N1030" t="s">
        <v>618</v>
      </c>
      <c r="O1030" t="s">
        <v>291</v>
      </c>
      <c r="P1030">
        <v>6035558647</v>
      </c>
      <c r="Q1030" t="s">
        <v>292</v>
      </c>
      <c r="S1030" t="s">
        <v>293</v>
      </c>
      <c r="T1030" t="s">
        <v>294</v>
      </c>
      <c r="U1030">
        <v>62005</v>
      </c>
      <c r="V1030" t="s">
        <v>46</v>
      </c>
      <c r="W1030" t="s">
        <v>47</v>
      </c>
      <c r="X1030" t="s">
        <v>70</v>
      </c>
      <c r="Y1030" t="s">
        <v>290</v>
      </c>
      <c r="Z1030" t="s">
        <v>65</v>
      </c>
    </row>
    <row r="1031" spans="1:26" x14ac:dyDescent="0.3">
      <c r="A1031">
        <v>10195</v>
      </c>
      <c r="B1031">
        <v>50</v>
      </c>
      <c r="C1031">
        <v>100</v>
      </c>
      <c r="D1031">
        <v>10</v>
      </c>
      <c r="E1031">
        <v>7620.5</v>
      </c>
      <c r="F1031" s="1">
        <v>37950</v>
      </c>
      <c r="G1031" t="s">
        <v>39</v>
      </c>
      <c r="H1031">
        <v>4</v>
      </c>
      <c r="I1031">
        <v>11</v>
      </c>
      <c r="J1031" t="str">
        <f>TEXT(DATE(2012,Table1[[#This Row],[MONTH_ID]],10),"mmm")</f>
        <v>Nov</v>
      </c>
      <c r="K1031">
        <v>2003</v>
      </c>
      <c r="L1031" t="s">
        <v>195</v>
      </c>
      <c r="M1031">
        <v>169</v>
      </c>
      <c r="N1031" t="s">
        <v>618</v>
      </c>
      <c r="O1031" t="s">
        <v>331</v>
      </c>
      <c r="P1031">
        <v>9145554562</v>
      </c>
      <c r="Q1031" t="s">
        <v>332</v>
      </c>
      <c r="S1031" t="s">
        <v>333</v>
      </c>
      <c r="T1031" t="s">
        <v>45</v>
      </c>
      <c r="U1031">
        <v>24067</v>
      </c>
      <c r="V1031" t="s">
        <v>46</v>
      </c>
      <c r="W1031" t="s">
        <v>47</v>
      </c>
      <c r="X1031" t="s">
        <v>116</v>
      </c>
      <c r="Y1031" t="s">
        <v>252</v>
      </c>
      <c r="Z1031" t="s">
        <v>165</v>
      </c>
    </row>
    <row r="1032" spans="1:26" x14ac:dyDescent="0.3">
      <c r="A1032">
        <v>10203</v>
      </c>
      <c r="B1032">
        <v>48</v>
      </c>
      <c r="C1032">
        <v>100</v>
      </c>
      <c r="D1032">
        <v>1</v>
      </c>
      <c r="E1032">
        <v>8291.0400000000009</v>
      </c>
      <c r="F1032" s="1">
        <v>37957</v>
      </c>
      <c r="G1032" t="s">
        <v>39</v>
      </c>
      <c r="H1032">
        <v>4</v>
      </c>
      <c r="I1032">
        <v>12</v>
      </c>
      <c r="J1032" t="str">
        <f>TEXT(DATE(2012,Table1[[#This Row],[MONTH_ID]],10),"mmm")</f>
        <v>Dec</v>
      </c>
      <c r="K1032">
        <v>2003</v>
      </c>
      <c r="L1032" t="s">
        <v>195</v>
      </c>
      <c r="M1032">
        <v>169</v>
      </c>
      <c r="N1032" t="s">
        <v>618</v>
      </c>
      <c r="O1032" t="s">
        <v>188</v>
      </c>
      <c r="P1032" t="s">
        <v>189</v>
      </c>
      <c r="Q1032" t="s">
        <v>190</v>
      </c>
      <c r="S1032" t="s">
        <v>191</v>
      </c>
      <c r="U1032">
        <v>28034</v>
      </c>
      <c r="V1032" t="s">
        <v>192</v>
      </c>
      <c r="W1032" t="s">
        <v>56</v>
      </c>
      <c r="X1032" t="s">
        <v>193</v>
      </c>
      <c r="Y1032" t="s">
        <v>194</v>
      </c>
      <c r="Z1032" t="s">
        <v>165</v>
      </c>
    </row>
    <row r="1033" spans="1:26" x14ac:dyDescent="0.3">
      <c r="A1033">
        <v>10207</v>
      </c>
      <c r="B1033">
        <v>25</v>
      </c>
      <c r="C1033">
        <v>100</v>
      </c>
      <c r="D1033">
        <v>11</v>
      </c>
      <c r="E1033">
        <v>3937.25</v>
      </c>
      <c r="F1033" s="1">
        <v>37964</v>
      </c>
      <c r="G1033" t="s">
        <v>39</v>
      </c>
      <c r="H1033">
        <v>4</v>
      </c>
      <c r="I1033">
        <v>12</v>
      </c>
      <c r="J1033" t="str">
        <f>TEXT(DATE(2012,Table1[[#This Row],[MONTH_ID]],10),"mmm")</f>
        <v>Dec</v>
      </c>
      <c r="K1033">
        <v>2003</v>
      </c>
      <c r="L1033" t="s">
        <v>195</v>
      </c>
      <c r="M1033">
        <v>169</v>
      </c>
      <c r="N1033" t="s">
        <v>618</v>
      </c>
      <c r="O1033" t="s">
        <v>429</v>
      </c>
      <c r="P1033">
        <v>6175552555</v>
      </c>
      <c r="Q1033" t="s">
        <v>430</v>
      </c>
      <c r="S1033" t="s">
        <v>395</v>
      </c>
      <c r="T1033" t="s">
        <v>137</v>
      </c>
      <c r="U1033">
        <v>51003</v>
      </c>
      <c r="V1033" t="s">
        <v>46</v>
      </c>
      <c r="W1033" t="s">
        <v>47</v>
      </c>
      <c r="X1033" t="s">
        <v>431</v>
      </c>
      <c r="Y1033" t="s">
        <v>290</v>
      </c>
      <c r="Z1033" t="s">
        <v>65</v>
      </c>
    </row>
    <row r="1034" spans="1:26" x14ac:dyDescent="0.3">
      <c r="A1034">
        <v>10212</v>
      </c>
      <c r="B1034">
        <v>40</v>
      </c>
      <c r="C1034">
        <v>100</v>
      </c>
      <c r="D1034">
        <v>11</v>
      </c>
      <c r="E1034">
        <v>5554.4</v>
      </c>
      <c r="F1034" s="1">
        <v>38002</v>
      </c>
      <c r="G1034" t="s">
        <v>39</v>
      </c>
      <c r="H1034">
        <v>1</v>
      </c>
      <c r="I1034">
        <v>1</v>
      </c>
      <c r="J1034" t="str">
        <f>TEXT(DATE(2012,Table1[[#This Row],[MONTH_ID]],10),"mmm")</f>
        <v>Jan</v>
      </c>
      <c r="K1034">
        <v>2004</v>
      </c>
      <c r="L1034" t="s">
        <v>195</v>
      </c>
      <c r="M1034">
        <v>169</v>
      </c>
      <c r="N1034" t="s">
        <v>618</v>
      </c>
      <c r="O1034" t="s">
        <v>188</v>
      </c>
      <c r="P1034" t="s">
        <v>189</v>
      </c>
      <c r="Q1034" t="s">
        <v>190</v>
      </c>
      <c r="S1034" t="s">
        <v>191</v>
      </c>
      <c r="U1034">
        <v>28034</v>
      </c>
      <c r="V1034" t="s">
        <v>192</v>
      </c>
      <c r="W1034" t="s">
        <v>56</v>
      </c>
      <c r="X1034" t="s">
        <v>193</v>
      </c>
      <c r="Y1034" t="s">
        <v>194</v>
      </c>
      <c r="Z1034" t="s">
        <v>65</v>
      </c>
    </row>
    <row r="1035" spans="1:26" x14ac:dyDescent="0.3">
      <c r="A1035">
        <v>10225</v>
      </c>
      <c r="B1035">
        <v>43</v>
      </c>
      <c r="C1035">
        <v>100</v>
      </c>
      <c r="D1035">
        <v>2</v>
      </c>
      <c r="E1035">
        <v>6407.86</v>
      </c>
      <c r="F1035" s="1">
        <v>38039</v>
      </c>
      <c r="G1035" t="s">
        <v>39</v>
      </c>
      <c r="H1035">
        <v>1</v>
      </c>
      <c r="I1035">
        <v>2</v>
      </c>
      <c r="J1035" t="str">
        <f>TEXT(DATE(2012,Table1[[#This Row],[MONTH_ID]],10),"mmm")</f>
        <v>Feb</v>
      </c>
      <c r="K1035">
        <v>2004</v>
      </c>
      <c r="L1035" t="s">
        <v>195</v>
      </c>
      <c r="M1035">
        <v>169</v>
      </c>
      <c r="N1035" t="s">
        <v>618</v>
      </c>
      <c r="O1035" t="s">
        <v>460</v>
      </c>
      <c r="P1035" t="s">
        <v>461</v>
      </c>
      <c r="Q1035" t="s">
        <v>462</v>
      </c>
      <c r="S1035" t="s">
        <v>463</v>
      </c>
      <c r="U1035">
        <v>1203</v>
      </c>
      <c r="V1035" t="s">
        <v>464</v>
      </c>
      <c r="W1035" t="s">
        <v>56</v>
      </c>
      <c r="X1035" t="s">
        <v>465</v>
      </c>
      <c r="Y1035" t="s">
        <v>117</v>
      </c>
      <c r="Z1035" t="s">
        <v>65</v>
      </c>
    </row>
    <row r="1036" spans="1:26" x14ac:dyDescent="0.3">
      <c r="A1036">
        <v>10229</v>
      </c>
      <c r="B1036">
        <v>22</v>
      </c>
      <c r="C1036">
        <v>100</v>
      </c>
      <c r="D1036">
        <v>5</v>
      </c>
      <c r="E1036">
        <v>4172.5200000000004</v>
      </c>
      <c r="F1036" s="1">
        <v>38057</v>
      </c>
      <c r="G1036" t="s">
        <v>39</v>
      </c>
      <c r="H1036">
        <v>1</v>
      </c>
      <c r="I1036">
        <v>3</v>
      </c>
      <c r="J1036" t="str">
        <f>TEXT(DATE(2012,Table1[[#This Row],[MONTH_ID]],10),"mmm")</f>
        <v>Mar</v>
      </c>
      <c r="K1036">
        <v>2004</v>
      </c>
      <c r="L1036" t="s">
        <v>195</v>
      </c>
      <c r="M1036">
        <v>169</v>
      </c>
      <c r="N1036" t="s">
        <v>618</v>
      </c>
      <c r="O1036" t="s">
        <v>286</v>
      </c>
      <c r="P1036">
        <v>4155551450</v>
      </c>
      <c r="Q1036" t="s">
        <v>287</v>
      </c>
      <c r="S1036" t="s">
        <v>288</v>
      </c>
      <c r="T1036" t="s">
        <v>69</v>
      </c>
      <c r="U1036">
        <v>97562</v>
      </c>
      <c r="V1036" t="s">
        <v>46</v>
      </c>
      <c r="W1036" t="s">
        <v>47</v>
      </c>
      <c r="X1036" t="s">
        <v>289</v>
      </c>
      <c r="Y1036" t="s">
        <v>290</v>
      </c>
      <c r="Z1036" t="s">
        <v>65</v>
      </c>
    </row>
    <row r="1037" spans="1:26" x14ac:dyDescent="0.3">
      <c r="A1037">
        <v>10239</v>
      </c>
      <c r="B1037">
        <v>47</v>
      </c>
      <c r="C1037">
        <v>100</v>
      </c>
      <c r="D1037">
        <v>1</v>
      </c>
      <c r="E1037">
        <v>7083.37</v>
      </c>
      <c r="F1037" s="1">
        <v>38089</v>
      </c>
      <c r="G1037" t="s">
        <v>39</v>
      </c>
      <c r="H1037">
        <v>2</v>
      </c>
      <c r="I1037">
        <v>4</v>
      </c>
      <c r="J1037" t="str">
        <f>TEXT(DATE(2012,Table1[[#This Row],[MONTH_ID]],10),"mmm")</f>
        <v>Apr</v>
      </c>
      <c r="K1037">
        <v>2004</v>
      </c>
      <c r="L1037" t="s">
        <v>195</v>
      </c>
      <c r="M1037">
        <v>169</v>
      </c>
      <c r="N1037" t="s">
        <v>618</v>
      </c>
      <c r="O1037" t="s">
        <v>405</v>
      </c>
      <c r="P1037" t="s">
        <v>406</v>
      </c>
      <c r="Q1037" t="s">
        <v>407</v>
      </c>
      <c r="S1037" t="s">
        <v>408</v>
      </c>
      <c r="U1037">
        <v>90110</v>
      </c>
      <c r="V1037" t="s">
        <v>144</v>
      </c>
      <c r="W1037" t="s">
        <v>56</v>
      </c>
      <c r="X1037" t="s">
        <v>409</v>
      </c>
      <c r="Y1037" t="s">
        <v>410</v>
      </c>
      <c r="Z1037" t="s">
        <v>165</v>
      </c>
    </row>
    <row r="1038" spans="1:26" x14ac:dyDescent="0.3">
      <c r="A1038">
        <v>10246</v>
      </c>
      <c r="B1038">
        <v>36</v>
      </c>
      <c r="C1038">
        <v>100</v>
      </c>
      <c r="D1038">
        <v>9</v>
      </c>
      <c r="E1038">
        <v>7132.68</v>
      </c>
      <c r="F1038" s="1">
        <v>38112</v>
      </c>
      <c r="G1038" t="s">
        <v>39</v>
      </c>
      <c r="H1038">
        <v>2</v>
      </c>
      <c r="I1038">
        <v>5</v>
      </c>
      <c r="J1038" t="str">
        <f>TEXT(DATE(2012,Table1[[#This Row],[MONTH_ID]],10),"mmm")</f>
        <v>May</v>
      </c>
      <c r="K1038">
        <v>2004</v>
      </c>
      <c r="L1038" t="s">
        <v>195</v>
      </c>
      <c r="M1038">
        <v>169</v>
      </c>
      <c r="N1038" t="s">
        <v>618</v>
      </c>
      <c r="O1038" t="s">
        <v>188</v>
      </c>
      <c r="P1038" t="s">
        <v>189</v>
      </c>
      <c r="Q1038" t="s">
        <v>190</v>
      </c>
      <c r="S1038" t="s">
        <v>191</v>
      </c>
      <c r="U1038">
        <v>28034</v>
      </c>
      <c r="V1038" t="s">
        <v>192</v>
      </c>
      <c r="W1038" t="s">
        <v>56</v>
      </c>
      <c r="X1038" t="s">
        <v>193</v>
      </c>
      <c r="Y1038" t="s">
        <v>194</v>
      </c>
      <c r="Z1038" t="s">
        <v>165</v>
      </c>
    </row>
    <row r="1039" spans="1:26" x14ac:dyDescent="0.3">
      <c r="A1039">
        <v>10253</v>
      </c>
      <c r="B1039">
        <v>40</v>
      </c>
      <c r="C1039">
        <v>100</v>
      </c>
      <c r="D1039">
        <v>6</v>
      </c>
      <c r="E1039">
        <v>6773.6</v>
      </c>
      <c r="F1039" s="1">
        <v>38139</v>
      </c>
      <c r="G1039" t="s">
        <v>353</v>
      </c>
      <c r="H1039">
        <v>2</v>
      </c>
      <c r="I1039">
        <v>6</v>
      </c>
      <c r="J1039" t="str">
        <f>TEXT(DATE(2012,Table1[[#This Row],[MONTH_ID]],10),"mmm")</f>
        <v>Jun</v>
      </c>
      <c r="K1039">
        <v>2004</v>
      </c>
      <c r="L1039" t="s">
        <v>195</v>
      </c>
      <c r="M1039">
        <v>169</v>
      </c>
      <c r="N1039" t="s">
        <v>618</v>
      </c>
      <c r="O1039" t="s">
        <v>179</v>
      </c>
      <c r="P1039" t="s">
        <v>180</v>
      </c>
      <c r="Q1039" t="s">
        <v>181</v>
      </c>
      <c r="S1039" t="s">
        <v>182</v>
      </c>
      <c r="U1039" t="s">
        <v>183</v>
      </c>
      <c r="V1039" t="s">
        <v>184</v>
      </c>
      <c r="W1039" t="s">
        <v>56</v>
      </c>
      <c r="X1039" t="s">
        <v>185</v>
      </c>
      <c r="Y1039" t="s">
        <v>186</v>
      </c>
      <c r="Z1039" t="s">
        <v>65</v>
      </c>
    </row>
    <row r="1040" spans="1:26" x14ac:dyDescent="0.3">
      <c r="A1040">
        <v>10259</v>
      </c>
      <c r="B1040">
        <v>27</v>
      </c>
      <c r="C1040">
        <v>100</v>
      </c>
      <c r="D1040">
        <v>8</v>
      </c>
      <c r="E1040">
        <v>3657.69</v>
      </c>
      <c r="F1040" s="1">
        <v>38153</v>
      </c>
      <c r="G1040" t="s">
        <v>39</v>
      </c>
      <c r="H1040">
        <v>2</v>
      </c>
      <c r="I1040">
        <v>6</v>
      </c>
      <c r="J1040" t="str">
        <f>TEXT(DATE(2012,Table1[[#This Row],[MONTH_ID]],10),"mmm")</f>
        <v>Jun</v>
      </c>
      <c r="K1040">
        <v>2004</v>
      </c>
      <c r="L1040" t="s">
        <v>195</v>
      </c>
      <c r="M1040">
        <v>169</v>
      </c>
      <c r="N1040" t="s">
        <v>618</v>
      </c>
      <c r="O1040" t="s">
        <v>432</v>
      </c>
      <c r="P1040" t="s">
        <v>433</v>
      </c>
      <c r="Q1040" t="s">
        <v>434</v>
      </c>
      <c r="R1040" t="s">
        <v>435</v>
      </c>
      <c r="S1040" t="s">
        <v>213</v>
      </c>
      <c r="U1040">
        <v>69045</v>
      </c>
      <c r="V1040" t="s">
        <v>213</v>
      </c>
      <c r="W1040" t="s">
        <v>110</v>
      </c>
      <c r="X1040" t="s">
        <v>436</v>
      </c>
      <c r="Y1040" t="s">
        <v>437</v>
      </c>
      <c r="Z1040" t="s">
        <v>65</v>
      </c>
    </row>
    <row r="1041" spans="1:26" x14ac:dyDescent="0.3">
      <c r="A1041">
        <v>10266</v>
      </c>
      <c r="B1041">
        <v>29</v>
      </c>
      <c r="C1041">
        <v>100</v>
      </c>
      <c r="D1041">
        <v>7</v>
      </c>
      <c r="E1041">
        <v>4812.55</v>
      </c>
      <c r="F1041" s="1">
        <v>38174</v>
      </c>
      <c r="G1041" t="s">
        <v>39</v>
      </c>
      <c r="H1041">
        <v>3</v>
      </c>
      <c r="I1041">
        <v>7</v>
      </c>
      <c r="J1041" t="str">
        <f>TEXT(DATE(2012,Table1[[#This Row],[MONTH_ID]],10),"mmm")</f>
        <v>Jul</v>
      </c>
      <c r="K1041">
        <v>2004</v>
      </c>
      <c r="L1041" t="s">
        <v>195</v>
      </c>
      <c r="M1041">
        <v>169</v>
      </c>
      <c r="N1041" t="s">
        <v>618</v>
      </c>
      <c r="O1041" t="s">
        <v>466</v>
      </c>
      <c r="P1041" t="s">
        <v>467</v>
      </c>
      <c r="Q1041" t="s">
        <v>468</v>
      </c>
      <c r="S1041" t="s">
        <v>469</v>
      </c>
      <c r="U1041">
        <v>42100</v>
      </c>
      <c r="V1041" t="s">
        <v>272</v>
      </c>
      <c r="W1041" t="s">
        <v>56</v>
      </c>
      <c r="X1041" t="s">
        <v>470</v>
      </c>
      <c r="Y1041" t="s">
        <v>471</v>
      </c>
      <c r="Z1041" t="s">
        <v>65</v>
      </c>
    </row>
    <row r="1042" spans="1:26" x14ac:dyDescent="0.3">
      <c r="A1042">
        <v>10271</v>
      </c>
      <c r="B1042">
        <v>20</v>
      </c>
      <c r="C1042">
        <v>100</v>
      </c>
      <c r="D1042">
        <v>9</v>
      </c>
      <c r="E1042">
        <v>3928.6</v>
      </c>
      <c r="F1042" s="1">
        <v>38188</v>
      </c>
      <c r="G1042" t="s">
        <v>39</v>
      </c>
      <c r="H1042">
        <v>3</v>
      </c>
      <c r="I1042">
        <v>7</v>
      </c>
      <c r="J1042" t="str">
        <f>TEXT(DATE(2012,Table1[[#This Row],[MONTH_ID]],10),"mmm")</f>
        <v>Jul</v>
      </c>
      <c r="K1042">
        <v>2004</v>
      </c>
      <c r="L1042" t="s">
        <v>195</v>
      </c>
      <c r="M1042">
        <v>169</v>
      </c>
      <c r="N1042" t="s">
        <v>618</v>
      </c>
      <c r="O1042" t="s">
        <v>286</v>
      </c>
      <c r="P1042">
        <v>4155551450</v>
      </c>
      <c r="Q1042" t="s">
        <v>287</v>
      </c>
      <c r="S1042" t="s">
        <v>288</v>
      </c>
      <c r="T1042" t="s">
        <v>69</v>
      </c>
      <c r="U1042">
        <v>97562</v>
      </c>
      <c r="V1042" t="s">
        <v>46</v>
      </c>
      <c r="W1042" t="s">
        <v>47</v>
      </c>
      <c r="X1042" t="s">
        <v>289</v>
      </c>
      <c r="Y1042" t="s">
        <v>290</v>
      </c>
      <c r="Z1042" t="s">
        <v>65</v>
      </c>
    </row>
    <row r="1043" spans="1:26" x14ac:dyDescent="0.3">
      <c r="A1043">
        <v>10278</v>
      </c>
      <c r="B1043">
        <v>42</v>
      </c>
      <c r="C1043">
        <v>100</v>
      </c>
      <c r="D1043">
        <v>7</v>
      </c>
      <c r="E1043">
        <v>6401.22</v>
      </c>
      <c r="F1043" s="1">
        <v>38205</v>
      </c>
      <c r="G1043" t="s">
        <v>39</v>
      </c>
      <c r="H1043">
        <v>3</v>
      </c>
      <c r="I1043">
        <v>8</v>
      </c>
      <c r="J1043" t="str">
        <f>TEXT(DATE(2012,Table1[[#This Row],[MONTH_ID]],10),"mmm")</f>
        <v>Aug</v>
      </c>
      <c r="K1043">
        <v>2004</v>
      </c>
      <c r="L1043" t="s">
        <v>195</v>
      </c>
      <c r="M1043">
        <v>169</v>
      </c>
      <c r="N1043" t="s">
        <v>618</v>
      </c>
      <c r="O1043" t="s">
        <v>553</v>
      </c>
      <c r="P1043">
        <v>7025551838</v>
      </c>
      <c r="Q1043" t="s">
        <v>554</v>
      </c>
      <c r="S1043" t="s">
        <v>555</v>
      </c>
      <c r="T1043" t="s">
        <v>556</v>
      </c>
      <c r="U1043">
        <v>83030</v>
      </c>
      <c r="V1043" t="s">
        <v>46</v>
      </c>
      <c r="W1043" t="s">
        <v>47</v>
      </c>
      <c r="X1043" t="s">
        <v>127</v>
      </c>
      <c r="Y1043" t="s">
        <v>414</v>
      </c>
      <c r="Z1043" t="s">
        <v>65</v>
      </c>
    </row>
    <row r="1044" spans="1:26" x14ac:dyDescent="0.3">
      <c r="A1044">
        <v>10281</v>
      </c>
      <c r="B1044">
        <v>25</v>
      </c>
      <c r="C1044">
        <v>100</v>
      </c>
      <c r="D1044">
        <v>5</v>
      </c>
      <c r="E1044">
        <v>4191.25</v>
      </c>
      <c r="F1044" s="1">
        <v>38218</v>
      </c>
      <c r="G1044" t="s">
        <v>39</v>
      </c>
      <c r="H1044">
        <v>3</v>
      </c>
      <c r="I1044">
        <v>8</v>
      </c>
      <c r="J1044" t="str">
        <f>TEXT(DATE(2012,Table1[[#This Row],[MONTH_ID]],10),"mmm")</f>
        <v>Aug</v>
      </c>
      <c r="K1044">
        <v>2004</v>
      </c>
      <c r="L1044" t="s">
        <v>195</v>
      </c>
      <c r="M1044">
        <v>169</v>
      </c>
      <c r="N1044" t="s">
        <v>618</v>
      </c>
      <c r="O1044" t="s">
        <v>153</v>
      </c>
      <c r="P1044">
        <v>2155551555</v>
      </c>
      <c r="Q1044" t="s">
        <v>154</v>
      </c>
      <c r="S1044" t="s">
        <v>155</v>
      </c>
      <c r="T1044" t="s">
        <v>156</v>
      </c>
      <c r="U1044">
        <v>70267</v>
      </c>
      <c r="V1044" t="s">
        <v>46</v>
      </c>
      <c r="W1044" t="s">
        <v>47</v>
      </c>
      <c r="X1044" t="s">
        <v>48</v>
      </c>
      <c r="Y1044" t="s">
        <v>157</v>
      </c>
      <c r="Z1044" t="s">
        <v>65</v>
      </c>
    </row>
    <row r="1045" spans="1:26" x14ac:dyDescent="0.3">
      <c r="A1045">
        <v>10287</v>
      </c>
      <c r="B1045">
        <v>36</v>
      </c>
      <c r="C1045">
        <v>100</v>
      </c>
      <c r="D1045">
        <v>5</v>
      </c>
      <c r="E1045">
        <v>5852.52</v>
      </c>
      <c r="F1045" s="1">
        <v>38229</v>
      </c>
      <c r="G1045" t="s">
        <v>39</v>
      </c>
      <c r="H1045">
        <v>3</v>
      </c>
      <c r="I1045">
        <v>8</v>
      </c>
      <c r="J1045" t="str">
        <f>TEXT(DATE(2012,Table1[[#This Row],[MONTH_ID]],10),"mmm")</f>
        <v>Aug</v>
      </c>
      <c r="K1045">
        <v>2004</v>
      </c>
      <c r="L1045" t="s">
        <v>195</v>
      </c>
      <c r="M1045">
        <v>169</v>
      </c>
      <c r="N1045" t="s">
        <v>618</v>
      </c>
      <c r="O1045" t="s">
        <v>460</v>
      </c>
      <c r="P1045" t="s">
        <v>461</v>
      </c>
      <c r="Q1045" t="s">
        <v>462</v>
      </c>
      <c r="S1045" t="s">
        <v>463</v>
      </c>
      <c r="U1045">
        <v>1203</v>
      </c>
      <c r="V1045" t="s">
        <v>464</v>
      </c>
      <c r="W1045" t="s">
        <v>56</v>
      </c>
      <c r="X1045" t="s">
        <v>465</v>
      </c>
      <c r="Y1045" t="s">
        <v>117</v>
      </c>
      <c r="Z1045" t="s">
        <v>65</v>
      </c>
    </row>
    <row r="1046" spans="1:26" x14ac:dyDescent="0.3">
      <c r="A1046">
        <v>10292</v>
      </c>
      <c r="B1046">
        <v>21</v>
      </c>
      <c r="C1046">
        <v>100</v>
      </c>
      <c r="D1046">
        <v>12</v>
      </c>
      <c r="E1046">
        <v>2844.87</v>
      </c>
      <c r="F1046" s="1">
        <v>38238</v>
      </c>
      <c r="G1046" t="s">
        <v>39</v>
      </c>
      <c r="H1046">
        <v>3</v>
      </c>
      <c r="I1046">
        <v>9</v>
      </c>
      <c r="J1046" t="str">
        <f>TEXT(DATE(2012,Table1[[#This Row],[MONTH_ID]],10),"mmm")</f>
        <v>Sep</v>
      </c>
      <c r="K1046">
        <v>2004</v>
      </c>
      <c r="L1046" t="s">
        <v>195</v>
      </c>
      <c r="M1046">
        <v>169</v>
      </c>
      <c r="N1046" t="s">
        <v>618</v>
      </c>
      <c r="O1046" t="s">
        <v>42</v>
      </c>
      <c r="P1046">
        <v>2125557818</v>
      </c>
      <c r="Q1046" t="s">
        <v>43</v>
      </c>
      <c r="S1046" t="s">
        <v>44</v>
      </c>
      <c r="T1046" t="s">
        <v>45</v>
      </c>
      <c r="U1046">
        <v>10022</v>
      </c>
      <c r="V1046" t="s">
        <v>46</v>
      </c>
      <c r="W1046" t="s">
        <v>47</v>
      </c>
      <c r="X1046" t="s">
        <v>48</v>
      </c>
      <c r="Y1046" t="s">
        <v>49</v>
      </c>
      <c r="Z1046" t="s">
        <v>50</v>
      </c>
    </row>
    <row r="1047" spans="1:26" x14ac:dyDescent="0.3">
      <c r="A1047">
        <v>10301</v>
      </c>
      <c r="B1047">
        <v>23</v>
      </c>
      <c r="C1047">
        <v>100</v>
      </c>
      <c r="D1047">
        <v>9</v>
      </c>
      <c r="E1047">
        <v>4011.66</v>
      </c>
      <c r="F1047" s="1">
        <v>37899</v>
      </c>
      <c r="G1047" t="s">
        <v>39</v>
      </c>
      <c r="H1047">
        <v>4</v>
      </c>
      <c r="I1047">
        <v>10</v>
      </c>
      <c r="J1047" t="str">
        <f>TEXT(DATE(2012,Table1[[#This Row],[MONTH_ID]],10),"mmm")</f>
        <v>Oct</v>
      </c>
      <c r="K1047">
        <v>2003</v>
      </c>
      <c r="L1047" t="s">
        <v>195</v>
      </c>
      <c r="M1047">
        <v>169</v>
      </c>
      <c r="N1047" t="s">
        <v>618</v>
      </c>
      <c r="O1047" t="s">
        <v>557</v>
      </c>
      <c r="P1047" t="s">
        <v>558</v>
      </c>
      <c r="Q1047" t="s">
        <v>559</v>
      </c>
      <c r="S1047" t="s">
        <v>560</v>
      </c>
      <c r="U1047" t="s">
        <v>561</v>
      </c>
      <c r="V1047" t="s">
        <v>92</v>
      </c>
      <c r="W1047" t="s">
        <v>56</v>
      </c>
      <c r="X1047" t="s">
        <v>562</v>
      </c>
      <c r="Y1047" t="s">
        <v>563</v>
      </c>
      <c r="Z1047" t="s">
        <v>65</v>
      </c>
    </row>
    <row r="1048" spans="1:26" x14ac:dyDescent="0.3">
      <c r="A1048">
        <v>10305</v>
      </c>
      <c r="B1048">
        <v>37</v>
      </c>
      <c r="C1048">
        <v>100</v>
      </c>
      <c r="D1048">
        <v>9</v>
      </c>
      <c r="E1048">
        <v>7455.87</v>
      </c>
      <c r="F1048" s="1">
        <v>38273</v>
      </c>
      <c r="G1048" t="s">
        <v>39</v>
      </c>
      <c r="H1048">
        <v>4</v>
      </c>
      <c r="I1048">
        <v>10</v>
      </c>
      <c r="J1048" t="str">
        <f>TEXT(DATE(2012,Table1[[#This Row],[MONTH_ID]],10),"mmm")</f>
        <v>Oct</v>
      </c>
      <c r="K1048">
        <v>2004</v>
      </c>
      <c r="L1048" t="s">
        <v>195</v>
      </c>
      <c r="M1048">
        <v>169</v>
      </c>
      <c r="N1048" t="s">
        <v>618</v>
      </c>
      <c r="O1048" t="s">
        <v>134</v>
      </c>
      <c r="P1048">
        <v>6175558555</v>
      </c>
      <c r="Q1048" t="s">
        <v>135</v>
      </c>
      <c r="S1048" t="s">
        <v>136</v>
      </c>
      <c r="T1048" t="s">
        <v>137</v>
      </c>
      <c r="U1048">
        <v>51247</v>
      </c>
      <c r="V1048" t="s">
        <v>46</v>
      </c>
      <c r="W1048" t="s">
        <v>47</v>
      </c>
      <c r="X1048" t="s">
        <v>138</v>
      </c>
      <c r="Y1048" t="s">
        <v>139</v>
      </c>
      <c r="Z1048" t="s">
        <v>165</v>
      </c>
    </row>
    <row r="1049" spans="1:26" x14ac:dyDescent="0.3">
      <c r="A1049">
        <v>10310</v>
      </c>
      <c r="B1049">
        <v>48</v>
      </c>
      <c r="C1049">
        <v>100</v>
      </c>
      <c r="D1049">
        <v>3</v>
      </c>
      <c r="E1049">
        <v>8940.9599999999991</v>
      </c>
      <c r="F1049" s="1">
        <v>38276</v>
      </c>
      <c r="G1049" t="s">
        <v>39</v>
      </c>
      <c r="H1049">
        <v>4</v>
      </c>
      <c r="I1049">
        <v>10</v>
      </c>
      <c r="J1049" t="str">
        <f>TEXT(DATE(2012,Table1[[#This Row],[MONTH_ID]],10),"mmm")</f>
        <v>Oct</v>
      </c>
      <c r="K1049">
        <v>2004</v>
      </c>
      <c r="L1049" t="s">
        <v>195</v>
      </c>
      <c r="M1049">
        <v>169</v>
      </c>
      <c r="N1049" t="s">
        <v>618</v>
      </c>
      <c r="O1049" t="s">
        <v>453</v>
      </c>
      <c r="P1049" t="s">
        <v>454</v>
      </c>
      <c r="Q1049" t="s">
        <v>455</v>
      </c>
      <c r="S1049" t="s">
        <v>456</v>
      </c>
      <c r="U1049">
        <v>50739</v>
      </c>
      <c r="V1049" t="s">
        <v>457</v>
      </c>
      <c r="W1049" t="s">
        <v>56</v>
      </c>
      <c r="X1049" t="s">
        <v>458</v>
      </c>
      <c r="Y1049" t="s">
        <v>459</v>
      </c>
      <c r="Z1049" t="s">
        <v>165</v>
      </c>
    </row>
    <row r="1050" spans="1:26" x14ac:dyDescent="0.3">
      <c r="A1050">
        <v>10313</v>
      </c>
      <c r="B1050">
        <v>25</v>
      </c>
      <c r="C1050">
        <v>100</v>
      </c>
      <c r="D1050">
        <v>3</v>
      </c>
      <c r="E1050">
        <v>4572.25</v>
      </c>
      <c r="F1050" s="1">
        <v>38282</v>
      </c>
      <c r="G1050" t="s">
        <v>39</v>
      </c>
      <c r="H1050">
        <v>4</v>
      </c>
      <c r="I1050">
        <v>10</v>
      </c>
      <c r="J1050" t="str">
        <f>TEXT(DATE(2012,Table1[[#This Row],[MONTH_ID]],10),"mmm")</f>
        <v>Oct</v>
      </c>
      <c r="K1050">
        <v>2004</v>
      </c>
      <c r="L1050" t="s">
        <v>195</v>
      </c>
      <c r="M1050">
        <v>169</v>
      </c>
      <c r="N1050" t="s">
        <v>618</v>
      </c>
      <c r="O1050" t="s">
        <v>239</v>
      </c>
      <c r="P1050" t="s">
        <v>240</v>
      </c>
      <c r="Q1050" t="s">
        <v>241</v>
      </c>
      <c r="S1050" t="s">
        <v>242</v>
      </c>
      <c r="T1050" t="s">
        <v>243</v>
      </c>
      <c r="U1050" t="s">
        <v>244</v>
      </c>
      <c r="V1050" t="s">
        <v>245</v>
      </c>
      <c r="W1050" t="s">
        <v>47</v>
      </c>
      <c r="X1050" t="s">
        <v>246</v>
      </c>
      <c r="Y1050" t="s">
        <v>247</v>
      </c>
      <c r="Z1050" t="s">
        <v>65</v>
      </c>
    </row>
    <row r="1051" spans="1:26" x14ac:dyDescent="0.3">
      <c r="A1051">
        <v>10321</v>
      </c>
      <c r="B1051">
        <v>33</v>
      </c>
      <c r="C1051">
        <v>100</v>
      </c>
      <c r="D1051">
        <v>11</v>
      </c>
      <c r="E1051">
        <v>5700.09</v>
      </c>
      <c r="F1051" s="1">
        <v>38295</v>
      </c>
      <c r="G1051" t="s">
        <v>39</v>
      </c>
      <c r="H1051">
        <v>4</v>
      </c>
      <c r="I1051">
        <v>11</v>
      </c>
      <c r="J1051" t="str">
        <f>TEXT(DATE(2012,Table1[[#This Row],[MONTH_ID]],10),"mmm")</f>
        <v>Nov</v>
      </c>
      <c r="K1051">
        <v>2004</v>
      </c>
      <c r="L1051" t="s">
        <v>195</v>
      </c>
      <c r="M1051">
        <v>169</v>
      </c>
      <c r="N1051" t="s">
        <v>618</v>
      </c>
      <c r="O1051" t="s">
        <v>174</v>
      </c>
      <c r="P1051">
        <v>5085552555</v>
      </c>
      <c r="Q1051" t="s">
        <v>175</v>
      </c>
      <c r="S1051" t="s">
        <v>176</v>
      </c>
      <c r="T1051" t="s">
        <v>137</v>
      </c>
      <c r="U1051">
        <v>50553</v>
      </c>
      <c r="V1051" t="s">
        <v>46</v>
      </c>
      <c r="W1051" t="s">
        <v>47</v>
      </c>
      <c r="X1051" t="s">
        <v>177</v>
      </c>
      <c r="Y1051" t="s">
        <v>178</v>
      </c>
      <c r="Z1051" t="s">
        <v>65</v>
      </c>
    </row>
    <row r="1052" spans="1:26" x14ac:dyDescent="0.3">
      <c r="A1052">
        <v>10324</v>
      </c>
      <c r="B1052">
        <v>27</v>
      </c>
      <c r="C1052">
        <v>100</v>
      </c>
      <c r="D1052">
        <v>12</v>
      </c>
      <c r="E1052">
        <v>3155.49</v>
      </c>
      <c r="F1052" s="1">
        <v>38296</v>
      </c>
      <c r="G1052" t="s">
        <v>39</v>
      </c>
      <c r="H1052">
        <v>4</v>
      </c>
      <c r="I1052">
        <v>11</v>
      </c>
      <c r="J1052" t="str">
        <f>TEXT(DATE(2012,Table1[[#This Row],[MONTH_ID]],10),"mmm")</f>
        <v>Nov</v>
      </c>
      <c r="K1052">
        <v>2004</v>
      </c>
      <c r="L1052" t="s">
        <v>195</v>
      </c>
      <c r="M1052">
        <v>169</v>
      </c>
      <c r="N1052" t="s">
        <v>618</v>
      </c>
      <c r="O1052" t="s">
        <v>113</v>
      </c>
      <c r="P1052">
        <v>2125551500</v>
      </c>
      <c r="Q1052" t="s">
        <v>114</v>
      </c>
      <c r="R1052" t="s">
        <v>115</v>
      </c>
      <c r="S1052" t="s">
        <v>44</v>
      </c>
      <c r="T1052" t="s">
        <v>45</v>
      </c>
      <c r="U1052">
        <v>10022</v>
      </c>
      <c r="V1052" t="s">
        <v>46</v>
      </c>
      <c r="W1052" t="s">
        <v>47</v>
      </c>
      <c r="X1052" t="s">
        <v>116</v>
      </c>
      <c r="Y1052" t="s">
        <v>117</v>
      </c>
      <c r="Z1052" t="s">
        <v>65</v>
      </c>
    </row>
    <row r="1053" spans="1:26" x14ac:dyDescent="0.3">
      <c r="A1053">
        <v>10331</v>
      </c>
      <c r="B1053">
        <v>27</v>
      </c>
      <c r="C1053">
        <v>100</v>
      </c>
      <c r="D1053">
        <v>11</v>
      </c>
      <c r="E1053">
        <v>4170.6899999999996</v>
      </c>
      <c r="F1053" s="1">
        <v>38308</v>
      </c>
      <c r="G1053" t="s">
        <v>39</v>
      </c>
      <c r="H1053">
        <v>4</v>
      </c>
      <c r="I1053">
        <v>11</v>
      </c>
      <c r="J1053" t="str">
        <f>TEXT(DATE(2012,Table1[[#This Row],[MONTH_ID]],10),"mmm")</f>
        <v>Nov</v>
      </c>
      <c r="K1053">
        <v>2004</v>
      </c>
      <c r="L1053" t="s">
        <v>195</v>
      </c>
      <c r="M1053">
        <v>169</v>
      </c>
      <c r="N1053" t="s">
        <v>618</v>
      </c>
      <c r="O1053" t="s">
        <v>323</v>
      </c>
      <c r="P1053">
        <v>2155559857</v>
      </c>
      <c r="Q1053" t="s">
        <v>324</v>
      </c>
      <c r="S1053" t="s">
        <v>230</v>
      </c>
      <c r="T1053" t="s">
        <v>156</v>
      </c>
      <c r="U1053">
        <v>71270</v>
      </c>
      <c r="V1053" t="s">
        <v>46</v>
      </c>
      <c r="W1053" t="s">
        <v>47</v>
      </c>
      <c r="X1053" t="s">
        <v>138</v>
      </c>
      <c r="Y1053" t="s">
        <v>325</v>
      </c>
      <c r="Z1053" t="s">
        <v>65</v>
      </c>
    </row>
    <row r="1054" spans="1:26" x14ac:dyDescent="0.3">
      <c r="A1054">
        <v>10334</v>
      </c>
      <c r="B1054">
        <v>20</v>
      </c>
      <c r="C1054">
        <v>100</v>
      </c>
      <c r="D1054">
        <v>3</v>
      </c>
      <c r="E1054">
        <v>2878.8</v>
      </c>
      <c r="F1054" s="1">
        <v>38310</v>
      </c>
      <c r="G1054" t="s">
        <v>415</v>
      </c>
      <c r="H1054">
        <v>4</v>
      </c>
      <c r="I1054">
        <v>11</v>
      </c>
      <c r="J1054" t="str">
        <f>TEXT(DATE(2012,Table1[[#This Row],[MONTH_ID]],10),"mmm")</f>
        <v>Nov</v>
      </c>
      <c r="K1054">
        <v>2004</v>
      </c>
      <c r="L1054" t="s">
        <v>195</v>
      </c>
      <c r="M1054">
        <v>169</v>
      </c>
      <c r="N1054" t="s">
        <v>618</v>
      </c>
      <c r="O1054" t="s">
        <v>197</v>
      </c>
      <c r="P1054" t="s">
        <v>198</v>
      </c>
      <c r="Q1054" t="s">
        <v>199</v>
      </c>
      <c r="S1054" t="s">
        <v>200</v>
      </c>
      <c r="U1054" t="s">
        <v>201</v>
      </c>
      <c r="V1054" t="s">
        <v>202</v>
      </c>
      <c r="W1054" t="s">
        <v>56</v>
      </c>
      <c r="X1054" t="s">
        <v>203</v>
      </c>
      <c r="Y1054" t="s">
        <v>204</v>
      </c>
      <c r="Z1054" t="s">
        <v>50</v>
      </c>
    </row>
    <row r="1055" spans="1:26" x14ac:dyDescent="0.3">
      <c r="A1055">
        <v>10342</v>
      </c>
      <c r="B1055">
        <v>30</v>
      </c>
      <c r="C1055">
        <v>100</v>
      </c>
      <c r="D1055">
        <v>4</v>
      </c>
      <c r="E1055">
        <v>5029.5</v>
      </c>
      <c r="F1055" s="1">
        <v>38315</v>
      </c>
      <c r="G1055" t="s">
        <v>39</v>
      </c>
      <c r="H1055">
        <v>4</v>
      </c>
      <c r="I1055">
        <v>11</v>
      </c>
      <c r="J1055" t="str">
        <f>TEXT(DATE(2012,Table1[[#This Row],[MONTH_ID]],10),"mmm")</f>
        <v>Nov</v>
      </c>
      <c r="K1055">
        <v>2004</v>
      </c>
      <c r="L1055" t="s">
        <v>195</v>
      </c>
      <c r="M1055">
        <v>169</v>
      </c>
      <c r="N1055" t="s">
        <v>618</v>
      </c>
      <c r="O1055" t="s">
        <v>103</v>
      </c>
      <c r="P1055" t="s">
        <v>104</v>
      </c>
      <c r="Q1055" t="s">
        <v>105</v>
      </c>
      <c r="R1055" t="s">
        <v>106</v>
      </c>
      <c r="S1055" t="s">
        <v>107</v>
      </c>
      <c r="T1055" t="s">
        <v>108</v>
      </c>
      <c r="U1055">
        <v>3004</v>
      </c>
      <c r="V1055" t="s">
        <v>109</v>
      </c>
      <c r="W1055" t="s">
        <v>110</v>
      </c>
      <c r="X1055" t="s">
        <v>111</v>
      </c>
      <c r="Y1055" t="s">
        <v>112</v>
      </c>
      <c r="Z1055" t="s">
        <v>65</v>
      </c>
    </row>
    <row r="1056" spans="1:26" x14ac:dyDescent="0.3">
      <c r="A1056">
        <v>10349</v>
      </c>
      <c r="B1056">
        <v>48</v>
      </c>
      <c r="C1056">
        <v>100</v>
      </c>
      <c r="D1056">
        <v>6</v>
      </c>
      <c r="E1056">
        <v>7396.8</v>
      </c>
      <c r="F1056" s="1">
        <v>38322</v>
      </c>
      <c r="G1056" t="s">
        <v>39</v>
      </c>
      <c r="H1056">
        <v>4</v>
      </c>
      <c r="I1056">
        <v>12</v>
      </c>
      <c r="J1056" t="str">
        <f>TEXT(DATE(2012,Table1[[#This Row],[MONTH_ID]],10),"mmm")</f>
        <v>Dec</v>
      </c>
      <c r="K1056">
        <v>2004</v>
      </c>
      <c r="L1056" t="s">
        <v>195</v>
      </c>
      <c r="M1056">
        <v>169</v>
      </c>
      <c r="N1056" t="s">
        <v>618</v>
      </c>
      <c r="O1056" t="s">
        <v>489</v>
      </c>
      <c r="P1056">
        <v>2125557413</v>
      </c>
      <c r="Q1056" t="s">
        <v>490</v>
      </c>
      <c r="R1056" t="s">
        <v>491</v>
      </c>
      <c r="S1056" t="s">
        <v>44</v>
      </c>
      <c r="T1056" t="s">
        <v>45</v>
      </c>
      <c r="U1056">
        <v>10022</v>
      </c>
      <c r="V1056" t="s">
        <v>46</v>
      </c>
      <c r="W1056" t="s">
        <v>47</v>
      </c>
      <c r="X1056" t="s">
        <v>70</v>
      </c>
      <c r="Y1056" t="s">
        <v>492</v>
      </c>
      <c r="Z1056" t="s">
        <v>165</v>
      </c>
    </row>
    <row r="1057" spans="1:26" x14ac:dyDescent="0.3">
      <c r="A1057">
        <v>10358</v>
      </c>
      <c r="B1057">
        <v>32</v>
      </c>
      <c r="C1057">
        <v>93.49</v>
      </c>
      <c r="D1057">
        <v>12</v>
      </c>
      <c r="E1057">
        <v>2991.68</v>
      </c>
      <c r="F1057" s="1">
        <v>38331</v>
      </c>
      <c r="G1057" t="s">
        <v>39</v>
      </c>
      <c r="H1057">
        <v>4</v>
      </c>
      <c r="I1057">
        <v>12</v>
      </c>
      <c r="J1057" t="str">
        <f>TEXT(DATE(2012,Table1[[#This Row],[MONTH_ID]],10),"mmm")</f>
        <v>Dec</v>
      </c>
      <c r="K1057">
        <v>2004</v>
      </c>
      <c r="L1057" t="s">
        <v>195</v>
      </c>
      <c r="M1057">
        <v>169</v>
      </c>
      <c r="N1057" t="s">
        <v>618</v>
      </c>
      <c r="O1057" t="s">
        <v>188</v>
      </c>
      <c r="P1057" t="s">
        <v>189</v>
      </c>
      <c r="Q1057" t="s">
        <v>190</v>
      </c>
      <c r="S1057" t="s">
        <v>191</v>
      </c>
      <c r="U1057">
        <v>28034</v>
      </c>
      <c r="V1057" t="s">
        <v>192</v>
      </c>
      <c r="W1057" t="s">
        <v>56</v>
      </c>
      <c r="X1057" t="s">
        <v>193</v>
      </c>
      <c r="Y1057" t="s">
        <v>194</v>
      </c>
      <c r="Z1057" t="s">
        <v>50</v>
      </c>
    </row>
    <row r="1058" spans="1:26" x14ac:dyDescent="0.3">
      <c r="A1058">
        <v>10366</v>
      </c>
      <c r="B1058">
        <v>34</v>
      </c>
      <c r="C1058">
        <v>100</v>
      </c>
      <c r="D1058">
        <v>1</v>
      </c>
      <c r="E1058">
        <v>6275.72</v>
      </c>
      <c r="F1058" s="1">
        <v>38362</v>
      </c>
      <c r="G1058" t="s">
        <v>39</v>
      </c>
      <c r="H1058">
        <v>1</v>
      </c>
      <c r="I1058">
        <v>1</v>
      </c>
      <c r="J1058" t="str">
        <f>TEXT(DATE(2012,Table1[[#This Row],[MONTH_ID]],10),"mmm")</f>
        <v>Jan</v>
      </c>
      <c r="K1058">
        <v>2005</v>
      </c>
      <c r="L1058" t="s">
        <v>195</v>
      </c>
      <c r="M1058">
        <v>169</v>
      </c>
      <c r="N1058" t="s">
        <v>618</v>
      </c>
      <c r="O1058" t="s">
        <v>591</v>
      </c>
      <c r="P1058" t="s">
        <v>592</v>
      </c>
      <c r="Q1058" t="s">
        <v>593</v>
      </c>
      <c r="S1058" t="s">
        <v>594</v>
      </c>
      <c r="U1058" t="s">
        <v>595</v>
      </c>
      <c r="V1058" t="s">
        <v>384</v>
      </c>
      <c r="W1058" t="s">
        <v>56</v>
      </c>
      <c r="X1058" t="s">
        <v>596</v>
      </c>
      <c r="Y1058" t="s">
        <v>597</v>
      </c>
      <c r="Z1058" t="s">
        <v>65</v>
      </c>
    </row>
    <row r="1059" spans="1:26" x14ac:dyDescent="0.3">
      <c r="A1059">
        <v>10370</v>
      </c>
      <c r="B1059">
        <v>27</v>
      </c>
      <c r="C1059">
        <v>56.85</v>
      </c>
      <c r="D1059">
        <v>9</v>
      </c>
      <c r="E1059">
        <v>1534.95</v>
      </c>
      <c r="F1059" s="1">
        <v>38372</v>
      </c>
      <c r="G1059" t="s">
        <v>39</v>
      </c>
      <c r="H1059">
        <v>1</v>
      </c>
      <c r="I1059">
        <v>1</v>
      </c>
      <c r="J1059" t="str">
        <f>TEXT(DATE(2012,Table1[[#This Row],[MONTH_ID]],10),"mmm")</f>
        <v>Jan</v>
      </c>
      <c r="K1059">
        <v>2005</v>
      </c>
      <c r="L1059" t="s">
        <v>195</v>
      </c>
      <c r="M1059">
        <v>169</v>
      </c>
      <c r="N1059" t="s">
        <v>618</v>
      </c>
      <c r="O1059" t="s">
        <v>299</v>
      </c>
      <c r="P1059" t="s">
        <v>300</v>
      </c>
      <c r="Q1059" t="s">
        <v>301</v>
      </c>
      <c r="R1059" t="s">
        <v>302</v>
      </c>
      <c r="S1059" t="s">
        <v>303</v>
      </c>
      <c r="T1059" t="s">
        <v>171</v>
      </c>
      <c r="U1059">
        <v>2060</v>
      </c>
      <c r="V1059" t="s">
        <v>109</v>
      </c>
      <c r="W1059" t="s">
        <v>110</v>
      </c>
      <c r="X1059" t="s">
        <v>304</v>
      </c>
      <c r="Y1059" t="s">
        <v>305</v>
      </c>
      <c r="Z1059" t="s">
        <v>50</v>
      </c>
    </row>
    <row r="1060" spans="1:26" x14ac:dyDescent="0.3">
      <c r="A1060">
        <v>10377</v>
      </c>
      <c r="B1060">
        <v>39</v>
      </c>
      <c r="C1060">
        <v>100</v>
      </c>
      <c r="D1060">
        <v>3</v>
      </c>
      <c r="E1060">
        <v>7264.53</v>
      </c>
      <c r="F1060" s="1">
        <v>38392</v>
      </c>
      <c r="G1060" t="s">
        <v>39</v>
      </c>
      <c r="H1060">
        <v>1</v>
      </c>
      <c r="I1060">
        <v>2</v>
      </c>
      <c r="J1060" t="str">
        <f>TEXT(DATE(2012,Table1[[#This Row],[MONTH_ID]],10),"mmm")</f>
        <v>Feb</v>
      </c>
      <c r="K1060">
        <v>2005</v>
      </c>
      <c r="L1060" t="s">
        <v>195</v>
      </c>
      <c r="M1060">
        <v>169</v>
      </c>
      <c r="N1060" t="s">
        <v>618</v>
      </c>
      <c r="O1060" t="s">
        <v>140</v>
      </c>
      <c r="P1060" t="s">
        <v>141</v>
      </c>
      <c r="Q1060" t="s">
        <v>142</v>
      </c>
      <c r="S1060" t="s">
        <v>143</v>
      </c>
      <c r="U1060">
        <v>21240</v>
      </c>
      <c r="V1060" t="s">
        <v>144</v>
      </c>
      <c r="W1060" t="s">
        <v>56</v>
      </c>
      <c r="X1060" t="s">
        <v>145</v>
      </c>
      <c r="Y1060" t="s">
        <v>146</v>
      </c>
      <c r="Z1060" t="s">
        <v>165</v>
      </c>
    </row>
    <row r="1061" spans="1:26" x14ac:dyDescent="0.3">
      <c r="A1061">
        <v>10383</v>
      </c>
      <c r="B1061">
        <v>47</v>
      </c>
      <c r="C1061">
        <v>100</v>
      </c>
      <c r="D1061">
        <v>6</v>
      </c>
      <c r="E1061">
        <v>6869.05</v>
      </c>
      <c r="F1061" s="1">
        <v>38405</v>
      </c>
      <c r="G1061" t="s">
        <v>39</v>
      </c>
      <c r="H1061">
        <v>1</v>
      </c>
      <c r="I1061">
        <v>2</v>
      </c>
      <c r="J1061" t="str">
        <f>TEXT(DATE(2012,Table1[[#This Row],[MONTH_ID]],10),"mmm")</f>
        <v>Feb</v>
      </c>
      <c r="K1061">
        <v>2005</v>
      </c>
      <c r="L1061" t="s">
        <v>195</v>
      </c>
      <c r="M1061">
        <v>169</v>
      </c>
      <c r="N1061" t="s">
        <v>618</v>
      </c>
      <c r="O1061" t="s">
        <v>188</v>
      </c>
      <c r="P1061" t="s">
        <v>189</v>
      </c>
      <c r="Q1061" t="s">
        <v>190</v>
      </c>
      <c r="S1061" t="s">
        <v>191</v>
      </c>
      <c r="U1061">
        <v>28034</v>
      </c>
      <c r="V1061" t="s">
        <v>192</v>
      </c>
      <c r="W1061" t="s">
        <v>56</v>
      </c>
      <c r="X1061" t="s">
        <v>193</v>
      </c>
      <c r="Y1061" t="s">
        <v>194</v>
      </c>
      <c r="Z1061" t="s">
        <v>65</v>
      </c>
    </row>
    <row r="1062" spans="1:26" x14ac:dyDescent="0.3">
      <c r="A1062">
        <v>10394</v>
      </c>
      <c r="B1062">
        <v>22</v>
      </c>
      <c r="C1062">
        <v>100</v>
      </c>
      <c r="D1062">
        <v>5</v>
      </c>
      <c r="E1062">
        <v>3353.02</v>
      </c>
      <c r="F1062" s="1">
        <v>38426</v>
      </c>
      <c r="G1062" t="s">
        <v>39</v>
      </c>
      <c r="H1062">
        <v>1</v>
      </c>
      <c r="I1062">
        <v>3</v>
      </c>
      <c r="J1062" t="str">
        <f>TEXT(DATE(2012,Table1[[#This Row],[MONTH_ID]],10),"mmm")</f>
        <v>Mar</v>
      </c>
      <c r="K1062">
        <v>2005</v>
      </c>
      <c r="L1062" t="s">
        <v>195</v>
      </c>
      <c r="M1062">
        <v>169</v>
      </c>
      <c r="N1062" t="s">
        <v>618</v>
      </c>
      <c r="O1062" t="s">
        <v>188</v>
      </c>
      <c r="P1062" t="s">
        <v>189</v>
      </c>
      <c r="Q1062" t="s">
        <v>190</v>
      </c>
      <c r="S1062" t="s">
        <v>191</v>
      </c>
      <c r="U1062">
        <v>28034</v>
      </c>
      <c r="V1062" t="s">
        <v>192</v>
      </c>
      <c r="W1062" t="s">
        <v>56</v>
      </c>
      <c r="X1062" t="s">
        <v>193</v>
      </c>
      <c r="Y1062" t="s">
        <v>194</v>
      </c>
      <c r="Z1062" t="s">
        <v>65</v>
      </c>
    </row>
    <row r="1063" spans="1:26" x14ac:dyDescent="0.3">
      <c r="A1063">
        <v>10405</v>
      </c>
      <c r="B1063">
        <v>55</v>
      </c>
      <c r="C1063">
        <v>100</v>
      </c>
      <c r="D1063">
        <v>1</v>
      </c>
      <c r="E1063">
        <v>8289.0499999999993</v>
      </c>
      <c r="F1063" s="1">
        <v>38456</v>
      </c>
      <c r="G1063" t="s">
        <v>39</v>
      </c>
      <c r="H1063">
        <v>2</v>
      </c>
      <c r="I1063">
        <v>4</v>
      </c>
      <c r="J1063" t="str">
        <f>TEXT(DATE(2012,Table1[[#This Row],[MONTH_ID]],10),"mmm")</f>
        <v>Apr</v>
      </c>
      <c r="K1063">
        <v>2005</v>
      </c>
      <c r="L1063" t="s">
        <v>195</v>
      </c>
      <c r="M1063">
        <v>169</v>
      </c>
      <c r="N1063" t="s">
        <v>618</v>
      </c>
      <c r="O1063" t="s">
        <v>545</v>
      </c>
      <c r="P1063" t="s">
        <v>546</v>
      </c>
      <c r="Q1063" t="s">
        <v>547</v>
      </c>
      <c r="S1063" t="s">
        <v>548</v>
      </c>
      <c r="U1063">
        <v>67000</v>
      </c>
      <c r="V1063" t="s">
        <v>55</v>
      </c>
      <c r="W1063" t="s">
        <v>56</v>
      </c>
      <c r="X1063" t="s">
        <v>549</v>
      </c>
      <c r="Y1063" t="s">
        <v>550</v>
      </c>
      <c r="Z1063" t="s">
        <v>165</v>
      </c>
    </row>
    <row r="1064" spans="1:26" x14ac:dyDescent="0.3">
      <c r="A1064">
        <v>10412</v>
      </c>
      <c r="B1064">
        <v>60</v>
      </c>
      <c r="C1064">
        <v>100</v>
      </c>
      <c r="D1064">
        <v>9</v>
      </c>
      <c r="E1064">
        <v>11887.8</v>
      </c>
      <c r="F1064" s="1">
        <v>38475</v>
      </c>
      <c r="G1064" t="s">
        <v>39</v>
      </c>
      <c r="H1064">
        <v>2</v>
      </c>
      <c r="I1064">
        <v>5</v>
      </c>
      <c r="J1064" t="str">
        <f>TEXT(DATE(2012,Table1[[#This Row],[MONTH_ID]],10),"mmm")</f>
        <v>May</v>
      </c>
      <c r="K1064">
        <v>2005</v>
      </c>
      <c r="L1064" t="s">
        <v>195</v>
      </c>
      <c r="M1064">
        <v>169</v>
      </c>
      <c r="N1064" t="s">
        <v>618</v>
      </c>
      <c r="O1064" t="s">
        <v>188</v>
      </c>
      <c r="P1064" t="s">
        <v>189</v>
      </c>
      <c r="Q1064" t="s">
        <v>190</v>
      </c>
      <c r="S1064" t="s">
        <v>191</v>
      </c>
      <c r="U1064">
        <v>28034</v>
      </c>
      <c r="V1064" t="s">
        <v>192</v>
      </c>
      <c r="W1064" t="s">
        <v>56</v>
      </c>
      <c r="X1064" t="s">
        <v>193</v>
      </c>
      <c r="Y1064" t="s">
        <v>194</v>
      </c>
      <c r="Z1064" t="s">
        <v>165</v>
      </c>
    </row>
    <row r="1065" spans="1:26" x14ac:dyDescent="0.3">
      <c r="A1065">
        <v>10419</v>
      </c>
      <c r="B1065">
        <v>35</v>
      </c>
      <c r="C1065">
        <v>100</v>
      </c>
      <c r="D1065">
        <v>6</v>
      </c>
      <c r="E1065">
        <v>5926.9</v>
      </c>
      <c r="F1065" s="1">
        <v>38489</v>
      </c>
      <c r="G1065" t="s">
        <v>39</v>
      </c>
      <c r="H1065">
        <v>2</v>
      </c>
      <c r="I1065">
        <v>5</v>
      </c>
      <c r="J1065" t="str">
        <f>TEXT(DATE(2012,Table1[[#This Row],[MONTH_ID]],10),"mmm")</f>
        <v>May</v>
      </c>
      <c r="K1065">
        <v>2005</v>
      </c>
      <c r="L1065" t="s">
        <v>195</v>
      </c>
      <c r="M1065">
        <v>169</v>
      </c>
      <c r="N1065" t="s">
        <v>618</v>
      </c>
      <c r="O1065" t="s">
        <v>158</v>
      </c>
      <c r="P1065" t="s">
        <v>159</v>
      </c>
      <c r="Q1065" t="s">
        <v>160</v>
      </c>
      <c r="S1065" t="s">
        <v>161</v>
      </c>
      <c r="U1065">
        <v>5020</v>
      </c>
      <c r="V1065" t="s">
        <v>162</v>
      </c>
      <c r="W1065" t="s">
        <v>56</v>
      </c>
      <c r="X1065" t="s">
        <v>163</v>
      </c>
      <c r="Y1065" t="s">
        <v>164</v>
      </c>
      <c r="Z1065" t="s">
        <v>65</v>
      </c>
    </row>
    <row r="1066" spans="1:26" x14ac:dyDescent="0.3">
      <c r="A1066">
        <v>10425</v>
      </c>
      <c r="B1066">
        <v>28</v>
      </c>
      <c r="C1066">
        <v>100</v>
      </c>
      <c r="D1066">
        <v>8</v>
      </c>
      <c r="E1066">
        <v>3793.16</v>
      </c>
      <c r="F1066" s="1">
        <v>38503</v>
      </c>
      <c r="G1066" t="s">
        <v>314</v>
      </c>
      <c r="H1066">
        <v>2</v>
      </c>
      <c r="I1066">
        <v>5</v>
      </c>
      <c r="J1066" t="str">
        <f>TEXT(DATE(2012,Table1[[#This Row],[MONTH_ID]],10),"mmm")</f>
        <v>May</v>
      </c>
      <c r="K1066">
        <v>2005</v>
      </c>
      <c r="L1066" t="s">
        <v>195</v>
      </c>
      <c r="M1066">
        <v>169</v>
      </c>
      <c r="N1066" t="s">
        <v>618</v>
      </c>
      <c r="O1066" t="s">
        <v>128</v>
      </c>
      <c r="P1066" t="s">
        <v>129</v>
      </c>
      <c r="Q1066" t="s">
        <v>130</v>
      </c>
      <c r="S1066" t="s">
        <v>131</v>
      </c>
      <c r="U1066">
        <v>44000</v>
      </c>
      <c r="V1066" t="s">
        <v>55</v>
      </c>
      <c r="W1066" t="s">
        <v>56</v>
      </c>
      <c r="X1066" t="s">
        <v>132</v>
      </c>
      <c r="Y1066" t="s">
        <v>133</v>
      </c>
      <c r="Z1066" t="s">
        <v>65</v>
      </c>
    </row>
    <row r="1067" spans="1:26" x14ac:dyDescent="0.3">
      <c r="A1067">
        <v>10105</v>
      </c>
      <c r="B1067">
        <v>38</v>
      </c>
      <c r="C1067">
        <v>100</v>
      </c>
      <c r="D1067">
        <v>13</v>
      </c>
      <c r="E1067">
        <v>4330.1000000000004</v>
      </c>
      <c r="F1067" s="1">
        <v>37663</v>
      </c>
      <c r="G1067" t="s">
        <v>39</v>
      </c>
      <c r="H1067">
        <v>1</v>
      </c>
      <c r="I1067">
        <v>2</v>
      </c>
      <c r="J1067" t="str">
        <f>TEXT(DATE(2012,Table1[[#This Row],[MONTH_ID]],10),"mmm")</f>
        <v>Feb</v>
      </c>
      <c r="K1067">
        <v>2003</v>
      </c>
      <c r="L1067" t="s">
        <v>619</v>
      </c>
      <c r="M1067">
        <v>100</v>
      </c>
      <c r="N1067" t="s">
        <v>620</v>
      </c>
      <c r="O1067" t="s">
        <v>336</v>
      </c>
      <c r="P1067" t="s">
        <v>337</v>
      </c>
      <c r="Q1067" t="s">
        <v>338</v>
      </c>
      <c r="S1067" t="s">
        <v>339</v>
      </c>
      <c r="U1067">
        <v>1734</v>
      </c>
      <c r="V1067" t="s">
        <v>340</v>
      </c>
      <c r="W1067" t="s">
        <v>56</v>
      </c>
      <c r="X1067" t="s">
        <v>341</v>
      </c>
      <c r="Y1067" t="s">
        <v>342</v>
      </c>
      <c r="Z1067" t="s">
        <v>65</v>
      </c>
    </row>
    <row r="1068" spans="1:26" x14ac:dyDescent="0.3">
      <c r="A1068">
        <v>10117</v>
      </c>
      <c r="B1068">
        <v>21</v>
      </c>
      <c r="C1068">
        <v>95.8</v>
      </c>
      <c r="D1068">
        <v>7</v>
      </c>
      <c r="E1068">
        <v>2011.8</v>
      </c>
      <c r="F1068" s="1">
        <v>37727</v>
      </c>
      <c r="G1068" t="s">
        <v>39</v>
      </c>
      <c r="H1068">
        <v>2</v>
      </c>
      <c r="I1068">
        <v>4</v>
      </c>
      <c r="J1068" t="str">
        <f>TEXT(DATE(2012,Table1[[#This Row],[MONTH_ID]],10),"mmm")</f>
        <v>Apr</v>
      </c>
      <c r="K1068">
        <v>2003</v>
      </c>
      <c r="L1068" t="s">
        <v>619</v>
      </c>
      <c r="M1068">
        <v>100</v>
      </c>
      <c r="N1068" t="s">
        <v>620</v>
      </c>
      <c r="O1068" t="s">
        <v>210</v>
      </c>
      <c r="P1068" t="s">
        <v>211</v>
      </c>
      <c r="Q1068" t="s">
        <v>212</v>
      </c>
      <c r="S1068" t="s">
        <v>213</v>
      </c>
      <c r="U1068">
        <v>79903</v>
      </c>
      <c r="V1068" t="s">
        <v>213</v>
      </c>
      <c r="W1068" t="s">
        <v>214</v>
      </c>
      <c r="X1068" t="s">
        <v>215</v>
      </c>
      <c r="Y1068" t="s">
        <v>216</v>
      </c>
      <c r="Z1068" t="s">
        <v>50</v>
      </c>
    </row>
    <row r="1069" spans="1:26" x14ac:dyDescent="0.3">
      <c r="A1069">
        <v>10128</v>
      </c>
      <c r="B1069">
        <v>41</v>
      </c>
      <c r="C1069">
        <v>100</v>
      </c>
      <c r="D1069">
        <v>4</v>
      </c>
      <c r="E1069">
        <v>4837.18</v>
      </c>
      <c r="F1069" s="1">
        <v>37778</v>
      </c>
      <c r="G1069" t="s">
        <v>39</v>
      </c>
      <c r="H1069">
        <v>2</v>
      </c>
      <c r="I1069">
        <v>6</v>
      </c>
      <c r="J1069" t="str">
        <f>TEXT(DATE(2012,Table1[[#This Row],[MONTH_ID]],10),"mmm")</f>
        <v>Jun</v>
      </c>
      <c r="K1069">
        <v>2003</v>
      </c>
      <c r="L1069" t="s">
        <v>619</v>
      </c>
      <c r="M1069">
        <v>100</v>
      </c>
      <c r="N1069" t="s">
        <v>620</v>
      </c>
      <c r="O1069" t="s">
        <v>188</v>
      </c>
      <c r="P1069" t="s">
        <v>189</v>
      </c>
      <c r="Q1069" t="s">
        <v>190</v>
      </c>
      <c r="S1069" t="s">
        <v>191</v>
      </c>
      <c r="U1069">
        <v>28034</v>
      </c>
      <c r="V1069" t="s">
        <v>192</v>
      </c>
      <c r="W1069" t="s">
        <v>56</v>
      </c>
      <c r="X1069" t="s">
        <v>193</v>
      </c>
      <c r="Y1069" t="s">
        <v>194</v>
      </c>
      <c r="Z1069" t="s">
        <v>65</v>
      </c>
    </row>
    <row r="1070" spans="1:26" x14ac:dyDescent="0.3">
      <c r="A1070">
        <v>10142</v>
      </c>
      <c r="B1070">
        <v>22</v>
      </c>
      <c r="C1070">
        <v>97.81</v>
      </c>
      <c r="D1070">
        <v>10</v>
      </c>
      <c r="E1070">
        <v>2151.8200000000002</v>
      </c>
      <c r="F1070" s="1">
        <v>37841</v>
      </c>
      <c r="G1070" t="s">
        <v>39</v>
      </c>
      <c r="H1070">
        <v>3</v>
      </c>
      <c r="I1070">
        <v>8</v>
      </c>
      <c r="J1070" t="str">
        <f>TEXT(DATE(2012,Table1[[#This Row],[MONTH_ID]],10),"mmm")</f>
        <v>Aug</v>
      </c>
      <c r="K1070">
        <v>2003</v>
      </c>
      <c r="L1070" t="s">
        <v>619</v>
      </c>
      <c r="M1070">
        <v>100</v>
      </c>
      <c r="N1070" t="s">
        <v>620</v>
      </c>
      <c r="O1070" t="s">
        <v>286</v>
      </c>
      <c r="P1070">
        <v>4155551450</v>
      </c>
      <c r="Q1070" t="s">
        <v>287</v>
      </c>
      <c r="S1070" t="s">
        <v>288</v>
      </c>
      <c r="T1070" t="s">
        <v>69</v>
      </c>
      <c r="U1070">
        <v>97562</v>
      </c>
      <c r="V1070" t="s">
        <v>46</v>
      </c>
      <c r="W1070" t="s">
        <v>47</v>
      </c>
      <c r="X1070" t="s">
        <v>289</v>
      </c>
      <c r="Y1070" t="s">
        <v>290</v>
      </c>
      <c r="Z1070" t="s">
        <v>50</v>
      </c>
    </row>
    <row r="1071" spans="1:26" x14ac:dyDescent="0.3">
      <c r="A1071">
        <v>10153</v>
      </c>
      <c r="B1071">
        <v>29</v>
      </c>
      <c r="C1071">
        <v>88.74</v>
      </c>
      <c r="D1071">
        <v>9</v>
      </c>
      <c r="E1071">
        <v>2573.46</v>
      </c>
      <c r="F1071" s="1">
        <v>37892</v>
      </c>
      <c r="G1071" t="s">
        <v>39</v>
      </c>
      <c r="H1071">
        <v>3</v>
      </c>
      <c r="I1071">
        <v>9</v>
      </c>
      <c r="J1071" t="str">
        <f>TEXT(DATE(2012,Table1[[#This Row],[MONTH_ID]],10),"mmm")</f>
        <v>Sep</v>
      </c>
      <c r="K1071">
        <v>2003</v>
      </c>
      <c r="L1071" t="s">
        <v>619</v>
      </c>
      <c r="M1071">
        <v>100</v>
      </c>
      <c r="N1071" t="s">
        <v>620</v>
      </c>
      <c r="O1071" t="s">
        <v>188</v>
      </c>
      <c r="P1071" t="s">
        <v>189</v>
      </c>
      <c r="Q1071" t="s">
        <v>190</v>
      </c>
      <c r="S1071" t="s">
        <v>191</v>
      </c>
      <c r="U1071">
        <v>28034</v>
      </c>
      <c r="V1071" t="s">
        <v>192</v>
      </c>
      <c r="W1071" t="s">
        <v>56</v>
      </c>
      <c r="X1071" t="s">
        <v>193</v>
      </c>
      <c r="Y1071" t="s">
        <v>194</v>
      </c>
      <c r="Z1071" t="s">
        <v>50</v>
      </c>
    </row>
    <row r="1072" spans="1:26" x14ac:dyDescent="0.3">
      <c r="A1072">
        <v>10165</v>
      </c>
      <c r="B1072">
        <v>50</v>
      </c>
      <c r="C1072">
        <v>100</v>
      </c>
      <c r="D1072">
        <v>1</v>
      </c>
      <c r="E1072">
        <v>5344.5</v>
      </c>
      <c r="F1072" s="1">
        <v>37916</v>
      </c>
      <c r="G1072" t="s">
        <v>39</v>
      </c>
      <c r="H1072">
        <v>4</v>
      </c>
      <c r="I1072">
        <v>10</v>
      </c>
      <c r="J1072" t="str">
        <f>TEXT(DATE(2012,Table1[[#This Row],[MONTH_ID]],10),"mmm")</f>
        <v>Oct</v>
      </c>
      <c r="K1072">
        <v>2003</v>
      </c>
      <c r="L1072" t="s">
        <v>619</v>
      </c>
      <c r="M1072">
        <v>100</v>
      </c>
      <c r="N1072" t="s">
        <v>620</v>
      </c>
      <c r="O1072" t="s">
        <v>210</v>
      </c>
      <c r="P1072" t="s">
        <v>211</v>
      </c>
      <c r="Q1072" t="s">
        <v>212</v>
      </c>
      <c r="S1072" t="s">
        <v>213</v>
      </c>
      <c r="U1072">
        <v>79903</v>
      </c>
      <c r="V1072" t="s">
        <v>213</v>
      </c>
      <c r="W1072" t="s">
        <v>214</v>
      </c>
      <c r="X1072" t="s">
        <v>215</v>
      </c>
      <c r="Y1072" t="s">
        <v>216</v>
      </c>
      <c r="Z1072" t="s">
        <v>65</v>
      </c>
    </row>
    <row r="1073" spans="1:26" x14ac:dyDescent="0.3">
      <c r="A1073">
        <v>10177</v>
      </c>
      <c r="B1073">
        <v>29</v>
      </c>
      <c r="C1073">
        <v>100</v>
      </c>
      <c r="D1073">
        <v>11</v>
      </c>
      <c r="E1073">
        <v>3070.52</v>
      </c>
      <c r="F1073" s="1">
        <v>37932</v>
      </c>
      <c r="G1073" t="s">
        <v>39</v>
      </c>
      <c r="H1073">
        <v>4</v>
      </c>
      <c r="I1073">
        <v>11</v>
      </c>
      <c r="J1073" t="str">
        <f>TEXT(DATE(2012,Table1[[#This Row],[MONTH_ID]],10),"mmm")</f>
        <v>Nov</v>
      </c>
      <c r="K1073">
        <v>2003</v>
      </c>
      <c r="L1073" t="s">
        <v>619</v>
      </c>
      <c r="M1073">
        <v>100</v>
      </c>
      <c r="N1073" t="s">
        <v>620</v>
      </c>
      <c r="O1073" t="s">
        <v>501</v>
      </c>
      <c r="P1073" t="s">
        <v>502</v>
      </c>
      <c r="Q1073" t="s">
        <v>503</v>
      </c>
      <c r="S1073" t="s">
        <v>191</v>
      </c>
      <c r="U1073">
        <v>28023</v>
      </c>
      <c r="V1073" t="s">
        <v>192</v>
      </c>
      <c r="W1073" t="s">
        <v>56</v>
      </c>
      <c r="X1073" t="s">
        <v>504</v>
      </c>
      <c r="Y1073" t="s">
        <v>505</v>
      </c>
      <c r="Z1073" t="s">
        <v>65</v>
      </c>
    </row>
    <row r="1074" spans="1:26" x14ac:dyDescent="0.3">
      <c r="A1074">
        <v>10185</v>
      </c>
      <c r="B1074">
        <v>49</v>
      </c>
      <c r="C1074">
        <v>80.67</v>
      </c>
      <c r="D1074">
        <v>11</v>
      </c>
      <c r="E1074">
        <v>3952.83</v>
      </c>
      <c r="F1074" s="1">
        <v>37939</v>
      </c>
      <c r="G1074" t="s">
        <v>39</v>
      </c>
      <c r="H1074">
        <v>4</v>
      </c>
      <c r="I1074">
        <v>11</v>
      </c>
      <c r="J1074" t="str">
        <f>TEXT(DATE(2012,Table1[[#This Row],[MONTH_ID]],10),"mmm")</f>
        <v>Nov</v>
      </c>
      <c r="K1074">
        <v>2003</v>
      </c>
      <c r="L1074" t="s">
        <v>619</v>
      </c>
      <c r="M1074">
        <v>100</v>
      </c>
      <c r="N1074" t="s">
        <v>620</v>
      </c>
      <c r="O1074" t="s">
        <v>349</v>
      </c>
      <c r="P1074">
        <v>5085559555</v>
      </c>
      <c r="Q1074" t="s">
        <v>350</v>
      </c>
      <c r="S1074" t="s">
        <v>176</v>
      </c>
      <c r="T1074" t="s">
        <v>137</v>
      </c>
      <c r="U1074">
        <v>50553</v>
      </c>
      <c r="V1074" t="s">
        <v>46</v>
      </c>
      <c r="W1074" t="s">
        <v>47</v>
      </c>
      <c r="X1074" t="s">
        <v>351</v>
      </c>
      <c r="Y1074" t="s">
        <v>352</v>
      </c>
      <c r="Z1074" t="s">
        <v>65</v>
      </c>
    </row>
    <row r="1075" spans="1:26" x14ac:dyDescent="0.3">
      <c r="A1075">
        <v>10196</v>
      </c>
      <c r="B1075">
        <v>35</v>
      </c>
      <c r="C1075">
        <v>100</v>
      </c>
      <c r="D1075">
        <v>3</v>
      </c>
      <c r="E1075">
        <v>3564.75</v>
      </c>
      <c r="F1075" s="1">
        <v>37951</v>
      </c>
      <c r="G1075" t="s">
        <v>39</v>
      </c>
      <c r="H1075">
        <v>4</v>
      </c>
      <c r="I1075">
        <v>11</v>
      </c>
      <c r="J1075" t="str">
        <f>TEXT(DATE(2012,Table1[[#This Row],[MONTH_ID]],10),"mmm")</f>
        <v>Nov</v>
      </c>
      <c r="K1075">
        <v>2003</v>
      </c>
      <c r="L1075" t="s">
        <v>619</v>
      </c>
      <c r="M1075">
        <v>100</v>
      </c>
      <c r="N1075" t="s">
        <v>620</v>
      </c>
      <c r="O1075" t="s">
        <v>256</v>
      </c>
      <c r="P1075">
        <v>2035559545</v>
      </c>
      <c r="Q1075" t="s">
        <v>257</v>
      </c>
      <c r="S1075" t="s">
        <v>258</v>
      </c>
      <c r="T1075" t="s">
        <v>126</v>
      </c>
      <c r="U1075">
        <v>97823</v>
      </c>
      <c r="V1075" t="s">
        <v>46</v>
      </c>
      <c r="W1075" t="s">
        <v>47</v>
      </c>
      <c r="X1075" t="s">
        <v>97</v>
      </c>
      <c r="Y1075" t="s">
        <v>259</v>
      </c>
      <c r="Z1075" t="s">
        <v>65</v>
      </c>
    </row>
    <row r="1076" spans="1:26" x14ac:dyDescent="0.3">
      <c r="A1076">
        <v>10208</v>
      </c>
      <c r="B1076">
        <v>48</v>
      </c>
      <c r="C1076">
        <v>100</v>
      </c>
      <c r="D1076">
        <v>11</v>
      </c>
      <c r="E1076">
        <v>5614.56</v>
      </c>
      <c r="F1076" s="1">
        <v>37988</v>
      </c>
      <c r="G1076" t="s">
        <v>39</v>
      </c>
      <c r="H1076">
        <v>1</v>
      </c>
      <c r="I1076">
        <v>1</v>
      </c>
      <c r="J1076" t="str">
        <f>TEXT(DATE(2012,Table1[[#This Row],[MONTH_ID]],10),"mmm")</f>
        <v>Jan</v>
      </c>
      <c r="K1076">
        <v>2004</v>
      </c>
      <c r="L1076" t="s">
        <v>619</v>
      </c>
      <c r="M1076">
        <v>100</v>
      </c>
      <c r="N1076" t="s">
        <v>620</v>
      </c>
      <c r="O1076" t="s">
        <v>233</v>
      </c>
      <c r="P1076" t="s">
        <v>234</v>
      </c>
      <c r="Q1076" t="s">
        <v>235</v>
      </c>
      <c r="S1076" t="s">
        <v>236</v>
      </c>
      <c r="U1076">
        <v>69004</v>
      </c>
      <c r="V1076" t="s">
        <v>55</v>
      </c>
      <c r="W1076" t="s">
        <v>56</v>
      </c>
      <c r="X1076" t="s">
        <v>237</v>
      </c>
      <c r="Y1076" t="s">
        <v>238</v>
      </c>
      <c r="Z1076" t="s">
        <v>65</v>
      </c>
    </row>
    <row r="1077" spans="1:26" x14ac:dyDescent="0.3">
      <c r="A1077">
        <v>10221</v>
      </c>
      <c r="B1077">
        <v>23</v>
      </c>
      <c r="C1077">
        <v>80.67</v>
      </c>
      <c r="D1077">
        <v>5</v>
      </c>
      <c r="E1077">
        <v>1855.41</v>
      </c>
      <c r="F1077" s="1">
        <v>38035</v>
      </c>
      <c r="G1077" t="s">
        <v>39</v>
      </c>
      <c r="H1077">
        <v>1</v>
      </c>
      <c r="I1077">
        <v>2</v>
      </c>
      <c r="J1077" t="str">
        <f>TEXT(DATE(2012,Table1[[#This Row],[MONTH_ID]],10),"mmm")</f>
        <v>Feb</v>
      </c>
      <c r="K1077">
        <v>2004</v>
      </c>
      <c r="L1077" t="s">
        <v>619</v>
      </c>
      <c r="M1077">
        <v>100</v>
      </c>
      <c r="N1077" t="s">
        <v>620</v>
      </c>
      <c r="O1077" t="s">
        <v>379</v>
      </c>
      <c r="P1077" t="s">
        <v>380</v>
      </c>
      <c r="Q1077" t="s">
        <v>381</v>
      </c>
      <c r="S1077" t="s">
        <v>382</v>
      </c>
      <c r="U1077" t="s">
        <v>383</v>
      </c>
      <c r="V1077" t="s">
        <v>384</v>
      </c>
      <c r="W1077" t="s">
        <v>56</v>
      </c>
      <c r="X1077" t="s">
        <v>385</v>
      </c>
      <c r="Y1077" t="s">
        <v>386</v>
      </c>
      <c r="Z1077" t="s">
        <v>50</v>
      </c>
    </row>
    <row r="1078" spans="1:26" x14ac:dyDescent="0.3">
      <c r="A1078">
        <v>10232</v>
      </c>
      <c r="B1078">
        <v>48</v>
      </c>
      <c r="C1078">
        <v>95.8</v>
      </c>
      <c r="D1078">
        <v>8</v>
      </c>
      <c r="E1078">
        <v>4598.3999999999996</v>
      </c>
      <c r="F1078" s="1">
        <v>38066</v>
      </c>
      <c r="G1078" t="s">
        <v>39</v>
      </c>
      <c r="H1078">
        <v>1</v>
      </c>
      <c r="I1078">
        <v>3</v>
      </c>
      <c r="J1078" t="str">
        <f>TEXT(DATE(2012,Table1[[#This Row],[MONTH_ID]],10),"mmm")</f>
        <v>Mar</v>
      </c>
      <c r="K1078">
        <v>2004</v>
      </c>
      <c r="L1078" t="s">
        <v>619</v>
      </c>
      <c r="M1078">
        <v>100</v>
      </c>
      <c r="N1078" t="s">
        <v>620</v>
      </c>
      <c r="O1078" t="s">
        <v>397</v>
      </c>
      <c r="P1078" t="s">
        <v>398</v>
      </c>
      <c r="Q1078" t="s">
        <v>399</v>
      </c>
      <c r="S1078" t="s">
        <v>400</v>
      </c>
      <c r="T1078" t="s">
        <v>401</v>
      </c>
      <c r="U1078" t="s">
        <v>402</v>
      </c>
      <c r="V1078" t="s">
        <v>184</v>
      </c>
      <c r="W1078" t="s">
        <v>56</v>
      </c>
      <c r="X1078" t="s">
        <v>403</v>
      </c>
      <c r="Y1078" t="s">
        <v>404</v>
      </c>
      <c r="Z1078" t="s">
        <v>65</v>
      </c>
    </row>
    <row r="1079" spans="1:26" x14ac:dyDescent="0.3">
      <c r="A1079">
        <v>10248</v>
      </c>
      <c r="B1079">
        <v>42</v>
      </c>
      <c r="C1079">
        <v>100</v>
      </c>
      <c r="D1079">
        <v>14</v>
      </c>
      <c r="E1079">
        <v>5082.42</v>
      </c>
      <c r="F1079" s="1">
        <v>38114</v>
      </c>
      <c r="G1079" t="s">
        <v>353</v>
      </c>
      <c r="H1079">
        <v>2</v>
      </c>
      <c r="I1079">
        <v>5</v>
      </c>
      <c r="J1079" t="str">
        <f>TEXT(DATE(2012,Table1[[#This Row],[MONTH_ID]],10),"mmm")</f>
        <v>May</v>
      </c>
      <c r="K1079">
        <v>2004</v>
      </c>
      <c r="L1079" t="s">
        <v>619</v>
      </c>
      <c r="M1079">
        <v>100</v>
      </c>
      <c r="N1079" t="s">
        <v>620</v>
      </c>
      <c r="O1079" t="s">
        <v>42</v>
      </c>
      <c r="P1079">
        <v>2125557818</v>
      </c>
      <c r="Q1079" t="s">
        <v>43</v>
      </c>
      <c r="S1079" t="s">
        <v>44</v>
      </c>
      <c r="T1079" t="s">
        <v>45</v>
      </c>
      <c r="U1079">
        <v>10022</v>
      </c>
      <c r="V1079" t="s">
        <v>46</v>
      </c>
      <c r="W1079" t="s">
        <v>47</v>
      </c>
      <c r="X1079" t="s">
        <v>48</v>
      </c>
      <c r="Y1079" t="s">
        <v>49</v>
      </c>
      <c r="Z1079" t="s">
        <v>65</v>
      </c>
    </row>
    <row r="1080" spans="1:26" x14ac:dyDescent="0.3">
      <c r="A1080">
        <v>10273</v>
      </c>
      <c r="B1080">
        <v>47</v>
      </c>
      <c r="C1080">
        <v>100</v>
      </c>
      <c r="D1080">
        <v>15</v>
      </c>
      <c r="E1080">
        <v>5450.59</v>
      </c>
      <c r="F1080" s="1">
        <v>38189</v>
      </c>
      <c r="G1080" t="s">
        <v>39</v>
      </c>
      <c r="H1080">
        <v>3</v>
      </c>
      <c r="I1080">
        <v>7</v>
      </c>
      <c r="J1080" t="str">
        <f>TEXT(DATE(2012,Table1[[#This Row],[MONTH_ID]],10),"mmm")</f>
        <v>Jul</v>
      </c>
      <c r="K1080">
        <v>2004</v>
      </c>
      <c r="L1080" t="s">
        <v>619</v>
      </c>
      <c r="M1080">
        <v>100</v>
      </c>
      <c r="N1080" t="s">
        <v>620</v>
      </c>
      <c r="O1080" t="s">
        <v>379</v>
      </c>
      <c r="P1080" t="s">
        <v>380</v>
      </c>
      <c r="Q1080" t="s">
        <v>381</v>
      </c>
      <c r="S1080" t="s">
        <v>382</v>
      </c>
      <c r="U1080" t="s">
        <v>383</v>
      </c>
      <c r="V1080" t="s">
        <v>384</v>
      </c>
      <c r="W1080" t="s">
        <v>56</v>
      </c>
      <c r="X1080" t="s">
        <v>385</v>
      </c>
      <c r="Y1080" t="s">
        <v>386</v>
      </c>
      <c r="Z1080" t="s">
        <v>65</v>
      </c>
    </row>
    <row r="1081" spans="1:26" x14ac:dyDescent="0.3">
      <c r="A1081">
        <v>10282</v>
      </c>
      <c r="B1081">
        <v>36</v>
      </c>
      <c r="C1081">
        <v>100</v>
      </c>
      <c r="D1081">
        <v>3</v>
      </c>
      <c r="E1081">
        <v>4174.92</v>
      </c>
      <c r="F1081" s="1">
        <v>38219</v>
      </c>
      <c r="G1081" t="s">
        <v>39</v>
      </c>
      <c r="H1081">
        <v>3</v>
      </c>
      <c r="I1081">
        <v>8</v>
      </c>
      <c r="J1081" t="str">
        <f>TEXT(DATE(2012,Table1[[#This Row],[MONTH_ID]],10),"mmm")</f>
        <v>Aug</v>
      </c>
      <c r="K1081">
        <v>2004</v>
      </c>
      <c r="L1081" t="s">
        <v>619</v>
      </c>
      <c r="M1081">
        <v>100</v>
      </c>
      <c r="N1081" t="s">
        <v>620</v>
      </c>
      <c r="O1081" t="s">
        <v>286</v>
      </c>
      <c r="P1081">
        <v>4155551450</v>
      </c>
      <c r="Q1081" t="s">
        <v>287</v>
      </c>
      <c r="S1081" t="s">
        <v>288</v>
      </c>
      <c r="T1081" t="s">
        <v>69</v>
      </c>
      <c r="U1081">
        <v>97562</v>
      </c>
      <c r="V1081" t="s">
        <v>46</v>
      </c>
      <c r="W1081" t="s">
        <v>47</v>
      </c>
      <c r="X1081" t="s">
        <v>289</v>
      </c>
      <c r="Y1081" t="s">
        <v>290</v>
      </c>
      <c r="Z1081" t="s">
        <v>65</v>
      </c>
    </row>
    <row r="1082" spans="1:26" x14ac:dyDescent="0.3">
      <c r="A1082">
        <v>10293</v>
      </c>
      <c r="B1082">
        <v>22</v>
      </c>
      <c r="C1082">
        <v>100</v>
      </c>
      <c r="D1082">
        <v>6</v>
      </c>
      <c r="E1082">
        <v>2418.2399999999998</v>
      </c>
      <c r="F1082" s="1">
        <v>38239</v>
      </c>
      <c r="G1082" t="s">
        <v>39</v>
      </c>
      <c r="H1082">
        <v>3</v>
      </c>
      <c r="I1082">
        <v>9</v>
      </c>
      <c r="J1082" t="str">
        <f>TEXT(DATE(2012,Table1[[#This Row],[MONTH_ID]],10),"mmm")</f>
        <v>Sep</v>
      </c>
      <c r="K1082">
        <v>2004</v>
      </c>
      <c r="L1082" t="s">
        <v>619</v>
      </c>
      <c r="M1082">
        <v>100</v>
      </c>
      <c r="N1082" t="s">
        <v>620</v>
      </c>
      <c r="O1082" t="s">
        <v>268</v>
      </c>
      <c r="P1082" t="s">
        <v>269</v>
      </c>
      <c r="Q1082" t="s">
        <v>270</v>
      </c>
      <c r="S1082" t="s">
        <v>271</v>
      </c>
      <c r="U1082">
        <v>10100</v>
      </c>
      <c r="V1082" t="s">
        <v>272</v>
      </c>
      <c r="W1082" t="s">
        <v>56</v>
      </c>
      <c r="X1082" t="s">
        <v>273</v>
      </c>
      <c r="Y1082" t="s">
        <v>274</v>
      </c>
      <c r="Z1082" t="s">
        <v>50</v>
      </c>
    </row>
    <row r="1083" spans="1:26" x14ac:dyDescent="0.3">
      <c r="A1083">
        <v>10306</v>
      </c>
      <c r="B1083">
        <v>40</v>
      </c>
      <c r="C1083">
        <v>91.76</v>
      </c>
      <c r="D1083">
        <v>11</v>
      </c>
      <c r="E1083">
        <v>3670.4</v>
      </c>
      <c r="F1083" s="1">
        <v>38274</v>
      </c>
      <c r="G1083" t="s">
        <v>39</v>
      </c>
      <c r="H1083">
        <v>4</v>
      </c>
      <c r="I1083">
        <v>10</v>
      </c>
      <c r="J1083" t="str">
        <f>TEXT(DATE(2012,Table1[[#This Row],[MONTH_ID]],10),"mmm")</f>
        <v>Oct</v>
      </c>
      <c r="K1083">
        <v>2004</v>
      </c>
      <c r="L1083" t="s">
        <v>619</v>
      </c>
      <c r="M1083">
        <v>100</v>
      </c>
      <c r="N1083" t="s">
        <v>620</v>
      </c>
      <c r="O1083" t="s">
        <v>506</v>
      </c>
      <c r="P1083" t="s">
        <v>507</v>
      </c>
      <c r="Q1083" t="s">
        <v>508</v>
      </c>
      <c r="S1083" t="s">
        <v>509</v>
      </c>
      <c r="U1083" t="s">
        <v>510</v>
      </c>
      <c r="V1083" t="s">
        <v>184</v>
      </c>
      <c r="W1083" t="s">
        <v>56</v>
      </c>
      <c r="X1083" t="s">
        <v>511</v>
      </c>
      <c r="Y1083" t="s">
        <v>108</v>
      </c>
      <c r="Z1083" t="s">
        <v>65</v>
      </c>
    </row>
    <row r="1084" spans="1:26" x14ac:dyDescent="0.3">
      <c r="A1084">
        <v>10314</v>
      </c>
      <c r="B1084">
        <v>23</v>
      </c>
      <c r="C1084">
        <v>100</v>
      </c>
      <c r="D1084">
        <v>3</v>
      </c>
      <c r="E1084">
        <v>2481.6999999999998</v>
      </c>
      <c r="F1084" s="1">
        <v>38282</v>
      </c>
      <c r="G1084" t="s">
        <v>39</v>
      </c>
      <c r="H1084">
        <v>4</v>
      </c>
      <c r="I1084">
        <v>10</v>
      </c>
      <c r="J1084" t="str">
        <f>TEXT(DATE(2012,Table1[[#This Row],[MONTH_ID]],10),"mmm")</f>
        <v>Oct</v>
      </c>
      <c r="K1084">
        <v>2004</v>
      </c>
      <c r="L1084" t="s">
        <v>619</v>
      </c>
      <c r="M1084">
        <v>100</v>
      </c>
      <c r="N1084" t="s">
        <v>620</v>
      </c>
      <c r="O1084" t="s">
        <v>512</v>
      </c>
      <c r="P1084" t="s">
        <v>513</v>
      </c>
      <c r="Q1084" t="s">
        <v>514</v>
      </c>
      <c r="S1084" t="s">
        <v>515</v>
      </c>
      <c r="U1084">
        <v>8200</v>
      </c>
      <c r="V1084" t="s">
        <v>340</v>
      </c>
      <c r="W1084" t="s">
        <v>56</v>
      </c>
      <c r="X1084" t="s">
        <v>516</v>
      </c>
      <c r="Y1084" t="s">
        <v>517</v>
      </c>
      <c r="Z1084" t="s">
        <v>50</v>
      </c>
    </row>
    <row r="1085" spans="1:26" x14ac:dyDescent="0.3">
      <c r="A1085">
        <v>10326</v>
      </c>
      <c r="B1085">
        <v>32</v>
      </c>
      <c r="C1085">
        <v>100</v>
      </c>
      <c r="D1085">
        <v>6</v>
      </c>
      <c r="E1085">
        <v>3807.68</v>
      </c>
      <c r="F1085" s="1">
        <v>38300</v>
      </c>
      <c r="G1085" t="s">
        <v>39</v>
      </c>
      <c r="H1085">
        <v>4</v>
      </c>
      <c r="I1085">
        <v>11</v>
      </c>
      <c r="J1085" t="str">
        <f>TEXT(DATE(2012,Table1[[#This Row],[MONTH_ID]],10),"mmm")</f>
        <v>Nov</v>
      </c>
      <c r="K1085">
        <v>2004</v>
      </c>
      <c r="L1085" t="s">
        <v>619</v>
      </c>
      <c r="M1085">
        <v>100</v>
      </c>
      <c r="N1085" t="s">
        <v>620</v>
      </c>
      <c r="O1085" t="s">
        <v>197</v>
      </c>
      <c r="P1085" t="s">
        <v>198</v>
      </c>
      <c r="Q1085" t="s">
        <v>199</v>
      </c>
      <c r="S1085" t="s">
        <v>200</v>
      </c>
      <c r="U1085" t="s">
        <v>201</v>
      </c>
      <c r="V1085" t="s">
        <v>202</v>
      </c>
      <c r="W1085" t="s">
        <v>56</v>
      </c>
      <c r="X1085" t="s">
        <v>203</v>
      </c>
      <c r="Y1085" t="s">
        <v>204</v>
      </c>
      <c r="Z1085" t="s">
        <v>65</v>
      </c>
    </row>
    <row r="1086" spans="1:26" x14ac:dyDescent="0.3">
      <c r="A1086">
        <v>10336</v>
      </c>
      <c r="B1086">
        <v>21</v>
      </c>
      <c r="C1086">
        <v>100</v>
      </c>
      <c r="D1086">
        <v>7</v>
      </c>
      <c r="E1086">
        <v>2230.41</v>
      </c>
      <c r="F1086" s="1">
        <v>38311</v>
      </c>
      <c r="G1086" t="s">
        <v>39</v>
      </c>
      <c r="H1086">
        <v>4</v>
      </c>
      <c r="I1086">
        <v>11</v>
      </c>
      <c r="J1086" t="str">
        <f>TEXT(DATE(2012,Table1[[#This Row],[MONTH_ID]],10),"mmm")</f>
        <v>Nov</v>
      </c>
      <c r="K1086">
        <v>2004</v>
      </c>
      <c r="L1086" t="s">
        <v>619</v>
      </c>
      <c r="M1086">
        <v>100</v>
      </c>
      <c r="N1086" t="s">
        <v>620</v>
      </c>
      <c r="O1086" t="s">
        <v>417</v>
      </c>
      <c r="P1086" t="s">
        <v>418</v>
      </c>
      <c r="Q1086" t="s">
        <v>419</v>
      </c>
      <c r="S1086" t="s">
        <v>62</v>
      </c>
      <c r="U1086">
        <v>75012</v>
      </c>
      <c r="V1086" t="s">
        <v>55</v>
      </c>
      <c r="W1086" t="s">
        <v>56</v>
      </c>
      <c r="X1086" t="s">
        <v>420</v>
      </c>
      <c r="Y1086" t="s">
        <v>421</v>
      </c>
      <c r="Z1086" t="s">
        <v>50</v>
      </c>
    </row>
    <row r="1087" spans="1:26" x14ac:dyDescent="0.3">
      <c r="A1087">
        <v>10350</v>
      </c>
      <c r="B1087">
        <v>41</v>
      </c>
      <c r="C1087">
        <v>93.04</v>
      </c>
      <c r="D1087">
        <v>2</v>
      </c>
      <c r="E1087">
        <v>3814.64</v>
      </c>
      <c r="F1087" s="1">
        <v>38323</v>
      </c>
      <c r="G1087" t="s">
        <v>39</v>
      </c>
      <c r="H1087">
        <v>4</v>
      </c>
      <c r="I1087">
        <v>12</v>
      </c>
      <c r="J1087" t="str">
        <f>TEXT(DATE(2012,Table1[[#This Row],[MONTH_ID]],10),"mmm")</f>
        <v>Dec</v>
      </c>
      <c r="K1087">
        <v>2004</v>
      </c>
      <c r="L1087" t="s">
        <v>619</v>
      </c>
      <c r="M1087">
        <v>100</v>
      </c>
      <c r="N1087" t="s">
        <v>620</v>
      </c>
      <c r="O1087" t="s">
        <v>188</v>
      </c>
      <c r="P1087" t="s">
        <v>189</v>
      </c>
      <c r="Q1087" t="s">
        <v>190</v>
      </c>
      <c r="S1087" t="s">
        <v>191</v>
      </c>
      <c r="U1087">
        <v>28034</v>
      </c>
      <c r="V1087" t="s">
        <v>192</v>
      </c>
      <c r="W1087" t="s">
        <v>56</v>
      </c>
      <c r="X1087" t="s">
        <v>193</v>
      </c>
      <c r="Y1087" t="s">
        <v>194</v>
      </c>
      <c r="Z1087" t="s">
        <v>65</v>
      </c>
    </row>
    <row r="1088" spans="1:26" x14ac:dyDescent="0.3">
      <c r="A1088">
        <v>10372</v>
      </c>
      <c r="B1088">
        <v>25</v>
      </c>
      <c r="C1088">
        <v>84.71</v>
      </c>
      <c r="D1088">
        <v>5</v>
      </c>
      <c r="E1088">
        <v>2117.75</v>
      </c>
      <c r="F1088" s="1">
        <v>38378</v>
      </c>
      <c r="G1088" t="s">
        <v>39</v>
      </c>
      <c r="H1088">
        <v>1</v>
      </c>
      <c r="I1088">
        <v>1</v>
      </c>
      <c r="J1088" t="str">
        <f>TEXT(DATE(2012,Table1[[#This Row],[MONTH_ID]],10),"mmm")</f>
        <v>Jan</v>
      </c>
      <c r="K1088">
        <v>2005</v>
      </c>
      <c r="L1088" t="s">
        <v>619</v>
      </c>
      <c r="M1088">
        <v>100</v>
      </c>
      <c r="N1088" t="s">
        <v>620</v>
      </c>
      <c r="O1088" t="s">
        <v>260</v>
      </c>
      <c r="P1088" t="s">
        <v>261</v>
      </c>
      <c r="Q1088" t="s">
        <v>262</v>
      </c>
      <c r="S1088" t="s">
        <v>263</v>
      </c>
      <c r="T1088" t="s">
        <v>264</v>
      </c>
      <c r="U1088" t="s">
        <v>265</v>
      </c>
      <c r="V1088" t="s">
        <v>214</v>
      </c>
      <c r="W1088" t="s">
        <v>214</v>
      </c>
      <c r="X1088" t="s">
        <v>266</v>
      </c>
      <c r="Y1088" t="s">
        <v>267</v>
      </c>
      <c r="Z1088" t="s">
        <v>50</v>
      </c>
    </row>
    <row r="1089" spans="1:26" x14ac:dyDescent="0.3">
      <c r="A1089">
        <v>10383</v>
      </c>
      <c r="B1089">
        <v>26</v>
      </c>
      <c r="C1089">
        <v>100</v>
      </c>
      <c r="D1089">
        <v>12</v>
      </c>
      <c r="E1089">
        <v>3340.48</v>
      </c>
      <c r="F1089" s="1">
        <v>38405</v>
      </c>
      <c r="G1089" t="s">
        <v>39</v>
      </c>
      <c r="H1089">
        <v>1</v>
      </c>
      <c r="I1089">
        <v>2</v>
      </c>
      <c r="J1089" t="str">
        <f>TEXT(DATE(2012,Table1[[#This Row],[MONTH_ID]],10),"mmm")</f>
        <v>Feb</v>
      </c>
      <c r="K1089">
        <v>2005</v>
      </c>
      <c r="L1089" t="s">
        <v>619</v>
      </c>
      <c r="M1089">
        <v>100</v>
      </c>
      <c r="N1089" t="s">
        <v>620</v>
      </c>
      <c r="O1089" t="s">
        <v>188</v>
      </c>
      <c r="P1089" t="s">
        <v>189</v>
      </c>
      <c r="Q1089" t="s">
        <v>190</v>
      </c>
      <c r="S1089" t="s">
        <v>191</v>
      </c>
      <c r="U1089">
        <v>28034</v>
      </c>
      <c r="V1089" t="s">
        <v>192</v>
      </c>
      <c r="W1089" t="s">
        <v>56</v>
      </c>
      <c r="X1089" t="s">
        <v>193</v>
      </c>
      <c r="Y1089" t="s">
        <v>194</v>
      </c>
      <c r="Z1089" t="s">
        <v>65</v>
      </c>
    </row>
    <row r="1090" spans="1:26" x14ac:dyDescent="0.3">
      <c r="A1090">
        <v>10396</v>
      </c>
      <c r="B1090">
        <v>24</v>
      </c>
      <c r="C1090">
        <v>89.75</v>
      </c>
      <c r="D1090">
        <v>4</v>
      </c>
      <c r="E1090">
        <v>2154</v>
      </c>
      <c r="F1090" s="1">
        <v>38434</v>
      </c>
      <c r="G1090" t="s">
        <v>39</v>
      </c>
      <c r="H1090">
        <v>1</v>
      </c>
      <c r="I1090">
        <v>3</v>
      </c>
      <c r="J1090" t="str">
        <f>TEXT(DATE(2012,Table1[[#This Row],[MONTH_ID]],10),"mmm")</f>
        <v>Mar</v>
      </c>
      <c r="K1090">
        <v>2005</v>
      </c>
      <c r="L1090" t="s">
        <v>619</v>
      </c>
      <c r="M1090">
        <v>100</v>
      </c>
      <c r="N1090" t="s">
        <v>620</v>
      </c>
      <c r="O1090" t="s">
        <v>286</v>
      </c>
      <c r="P1090">
        <v>4155551450</v>
      </c>
      <c r="Q1090" t="s">
        <v>287</v>
      </c>
      <c r="S1090" t="s">
        <v>288</v>
      </c>
      <c r="T1090" t="s">
        <v>69</v>
      </c>
      <c r="U1090">
        <v>97562</v>
      </c>
      <c r="V1090" t="s">
        <v>46</v>
      </c>
      <c r="W1090" t="s">
        <v>47</v>
      </c>
      <c r="X1090" t="s">
        <v>289</v>
      </c>
      <c r="Y1090" t="s">
        <v>290</v>
      </c>
      <c r="Z1090" t="s">
        <v>50</v>
      </c>
    </row>
    <row r="1091" spans="1:26" x14ac:dyDescent="0.3">
      <c r="A1091">
        <v>10414</v>
      </c>
      <c r="B1091">
        <v>48</v>
      </c>
      <c r="C1091">
        <v>100</v>
      </c>
      <c r="D1091">
        <v>14</v>
      </c>
      <c r="E1091">
        <v>5808.48</v>
      </c>
      <c r="F1091" s="1">
        <v>38478</v>
      </c>
      <c r="G1091" t="s">
        <v>415</v>
      </c>
      <c r="H1091">
        <v>2</v>
      </c>
      <c r="I1091">
        <v>5</v>
      </c>
      <c r="J1091" t="str">
        <f>TEXT(DATE(2012,Table1[[#This Row],[MONTH_ID]],10),"mmm")</f>
        <v>May</v>
      </c>
      <c r="K1091">
        <v>2005</v>
      </c>
      <c r="L1091" t="s">
        <v>619</v>
      </c>
      <c r="M1091">
        <v>100</v>
      </c>
      <c r="N1091" t="s">
        <v>620</v>
      </c>
      <c r="O1091" t="s">
        <v>393</v>
      </c>
      <c r="P1091">
        <v>6175559555</v>
      </c>
      <c r="Q1091" t="s">
        <v>394</v>
      </c>
      <c r="S1091" t="s">
        <v>395</v>
      </c>
      <c r="T1091" t="s">
        <v>137</v>
      </c>
      <c r="U1091">
        <v>51003</v>
      </c>
      <c r="V1091" t="s">
        <v>46</v>
      </c>
      <c r="W1091" t="s">
        <v>47</v>
      </c>
      <c r="X1091" t="s">
        <v>396</v>
      </c>
      <c r="Y1091" t="s">
        <v>80</v>
      </c>
      <c r="Z1091" t="s">
        <v>65</v>
      </c>
    </row>
    <row r="1092" spans="1:26" x14ac:dyDescent="0.3">
      <c r="A1092">
        <v>10108</v>
      </c>
      <c r="B1092">
        <v>26</v>
      </c>
      <c r="C1092">
        <v>68.349999999999994</v>
      </c>
      <c r="D1092">
        <v>9</v>
      </c>
      <c r="E1092">
        <v>1777.1</v>
      </c>
      <c r="F1092" s="1">
        <v>37683</v>
      </c>
      <c r="G1092" t="s">
        <v>39</v>
      </c>
      <c r="H1092">
        <v>1</v>
      </c>
      <c r="I1092">
        <v>3</v>
      </c>
      <c r="J1092" t="str">
        <f>TEXT(DATE(2012,Table1[[#This Row],[MONTH_ID]],10),"mmm")</f>
        <v>Mar</v>
      </c>
      <c r="K1092">
        <v>2003</v>
      </c>
      <c r="L1092" t="s">
        <v>195</v>
      </c>
      <c r="M1092">
        <v>80</v>
      </c>
      <c r="N1092" t="s">
        <v>621</v>
      </c>
      <c r="O1092" t="s">
        <v>439</v>
      </c>
      <c r="P1092" t="s">
        <v>440</v>
      </c>
      <c r="Q1092" t="s">
        <v>441</v>
      </c>
      <c r="S1092" t="s">
        <v>442</v>
      </c>
      <c r="U1092" t="s">
        <v>443</v>
      </c>
      <c r="V1092" t="s">
        <v>444</v>
      </c>
      <c r="W1092" t="s">
        <v>214</v>
      </c>
      <c r="X1092" t="s">
        <v>445</v>
      </c>
      <c r="Y1092" t="s">
        <v>446</v>
      </c>
      <c r="Z1092" t="s">
        <v>50</v>
      </c>
    </row>
    <row r="1093" spans="1:26" x14ac:dyDescent="0.3">
      <c r="A1093">
        <v>10122</v>
      </c>
      <c r="B1093">
        <v>21</v>
      </c>
      <c r="C1093">
        <v>73.17</v>
      </c>
      <c r="D1093">
        <v>13</v>
      </c>
      <c r="E1093">
        <v>1536.57</v>
      </c>
      <c r="F1093" s="1">
        <v>37749</v>
      </c>
      <c r="G1093" t="s">
        <v>39</v>
      </c>
      <c r="H1093">
        <v>2</v>
      </c>
      <c r="I1093">
        <v>5</v>
      </c>
      <c r="J1093" t="str">
        <f>TEXT(DATE(2012,Table1[[#This Row],[MONTH_ID]],10),"mmm")</f>
        <v>May</v>
      </c>
      <c r="K1093">
        <v>2003</v>
      </c>
      <c r="L1093" t="s">
        <v>195</v>
      </c>
      <c r="M1093">
        <v>80</v>
      </c>
      <c r="N1093" t="s">
        <v>621</v>
      </c>
      <c r="O1093" t="s">
        <v>447</v>
      </c>
      <c r="P1093" t="s">
        <v>448</v>
      </c>
      <c r="Q1093" t="s">
        <v>449</v>
      </c>
      <c r="S1093" t="s">
        <v>450</v>
      </c>
      <c r="U1093">
        <v>13008</v>
      </c>
      <c r="V1093" t="s">
        <v>55</v>
      </c>
      <c r="W1093" t="s">
        <v>56</v>
      </c>
      <c r="X1093" t="s">
        <v>451</v>
      </c>
      <c r="Y1093" t="s">
        <v>452</v>
      </c>
      <c r="Z1093" t="s">
        <v>50</v>
      </c>
    </row>
    <row r="1094" spans="1:26" x14ac:dyDescent="0.3">
      <c r="A1094">
        <v>10135</v>
      </c>
      <c r="B1094">
        <v>45</v>
      </c>
      <c r="C1094">
        <v>78</v>
      </c>
      <c r="D1094">
        <v>10</v>
      </c>
      <c r="E1094">
        <v>3510</v>
      </c>
      <c r="F1094" s="1">
        <v>37804</v>
      </c>
      <c r="G1094" t="s">
        <v>39</v>
      </c>
      <c r="H1094">
        <v>3</v>
      </c>
      <c r="I1094">
        <v>7</v>
      </c>
      <c r="J1094" t="str">
        <f>TEXT(DATE(2012,Table1[[#This Row],[MONTH_ID]],10),"mmm")</f>
        <v>Jul</v>
      </c>
      <c r="K1094">
        <v>2003</v>
      </c>
      <c r="L1094" t="s">
        <v>195</v>
      </c>
      <c r="M1094">
        <v>80</v>
      </c>
      <c r="N1094" t="s">
        <v>621</v>
      </c>
      <c r="O1094" t="s">
        <v>286</v>
      </c>
      <c r="P1094">
        <v>4155551450</v>
      </c>
      <c r="Q1094" t="s">
        <v>287</v>
      </c>
      <c r="S1094" t="s">
        <v>288</v>
      </c>
      <c r="T1094" t="s">
        <v>69</v>
      </c>
      <c r="U1094">
        <v>97562</v>
      </c>
      <c r="V1094" t="s">
        <v>46</v>
      </c>
      <c r="W1094" t="s">
        <v>47</v>
      </c>
      <c r="X1094" t="s">
        <v>289</v>
      </c>
      <c r="Y1094" t="s">
        <v>290</v>
      </c>
      <c r="Z1094" t="s">
        <v>65</v>
      </c>
    </row>
    <row r="1095" spans="1:26" x14ac:dyDescent="0.3">
      <c r="A1095">
        <v>10147</v>
      </c>
      <c r="B1095">
        <v>36</v>
      </c>
      <c r="C1095">
        <v>86.04</v>
      </c>
      <c r="D1095">
        <v>10</v>
      </c>
      <c r="E1095">
        <v>3097.44</v>
      </c>
      <c r="F1095" s="1">
        <v>37869</v>
      </c>
      <c r="G1095" t="s">
        <v>39</v>
      </c>
      <c r="H1095">
        <v>3</v>
      </c>
      <c r="I1095">
        <v>9</v>
      </c>
      <c r="J1095" t="str">
        <f>TEXT(DATE(2012,Table1[[#This Row],[MONTH_ID]],10),"mmm")</f>
        <v>Sep</v>
      </c>
      <c r="K1095">
        <v>2003</v>
      </c>
      <c r="L1095" t="s">
        <v>195</v>
      </c>
      <c r="M1095">
        <v>80</v>
      </c>
      <c r="N1095" t="s">
        <v>621</v>
      </c>
      <c r="O1095" t="s">
        <v>295</v>
      </c>
      <c r="P1095">
        <v>6175558555</v>
      </c>
      <c r="Q1095" t="s">
        <v>296</v>
      </c>
      <c r="S1095" t="s">
        <v>297</v>
      </c>
      <c r="T1095" t="s">
        <v>137</v>
      </c>
      <c r="U1095">
        <v>58339</v>
      </c>
      <c r="V1095" t="s">
        <v>46</v>
      </c>
      <c r="W1095" t="s">
        <v>47</v>
      </c>
      <c r="X1095" t="s">
        <v>289</v>
      </c>
      <c r="Y1095" t="s">
        <v>298</v>
      </c>
      <c r="Z1095" t="s">
        <v>65</v>
      </c>
    </row>
    <row r="1096" spans="1:26" x14ac:dyDescent="0.3">
      <c r="A1096">
        <v>10159</v>
      </c>
      <c r="B1096">
        <v>21</v>
      </c>
      <c r="C1096">
        <v>81.209999999999994</v>
      </c>
      <c r="D1096">
        <v>5</v>
      </c>
      <c r="E1096">
        <v>1705.41</v>
      </c>
      <c r="F1096" s="1">
        <v>37904</v>
      </c>
      <c r="G1096" t="s">
        <v>39</v>
      </c>
      <c r="H1096">
        <v>4</v>
      </c>
      <c r="I1096">
        <v>10</v>
      </c>
      <c r="J1096" t="str">
        <f>TEXT(DATE(2012,Table1[[#This Row],[MONTH_ID]],10),"mmm")</f>
        <v>Oct</v>
      </c>
      <c r="K1096">
        <v>2003</v>
      </c>
      <c r="L1096" t="s">
        <v>195</v>
      </c>
      <c r="M1096">
        <v>80</v>
      </c>
      <c r="N1096" t="s">
        <v>621</v>
      </c>
      <c r="O1096" t="s">
        <v>72</v>
      </c>
      <c r="P1096">
        <v>6505551386</v>
      </c>
      <c r="Q1096" t="s">
        <v>73</v>
      </c>
      <c r="S1096" t="s">
        <v>74</v>
      </c>
      <c r="T1096" t="s">
        <v>69</v>
      </c>
      <c r="V1096" t="s">
        <v>46</v>
      </c>
      <c r="W1096" t="s">
        <v>47</v>
      </c>
      <c r="X1096" t="s">
        <v>75</v>
      </c>
      <c r="Y1096" t="s">
        <v>71</v>
      </c>
      <c r="Z1096" t="s">
        <v>50</v>
      </c>
    </row>
    <row r="1097" spans="1:26" x14ac:dyDescent="0.3">
      <c r="A1097">
        <v>10169</v>
      </c>
      <c r="B1097">
        <v>32</v>
      </c>
      <c r="C1097">
        <v>70.760000000000005</v>
      </c>
      <c r="D1097">
        <v>5</v>
      </c>
      <c r="E1097">
        <v>2264.3200000000002</v>
      </c>
      <c r="F1097" s="1">
        <v>37929</v>
      </c>
      <c r="G1097" t="s">
        <v>39</v>
      </c>
      <c r="H1097">
        <v>4</v>
      </c>
      <c r="I1097">
        <v>11</v>
      </c>
      <c r="J1097" t="str">
        <f>TEXT(DATE(2012,Table1[[#This Row],[MONTH_ID]],10),"mmm")</f>
        <v>Nov</v>
      </c>
      <c r="K1097">
        <v>2003</v>
      </c>
      <c r="L1097" t="s">
        <v>195</v>
      </c>
      <c r="M1097">
        <v>80</v>
      </c>
      <c r="N1097" t="s">
        <v>621</v>
      </c>
      <c r="O1097" t="s">
        <v>299</v>
      </c>
      <c r="P1097" t="s">
        <v>300</v>
      </c>
      <c r="Q1097" t="s">
        <v>301</v>
      </c>
      <c r="R1097" t="s">
        <v>302</v>
      </c>
      <c r="S1097" t="s">
        <v>303</v>
      </c>
      <c r="T1097" t="s">
        <v>171</v>
      </c>
      <c r="U1097">
        <v>2060</v>
      </c>
      <c r="V1097" t="s">
        <v>109</v>
      </c>
      <c r="W1097" t="s">
        <v>110</v>
      </c>
      <c r="X1097" t="s">
        <v>304</v>
      </c>
      <c r="Y1097" t="s">
        <v>305</v>
      </c>
      <c r="Z1097" t="s">
        <v>50</v>
      </c>
    </row>
    <row r="1098" spans="1:26" x14ac:dyDescent="0.3">
      <c r="A1098">
        <v>10181</v>
      </c>
      <c r="B1098">
        <v>30</v>
      </c>
      <c r="C1098">
        <v>82.82</v>
      </c>
      <c r="D1098">
        <v>17</v>
      </c>
      <c r="E1098">
        <v>2484.6</v>
      </c>
      <c r="F1098" s="1">
        <v>37937</v>
      </c>
      <c r="G1098" t="s">
        <v>39</v>
      </c>
      <c r="H1098">
        <v>4</v>
      </c>
      <c r="I1098">
        <v>11</v>
      </c>
      <c r="J1098" t="str">
        <f>TEXT(DATE(2012,Table1[[#This Row],[MONTH_ID]],10),"mmm")</f>
        <v>Nov</v>
      </c>
      <c r="K1098">
        <v>2003</v>
      </c>
      <c r="L1098" t="s">
        <v>195</v>
      </c>
      <c r="M1098">
        <v>80</v>
      </c>
      <c r="N1098" t="s">
        <v>621</v>
      </c>
      <c r="O1098" t="s">
        <v>87</v>
      </c>
      <c r="P1098" t="s">
        <v>88</v>
      </c>
      <c r="Q1098" t="s">
        <v>89</v>
      </c>
      <c r="S1098" t="s">
        <v>90</v>
      </c>
      <c r="U1098" t="s">
        <v>91</v>
      </c>
      <c r="V1098" t="s">
        <v>92</v>
      </c>
      <c r="W1098" t="s">
        <v>56</v>
      </c>
      <c r="X1098" t="s">
        <v>93</v>
      </c>
      <c r="Y1098" t="s">
        <v>94</v>
      </c>
      <c r="Z1098" t="s">
        <v>50</v>
      </c>
    </row>
    <row r="1099" spans="1:26" x14ac:dyDescent="0.3">
      <c r="A1099">
        <v>10191</v>
      </c>
      <c r="B1099">
        <v>36</v>
      </c>
      <c r="C1099">
        <v>94.88</v>
      </c>
      <c r="D1099">
        <v>6</v>
      </c>
      <c r="E1099">
        <v>3415.68</v>
      </c>
      <c r="F1099" s="1">
        <v>37945</v>
      </c>
      <c r="G1099" t="s">
        <v>39</v>
      </c>
      <c r="H1099">
        <v>4</v>
      </c>
      <c r="I1099">
        <v>11</v>
      </c>
      <c r="J1099" t="str">
        <f>TEXT(DATE(2012,Table1[[#This Row],[MONTH_ID]],10),"mmm")</f>
        <v>Nov</v>
      </c>
      <c r="K1099">
        <v>2003</v>
      </c>
      <c r="L1099" t="s">
        <v>195</v>
      </c>
      <c r="M1099">
        <v>80</v>
      </c>
      <c r="N1099" t="s">
        <v>621</v>
      </c>
      <c r="O1099" t="s">
        <v>453</v>
      </c>
      <c r="P1099" t="s">
        <v>454</v>
      </c>
      <c r="Q1099" t="s">
        <v>455</v>
      </c>
      <c r="S1099" t="s">
        <v>456</v>
      </c>
      <c r="U1099">
        <v>50739</v>
      </c>
      <c r="V1099" t="s">
        <v>457</v>
      </c>
      <c r="W1099" t="s">
        <v>56</v>
      </c>
      <c r="X1099" t="s">
        <v>458</v>
      </c>
      <c r="Y1099" t="s">
        <v>459</v>
      </c>
      <c r="Z1099" t="s">
        <v>65</v>
      </c>
    </row>
    <row r="1100" spans="1:26" x14ac:dyDescent="0.3">
      <c r="A1100">
        <v>10203</v>
      </c>
      <c r="B1100">
        <v>33</v>
      </c>
      <c r="C1100">
        <v>86.04</v>
      </c>
      <c r="D1100">
        <v>11</v>
      </c>
      <c r="E1100">
        <v>2839.32</v>
      </c>
      <c r="F1100" s="1">
        <v>37957</v>
      </c>
      <c r="G1100" t="s">
        <v>39</v>
      </c>
      <c r="H1100">
        <v>4</v>
      </c>
      <c r="I1100">
        <v>12</v>
      </c>
      <c r="J1100" t="str">
        <f>TEXT(DATE(2012,Table1[[#This Row],[MONTH_ID]],10),"mmm")</f>
        <v>Dec</v>
      </c>
      <c r="K1100">
        <v>2003</v>
      </c>
      <c r="L1100" t="s">
        <v>195</v>
      </c>
      <c r="M1100">
        <v>80</v>
      </c>
      <c r="N1100" t="s">
        <v>621</v>
      </c>
      <c r="O1100" t="s">
        <v>188</v>
      </c>
      <c r="P1100" t="s">
        <v>189</v>
      </c>
      <c r="Q1100" t="s">
        <v>190</v>
      </c>
      <c r="S1100" t="s">
        <v>191</v>
      </c>
      <c r="U1100">
        <v>28034</v>
      </c>
      <c r="V1100" t="s">
        <v>192</v>
      </c>
      <c r="W1100" t="s">
        <v>56</v>
      </c>
      <c r="X1100" t="s">
        <v>193</v>
      </c>
      <c r="Y1100" t="s">
        <v>194</v>
      </c>
      <c r="Z1100" t="s">
        <v>50</v>
      </c>
    </row>
    <row r="1101" spans="1:26" x14ac:dyDescent="0.3">
      <c r="A1101">
        <v>10211</v>
      </c>
      <c r="B1101">
        <v>35</v>
      </c>
      <c r="C1101">
        <v>78</v>
      </c>
      <c r="D1101">
        <v>5</v>
      </c>
      <c r="E1101">
        <v>2730</v>
      </c>
      <c r="F1101" s="1">
        <v>38001</v>
      </c>
      <c r="G1101" t="s">
        <v>39</v>
      </c>
      <c r="H1101">
        <v>1</v>
      </c>
      <c r="I1101">
        <v>1</v>
      </c>
      <c r="J1101" t="str">
        <f>TEXT(DATE(2012,Table1[[#This Row],[MONTH_ID]],10),"mmm")</f>
        <v>Jan</v>
      </c>
      <c r="K1101">
        <v>2004</v>
      </c>
      <c r="L1101" t="s">
        <v>195</v>
      </c>
      <c r="M1101">
        <v>80</v>
      </c>
      <c r="N1101" t="s">
        <v>621</v>
      </c>
      <c r="O1101" t="s">
        <v>98</v>
      </c>
      <c r="P1101" t="s">
        <v>99</v>
      </c>
      <c r="Q1101" t="s">
        <v>100</v>
      </c>
      <c r="S1101" t="s">
        <v>62</v>
      </c>
      <c r="U1101">
        <v>75016</v>
      </c>
      <c r="V1101" t="s">
        <v>55</v>
      </c>
      <c r="W1101" t="s">
        <v>56</v>
      </c>
      <c r="X1101" t="s">
        <v>101</v>
      </c>
      <c r="Y1101" t="s">
        <v>102</v>
      </c>
      <c r="Z1101" t="s">
        <v>50</v>
      </c>
    </row>
    <row r="1102" spans="1:26" x14ac:dyDescent="0.3">
      <c r="A1102">
        <v>10225</v>
      </c>
      <c r="B1102">
        <v>37</v>
      </c>
      <c r="C1102">
        <v>95.69</v>
      </c>
      <c r="D1102">
        <v>12</v>
      </c>
      <c r="E1102">
        <v>3540.53</v>
      </c>
      <c r="F1102" s="1">
        <v>38039</v>
      </c>
      <c r="G1102" t="s">
        <v>39</v>
      </c>
      <c r="H1102">
        <v>1</v>
      </c>
      <c r="I1102">
        <v>2</v>
      </c>
      <c r="J1102" t="str">
        <f>TEXT(DATE(2012,Table1[[#This Row],[MONTH_ID]],10),"mmm")</f>
        <v>Feb</v>
      </c>
      <c r="K1102">
        <v>2004</v>
      </c>
      <c r="L1102" t="s">
        <v>195</v>
      </c>
      <c r="M1102">
        <v>80</v>
      </c>
      <c r="N1102" t="s">
        <v>621</v>
      </c>
      <c r="O1102" t="s">
        <v>460</v>
      </c>
      <c r="P1102" t="s">
        <v>461</v>
      </c>
      <c r="Q1102" t="s">
        <v>462</v>
      </c>
      <c r="S1102" t="s">
        <v>463</v>
      </c>
      <c r="U1102">
        <v>1203</v>
      </c>
      <c r="V1102" t="s">
        <v>464</v>
      </c>
      <c r="W1102" t="s">
        <v>56</v>
      </c>
      <c r="X1102" t="s">
        <v>465</v>
      </c>
      <c r="Y1102" t="s">
        <v>117</v>
      </c>
      <c r="Z1102" t="s">
        <v>65</v>
      </c>
    </row>
    <row r="1103" spans="1:26" x14ac:dyDescent="0.3">
      <c r="A1103">
        <v>10238</v>
      </c>
      <c r="B1103">
        <v>41</v>
      </c>
      <c r="C1103">
        <v>73.17</v>
      </c>
      <c r="D1103">
        <v>6</v>
      </c>
      <c r="E1103">
        <v>2999.97</v>
      </c>
      <c r="F1103" s="1">
        <v>38086</v>
      </c>
      <c r="G1103" t="s">
        <v>39</v>
      </c>
      <c r="H1103">
        <v>2</v>
      </c>
      <c r="I1103">
        <v>4</v>
      </c>
      <c r="J1103" t="str">
        <f>TEXT(DATE(2012,Table1[[#This Row],[MONTH_ID]],10),"mmm")</f>
        <v>Apr</v>
      </c>
      <c r="K1103">
        <v>2004</v>
      </c>
      <c r="L1103" t="s">
        <v>195</v>
      </c>
      <c r="M1103">
        <v>80</v>
      </c>
      <c r="N1103" t="s">
        <v>621</v>
      </c>
      <c r="O1103" t="s">
        <v>336</v>
      </c>
      <c r="P1103" t="s">
        <v>337</v>
      </c>
      <c r="Q1103" t="s">
        <v>338</v>
      </c>
      <c r="S1103" t="s">
        <v>339</v>
      </c>
      <c r="U1103">
        <v>1734</v>
      </c>
      <c r="V1103" t="s">
        <v>340</v>
      </c>
      <c r="W1103" t="s">
        <v>56</v>
      </c>
      <c r="X1103" t="s">
        <v>341</v>
      </c>
      <c r="Y1103" t="s">
        <v>342</v>
      </c>
      <c r="Z1103" t="s">
        <v>50</v>
      </c>
    </row>
    <row r="1104" spans="1:26" x14ac:dyDescent="0.3">
      <c r="A1104">
        <v>10252</v>
      </c>
      <c r="B1104">
        <v>20</v>
      </c>
      <c r="C1104">
        <v>76.39</v>
      </c>
      <c r="D1104">
        <v>2</v>
      </c>
      <c r="E1104">
        <v>1527.8</v>
      </c>
      <c r="F1104" s="1">
        <v>38133</v>
      </c>
      <c r="G1104" t="s">
        <v>39</v>
      </c>
      <c r="H1104">
        <v>2</v>
      </c>
      <c r="I1104">
        <v>5</v>
      </c>
      <c r="J1104" t="str">
        <f>TEXT(DATE(2012,Table1[[#This Row],[MONTH_ID]],10),"mmm")</f>
        <v>May</v>
      </c>
      <c r="K1104">
        <v>2004</v>
      </c>
      <c r="L1104" t="s">
        <v>195</v>
      </c>
      <c r="M1104">
        <v>80</v>
      </c>
      <c r="N1104" t="s">
        <v>621</v>
      </c>
      <c r="O1104" t="s">
        <v>98</v>
      </c>
      <c r="P1104" t="s">
        <v>99</v>
      </c>
      <c r="Q1104" t="s">
        <v>100</v>
      </c>
      <c r="S1104" t="s">
        <v>62</v>
      </c>
      <c r="U1104">
        <v>75016</v>
      </c>
      <c r="V1104" t="s">
        <v>55</v>
      </c>
      <c r="W1104" t="s">
        <v>56</v>
      </c>
      <c r="X1104" t="s">
        <v>101</v>
      </c>
      <c r="Y1104" t="s">
        <v>102</v>
      </c>
      <c r="Z1104" t="s">
        <v>50</v>
      </c>
    </row>
    <row r="1105" spans="1:26" x14ac:dyDescent="0.3">
      <c r="A1105">
        <v>10265</v>
      </c>
      <c r="B1105">
        <v>45</v>
      </c>
      <c r="C1105">
        <v>86.84</v>
      </c>
      <c r="D1105">
        <v>2</v>
      </c>
      <c r="E1105">
        <v>3907.8</v>
      </c>
      <c r="F1105" s="1">
        <v>38170</v>
      </c>
      <c r="G1105" t="s">
        <v>39</v>
      </c>
      <c r="H1105">
        <v>3</v>
      </c>
      <c r="I1105">
        <v>7</v>
      </c>
      <c r="J1105" t="str">
        <f>TEXT(DATE(2012,Table1[[#This Row],[MONTH_ID]],10),"mmm")</f>
        <v>Jul</v>
      </c>
      <c r="K1105">
        <v>2004</v>
      </c>
      <c r="L1105" t="s">
        <v>195</v>
      </c>
      <c r="M1105">
        <v>80</v>
      </c>
      <c r="N1105" t="s">
        <v>621</v>
      </c>
      <c r="O1105" t="s">
        <v>572</v>
      </c>
      <c r="P1105" t="s">
        <v>573</v>
      </c>
      <c r="Q1105" t="s">
        <v>574</v>
      </c>
      <c r="S1105" t="s">
        <v>575</v>
      </c>
      <c r="T1105" t="s">
        <v>108</v>
      </c>
      <c r="U1105">
        <v>3150</v>
      </c>
      <c r="V1105" t="s">
        <v>109</v>
      </c>
      <c r="W1105" t="s">
        <v>110</v>
      </c>
      <c r="X1105" t="s">
        <v>576</v>
      </c>
      <c r="Y1105" t="s">
        <v>577</v>
      </c>
      <c r="Z1105" t="s">
        <v>65</v>
      </c>
    </row>
    <row r="1106" spans="1:26" x14ac:dyDescent="0.3">
      <c r="A1106">
        <v>10276</v>
      </c>
      <c r="B1106">
        <v>38</v>
      </c>
      <c r="C1106">
        <v>69.959999999999994</v>
      </c>
      <c r="D1106">
        <v>6</v>
      </c>
      <c r="E1106">
        <v>2658.48</v>
      </c>
      <c r="F1106" s="1">
        <v>38201</v>
      </c>
      <c r="G1106" t="s">
        <v>39</v>
      </c>
      <c r="H1106">
        <v>3</v>
      </c>
      <c r="I1106">
        <v>8</v>
      </c>
      <c r="J1106" t="str">
        <f>TEXT(DATE(2012,Table1[[#This Row],[MONTH_ID]],10),"mmm")</f>
        <v>Aug</v>
      </c>
      <c r="K1106">
        <v>2004</v>
      </c>
      <c r="L1106" t="s">
        <v>195</v>
      </c>
      <c r="M1106">
        <v>80</v>
      </c>
      <c r="N1106" t="s">
        <v>621</v>
      </c>
      <c r="O1106" t="s">
        <v>472</v>
      </c>
      <c r="P1106">
        <v>6175557555</v>
      </c>
      <c r="Q1106" t="s">
        <v>473</v>
      </c>
      <c r="S1106" t="s">
        <v>297</v>
      </c>
      <c r="T1106" t="s">
        <v>137</v>
      </c>
      <c r="U1106">
        <v>58339</v>
      </c>
      <c r="V1106" t="s">
        <v>46</v>
      </c>
      <c r="W1106" t="s">
        <v>47</v>
      </c>
      <c r="X1106" t="s">
        <v>474</v>
      </c>
      <c r="Y1106" t="s">
        <v>475</v>
      </c>
      <c r="Z1106" t="s">
        <v>50</v>
      </c>
    </row>
    <row r="1107" spans="1:26" x14ac:dyDescent="0.3">
      <c r="A1107">
        <v>10287</v>
      </c>
      <c r="B1107">
        <v>43</v>
      </c>
      <c r="C1107">
        <v>70.760000000000005</v>
      </c>
      <c r="D1107">
        <v>15</v>
      </c>
      <c r="E1107">
        <v>3042.68</v>
      </c>
      <c r="F1107" s="1">
        <v>38229</v>
      </c>
      <c r="G1107" t="s">
        <v>39</v>
      </c>
      <c r="H1107">
        <v>3</v>
      </c>
      <c r="I1107">
        <v>8</v>
      </c>
      <c r="J1107" t="str">
        <f>TEXT(DATE(2012,Table1[[#This Row],[MONTH_ID]],10),"mmm")</f>
        <v>Aug</v>
      </c>
      <c r="K1107">
        <v>2004</v>
      </c>
      <c r="L1107" t="s">
        <v>195</v>
      </c>
      <c r="M1107">
        <v>80</v>
      </c>
      <c r="N1107" t="s">
        <v>621</v>
      </c>
      <c r="O1107" t="s">
        <v>460</v>
      </c>
      <c r="P1107" t="s">
        <v>461</v>
      </c>
      <c r="Q1107" t="s">
        <v>462</v>
      </c>
      <c r="S1107" t="s">
        <v>463</v>
      </c>
      <c r="U1107">
        <v>1203</v>
      </c>
      <c r="V1107" t="s">
        <v>464</v>
      </c>
      <c r="W1107" t="s">
        <v>56</v>
      </c>
      <c r="X1107" t="s">
        <v>465</v>
      </c>
      <c r="Y1107" t="s">
        <v>117</v>
      </c>
      <c r="Z1107" t="s">
        <v>65</v>
      </c>
    </row>
    <row r="1108" spans="1:26" x14ac:dyDescent="0.3">
      <c r="A1108">
        <v>10300</v>
      </c>
      <c r="B1108">
        <v>49</v>
      </c>
      <c r="C1108">
        <v>78.8</v>
      </c>
      <c r="D1108">
        <v>8</v>
      </c>
      <c r="E1108">
        <v>3861.2</v>
      </c>
      <c r="F1108" s="1">
        <v>37898</v>
      </c>
      <c r="G1108" t="s">
        <v>39</v>
      </c>
      <c r="H1108">
        <v>4</v>
      </c>
      <c r="I1108">
        <v>10</v>
      </c>
      <c r="J1108" t="str">
        <f>TEXT(DATE(2012,Table1[[#This Row],[MONTH_ID]],10),"mmm")</f>
        <v>Oct</v>
      </c>
      <c r="K1108">
        <v>2003</v>
      </c>
      <c r="L1108" t="s">
        <v>195</v>
      </c>
      <c r="M1108">
        <v>80</v>
      </c>
      <c r="N1108" t="s">
        <v>621</v>
      </c>
      <c r="O1108" t="s">
        <v>476</v>
      </c>
      <c r="P1108" t="s">
        <v>477</v>
      </c>
      <c r="Q1108" t="s">
        <v>478</v>
      </c>
      <c r="S1108" t="s">
        <v>479</v>
      </c>
      <c r="U1108">
        <v>60528</v>
      </c>
      <c r="V1108" t="s">
        <v>457</v>
      </c>
      <c r="W1108" t="s">
        <v>56</v>
      </c>
      <c r="X1108" t="s">
        <v>480</v>
      </c>
      <c r="Y1108" t="s">
        <v>428</v>
      </c>
      <c r="Z1108" t="s">
        <v>65</v>
      </c>
    </row>
    <row r="1109" spans="1:26" x14ac:dyDescent="0.3">
      <c r="A1109">
        <v>10310</v>
      </c>
      <c r="B1109">
        <v>27</v>
      </c>
      <c r="C1109">
        <v>80.41</v>
      </c>
      <c r="D1109">
        <v>13</v>
      </c>
      <c r="E1109">
        <v>2171.0700000000002</v>
      </c>
      <c r="F1109" s="1">
        <v>38276</v>
      </c>
      <c r="G1109" t="s">
        <v>39</v>
      </c>
      <c r="H1109">
        <v>4</v>
      </c>
      <c r="I1109">
        <v>10</v>
      </c>
      <c r="J1109" t="str">
        <f>TEXT(DATE(2012,Table1[[#This Row],[MONTH_ID]],10),"mmm")</f>
        <v>Oct</v>
      </c>
      <c r="K1109">
        <v>2004</v>
      </c>
      <c r="L1109" t="s">
        <v>195</v>
      </c>
      <c r="M1109">
        <v>80</v>
      </c>
      <c r="N1109" t="s">
        <v>621</v>
      </c>
      <c r="O1109" t="s">
        <v>453</v>
      </c>
      <c r="P1109" t="s">
        <v>454</v>
      </c>
      <c r="Q1109" t="s">
        <v>455</v>
      </c>
      <c r="S1109" t="s">
        <v>456</v>
      </c>
      <c r="U1109">
        <v>50739</v>
      </c>
      <c r="V1109" t="s">
        <v>457</v>
      </c>
      <c r="W1109" t="s">
        <v>56</v>
      </c>
      <c r="X1109" t="s">
        <v>458</v>
      </c>
      <c r="Y1109" t="s">
        <v>459</v>
      </c>
      <c r="Z1109" t="s">
        <v>50</v>
      </c>
    </row>
    <row r="1110" spans="1:26" x14ac:dyDescent="0.3">
      <c r="A1110">
        <v>10319</v>
      </c>
      <c r="B1110">
        <v>46</v>
      </c>
      <c r="C1110">
        <v>73.98</v>
      </c>
      <c r="D1110">
        <v>1</v>
      </c>
      <c r="E1110">
        <v>3403.08</v>
      </c>
      <c r="F1110" s="1">
        <v>38294</v>
      </c>
      <c r="G1110" t="s">
        <v>39</v>
      </c>
      <c r="H1110">
        <v>4</v>
      </c>
      <c r="I1110">
        <v>11</v>
      </c>
      <c r="J1110" t="str">
        <f>TEXT(DATE(2012,Table1[[#This Row],[MONTH_ID]],10),"mmm")</f>
        <v>Nov</v>
      </c>
      <c r="K1110">
        <v>2004</v>
      </c>
      <c r="L1110" t="s">
        <v>195</v>
      </c>
      <c r="M1110">
        <v>80</v>
      </c>
      <c r="N1110" t="s">
        <v>621</v>
      </c>
      <c r="O1110" t="s">
        <v>521</v>
      </c>
      <c r="P1110">
        <v>2125551957</v>
      </c>
      <c r="Q1110" t="s">
        <v>522</v>
      </c>
      <c r="R1110" t="s">
        <v>523</v>
      </c>
      <c r="S1110" t="s">
        <v>44</v>
      </c>
      <c r="T1110" t="s">
        <v>45</v>
      </c>
      <c r="U1110">
        <v>10022</v>
      </c>
      <c r="V1110" t="s">
        <v>46</v>
      </c>
      <c r="W1110" t="s">
        <v>47</v>
      </c>
      <c r="X1110" t="s">
        <v>524</v>
      </c>
      <c r="Y1110" t="s">
        <v>525</v>
      </c>
      <c r="Z1110" t="s">
        <v>65</v>
      </c>
    </row>
    <row r="1111" spans="1:26" x14ac:dyDescent="0.3">
      <c r="A1111">
        <v>10329</v>
      </c>
      <c r="B1111">
        <v>38</v>
      </c>
      <c r="C1111">
        <v>59.1</v>
      </c>
      <c r="D1111">
        <v>10</v>
      </c>
      <c r="E1111">
        <v>2245.8000000000002</v>
      </c>
      <c r="F1111" s="1">
        <v>38306</v>
      </c>
      <c r="G1111" t="s">
        <v>39</v>
      </c>
      <c r="H1111">
        <v>4</v>
      </c>
      <c r="I1111">
        <v>11</v>
      </c>
      <c r="J1111" t="str">
        <f>TEXT(DATE(2012,Table1[[#This Row],[MONTH_ID]],10),"mmm")</f>
        <v>Nov</v>
      </c>
      <c r="K1111">
        <v>2004</v>
      </c>
      <c r="L1111" t="s">
        <v>195</v>
      </c>
      <c r="M1111">
        <v>80</v>
      </c>
      <c r="N1111" t="s">
        <v>621</v>
      </c>
      <c r="O1111" t="s">
        <v>42</v>
      </c>
      <c r="P1111">
        <v>2125557818</v>
      </c>
      <c r="Q1111" t="s">
        <v>43</v>
      </c>
      <c r="S1111" t="s">
        <v>44</v>
      </c>
      <c r="T1111" t="s">
        <v>45</v>
      </c>
      <c r="U1111">
        <v>10022</v>
      </c>
      <c r="V1111" t="s">
        <v>46</v>
      </c>
      <c r="W1111" t="s">
        <v>47</v>
      </c>
      <c r="X1111" t="s">
        <v>48</v>
      </c>
      <c r="Y1111" t="s">
        <v>49</v>
      </c>
      <c r="Z1111" t="s">
        <v>50</v>
      </c>
    </row>
    <row r="1112" spans="1:26" x14ac:dyDescent="0.3">
      <c r="A1112">
        <v>10342</v>
      </c>
      <c r="B1112">
        <v>25</v>
      </c>
      <c r="C1112">
        <v>66.739999999999995</v>
      </c>
      <c r="D1112">
        <v>5</v>
      </c>
      <c r="E1112">
        <v>1668.5</v>
      </c>
      <c r="F1112" s="1">
        <v>38315</v>
      </c>
      <c r="G1112" t="s">
        <v>39</v>
      </c>
      <c r="H1112">
        <v>4</v>
      </c>
      <c r="I1112">
        <v>11</v>
      </c>
      <c r="J1112" t="str">
        <f>TEXT(DATE(2012,Table1[[#This Row],[MONTH_ID]],10),"mmm")</f>
        <v>Nov</v>
      </c>
      <c r="K1112">
        <v>2004</v>
      </c>
      <c r="L1112" t="s">
        <v>195</v>
      </c>
      <c r="M1112">
        <v>80</v>
      </c>
      <c r="N1112" t="s">
        <v>621</v>
      </c>
      <c r="O1112" t="s">
        <v>103</v>
      </c>
      <c r="P1112" t="s">
        <v>104</v>
      </c>
      <c r="Q1112" t="s">
        <v>105</v>
      </c>
      <c r="R1112" t="s">
        <v>106</v>
      </c>
      <c r="S1112" t="s">
        <v>107</v>
      </c>
      <c r="T1112" t="s">
        <v>108</v>
      </c>
      <c r="U1112">
        <v>3004</v>
      </c>
      <c r="V1112" t="s">
        <v>109</v>
      </c>
      <c r="W1112" t="s">
        <v>110</v>
      </c>
      <c r="X1112" t="s">
        <v>111</v>
      </c>
      <c r="Y1112" t="s">
        <v>112</v>
      </c>
      <c r="Z1112" t="s">
        <v>50</v>
      </c>
    </row>
    <row r="1113" spans="1:26" x14ac:dyDescent="0.3">
      <c r="A1113">
        <v>10363</v>
      </c>
      <c r="B1113">
        <v>46</v>
      </c>
      <c r="C1113">
        <v>60.3</v>
      </c>
      <c r="D1113">
        <v>10</v>
      </c>
      <c r="E1113">
        <v>2773.8</v>
      </c>
      <c r="F1113" s="1">
        <v>38358</v>
      </c>
      <c r="G1113" t="s">
        <v>39</v>
      </c>
      <c r="H1113">
        <v>1</v>
      </c>
      <c r="I1113">
        <v>1</v>
      </c>
      <c r="J1113" t="str">
        <f>TEXT(DATE(2012,Table1[[#This Row],[MONTH_ID]],10),"mmm")</f>
        <v>Jan</v>
      </c>
      <c r="K1113">
        <v>2005</v>
      </c>
      <c r="L1113" t="s">
        <v>195</v>
      </c>
      <c r="M1113">
        <v>80</v>
      </c>
      <c r="N1113" t="s">
        <v>621</v>
      </c>
      <c r="O1113" t="s">
        <v>481</v>
      </c>
      <c r="P1113" t="s">
        <v>482</v>
      </c>
      <c r="Q1113" t="s">
        <v>483</v>
      </c>
      <c r="S1113" t="s">
        <v>484</v>
      </c>
      <c r="U1113" t="s">
        <v>485</v>
      </c>
      <c r="V1113" t="s">
        <v>144</v>
      </c>
      <c r="W1113" t="s">
        <v>56</v>
      </c>
      <c r="X1113" t="s">
        <v>486</v>
      </c>
      <c r="Y1113" t="s">
        <v>487</v>
      </c>
      <c r="Z1113" t="s">
        <v>50</v>
      </c>
    </row>
    <row r="1114" spans="1:26" x14ac:dyDescent="0.3">
      <c r="A1114">
        <v>10378</v>
      </c>
      <c r="B1114">
        <v>22</v>
      </c>
      <c r="C1114">
        <v>100</v>
      </c>
      <c r="D1114">
        <v>4</v>
      </c>
      <c r="E1114">
        <v>2464</v>
      </c>
      <c r="F1114" s="1">
        <v>38393</v>
      </c>
      <c r="G1114" t="s">
        <v>39</v>
      </c>
      <c r="H1114">
        <v>1</v>
      </c>
      <c r="I1114">
        <v>2</v>
      </c>
      <c r="J1114" t="str">
        <f>TEXT(DATE(2012,Table1[[#This Row],[MONTH_ID]],10),"mmm")</f>
        <v>Feb</v>
      </c>
      <c r="K1114">
        <v>2005</v>
      </c>
      <c r="L1114" t="s">
        <v>195</v>
      </c>
      <c r="M1114">
        <v>80</v>
      </c>
      <c r="N1114" t="s">
        <v>621</v>
      </c>
      <c r="O1114" t="s">
        <v>188</v>
      </c>
      <c r="P1114" t="s">
        <v>189</v>
      </c>
      <c r="Q1114" t="s">
        <v>190</v>
      </c>
      <c r="S1114" t="s">
        <v>191</v>
      </c>
      <c r="U1114">
        <v>28034</v>
      </c>
      <c r="V1114" t="s">
        <v>192</v>
      </c>
      <c r="W1114" t="s">
        <v>56</v>
      </c>
      <c r="X1114" t="s">
        <v>193</v>
      </c>
      <c r="Y1114" t="s">
        <v>194</v>
      </c>
      <c r="Z1114" t="s">
        <v>50</v>
      </c>
    </row>
    <row r="1115" spans="1:26" x14ac:dyDescent="0.3">
      <c r="A1115">
        <v>10390</v>
      </c>
      <c r="B1115">
        <v>40</v>
      </c>
      <c r="C1115">
        <v>100</v>
      </c>
      <c r="D1115">
        <v>9</v>
      </c>
      <c r="E1115">
        <v>5491.6</v>
      </c>
      <c r="F1115" s="1">
        <v>38415</v>
      </c>
      <c r="G1115" t="s">
        <v>39</v>
      </c>
      <c r="H1115">
        <v>1</v>
      </c>
      <c r="I1115">
        <v>3</v>
      </c>
      <c r="J1115" t="str">
        <f>TEXT(DATE(2012,Table1[[#This Row],[MONTH_ID]],10),"mmm")</f>
        <v>Mar</v>
      </c>
      <c r="K1115">
        <v>2005</v>
      </c>
      <c r="L1115" t="s">
        <v>195</v>
      </c>
      <c r="M1115">
        <v>80</v>
      </c>
      <c r="N1115" t="s">
        <v>621</v>
      </c>
      <c r="O1115" t="s">
        <v>286</v>
      </c>
      <c r="P1115">
        <v>4155551450</v>
      </c>
      <c r="Q1115" t="s">
        <v>287</v>
      </c>
      <c r="S1115" t="s">
        <v>288</v>
      </c>
      <c r="T1115" t="s">
        <v>69</v>
      </c>
      <c r="U1115">
        <v>97562</v>
      </c>
      <c r="V1115" t="s">
        <v>46</v>
      </c>
      <c r="W1115" t="s">
        <v>47</v>
      </c>
      <c r="X1115" t="s">
        <v>289</v>
      </c>
      <c r="Y1115" t="s">
        <v>290</v>
      </c>
      <c r="Z1115" t="s">
        <v>65</v>
      </c>
    </row>
    <row r="1116" spans="1:26" x14ac:dyDescent="0.3">
      <c r="A1116">
        <v>10103</v>
      </c>
      <c r="B1116">
        <v>46</v>
      </c>
      <c r="C1116">
        <v>100</v>
      </c>
      <c r="D1116">
        <v>16</v>
      </c>
      <c r="E1116">
        <v>4791.82</v>
      </c>
      <c r="F1116" s="1">
        <v>37650</v>
      </c>
      <c r="G1116" t="s">
        <v>39</v>
      </c>
      <c r="H1116">
        <v>1</v>
      </c>
      <c r="I1116">
        <v>1</v>
      </c>
      <c r="J1116" t="str">
        <f>TEXT(DATE(2012,Table1[[#This Row],[MONTH_ID]],10),"mmm")</f>
        <v>Jan</v>
      </c>
      <c r="K1116">
        <v>2003</v>
      </c>
      <c r="L1116" t="s">
        <v>564</v>
      </c>
      <c r="M1116">
        <v>99</v>
      </c>
      <c r="N1116" t="s">
        <v>622</v>
      </c>
      <c r="O1116" t="s">
        <v>147</v>
      </c>
      <c r="P1116" t="s">
        <v>148</v>
      </c>
      <c r="Q1116" t="s">
        <v>149</v>
      </c>
      <c r="S1116" t="s">
        <v>150</v>
      </c>
      <c r="U1116">
        <v>4110</v>
      </c>
      <c r="V1116" t="s">
        <v>92</v>
      </c>
      <c r="W1116" t="s">
        <v>56</v>
      </c>
      <c r="X1116" t="s">
        <v>151</v>
      </c>
      <c r="Y1116" t="s">
        <v>152</v>
      </c>
      <c r="Z1116" t="s">
        <v>65</v>
      </c>
    </row>
    <row r="1117" spans="1:26" x14ac:dyDescent="0.3">
      <c r="A1117">
        <v>10111</v>
      </c>
      <c r="B1117">
        <v>39</v>
      </c>
      <c r="C1117">
        <v>100</v>
      </c>
      <c r="D1117">
        <v>4</v>
      </c>
      <c r="E1117">
        <v>4178.8500000000004</v>
      </c>
      <c r="F1117" s="1">
        <v>37705</v>
      </c>
      <c r="G1117" t="s">
        <v>39</v>
      </c>
      <c r="H1117">
        <v>1</v>
      </c>
      <c r="I1117">
        <v>3</v>
      </c>
      <c r="J1117" t="str">
        <f>TEXT(DATE(2012,Table1[[#This Row],[MONTH_ID]],10),"mmm")</f>
        <v>Mar</v>
      </c>
      <c r="K1117">
        <v>2003</v>
      </c>
      <c r="L1117" t="s">
        <v>564</v>
      </c>
      <c r="M1117">
        <v>99</v>
      </c>
      <c r="N1117" t="s">
        <v>622</v>
      </c>
      <c r="O1117" t="s">
        <v>95</v>
      </c>
      <c r="P1117">
        <v>6505555787</v>
      </c>
      <c r="Q1117" t="s">
        <v>96</v>
      </c>
      <c r="S1117" t="s">
        <v>74</v>
      </c>
      <c r="T1117" t="s">
        <v>69</v>
      </c>
      <c r="V1117" t="s">
        <v>46</v>
      </c>
      <c r="W1117" t="s">
        <v>47</v>
      </c>
      <c r="X1117" t="s">
        <v>97</v>
      </c>
      <c r="Y1117" t="s">
        <v>71</v>
      </c>
      <c r="Z1117" t="s">
        <v>65</v>
      </c>
    </row>
    <row r="1118" spans="1:26" x14ac:dyDescent="0.3">
      <c r="A1118">
        <v>10126</v>
      </c>
      <c r="B1118">
        <v>38</v>
      </c>
      <c r="C1118">
        <v>82.34</v>
      </c>
      <c r="D1118">
        <v>16</v>
      </c>
      <c r="E1118">
        <v>3128.92</v>
      </c>
      <c r="F1118" s="1">
        <v>37769</v>
      </c>
      <c r="G1118" t="s">
        <v>39</v>
      </c>
      <c r="H1118">
        <v>2</v>
      </c>
      <c r="I1118">
        <v>5</v>
      </c>
      <c r="J1118" t="str">
        <f>TEXT(DATE(2012,Table1[[#This Row],[MONTH_ID]],10),"mmm")</f>
        <v>May</v>
      </c>
      <c r="K1118">
        <v>2003</v>
      </c>
      <c r="L1118" t="s">
        <v>564</v>
      </c>
      <c r="M1118">
        <v>99</v>
      </c>
      <c r="N1118" t="s">
        <v>622</v>
      </c>
      <c r="O1118" t="s">
        <v>205</v>
      </c>
      <c r="P1118" t="s">
        <v>206</v>
      </c>
      <c r="Q1118" t="s">
        <v>207</v>
      </c>
      <c r="S1118" t="s">
        <v>191</v>
      </c>
      <c r="U1118">
        <v>28023</v>
      </c>
      <c r="V1118" t="s">
        <v>192</v>
      </c>
      <c r="W1118" t="s">
        <v>56</v>
      </c>
      <c r="X1118" t="s">
        <v>208</v>
      </c>
      <c r="Y1118" t="s">
        <v>209</v>
      </c>
      <c r="Z1118" t="s">
        <v>65</v>
      </c>
    </row>
    <row r="1119" spans="1:26" x14ac:dyDescent="0.3">
      <c r="A1119">
        <v>10139</v>
      </c>
      <c r="B1119">
        <v>30</v>
      </c>
      <c r="C1119">
        <v>100</v>
      </c>
      <c r="D1119">
        <v>5</v>
      </c>
      <c r="E1119">
        <v>3095.4</v>
      </c>
      <c r="F1119" s="1">
        <v>37818</v>
      </c>
      <c r="G1119" t="s">
        <v>39</v>
      </c>
      <c r="H1119">
        <v>3</v>
      </c>
      <c r="I1119">
        <v>7</v>
      </c>
      <c r="J1119" t="str">
        <f>TEXT(DATE(2012,Table1[[#This Row],[MONTH_ID]],10),"mmm")</f>
        <v>Jul</v>
      </c>
      <c r="K1119">
        <v>2003</v>
      </c>
      <c r="L1119" t="s">
        <v>564</v>
      </c>
      <c r="M1119">
        <v>99</v>
      </c>
      <c r="N1119" t="s">
        <v>622</v>
      </c>
      <c r="O1119" t="s">
        <v>166</v>
      </c>
      <c r="P1119" t="s">
        <v>167</v>
      </c>
      <c r="Q1119" t="s">
        <v>168</v>
      </c>
      <c r="R1119" t="s">
        <v>169</v>
      </c>
      <c r="S1119" t="s">
        <v>170</v>
      </c>
      <c r="T1119" t="s">
        <v>171</v>
      </c>
      <c r="U1119">
        <v>2067</v>
      </c>
      <c r="V1119" t="s">
        <v>109</v>
      </c>
      <c r="W1119" t="s">
        <v>110</v>
      </c>
      <c r="X1119" t="s">
        <v>172</v>
      </c>
      <c r="Y1119" t="s">
        <v>173</v>
      </c>
      <c r="Z1119" t="s">
        <v>65</v>
      </c>
    </row>
    <row r="1120" spans="1:26" x14ac:dyDescent="0.3">
      <c r="A1120">
        <v>10149</v>
      </c>
      <c r="B1120">
        <v>42</v>
      </c>
      <c r="C1120">
        <v>94.25</v>
      </c>
      <c r="D1120">
        <v>2</v>
      </c>
      <c r="E1120">
        <v>3958.5</v>
      </c>
      <c r="F1120" s="1">
        <v>37876</v>
      </c>
      <c r="G1120" t="s">
        <v>39</v>
      </c>
      <c r="H1120">
        <v>3</v>
      </c>
      <c r="I1120">
        <v>9</v>
      </c>
      <c r="J1120" t="str">
        <f>TEXT(DATE(2012,Table1[[#This Row],[MONTH_ID]],10),"mmm")</f>
        <v>Sep</v>
      </c>
      <c r="K1120">
        <v>2003</v>
      </c>
      <c r="L1120" t="s">
        <v>564</v>
      </c>
      <c r="M1120">
        <v>99</v>
      </c>
      <c r="N1120" t="s">
        <v>622</v>
      </c>
      <c r="O1120" t="s">
        <v>540</v>
      </c>
      <c r="P1120">
        <v>4155554312</v>
      </c>
      <c r="Q1120" t="s">
        <v>541</v>
      </c>
      <c r="S1120" t="s">
        <v>542</v>
      </c>
      <c r="T1120" t="s">
        <v>69</v>
      </c>
      <c r="U1120">
        <v>94217</v>
      </c>
      <c r="V1120" t="s">
        <v>46</v>
      </c>
      <c r="W1120" t="s">
        <v>47</v>
      </c>
      <c r="X1120" t="s">
        <v>543</v>
      </c>
      <c r="Y1120" t="s">
        <v>414</v>
      </c>
      <c r="Z1120" t="s">
        <v>65</v>
      </c>
    </row>
    <row r="1121" spans="1:26" x14ac:dyDescent="0.3">
      <c r="A1121">
        <v>10163</v>
      </c>
      <c r="B1121">
        <v>43</v>
      </c>
      <c r="C1121">
        <v>100</v>
      </c>
      <c r="D1121">
        <v>6</v>
      </c>
      <c r="E1121">
        <v>4991.4399999999996</v>
      </c>
      <c r="F1121" s="1">
        <v>37914</v>
      </c>
      <c r="G1121" t="s">
        <v>39</v>
      </c>
      <c r="H1121">
        <v>4</v>
      </c>
      <c r="I1121">
        <v>10</v>
      </c>
      <c r="J1121" t="str">
        <f>TEXT(DATE(2012,Table1[[#This Row],[MONTH_ID]],10),"mmm")</f>
        <v>Oct</v>
      </c>
      <c r="K1121">
        <v>2003</v>
      </c>
      <c r="L1121" t="s">
        <v>564</v>
      </c>
      <c r="M1121">
        <v>99</v>
      </c>
      <c r="N1121" t="s">
        <v>622</v>
      </c>
      <c r="O1121" t="s">
        <v>217</v>
      </c>
      <c r="P1121">
        <v>2125558493</v>
      </c>
      <c r="Q1121" t="s">
        <v>218</v>
      </c>
      <c r="R1121" t="s">
        <v>219</v>
      </c>
      <c r="S1121" t="s">
        <v>44</v>
      </c>
      <c r="T1121" t="s">
        <v>45</v>
      </c>
      <c r="U1121">
        <v>10022</v>
      </c>
      <c r="V1121" t="s">
        <v>46</v>
      </c>
      <c r="W1121" t="s">
        <v>47</v>
      </c>
      <c r="X1121" t="s">
        <v>138</v>
      </c>
      <c r="Y1121" t="s">
        <v>220</v>
      </c>
      <c r="Z1121" t="s">
        <v>65</v>
      </c>
    </row>
    <row r="1122" spans="1:26" x14ac:dyDescent="0.3">
      <c r="A1122">
        <v>10173</v>
      </c>
      <c r="B1122">
        <v>29</v>
      </c>
      <c r="C1122">
        <v>95.24</v>
      </c>
      <c r="D1122">
        <v>4</v>
      </c>
      <c r="E1122">
        <v>2761.96</v>
      </c>
      <c r="F1122" s="1">
        <v>37930</v>
      </c>
      <c r="G1122" t="s">
        <v>39</v>
      </c>
      <c r="H1122">
        <v>4</v>
      </c>
      <c r="I1122">
        <v>11</v>
      </c>
      <c r="J1122" t="str">
        <f>TEXT(DATE(2012,Table1[[#This Row],[MONTH_ID]],10),"mmm")</f>
        <v>Nov</v>
      </c>
      <c r="K1122">
        <v>2003</v>
      </c>
      <c r="L1122" t="s">
        <v>564</v>
      </c>
      <c r="M1122">
        <v>99</v>
      </c>
      <c r="N1122" t="s">
        <v>622</v>
      </c>
      <c r="O1122" t="s">
        <v>566</v>
      </c>
      <c r="P1122" t="s">
        <v>567</v>
      </c>
      <c r="Q1122" t="s">
        <v>568</v>
      </c>
      <c r="S1122" t="s">
        <v>569</v>
      </c>
      <c r="U1122">
        <v>24100</v>
      </c>
      <c r="V1122" t="s">
        <v>272</v>
      </c>
      <c r="W1122" t="s">
        <v>56</v>
      </c>
      <c r="X1122" t="s">
        <v>570</v>
      </c>
      <c r="Y1122" t="s">
        <v>571</v>
      </c>
      <c r="Z1122" t="s">
        <v>50</v>
      </c>
    </row>
    <row r="1123" spans="1:26" x14ac:dyDescent="0.3">
      <c r="A1123">
        <v>10182</v>
      </c>
      <c r="B1123">
        <v>33</v>
      </c>
      <c r="C1123">
        <v>86.31</v>
      </c>
      <c r="D1123">
        <v>1</v>
      </c>
      <c r="E1123">
        <v>2848.23</v>
      </c>
      <c r="F1123" s="1">
        <v>37937</v>
      </c>
      <c r="G1123" t="s">
        <v>39</v>
      </c>
      <c r="H1123">
        <v>4</v>
      </c>
      <c r="I1123">
        <v>11</v>
      </c>
      <c r="J1123" t="str">
        <f>TEXT(DATE(2012,Table1[[#This Row],[MONTH_ID]],10),"mmm")</f>
        <v>Nov</v>
      </c>
      <c r="K1123">
        <v>2003</v>
      </c>
      <c r="L1123" t="s">
        <v>564</v>
      </c>
      <c r="M1123">
        <v>99</v>
      </c>
      <c r="N1123" t="s">
        <v>622</v>
      </c>
      <c r="O1123" t="s">
        <v>286</v>
      </c>
      <c r="P1123">
        <v>4155551450</v>
      </c>
      <c r="Q1123" t="s">
        <v>287</v>
      </c>
      <c r="S1123" t="s">
        <v>288</v>
      </c>
      <c r="T1123" t="s">
        <v>69</v>
      </c>
      <c r="U1123">
        <v>97562</v>
      </c>
      <c r="V1123" t="s">
        <v>46</v>
      </c>
      <c r="W1123" t="s">
        <v>47</v>
      </c>
      <c r="X1123" t="s">
        <v>289</v>
      </c>
      <c r="Y1123" t="s">
        <v>290</v>
      </c>
      <c r="Z1123" t="s">
        <v>50</v>
      </c>
    </row>
    <row r="1124" spans="1:26" x14ac:dyDescent="0.3">
      <c r="A1124">
        <v>10193</v>
      </c>
      <c r="B1124">
        <v>32</v>
      </c>
      <c r="C1124">
        <v>79.37</v>
      </c>
      <c r="D1124">
        <v>5</v>
      </c>
      <c r="E1124">
        <v>2539.84</v>
      </c>
      <c r="F1124" s="1">
        <v>37946</v>
      </c>
      <c r="G1124" t="s">
        <v>39</v>
      </c>
      <c r="H1124">
        <v>4</v>
      </c>
      <c r="I1124">
        <v>11</v>
      </c>
      <c r="J1124" t="str">
        <f>TEXT(DATE(2012,Table1[[#This Row],[MONTH_ID]],10),"mmm")</f>
        <v>Nov</v>
      </c>
      <c r="K1124">
        <v>2003</v>
      </c>
      <c r="L1124" t="s">
        <v>564</v>
      </c>
      <c r="M1124">
        <v>99</v>
      </c>
      <c r="N1124" t="s">
        <v>622</v>
      </c>
      <c r="O1124" t="s">
        <v>572</v>
      </c>
      <c r="P1124" t="s">
        <v>573</v>
      </c>
      <c r="Q1124" t="s">
        <v>574</v>
      </c>
      <c r="S1124" t="s">
        <v>575</v>
      </c>
      <c r="T1124" t="s">
        <v>108</v>
      </c>
      <c r="U1124">
        <v>3150</v>
      </c>
      <c r="V1124" t="s">
        <v>109</v>
      </c>
      <c r="W1124" t="s">
        <v>110</v>
      </c>
      <c r="X1124" t="s">
        <v>576</v>
      </c>
      <c r="Y1124" t="s">
        <v>577</v>
      </c>
      <c r="Z1124" t="s">
        <v>50</v>
      </c>
    </row>
    <row r="1125" spans="1:26" x14ac:dyDescent="0.3">
      <c r="A1125">
        <v>10206</v>
      </c>
      <c r="B1125">
        <v>28</v>
      </c>
      <c r="C1125">
        <v>87.3</v>
      </c>
      <c r="D1125">
        <v>11</v>
      </c>
      <c r="E1125">
        <v>2444.4</v>
      </c>
      <c r="F1125" s="1">
        <v>37960</v>
      </c>
      <c r="G1125" t="s">
        <v>39</v>
      </c>
      <c r="H1125">
        <v>4</v>
      </c>
      <c r="I1125">
        <v>12</v>
      </c>
      <c r="J1125" t="str">
        <f>TEXT(DATE(2012,Table1[[#This Row],[MONTH_ID]],10),"mmm")</f>
        <v>Dec</v>
      </c>
      <c r="K1125">
        <v>2003</v>
      </c>
      <c r="L1125" t="s">
        <v>564</v>
      </c>
      <c r="M1125">
        <v>99</v>
      </c>
      <c r="N1125" t="s">
        <v>622</v>
      </c>
      <c r="O1125" t="s">
        <v>239</v>
      </c>
      <c r="P1125" t="s">
        <v>240</v>
      </c>
      <c r="Q1125" t="s">
        <v>241</v>
      </c>
      <c r="S1125" t="s">
        <v>242</v>
      </c>
      <c r="T1125" t="s">
        <v>243</v>
      </c>
      <c r="U1125" t="s">
        <v>244</v>
      </c>
      <c r="V1125" t="s">
        <v>245</v>
      </c>
      <c r="W1125" t="s">
        <v>47</v>
      </c>
      <c r="X1125" t="s">
        <v>246</v>
      </c>
      <c r="Y1125" t="s">
        <v>247</v>
      </c>
      <c r="Z1125" t="s">
        <v>50</v>
      </c>
    </row>
    <row r="1126" spans="1:26" x14ac:dyDescent="0.3">
      <c r="A1126">
        <v>10215</v>
      </c>
      <c r="B1126">
        <v>41</v>
      </c>
      <c r="C1126">
        <v>100</v>
      </c>
      <c r="D1126">
        <v>8</v>
      </c>
      <c r="E1126">
        <v>4555.92</v>
      </c>
      <c r="F1126" s="1">
        <v>38015</v>
      </c>
      <c r="G1126" t="s">
        <v>39</v>
      </c>
      <c r="H1126">
        <v>1</v>
      </c>
      <c r="I1126">
        <v>1</v>
      </c>
      <c r="J1126" t="str">
        <f>TEXT(DATE(2012,Table1[[#This Row],[MONTH_ID]],10),"mmm")</f>
        <v>Jan</v>
      </c>
      <c r="K1126">
        <v>2004</v>
      </c>
      <c r="L1126" t="s">
        <v>564</v>
      </c>
      <c r="M1126">
        <v>99</v>
      </c>
      <c r="N1126" t="s">
        <v>622</v>
      </c>
      <c r="O1126" t="s">
        <v>248</v>
      </c>
      <c r="P1126">
        <v>3105553722</v>
      </c>
      <c r="Q1126" t="s">
        <v>249</v>
      </c>
      <c r="S1126" t="s">
        <v>250</v>
      </c>
      <c r="T1126" t="s">
        <v>69</v>
      </c>
      <c r="U1126">
        <v>94019</v>
      </c>
      <c r="V1126" t="s">
        <v>46</v>
      </c>
      <c r="W1126" t="s">
        <v>47</v>
      </c>
      <c r="X1126" t="s">
        <v>251</v>
      </c>
      <c r="Y1126" t="s">
        <v>252</v>
      </c>
      <c r="Z1126" t="s">
        <v>65</v>
      </c>
    </row>
    <row r="1127" spans="1:26" x14ac:dyDescent="0.3">
      <c r="A1127">
        <v>10227</v>
      </c>
      <c r="B1127">
        <v>33</v>
      </c>
      <c r="C1127">
        <v>100</v>
      </c>
      <c r="D1127">
        <v>1</v>
      </c>
      <c r="E1127">
        <v>3666.96</v>
      </c>
      <c r="F1127" s="1">
        <v>38048</v>
      </c>
      <c r="G1127" t="s">
        <v>39</v>
      </c>
      <c r="H1127">
        <v>1</v>
      </c>
      <c r="I1127">
        <v>3</v>
      </c>
      <c r="J1127" t="str">
        <f>TEXT(DATE(2012,Table1[[#This Row],[MONTH_ID]],10),"mmm")</f>
        <v>Mar</v>
      </c>
      <c r="K1127">
        <v>2004</v>
      </c>
      <c r="L1127" t="s">
        <v>564</v>
      </c>
      <c r="M1127">
        <v>99</v>
      </c>
      <c r="N1127" t="s">
        <v>622</v>
      </c>
      <c r="O1127" t="s">
        <v>233</v>
      </c>
      <c r="P1127" t="s">
        <v>234</v>
      </c>
      <c r="Q1127" t="s">
        <v>235</v>
      </c>
      <c r="S1127" t="s">
        <v>236</v>
      </c>
      <c r="U1127">
        <v>69004</v>
      </c>
      <c r="V1127" t="s">
        <v>55</v>
      </c>
      <c r="W1127" t="s">
        <v>56</v>
      </c>
      <c r="X1127" t="s">
        <v>237</v>
      </c>
      <c r="Y1127" t="s">
        <v>238</v>
      </c>
      <c r="Z1127" t="s">
        <v>65</v>
      </c>
    </row>
    <row r="1128" spans="1:26" x14ac:dyDescent="0.3">
      <c r="A1128">
        <v>10244</v>
      </c>
      <c r="B1128">
        <v>36</v>
      </c>
      <c r="C1128">
        <v>84.33</v>
      </c>
      <c r="D1128">
        <v>5</v>
      </c>
      <c r="E1128">
        <v>3035.88</v>
      </c>
      <c r="F1128" s="1">
        <v>38106</v>
      </c>
      <c r="G1128" t="s">
        <v>39</v>
      </c>
      <c r="H1128">
        <v>2</v>
      </c>
      <c r="I1128">
        <v>4</v>
      </c>
      <c r="J1128" t="str">
        <f>TEXT(DATE(2012,Table1[[#This Row],[MONTH_ID]],10),"mmm")</f>
        <v>Apr</v>
      </c>
      <c r="K1128">
        <v>2004</v>
      </c>
      <c r="L1128" t="s">
        <v>564</v>
      </c>
      <c r="M1128">
        <v>99</v>
      </c>
      <c r="N1128" t="s">
        <v>622</v>
      </c>
      <c r="O1128" t="s">
        <v>188</v>
      </c>
      <c r="P1128" t="s">
        <v>189</v>
      </c>
      <c r="Q1128" t="s">
        <v>190</v>
      </c>
      <c r="S1128" t="s">
        <v>191</v>
      </c>
      <c r="U1128">
        <v>28034</v>
      </c>
      <c r="V1128" t="s">
        <v>192</v>
      </c>
      <c r="W1128" t="s">
        <v>56</v>
      </c>
      <c r="X1128" t="s">
        <v>193</v>
      </c>
      <c r="Y1128" t="s">
        <v>194</v>
      </c>
      <c r="Z1128" t="s">
        <v>65</v>
      </c>
    </row>
    <row r="1129" spans="1:26" x14ac:dyDescent="0.3">
      <c r="A1129">
        <v>10257</v>
      </c>
      <c r="B1129">
        <v>26</v>
      </c>
      <c r="C1129">
        <v>89.29</v>
      </c>
      <c r="D1129">
        <v>5</v>
      </c>
      <c r="E1129">
        <v>2321.54</v>
      </c>
      <c r="F1129" s="1">
        <v>38152</v>
      </c>
      <c r="G1129" t="s">
        <v>39</v>
      </c>
      <c r="H1129">
        <v>2</v>
      </c>
      <c r="I1129">
        <v>6</v>
      </c>
      <c r="J1129" t="str">
        <f>TEXT(DATE(2012,Table1[[#This Row],[MONTH_ID]],10),"mmm")</f>
        <v>Jun</v>
      </c>
      <c r="K1129">
        <v>2004</v>
      </c>
      <c r="L1129" t="s">
        <v>564</v>
      </c>
      <c r="M1129">
        <v>99</v>
      </c>
      <c r="N1129" t="s">
        <v>622</v>
      </c>
      <c r="O1129" t="s">
        <v>411</v>
      </c>
      <c r="P1129">
        <v>4085553659</v>
      </c>
      <c r="Q1129" t="s">
        <v>412</v>
      </c>
      <c r="S1129" t="s">
        <v>413</v>
      </c>
      <c r="T1129" t="s">
        <v>69</v>
      </c>
      <c r="U1129">
        <v>94217</v>
      </c>
      <c r="V1129" t="s">
        <v>46</v>
      </c>
      <c r="W1129" t="s">
        <v>47</v>
      </c>
      <c r="X1129" t="s">
        <v>116</v>
      </c>
      <c r="Y1129" t="s">
        <v>414</v>
      </c>
      <c r="Z1129" t="s">
        <v>50</v>
      </c>
    </row>
    <row r="1130" spans="1:26" x14ac:dyDescent="0.3">
      <c r="A1130">
        <v>10280</v>
      </c>
      <c r="B1130">
        <v>34</v>
      </c>
      <c r="C1130">
        <v>100</v>
      </c>
      <c r="D1130">
        <v>7</v>
      </c>
      <c r="E1130">
        <v>3474.46</v>
      </c>
      <c r="F1130" s="1">
        <v>38216</v>
      </c>
      <c r="G1130" t="s">
        <v>39</v>
      </c>
      <c r="H1130">
        <v>3</v>
      </c>
      <c r="I1130">
        <v>8</v>
      </c>
      <c r="J1130" t="str">
        <f>TEXT(DATE(2012,Table1[[#This Row],[MONTH_ID]],10),"mmm")</f>
        <v>Aug</v>
      </c>
      <c r="K1130">
        <v>2004</v>
      </c>
      <c r="L1130" t="s">
        <v>564</v>
      </c>
      <c r="M1130">
        <v>99</v>
      </c>
      <c r="N1130" t="s">
        <v>622</v>
      </c>
      <c r="O1130" t="s">
        <v>268</v>
      </c>
      <c r="P1130" t="s">
        <v>269</v>
      </c>
      <c r="Q1130" t="s">
        <v>270</v>
      </c>
      <c r="S1130" t="s">
        <v>271</v>
      </c>
      <c r="U1130">
        <v>10100</v>
      </c>
      <c r="V1130" t="s">
        <v>272</v>
      </c>
      <c r="W1130" t="s">
        <v>56</v>
      </c>
      <c r="X1130" t="s">
        <v>273</v>
      </c>
      <c r="Y1130" t="s">
        <v>274</v>
      </c>
      <c r="Z1130" t="s">
        <v>65</v>
      </c>
    </row>
    <row r="1131" spans="1:26" x14ac:dyDescent="0.3">
      <c r="A1131">
        <v>10290</v>
      </c>
      <c r="B1131">
        <v>26</v>
      </c>
      <c r="C1131">
        <v>96.23</v>
      </c>
      <c r="D1131">
        <v>2</v>
      </c>
      <c r="E1131">
        <v>2501.98</v>
      </c>
      <c r="F1131" s="1">
        <v>38237</v>
      </c>
      <c r="G1131" t="s">
        <v>39</v>
      </c>
      <c r="H1131">
        <v>3</v>
      </c>
      <c r="I1131">
        <v>9</v>
      </c>
      <c r="J1131" t="str">
        <f>TEXT(DATE(2012,Table1[[#This Row],[MONTH_ID]],10),"mmm")</f>
        <v>Sep</v>
      </c>
      <c r="K1131">
        <v>2004</v>
      </c>
      <c r="L1131" t="s">
        <v>564</v>
      </c>
      <c r="M1131">
        <v>99</v>
      </c>
      <c r="N1131" t="s">
        <v>622</v>
      </c>
      <c r="O1131" t="s">
        <v>614</v>
      </c>
      <c r="P1131">
        <v>6175558428</v>
      </c>
      <c r="Q1131" t="s">
        <v>615</v>
      </c>
      <c r="S1131" t="s">
        <v>297</v>
      </c>
      <c r="T1131" t="s">
        <v>137</v>
      </c>
      <c r="U1131">
        <v>58339</v>
      </c>
      <c r="V1131" t="s">
        <v>46</v>
      </c>
      <c r="W1131" t="s">
        <v>47</v>
      </c>
      <c r="X1131" t="s">
        <v>543</v>
      </c>
      <c r="Y1131" t="s">
        <v>259</v>
      </c>
      <c r="Z1131" t="s">
        <v>50</v>
      </c>
    </row>
    <row r="1132" spans="1:26" x14ac:dyDescent="0.3">
      <c r="A1132">
        <v>10304</v>
      </c>
      <c r="B1132">
        <v>38</v>
      </c>
      <c r="C1132">
        <v>100</v>
      </c>
      <c r="D1132">
        <v>11</v>
      </c>
      <c r="E1132">
        <v>3958.46</v>
      </c>
      <c r="F1132" s="1">
        <v>38271</v>
      </c>
      <c r="G1132" t="s">
        <v>39</v>
      </c>
      <c r="H1132">
        <v>4</v>
      </c>
      <c r="I1132">
        <v>10</v>
      </c>
      <c r="J1132" t="str">
        <f>TEXT(DATE(2012,Table1[[#This Row],[MONTH_ID]],10),"mmm")</f>
        <v>Oct</v>
      </c>
      <c r="K1132">
        <v>2004</v>
      </c>
      <c r="L1132" t="s">
        <v>564</v>
      </c>
      <c r="M1132">
        <v>99</v>
      </c>
      <c r="N1132" t="s">
        <v>622</v>
      </c>
      <c r="O1132" t="s">
        <v>281</v>
      </c>
      <c r="P1132" t="s">
        <v>282</v>
      </c>
      <c r="Q1132" t="s">
        <v>283</v>
      </c>
      <c r="S1132" t="s">
        <v>284</v>
      </c>
      <c r="U1132">
        <v>78000</v>
      </c>
      <c r="V1132" t="s">
        <v>55</v>
      </c>
      <c r="W1132" t="s">
        <v>56</v>
      </c>
      <c r="X1132" t="s">
        <v>285</v>
      </c>
      <c r="Y1132" t="s">
        <v>64</v>
      </c>
      <c r="Z1132" t="s">
        <v>65</v>
      </c>
    </row>
    <row r="1133" spans="1:26" x14ac:dyDescent="0.3">
      <c r="A1133">
        <v>10312</v>
      </c>
      <c r="B1133">
        <v>33</v>
      </c>
      <c r="C1133">
        <v>100</v>
      </c>
      <c r="D1133">
        <v>8</v>
      </c>
      <c r="E1133">
        <v>3535.95</v>
      </c>
      <c r="F1133" s="1">
        <v>38281</v>
      </c>
      <c r="G1133" t="s">
        <v>39</v>
      </c>
      <c r="H1133">
        <v>4</v>
      </c>
      <c r="I1133">
        <v>10</v>
      </c>
      <c r="J1133" t="str">
        <f>TEXT(DATE(2012,Table1[[#This Row],[MONTH_ID]],10),"mmm")</f>
        <v>Oct</v>
      </c>
      <c r="K1133">
        <v>2004</v>
      </c>
      <c r="L1133" t="s">
        <v>564</v>
      </c>
      <c r="M1133">
        <v>99</v>
      </c>
      <c r="N1133" t="s">
        <v>622</v>
      </c>
      <c r="O1133" t="s">
        <v>286</v>
      </c>
      <c r="P1133">
        <v>4155551450</v>
      </c>
      <c r="Q1133" t="s">
        <v>287</v>
      </c>
      <c r="S1133" t="s">
        <v>288</v>
      </c>
      <c r="T1133" t="s">
        <v>69</v>
      </c>
      <c r="U1133">
        <v>97562</v>
      </c>
      <c r="V1133" t="s">
        <v>46</v>
      </c>
      <c r="W1133" t="s">
        <v>47</v>
      </c>
      <c r="X1133" t="s">
        <v>289</v>
      </c>
      <c r="Y1133" t="s">
        <v>290</v>
      </c>
      <c r="Z1133" t="s">
        <v>65</v>
      </c>
    </row>
    <row r="1134" spans="1:26" x14ac:dyDescent="0.3">
      <c r="A1134">
        <v>10323</v>
      </c>
      <c r="B1134">
        <v>33</v>
      </c>
      <c r="C1134">
        <v>91.27</v>
      </c>
      <c r="D1134">
        <v>2</v>
      </c>
      <c r="E1134">
        <v>3011.91</v>
      </c>
      <c r="F1134" s="1">
        <v>38296</v>
      </c>
      <c r="G1134" t="s">
        <v>39</v>
      </c>
      <c r="H1134">
        <v>4</v>
      </c>
      <c r="I1134">
        <v>11</v>
      </c>
      <c r="J1134" t="str">
        <f>TEXT(DATE(2012,Table1[[#This Row],[MONTH_ID]],10),"mmm")</f>
        <v>Nov</v>
      </c>
      <c r="K1134">
        <v>2004</v>
      </c>
      <c r="L1134" t="s">
        <v>564</v>
      </c>
      <c r="M1134">
        <v>99</v>
      </c>
      <c r="N1134" t="s">
        <v>622</v>
      </c>
      <c r="O1134" t="s">
        <v>476</v>
      </c>
      <c r="P1134" t="s">
        <v>477</v>
      </c>
      <c r="Q1134" t="s">
        <v>478</v>
      </c>
      <c r="S1134" t="s">
        <v>479</v>
      </c>
      <c r="U1134">
        <v>60528</v>
      </c>
      <c r="V1134" t="s">
        <v>457</v>
      </c>
      <c r="W1134" t="s">
        <v>56</v>
      </c>
      <c r="X1134" t="s">
        <v>480</v>
      </c>
      <c r="Y1134" t="s">
        <v>428</v>
      </c>
      <c r="Z1134" t="s">
        <v>65</v>
      </c>
    </row>
    <row r="1135" spans="1:26" x14ac:dyDescent="0.3">
      <c r="A1135">
        <v>10333</v>
      </c>
      <c r="B1135">
        <v>46</v>
      </c>
      <c r="C1135">
        <v>100</v>
      </c>
      <c r="D1135">
        <v>2</v>
      </c>
      <c r="E1135">
        <v>11336.7</v>
      </c>
      <c r="F1135" s="1">
        <v>38309</v>
      </c>
      <c r="G1135" t="s">
        <v>39</v>
      </c>
      <c r="H1135">
        <v>4</v>
      </c>
      <c r="I1135">
        <v>11</v>
      </c>
      <c r="J1135" t="str">
        <f>TEXT(DATE(2012,Table1[[#This Row],[MONTH_ID]],10),"mmm")</f>
        <v>Nov</v>
      </c>
      <c r="K1135">
        <v>2004</v>
      </c>
      <c r="L1135" t="s">
        <v>564</v>
      </c>
      <c r="M1135">
        <v>99</v>
      </c>
      <c r="N1135" t="s">
        <v>622</v>
      </c>
      <c r="O1135" t="s">
        <v>95</v>
      </c>
      <c r="P1135">
        <v>6505555787</v>
      </c>
      <c r="Q1135" t="s">
        <v>96</v>
      </c>
      <c r="S1135" t="s">
        <v>74</v>
      </c>
      <c r="T1135" t="s">
        <v>69</v>
      </c>
      <c r="V1135" t="s">
        <v>46</v>
      </c>
      <c r="W1135" t="s">
        <v>47</v>
      </c>
      <c r="X1135" t="s">
        <v>97</v>
      </c>
      <c r="Y1135" t="s">
        <v>71</v>
      </c>
      <c r="Z1135" t="s">
        <v>165</v>
      </c>
    </row>
    <row r="1136" spans="1:26" x14ac:dyDescent="0.3">
      <c r="A1136">
        <v>10347</v>
      </c>
      <c r="B1136">
        <v>26</v>
      </c>
      <c r="C1136">
        <v>100</v>
      </c>
      <c r="D1136">
        <v>12</v>
      </c>
      <c r="E1136">
        <v>2656.94</v>
      </c>
      <c r="F1136" s="1">
        <v>38320</v>
      </c>
      <c r="G1136" t="s">
        <v>39</v>
      </c>
      <c r="H1136">
        <v>4</v>
      </c>
      <c r="I1136">
        <v>11</v>
      </c>
      <c r="J1136" t="str">
        <f>TEXT(DATE(2012,Table1[[#This Row],[MONTH_ID]],10),"mmm")</f>
        <v>Nov</v>
      </c>
      <c r="K1136">
        <v>2004</v>
      </c>
      <c r="L1136" t="s">
        <v>564</v>
      </c>
      <c r="M1136">
        <v>99</v>
      </c>
      <c r="N1136" t="s">
        <v>622</v>
      </c>
      <c r="O1136" t="s">
        <v>103</v>
      </c>
      <c r="P1136" t="s">
        <v>104</v>
      </c>
      <c r="Q1136" t="s">
        <v>105</v>
      </c>
      <c r="R1136" t="s">
        <v>106</v>
      </c>
      <c r="S1136" t="s">
        <v>107</v>
      </c>
      <c r="T1136" t="s">
        <v>108</v>
      </c>
      <c r="U1136">
        <v>3004</v>
      </c>
      <c r="V1136" t="s">
        <v>109</v>
      </c>
      <c r="W1136" t="s">
        <v>110</v>
      </c>
      <c r="X1136" t="s">
        <v>111</v>
      </c>
      <c r="Y1136" t="s">
        <v>112</v>
      </c>
      <c r="Z1136" t="s">
        <v>50</v>
      </c>
    </row>
    <row r="1137" spans="1:26" x14ac:dyDescent="0.3">
      <c r="A1137">
        <v>10357</v>
      </c>
      <c r="B1137">
        <v>25</v>
      </c>
      <c r="C1137">
        <v>100</v>
      </c>
      <c r="D1137">
        <v>3</v>
      </c>
      <c r="E1137">
        <v>2604.25</v>
      </c>
      <c r="F1137" s="1">
        <v>38331</v>
      </c>
      <c r="G1137" t="s">
        <v>39</v>
      </c>
      <c r="H1137">
        <v>4</v>
      </c>
      <c r="I1137">
        <v>12</v>
      </c>
      <c r="J1137" t="str">
        <f>TEXT(DATE(2012,Table1[[#This Row],[MONTH_ID]],10),"mmm")</f>
        <v>Dec</v>
      </c>
      <c r="K1137">
        <v>2004</v>
      </c>
      <c r="L1137" t="s">
        <v>564</v>
      </c>
      <c r="M1137">
        <v>99</v>
      </c>
      <c r="N1137" t="s">
        <v>622</v>
      </c>
      <c r="O1137" t="s">
        <v>286</v>
      </c>
      <c r="P1137">
        <v>4155551450</v>
      </c>
      <c r="Q1137" t="s">
        <v>287</v>
      </c>
      <c r="S1137" t="s">
        <v>288</v>
      </c>
      <c r="T1137" t="s">
        <v>69</v>
      </c>
      <c r="U1137">
        <v>97562</v>
      </c>
      <c r="V1137" t="s">
        <v>46</v>
      </c>
      <c r="W1137" t="s">
        <v>47</v>
      </c>
      <c r="X1137" t="s">
        <v>289</v>
      </c>
      <c r="Y1137" t="s">
        <v>290</v>
      </c>
      <c r="Z1137" t="s">
        <v>50</v>
      </c>
    </row>
    <row r="1138" spans="1:26" x14ac:dyDescent="0.3">
      <c r="A1138">
        <v>10369</v>
      </c>
      <c r="B1138">
        <v>45</v>
      </c>
      <c r="C1138">
        <v>73.08</v>
      </c>
      <c r="D1138">
        <v>4</v>
      </c>
      <c r="E1138">
        <v>3288.6</v>
      </c>
      <c r="F1138" s="1">
        <v>38372</v>
      </c>
      <c r="G1138" t="s">
        <v>39</v>
      </c>
      <c r="H1138">
        <v>1</v>
      </c>
      <c r="I1138">
        <v>1</v>
      </c>
      <c r="J1138" t="str">
        <f>TEXT(DATE(2012,Table1[[#This Row],[MONTH_ID]],10),"mmm")</f>
        <v>Jan</v>
      </c>
      <c r="K1138">
        <v>2005</v>
      </c>
      <c r="L1138" t="s">
        <v>564</v>
      </c>
      <c r="M1138">
        <v>99</v>
      </c>
      <c r="N1138" t="s">
        <v>622</v>
      </c>
      <c r="O1138" t="s">
        <v>295</v>
      </c>
      <c r="P1138">
        <v>6175558555</v>
      </c>
      <c r="Q1138" t="s">
        <v>296</v>
      </c>
      <c r="S1138" t="s">
        <v>297</v>
      </c>
      <c r="T1138" t="s">
        <v>137</v>
      </c>
      <c r="U1138">
        <v>58339</v>
      </c>
      <c r="V1138" t="s">
        <v>46</v>
      </c>
      <c r="W1138" t="s">
        <v>47</v>
      </c>
      <c r="X1138" t="s">
        <v>289</v>
      </c>
      <c r="Y1138" t="s">
        <v>298</v>
      </c>
      <c r="Z1138" t="s">
        <v>65</v>
      </c>
    </row>
    <row r="1139" spans="1:26" x14ac:dyDescent="0.3">
      <c r="A1139">
        <v>10382</v>
      </c>
      <c r="B1139">
        <v>50</v>
      </c>
      <c r="C1139">
        <v>100</v>
      </c>
      <c r="D1139">
        <v>7</v>
      </c>
      <c r="E1139">
        <v>8935.5</v>
      </c>
      <c r="F1139" s="1">
        <v>38400</v>
      </c>
      <c r="G1139" t="s">
        <v>39</v>
      </c>
      <c r="H1139">
        <v>1</v>
      </c>
      <c r="I1139">
        <v>2</v>
      </c>
      <c r="J1139" t="str">
        <f>TEXT(DATE(2012,Table1[[#This Row],[MONTH_ID]],10),"mmm")</f>
        <v>Feb</v>
      </c>
      <c r="K1139">
        <v>2005</v>
      </c>
      <c r="L1139" t="s">
        <v>564</v>
      </c>
      <c r="M1139">
        <v>99</v>
      </c>
      <c r="N1139" t="s">
        <v>622</v>
      </c>
      <c r="O1139" t="s">
        <v>286</v>
      </c>
      <c r="P1139">
        <v>4155551450</v>
      </c>
      <c r="Q1139" t="s">
        <v>287</v>
      </c>
      <c r="S1139" t="s">
        <v>288</v>
      </c>
      <c r="T1139" t="s">
        <v>69</v>
      </c>
      <c r="U1139">
        <v>97562</v>
      </c>
      <c r="V1139" t="s">
        <v>46</v>
      </c>
      <c r="W1139" t="s">
        <v>47</v>
      </c>
      <c r="X1139" t="s">
        <v>289</v>
      </c>
      <c r="Y1139" t="s">
        <v>290</v>
      </c>
      <c r="Z1139" t="s">
        <v>165</v>
      </c>
    </row>
    <row r="1140" spans="1:26" x14ac:dyDescent="0.3">
      <c r="A1140">
        <v>10392</v>
      </c>
      <c r="B1140">
        <v>36</v>
      </c>
      <c r="C1140">
        <v>100</v>
      </c>
      <c r="D1140">
        <v>1</v>
      </c>
      <c r="E1140">
        <v>4035.96</v>
      </c>
      <c r="F1140" s="1">
        <v>38421</v>
      </c>
      <c r="G1140" t="s">
        <v>39</v>
      </c>
      <c r="H1140">
        <v>1</v>
      </c>
      <c r="I1140">
        <v>3</v>
      </c>
      <c r="J1140" t="str">
        <f>TEXT(DATE(2012,Table1[[#This Row],[MONTH_ID]],10),"mmm")</f>
        <v>Mar</v>
      </c>
      <c r="K1140">
        <v>2005</v>
      </c>
      <c r="L1140" t="s">
        <v>564</v>
      </c>
      <c r="M1140">
        <v>99</v>
      </c>
      <c r="N1140" t="s">
        <v>622</v>
      </c>
      <c r="O1140" t="s">
        <v>423</v>
      </c>
      <c r="P1140" t="s">
        <v>424</v>
      </c>
      <c r="Q1140" t="s">
        <v>425</v>
      </c>
      <c r="S1140" t="s">
        <v>426</v>
      </c>
      <c r="U1140">
        <v>8010</v>
      </c>
      <c r="V1140" t="s">
        <v>162</v>
      </c>
      <c r="W1140" t="s">
        <v>56</v>
      </c>
      <c r="X1140" t="s">
        <v>427</v>
      </c>
      <c r="Y1140" t="s">
        <v>428</v>
      </c>
      <c r="Z1140" t="s">
        <v>65</v>
      </c>
    </row>
    <row r="1141" spans="1:26" x14ac:dyDescent="0.3">
      <c r="A1141">
        <v>10423</v>
      </c>
      <c r="B1141">
        <v>21</v>
      </c>
      <c r="C1141">
        <v>89.29</v>
      </c>
      <c r="D1141">
        <v>5</v>
      </c>
      <c r="E1141">
        <v>1875.09</v>
      </c>
      <c r="F1141" s="1">
        <v>38502</v>
      </c>
      <c r="G1141" t="s">
        <v>314</v>
      </c>
      <c r="H1141">
        <v>2</v>
      </c>
      <c r="I1141">
        <v>5</v>
      </c>
      <c r="J1141" t="str">
        <f>TEXT(DATE(2012,Table1[[#This Row],[MONTH_ID]],10),"mmm")</f>
        <v>May</v>
      </c>
      <c r="K1141">
        <v>2005</v>
      </c>
      <c r="L1141" t="s">
        <v>564</v>
      </c>
      <c r="M1141">
        <v>99</v>
      </c>
      <c r="N1141" t="s">
        <v>622</v>
      </c>
      <c r="O1141" t="s">
        <v>379</v>
      </c>
      <c r="P1141" t="s">
        <v>380</v>
      </c>
      <c r="Q1141" t="s">
        <v>381</v>
      </c>
      <c r="S1141" t="s">
        <v>382</v>
      </c>
      <c r="U1141" t="s">
        <v>383</v>
      </c>
      <c r="V1141" t="s">
        <v>384</v>
      </c>
      <c r="W1141" t="s">
        <v>56</v>
      </c>
      <c r="X1141" t="s">
        <v>385</v>
      </c>
      <c r="Y1141" t="s">
        <v>386</v>
      </c>
      <c r="Z1141" t="s">
        <v>50</v>
      </c>
    </row>
    <row r="1142" spans="1:26" x14ac:dyDescent="0.3">
      <c r="A1142">
        <v>10108</v>
      </c>
      <c r="B1142">
        <v>29</v>
      </c>
      <c r="C1142">
        <v>100</v>
      </c>
      <c r="D1142">
        <v>8</v>
      </c>
      <c r="E1142">
        <v>4049.56</v>
      </c>
      <c r="F1142" s="1">
        <v>37683</v>
      </c>
      <c r="G1142" t="s">
        <v>39</v>
      </c>
      <c r="H1142">
        <v>1</v>
      </c>
      <c r="I1142">
        <v>3</v>
      </c>
      <c r="J1142" t="str">
        <f>TEXT(DATE(2012,Table1[[#This Row],[MONTH_ID]],10),"mmm")</f>
        <v>Mar</v>
      </c>
      <c r="K1142">
        <v>2003</v>
      </c>
      <c r="L1142" t="s">
        <v>195</v>
      </c>
      <c r="M1142">
        <v>146</v>
      </c>
      <c r="N1142" t="s">
        <v>623</v>
      </c>
      <c r="O1142" t="s">
        <v>439</v>
      </c>
      <c r="P1142" t="s">
        <v>440</v>
      </c>
      <c r="Q1142" t="s">
        <v>441</v>
      </c>
      <c r="S1142" t="s">
        <v>442</v>
      </c>
      <c r="U1142" t="s">
        <v>443</v>
      </c>
      <c r="V1142" t="s">
        <v>444</v>
      </c>
      <c r="W1142" t="s">
        <v>214</v>
      </c>
      <c r="X1142" t="s">
        <v>445</v>
      </c>
      <c r="Y1142" t="s">
        <v>446</v>
      </c>
      <c r="Z1142" t="s">
        <v>65</v>
      </c>
    </row>
    <row r="1143" spans="1:26" x14ac:dyDescent="0.3">
      <c r="A1143">
        <v>10122</v>
      </c>
      <c r="B1143">
        <v>21</v>
      </c>
      <c r="C1143">
        <v>100</v>
      </c>
      <c r="D1143">
        <v>12</v>
      </c>
      <c r="E1143">
        <v>2469.39</v>
      </c>
      <c r="F1143" s="1">
        <v>37749</v>
      </c>
      <c r="G1143" t="s">
        <v>39</v>
      </c>
      <c r="H1143">
        <v>2</v>
      </c>
      <c r="I1143">
        <v>5</v>
      </c>
      <c r="J1143" t="str">
        <f>TEXT(DATE(2012,Table1[[#This Row],[MONTH_ID]],10),"mmm")</f>
        <v>May</v>
      </c>
      <c r="K1143">
        <v>2003</v>
      </c>
      <c r="L1143" t="s">
        <v>195</v>
      </c>
      <c r="M1143">
        <v>146</v>
      </c>
      <c r="N1143" t="s">
        <v>623</v>
      </c>
      <c r="O1143" t="s">
        <v>447</v>
      </c>
      <c r="P1143" t="s">
        <v>448</v>
      </c>
      <c r="Q1143" t="s">
        <v>449</v>
      </c>
      <c r="S1143" t="s">
        <v>450</v>
      </c>
      <c r="U1143">
        <v>13008</v>
      </c>
      <c r="V1143" t="s">
        <v>55</v>
      </c>
      <c r="W1143" t="s">
        <v>56</v>
      </c>
      <c r="X1143" t="s">
        <v>451</v>
      </c>
      <c r="Y1143" t="s">
        <v>452</v>
      </c>
      <c r="Z1143" t="s">
        <v>50</v>
      </c>
    </row>
    <row r="1144" spans="1:26" x14ac:dyDescent="0.3">
      <c r="A1144">
        <v>10135</v>
      </c>
      <c r="B1144">
        <v>42</v>
      </c>
      <c r="C1144">
        <v>100</v>
      </c>
      <c r="D1144">
        <v>9</v>
      </c>
      <c r="E1144">
        <v>5432.7</v>
      </c>
      <c r="F1144" s="1">
        <v>37804</v>
      </c>
      <c r="G1144" t="s">
        <v>39</v>
      </c>
      <c r="H1144">
        <v>3</v>
      </c>
      <c r="I1144">
        <v>7</v>
      </c>
      <c r="J1144" t="str">
        <f>TEXT(DATE(2012,Table1[[#This Row],[MONTH_ID]],10),"mmm")</f>
        <v>Jul</v>
      </c>
      <c r="K1144">
        <v>2003</v>
      </c>
      <c r="L1144" t="s">
        <v>195</v>
      </c>
      <c r="M1144">
        <v>146</v>
      </c>
      <c r="N1144" t="s">
        <v>623</v>
      </c>
      <c r="O1144" t="s">
        <v>286</v>
      </c>
      <c r="P1144">
        <v>4155551450</v>
      </c>
      <c r="Q1144" t="s">
        <v>287</v>
      </c>
      <c r="S1144" t="s">
        <v>288</v>
      </c>
      <c r="T1144" t="s">
        <v>69</v>
      </c>
      <c r="U1144">
        <v>97562</v>
      </c>
      <c r="V1144" t="s">
        <v>46</v>
      </c>
      <c r="W1144" t="s">
        <v>47</v>
      </c>
      <c r="X1144" t="s">
        <v>289</v>
      </c>
      <c r="Y1144" t="s">
        <v>290</v>
      </c>
      <c r="Z1144" t="s">
        <v>65</v>
      </c>
    </row>
    <row r="1145" spans="1:26" x14ac:dyDescent="0.3">
      <c r="A1145">
        <v>10147</v>
      </c>
      <c r="B1145">
        <v>37</v>
      </c>
      <c r="C1145">
        <v>100</v>
      </c>
      <c r="D1145">
        <v>9</v>
      </c>
      <c r="E1145">
        <v>4405.22</v>
      </c>
      <c r="F1145" s="1">
        <v>37869</v>
      </c>
      <c r="G1145" t="s">
        <v>39</v>
      </c>
      <c r="H1145">
        <v>3</v>
      </c>
      <c r="I1145">
        <v>9</v>
      </c>
      <c r="J1145" t="str">
        <f>TEXT(DATE(2012,Table1[[#This Row],[MONTH_ID]],10),"mmm")</f>
        <v>Sep</v>
      </c>
      <c r="K1145">
        <v>2003</v>
      </c>
      <c r="L1145" t="s">
        <v>195</v>
      </c>
      <c r="M1145">
        <v>146</v>
      </c>
      <c r="N1145" t="s">
        <v>623</v>
      </c>
      <c r="O1145" t="s">
        <v>295</v>
      </c>
      <c r="P1145">
        <v>6175558555</v>
      </c>
      <c r="Q1145" t="s">
        <v>296</v>
      </c>
      <c r="S1145" t="s">
        <v>297</v>
      </c>
      <c r="T1145" t="s">
        <v>137</v>
      </c>
      <c r="U1145">
        <v>58339</v>
      </c>
      <c r="V1145" t="s">
        <v>46</v>
      </c>
      <c r="W1145" t="s">
        <v>47</v>
      </c>
      <c r="X1145" t="s">
        <v>289</v>
      </c>
      <c r="Y1145" t="s">
        <v>298</v>
      </c>
      <c r="Z1145" t="s">
        <v>65</v>
      </c>
    </row>
    <row r="1146" spans="1:26" x14ac:dyDescent="0.3">
      <c r="A1146">
        <v>10159</v>
      </c>
      <c r="B1146">
        <v>25</v>
      </c>
      <c r="C1146">
        <v>100</v>
      </c>
      <c r="D1146">
        <v>4</v>
      </c>
      <c r="E1146">
        <v>3638</v>
      </c>
      <c r="F1146" s="1">
        <v>37904</v>
      </c>
      <c r="G1146" t="s">
        <v>39</v>
      </c>
      <c r="H1146">
        <v>4</v>
      </c>
      <c r="I1146">
        <v>10</v>
      </c>
      <c r="J1146" t="str">
        <f>TEXT(DATE(2012,Table1[[#This Row],[MONTH_ID]],10),"mmm")</f>
        <v>Oct</v>
      </c>
      <c r="K1146">
        <v>2003</v>
      </c>
      <c r="L1146" t="s">
        <v>195</v>
      </c>
      <c r="M1146">
        <v>146</v>
      </c>
      <c r="N1146" t="s">
        <v>623</v>
      </c>
      <c r="O1146" t="s">
        <v>72</v>
      </c>
      <c r="P1146">
        <v>6505551386</v>
      </c>
      <c r="Q1146" t="s">
        <v>73</v>
      </c>
      <c r="S1146" t="s">
        <v>74</v>
      </c>
      <c r="T1146" t="s">
        <v>69</v>
      </c>
      <c r="V1146" t="s">
        <v>46</v>
      </c>
      <c r="W1146" t="s">
        <v>47</v>
      </c>
      <c r="X1146" t="s">
        <v>75</v>
      </c>
      <c r="Y1146" t="s">
        <v>71</v>
      </c>
      <c r="Z1146" t="s">
        <v>65</v>
      </c>
    </row>
    <row r="1147" spans="1:26" x14ac:dyDescent="0.3">
      <c r="A1147">
        <v>10169</v>
      </c>
      <c r="B1147">
        <v>36</v>
      </c>
      <c r="C1147">
        <v>100</v>
      </c>
      <c r="D1147">
        <v>4</v>
      </c>
      <c r="E1147">
        <v>4444.92</v>
      </c>
      <c r="F1147" s="1">
        <v>37929</v>
      </c>
      <c r="G1147" t="s">
        <v>39</v>
      </c>
      <c r="H1147">
        <v>4</v>
      </c>
      <c r="I1147">
        <v>11</v>
      </c>
      <c r="J1147" t="str">
        <f>TEXT(DATE(2012,Table1[[#This Row],[MONTH_ID]],10),"mmm")</f>
        <v>Nov</v>
      </c>
      <c r="K1147">
        <v>2003</v>
      </c>
      <c r="L1147" t="s">
        <v>195</v>
      </c>
      <c r="M1147">
        <v>146</v>
      </c>
      <c r="N1147" t="s">
        <v>623</v>
      </c>
      <c r="O1147" t="s">
        <v>299</v>
      </c>
      <c r="P1147" t="s">
        <v>300</v>
      </c>
      <c r="Q1147" t="s">
        <v>301</v>
      </c>
      <c r="R1147" t="s">
        <v>302</v>
      </c>
      <c r="S1147" t="s">
        <v>303</v>
      </c>
      <c r="T1147" t="s">
        <v>171</v>
      </c>
      <c r="U1147">
        <v>2060</v>
      </c>
      <c r="V1147" t="s">
        <v>109</v>
      </c>
      <c r="W1147" t="s">
        <v>110</v>
      </c>
      <c r="X1147" t="s">
        <v>304</v>
      </c>
      <c r="Y1147" t="s">
        <v>305</v>
      </c>
      <c r="Z1147" t="s">
        <v>65</v>
      </c>
    </row>
    <row r="1148" spans="1:26" x14ac:dyDescent="0.3">
      <c r="A1148">
        <v>10181</v>
      </c>
      <c r="B1148">
        <v>22</v>
      </c>
      <c r="C1148">
        <v>100</v>
      </c>
      <c r="D1148">
        <v>16</v>
      </c>
      <c r="E1148">
        <v>3395.48</v>
      </c>
      <c r="F1148" s="1">
        <v>37937</v>
      </c>
      <c r="G1148" t="s">
        <v>39</v>
      </c>
      <c r="H1148">
        <v>4</v>
      </c>
      <c r="I1148">
        <v>11</v>
      </c>
      <c r="J1148" t="str">
        <f>TEXT(DATE(2012,Table1[[#This Row],[MONTH_ID]],10),"mmm")</f>
        <v>Nov</v>
      </c>
      <c r="K1148">
        <v>2003</v>
      </c>
      <c r="L1148" t="s">
        <v>195</v>
      </c>
      <c r="M1148">
        <v>146</v>
      </c>
      <c r="N1148" t="s">
        <v>623</v>
      </c>
      <c r="O1148" t="s">
        <v>87</v>
      </c>
      <c r="P1148" t="s">
        <v>88</v>
      </c>
      <c r="Q1148" t="s">
        <v>89</v>
      </c>
      <c r="S1148" t="s">
        <v>90</v>
      </c>
      <c r="U1148" t="s">
        <v>91</v>
      </c>
      <c r="V1148" t="s">
        <v>92</v>
      </c>
      <c r="W1148" t="s">
        <v>56</v>
      </c>
      <c r="X1148" t="s">
        <v>93</v>
      </c>
      <c r="Y1148" t="s">
        <v>94</v>
      </c>
      <c r="Z1148" t="s">
        <v>65</v>
      </c>
    </row>
    <row r="1149" spans="1:26" x14ac:dyDescent="0.3">
      <c r="A1149">
        <v>10191</v>
      </c>
      <c r="B1149">
        <v>23</v>
      </c>
      <c r="C1149">
        <v>100</v>
      </c>
      <c r="D1149">
        <v>5</v>
      </c>
      <c r="E1149">
        <v>3414.58</v>
      </c>
      <c r="F1149" s="1">
        <v>37945</v>
      </c>
      <c r="G1149" t="s">
        <v>39</v>
      </c>
      <c r="H1149">
        <v>4</v>
      </c>
      <c r="I1149">
        <v>11</v>
      </c>
      <c r="J1149" t="str">
        <f>TEXT(DATE(2012,Table1[[#This Row],[MONTH_ID]],10),"mmm")</f>
        <v>Nov</v>
      </c>
      <c r="K1149">
        <v>2003</v>
      </c>
      <c r="L1149" t="s">
        <v>195</v>
      </c>
      <c r="M1149">
        <v>146</v>
      </c>
      <c r="N1149" t="s">
        <v>623</v>
      </c>
      <c r="O1149" t="s">
        <v>453</v>
      </c>
      <c r="P1149" t="s">
        <v>454</v>
      </c>
      <c r="Q1149" t="s">
        <v>455</v>
      </c>
      <c r="S1149" t="s">
        <v>456</v>
      </c>
      <c r="U1149">
        <v>50739</v>
      </c>
      <c r="V1149" t="s">
        <v>457</v>
      </c>
      <c r="W1149" t="s">
        <v>56</v>
      </c>
      <c r="X1149" t="s">
        <v>458</v>
      </c>
      <c r="Y1149" t="s">
        <v>459</v>
      </c>
      <c r="Z1149" t="s">
        <v>65</v>
      </c>
    </row>
    <row r="1150" spans="1:26" x14ac:dyDescent="0.3">
      <c r="A1150">
        <v>10203</v>
      </c>
      <c r="B1150">
        <v>32</v>
      </c>
      <c r="C1150">
        <v>100</v>
      </c>
      <c r="D1150">
        <v>10</v>
      </c>
      <c r="E1150">
        <v>5127.04</v>
      </c>
      <c r="F1150" s="1">
        <v>37957</v>
      </c>
      <c r="G1150" t="s">
        <v>39</v>
      </c>
      <c r="H1150">
        <v>4</v>
      </c>
      <c r="I1150">
        <v>12</v>
      </c>
      <c r="J1150" t="str">
        <f>TEXT(DATE(2012,Table1[[#This Row],[MONTH_ID]],10),"mmm")</f>
        <v>Dec</v>
      </c>
      <c r="K1150">
        <v>2003</v>
      </c>
      <c r="L1150" t="s">
        <v>195</v>
      </c>
      <c r="M1150">
        <v>146</v>
      </c>
      <c r="N1150" t="s">
        <v>623</v>
      </c>
      <c r="O1150" t="s">
        <v>188</v>
      </c>
      <c r="P1150" t="s">
        <v>189</v>
      </c>
      <c r="Q1150" t="s">
        <v>190</v>
      </c>
      <c r="S1150" t="s">
        <v>191</v>
      </c>
      <c r="U1150">
        <v>28034</v>
      </c>
      <c r="V1150" t="s">
        <v>192</v>
      </c>
      <c r="W1150" t="s">
        <v>56</v>
      </c>
      <c r="X1150" t="s">
        <v>193</v>
      </c>
      <c r="Y1150" t="s">
        <v>194</v>
      </c>
      <c r="Z1150" t="s">
        <v>65</v>
      </c>
    </row>
    <row r="1151" spans="1:26" x14ac:dyDescent="0.3">
      <c r="A1151">
        <v>10211</v>
      </c>
      <c r="B1151">
        <v>28</v>
      </c>
      <c r="C1151">
        <v>100</v>
      </c>
      <c r="D1151">
        <v>4</v>
      </c>
      <c r="E1151">
        <v>3745.28</v>
      </c>
      <c r="F1151" s="1">
        <v>38001</v>
      </c>
      <c r="G1151" t="s">
        <v>39</v>
      </c>
      <c r="H1151">
        <v>1</v>
      </c>
      <c r="I1151">
        <v>1</v>
      </c>
      <c r="J1151" t="str">
        <f>TEXT(DATE(2012,Table1[[#This Row],[MONTH_ID]],10),"mmm")</f>
        <v>Jan</v>
      </c>
      <c r="K1151">
        <v>2004</v>
      </c>
      <c r="L1151" t="s">
        <v>195</v>
      </c>
      <c r="M1151">
        <v>146</v>
      </c>
      <c r="N1151" t="s">
        <v>623</v>
      </c>
      <c r="O1151" t="s">
        <v>98</v>
      </c>
      <c r="P1151" t="s">
        <v>99</v>
      </c>
      <c r="Q1151" t="s">
        <v>100</v>
      </c>
      <c r="S1151" t="s">
        <v>62</v>
      </c>
      <c r="U1151">
        <v>75016</v>
      </c>
      <c r="V1151" t="s">
        <v>55</v>
      </c>
      <c r="W1151" t="s">
        <v>56</v>
      </c>
      <c r="X1151" t="s">
        <v>101</v>
      </c>
      <c r="Y1151" t="s">
        <v>102</v>
      </c>
      <c r="Z1151" t="s">
        <v>65</v>
      </c>
    </row>
    <row r="1152" spans="1:26" x14ac:dyDescent="0.3">
      <c r="A1152">
        <v>10225</v>
      </c>
      <c r="B1152">
        <v>27</v>
      </c>
      <c r="C1152">
        <v>100</v>
      </c>
      <c r="D1152">
        <v>11</v>
      </c>
      <c r="E1152">
        <v>4564.08</v>
      </c>
      <c r="F1152" s="1">
        <v>38039</v>
      </c>
      <c r="G1152" t="s">
        <v>39</v>
      </c>
      <c r="H1152">
        <v>1</v>
      </c>
      <c r="I1152">
        <v>2</v>
      </c>
      <c r="J1152" t="str">
        <f>TEXT(DATE(2012,Table1[[#This Row],[MONTH_ID]],10),"mmm")</f>
        <v>Feb</v>
      </c>
      <c r="K1152">
        <v>2004</v>
      </c>
      <c r="L1152" t="s">
        <v>195</v>
      </c>
      <c r="M1152">
        <v>146</v>
      </c>
      <c r="N1152" t="s">
        <v>623</v>
      </c>
      <c r="O1152" t="s">
        <v>460</v>
      </c>
      <c r="P1152" t="s">
        <v>461</v>
      </c>
      <c r="Q1152" t="s">
        <v>462</v>
      </c>
      <c r="S1152" t="s">
        <v>463</v>
      </c>
      <c r="U1152">
        <v>1203</v>
      </c>
      <c r="V1152" t="s">
        <v>464</v>
      </c>
      <c r="W1152" t="s">
        <v>56</v>
      </c>
      <c r="X1152" t="s">
        <v>465</v>
      </c>
      <c r="Y1152" t="s">
        <v>117</v>
      </c>
      <c r="Z1152" t="s">
        <v>65</v>
      </c>
    </row>
    <row r="1153" spans="1:26" x14ac:dyDescent="0.3">
      <c r="A1153">
        <v>10238</v>
      </c>
      <c r="B1153">
        <v>49</v>
      </c>
      <c r="C1153">
        <v>100</v>
      </c>
      <c r="D1153">
        <v>5</v>
      </c>
      <c r="E1153">
        <v>6554.24</v>
      </c>
      <c r="F1153" s="1">
        <v>38086</v>
      </c>
      <c r="G1153" t="s">
        <v>39</v>
      </c>
      <c r="H1153">
        <v>2</v>
      </c>
      <c r="I1153">
        <v>4</v>
      </c>
      <c r="J1153" t="str">
        <f>TEXT(DATE(2012,Table1[[#This Row],[MONTH_ID]],10),"mmm")</f>
        <v>Apr</v>
      </c>
      <c r="K1153">
        <v>2004</v>
      </c>
      <c r="L1153" t="s">
        <v>195</v>
      </c>
      <c r="M1153">
        <v>146</v>
      </c>
      <c r="N1153" t="s">
        <v>623</v>
      </c>
      <c r="O1153" t="s">
        <v>336</v>
      </c>
      <c r="P1153" t="s">
        <v>337</v>
      </c>
      <c r="Q1153" t="s">
        <v>338</v>
      </c>
      <c r="S1153" t="s">
        <v>339</v>
      </c>
      <c r="U1153">
        <v>1734</v>
      </c>
      <c r="V1153" t="s">
        <v>340</v>
      </c>
      <c r="W1153" t="s">
        <v>56</v>
      </c>
      <c r="X1153" t="s">
        <v>341</v>
      </c>
      <c r="Y1153" t="s">
        <v>342</v>
      </c>
      <c r="Z1153" t="s">
        <v>65</v>
      </c>
    </row>
    <row r="1154" spans="1:26" x14ac:dyDescent="0.3">
      <c r="A1154">
        <v>10252</v>
      </c>
      <c r="B1154">
        <v>41</v>
      </c>
      <c r="C1154">
        <v>100</v>
      </c>
      <c r="D1154">
        <v>1</v>
      </c>
      <c r="E1154">
        <v>6749.83</v>
      </c>
      <c r="F1154" s="1">
        <v>38133</v>
      </c>
      <c r="G1154" t="s">
        <v>39</v>
      </c>
      <c r="H1154">
        <v>2</v>
      </c>
      <c r="I1154">
        <v>5</v>
      </c>
      <c r="J1154" t="str">
        <f>TEXT(DATE(2012,Table1[[#This Row],[MONTH_ID]],10),"mmm")</f>
        <v>May</v>
      </c>
      <c r="K1154">
        <v>2004</v>
      </c>
      <c r="L1154" t="s">
        <v>195</v>
      </c>
      <c r="M1154">
        <v>146</v>
      </c>
      <c r="N1154" t="s">
        <v>623</v>
      </c>
      <c r="O1154" t="s">
        <v>98</v>
      </c>
      <c r="P1154" t="s">
        <v>99</v>
      </c>
      <c r="Q1154" t="s">
        <v>100</v>
      </c>
      <c r="S1154" t="s">
        <v>62</v>
      </c>
      <c r="U1154">
        <v>75016</v>
      </c>
      <c r="V1154" t="s">
        <v>55</v>
      </c>
      <c r="W1154" t="s">
        <v>56</v>
      </c>
      <c r="X1154" t="s">
        <v>101</v>
      </c>
      <c r="Y1154" t="s">
        <v>102</v>
      </c>
      <c r="Z1154" t="s">
        <v>65</v>
      </c>
    </row>
    <row r="1155" spans="1:26" x14ac:dyDescent="0.3">
      <c r="A1155">
        <v>10265</v>
      </c>
      <c r="B1155">
        <v>49</v>
      </c>
      <c r="C1155">
        <v>100</v>
      </c>
      <c r="D1155">
        <v>1</v>
      </c>
      <c r="E1155">
        <v>8427.02</v>
      </c>
      <c r="F1155" s="1">
        <v>38170</v>
      </c>
      <c r="G1155" t="s">
        <v>39</v>
      </c>
      <c r="H1155">
        <v>3</v>
      </c>
      <c r="I1155">
        <v>7</v>
      </c>
      <c r="J1155" t="str">
        <f>TEXT(DATE(2012,Table1[[#This Row],[MONTH_ID]],10),"mmm")</f>
        <v>Jul</v>
      </c>
      <c r="K1155">
        <v>2004</v>
      </c>
      <c r="L1155" t="s">
        <v>195</v>
      </c>
      <c r="M1155">
        <v>146</v>
      </c>
      <c r="N1155" t="s">
        <v>623</v>
      </c>
      <c r="O1155" t="s">
        <v>572</v>
      </c>
      <c r="P1155" t="s">
        <v>573</v>
      </c>
      <c r="Q1155" t="s">
        <v>574</v>
      </c>
      <c r="S1155" t="s">
        <v>575</v>
      </c>
      <c r="T1155" t="s">
        <v>108</v>
      </c>
      <c r="U1155">
        <v>3150</v>
      </c>
      <c r="V1155" t="s">
        <v>109</v>
      </c>
      <c r="W1155" t="s">
        <v>110</v>
      </c>
      <c r="X1155" t="s">
        <v>576</v>
      </c>
      <c r="Y1155" t="s">
        <v>577</v>
      </c>
      <c r="Z1155" t="s">
        <v>165</v>
      </c>
    </row>
    <row r="1156" spans="1:26" x14ac:dyDescent="0.3">
      <c r="A1156">
        <v>10276</v>
      </c>
      <c r="B1156">
        <v>30</v>
      </c>
      <c r="C1156">
        <v>100</v>
      </c>
      <c r="D1156">
        <v>5</v>
      </c>
      <c r="E1156">
        <v>3924.6</v>
      </c>
      <c r="F1156" s="1">
        <v>38201</v>
      </c>
      <c r="G1156" t="s">
        <v>39</v>
      </c>
      <c r="H1156">
        <v>3</v>
      </c>
      <c r="I1156">
        <v>8</v>
      </c>
      <c r="J1156" t="str">
        <f>TEXT(DATE(2012,Table1[[#This Row],[MONTH_ID]],10),"mmm")</f>
        <v>Aug</v>
      </c>
      <c r="K1156">
        <v>2004</v>
      </c>
      <c r="L1156" t="s">
        <v>195</v>
      </c>
      <c r="M1156">
        <v>146</v>
      </c>
      <c r="N1156" t="s">
        <v>623</v>
      </c>
      <c r="O1156" t="s">
        <v>472</v>
      </c>
      <c r="P1156">
        <v>6175557555</v>
      </c>
      <c r="Q1156" t="s">
        <v>473</v>
      </c>
      <c r="S1156" t="s">
        <v>297</v>
      </c>
      <c r="T1156" t="s">
        <v>137</v>
      </c>
      <c r="U1156">
        <v>58339</v>
      </c>
      <c r="V1156" t="s">
        <v>46</v>
      </c>
      <c r="W1156" t="s">
        <v>47</v>
      </c>
      <c r="X1156" t="s">
        <v>474</v>
      </c>
      <c r="Y1156" t="s">
        <v>475</v>
      </c>
      <c r="Z1156" t="s">
        <v>65</v>
      </c>
    </row>
    <row r="1157" spans="1:26" x14ac:dyDescent="0.3">
      <c r="A1157">
        <v>10287</v>
      </c>
      <c r="B1157">
        <v>40</v>
      </c>
      <c r="C1157">
        <v>100</v>
      </c>
      <c r="D1157">
        <v>14</v>
      </c>
      <c r="E1157">
        <v>6761.6</v>
      </c>
      <c r="F1157" s="1">
        <v>38229</v>
      </c>
      <c r="G1157" t="s">
        <v>39</v>
      </c>
      <c r="H1157">
        <v>3</v>
      </c>
      <c r="I1157">
        <v>8</v>
      </c>
      <c r="J1157" t="str">
        <f>TEXT(DATE(2012,Table1[[#This Row],[MONTH_ID]],10),"mmm")</f>
        <v>Aug</v>
      </c>
      <c r="K1157">
        <v>2004</v>
      </c>
      <c r="L1157" t="s">
        <v>195</v>
      </c>
      <c r="M1157">
        <v>146</v>
      </c>
      <c r="N1157" t="s">
        <v>623</v>
      </c>
      <c r="O1157" t="s">
        <v>460</v>
      </c>
      <c r="P1157" t="s">
        <v>461</v>
      </c>
      <c r="Q1157" t="s">
        <v>462</v>
      </c>
      <c r="S1157" t="s">
        <v>463</v>
      </c>
      <c r="U1157">
        <v>1203</v>
      </c>
      <c r="V1157" t="s">
        <v>464</v>
      </c>
      <c r="W1157" t="s">
        <v>56</v>
      </c>
      <c r="X1157" t="s">
        <v>465</v>
      </c>
      <c r="Y1157" t="s">
        <v>117</v>
      </c>
      <c r="Z1157" t="s">
        <v>65</v>
      </c>
    </row>
    <row r="1158" spans="1:26" x14ac:dyDescent="0.3">
      <c r="A1158">
        <v>10300</v>
      </c>
      <c r="B1158">
        <v>23</v>
      </c>
      <c r="C1158">
        <v>100</v>
      </c>
      <c r="D1158">
        <v>7</v>
      </c>
      <c r="E1158">
        <v>3786.49</v>
      </c>
      <c r="F1158" s="1">
        <v>37898</v>
      </c>
      <c r="G1158" t="s">
        <v>39</v>
      </c>
      <c r="H1158">
        <v>4</v>
      </c>
      <c r="I1158">
        <v>10</v>
      </c>
      <c r="J1158" t="str">
        <f>TEXT(DATE(2012,Table1[[#This Row],[MONTH_ID]],10),"mmm")</f>
        <v>Oct</v>
      </c>
      <c r="K1158">
        <v>2003</v>
      </c>
      <c r="L1158" t="s">
        <v>195</v>
      </c>
      <c r="M1158">
        <v>146</v>
      </c>
      <c r="N1158" t="s">
        <v>623</v>
      </c>
      <c r="O1158" t="s">
        <v>476</v>
      </c>
      <c r="P1158" t="s">
        <v>477</v>
      </c>
      <c r="Q1158" t="s">
        <v>478</v>
      </c>
      <c r="S1158" t="s">
        <v>479</v>
      </c>
      <c r="U1158">
        <v>60528</v>
      </c>
      <c r="V1158" t="s">
        <v>457</v>
      </c>
      <c r="W1158" t="s">
        <v>56</v>
      </c>
      <c r="X1158" t="s">
        <v>480</v>
      </c>
      <c r="Y1158" t="s">
        <v>428</v>
      </c>
      <c r="Z1158" t="s">
        <v>65</v>
      </c>
    </row>
    <row r="1159" spans="1:26" x14ac:dyDescent="0.3">
      <c r="A1159">
        <v>10310</v>
      </c>
      <c r="B1159">
        <v>49</v>
      </c>
      <c r="C1159">
        <v>100</v>
      </c>
      <c r="D1159">
        <v>12</v>
      </c>
      <c r="E1159">
        <v>6266.12</v>
      </c>
      <c r="F1159" s="1">
        <v>38276</v>
      </c>
      <c r="G1159" t="s">
        <v>39</v>
      </c>
      <c r="H1159">
        <v>4</v>
      </c>
      <c r="I1159">
        <v>10</v>
      </c>
      <c r="J1159" t="str">
        <f>TEXT(DATE(2012,Table1[[#This Row],[MONTH_ID]],10),"mmm")</f>
        <v>Oct</v>
      </c>
      <c r="K1159">
        <v>2004</v>
      </c>
      <c r="L1159" t="s">
        <v>195</v>
      </c>
      <c r="M1159">
        <v>146</v>
      </c>
      <c r="N1159" t="s">
        <v>623</v>
      </c>
      <c r="O1159" t="s">
        <v>453</v>
      </c>
      <c r="P1159" t="s">
        <v>454</v>
      </c>
      <c r="Q1159" t="s">
        <v>455</v>
      </c>
      <c r="S1159" t="s">
        <v>456</v>
      </c>
      <c r="U1159">
        <v>50739</v>
      </c>
      <c r="V1159" t="s">
        <v>457</v>
      </c>
      <c r="W1159" t="s">
        <v>56</v>
      </c>
      <c r="X1159" t="s">
        <v>458</v>
      </c>
      <c r="Y1159" t="s">
        <v>459</v>
      </c>
      <c r="Z1159" t="s">
        <v>65</v>
      </c>
    </row>
    <row r="1160" spans="1:26" x14ac:dyDescent="0.3">
      <c r="A1160">
        <v>10320</v>
      </c>
      <c r="B1160">
        <v>25</v>
      </c>
      <c r="C1160">
        <v>100</v>
      </c>
      <c r="D1160">
        <v>5</v>
      </c>
      <c r="E1160">
        <v>3491</v>
      </c>
      <c r="F1160" s="1">
        <v>38294</v>
      </c>
      <c r="G1160" t="s">
        <v>39</v>
      </c>
      <c r="H1160">
        <v>4</v>
      </c>
      <c r="I1160">
        <v>11</v>
      </c>
      <c r="J1160" t="str">
        <f>TEXT(DATE(2012,Table1[[#This Row],[MONTH_ID]],10),"mmm")</f>
        <v>Nov</v>
      </c>
      <c r="K1160">
        <v>2004</v>
      </c>
      <c r="L1160" t="s">
        <v>195</v>
      </c>
      <c r="M1160">
        <v>146</v>
      </c>
      <c r="N1160" t="s">
        <v>623</v>
      </c>
      <c r="O1160" t="s">
        <v>197</v>
      </c>
      <c r="P1160" t="s">
        <v>198</v>
      </c>
      <c r="Q1160" t="s">
        <v>199</v>
      </c>
      <c r="S1160" t="s">
        <v>200</v>
      </c>
      <c r="U1160" t="s">
        <v>201</v>
      </c>
      <c r="V1160" t="s">
        <v>202</v>
      </c>
      <c r="W1160" t="s">
        <v>56</v>
      </c>
      <c r="X1160" t="s">
        <v>203</v>
      </c>
      <c r="Y1160" t="s">
        <v>204</v>
      </c>
      <c r="Z1160" t="s">
        <v>65</v>
      </c>
    </row>
    <row r="1161" spans="1:26" x14ac:dyDescent="0.3">
      <c r="A1161">
        <v>10330</v>
      </c>
      <c r="B1161">
        <v>37</v>
      </c>
      <c r="C1161">
        <v>100</v>
      </c>
      <c r="D1161">
        <v>3</v>
      </c>
      <c r="E1161">
        <v>4405.22</v>
      </c>
      <c r="F1161" s="1">
        <v>38307</v>
      </c>
      <c r="G1161" t="s">
        <v>39</v>
      </c>
      <c r="H1161">
        <v>4</v>
      </c>
      <c r="I1161">
        <v>11</v>
      </c>
      <c r="J1161" t="str">
        <f>TEXT(DATE(2012,Table1[[#This Row],[MONTH_ID]],10),"mmm")</f>
        <v>Nov</v>
      </c>
      <c r="K1161">
        <v>2004</v>
      </c>
      <c r="L1161" t="s">
        <v>195</v>
      </c>
      <c r="M1161">
        <v>146</v>
      </c>
      <c r="N1161" t="s">
        <v>623</v>
      </c>
      <c r="O1161" t="s">
        <v>439</v>
      </c>
      <c r="P1161" t="s">
        <v>440</v>
      </c>
      <c r="Q1161" t="s">
        <v>441</v>
      </c>
      <c r="S1161" t="s">
        <v>442</v>
      </c>
      <c r="U1161" t="s">
        <v>443</v>
      </c>
      <c r="V1161" t="s">
        <v>444</v>
      </c>
      <c r="W1161" t="s">
        <v>214</v>
      </c>
      <c r="X1161" t="s">
        <v>445</v>
      </c>
      <c r="Y1161" t="s">
        <v>446</v>
      </c>
      <c r="Z1161" t="s">
        <v>65</v>
      </c>
    </row>
    <row r="1162" spans="1:26" x14ac:dyDescent="0.3">
      <c r="A1162">
        <v>10342</v>
      </c>
      <c r="B1162">
        <v>55</v>
      </c>
      <c r="C1162">
        <v>100</v>
      </c>
      <c r="D1162">
        <v>7</v>
      </c>
      <c r="E1162">
        <v>6548.3</v>
      </c>
      <c r="F1162" s="1">
        <v>38315</v>
      </c>
      <c r="G1162" t="s">
        <v>39</v>
      </c>
      <c r="H1162">
        <v>4</v>
      </c>
      <c r="I1162">
        <v>11</v>
      </c>
      <c r="J1162" t="str">
        <f>TEXT(DATE(2012,Table1[[#This Row],[MONTH_ID]],10),"mmm")</f>
        <v>Nov</v>
      </c>
      <c r="K1162">
        <v>2004</v>
      </c>
      <c r="L1162" t="s">
        <v>195</v>
      </c>
      <c r="M1162">
        <v>146</v>
      </c>
      <c r="N1162" t="s">
        <v>623</v>
      </c>
      <c r="O1162" t="s">
        <v>103</v>
      </c>
      <c r="P1162" t="s">
        <v>104</v>
      </c>
      <c r="Q1162" t="s">
        <v>105</v>
      </c>
      <c r="R1162" t="s">
        <v>106</v>
      </c>
      <c r="S1162" t="s">
        <v>107</v>
      </c>
      <c r="T1162" t="s">
        <v>108</v>
      </c>
      <c r="U1162">
        <v>3004</v>
      </c>
      <c r="V1162" t="s">
        <v>109</v>
      </c>
      <c r="W1162" t="s">
        <v>110</v>
      </c>
      <c r="X1162" t="s">
        <v>111</v>
      </c>
      <c r="Y1162" t="s">
        <v>112</v>
      </c>
      <c r="Z1162" t="s">
        <v>65</v>
      </c>
    </row>
    <row r="1163" spans="1:26" x14ac:dyDescent="0.3">
      <c r="A1163">
        <v>10355</v>
      </c>
      <c r="B1163">
        <v>23</v>
      </c>
      <c r="C1163">
        <v>100</v>
      </c>
      <c r="D1163">
        <v>7</v>
      </c>
      <c r="E1163">
        <v>3177.91</v>
      </c>
      <c r="F1163" s="1">
        <v>38328</v>
      </c>
      <c r="G1163" t="s">
        <v>39</v>
      </c>
      <c r="H1163">
        <v>4</v>
      </c>
      <c r="I1163">
        <v>12</v>
      </c>
      <c r="J1163" t="str">
        <f>TEXT(DATE(2012,Table1[[#This Row],[MONTH_ID]],10),"mmm")</f>
        <v>Dec</v>
      </c>
      <c r="K1163">
        <v>2004</v>
      </c>
      <c r="L1163" t="s">
        <v>195</v>
      </c>
      <c r="M1163">
        <v>146</v>
      </c>
      <c r="N1163" t="s">
        <v>623</v>
      </c>
      <c r="O1163" t="s">
        <v>188</v>
      </c>
      <c r="P1163" t="s">
        <v>189</v>
      </c>
      <c r="Q1163" t="s">
        <v>190</v>
      </c>
      <c r="S1163" t="s">
        <v>191</v>
      </c>
      <c r="U1163">
        <v>28034</v>
      </c>
      <c r="V1163" t="s">
        <v>192</v>
      </c>
      <c r="W1163" t="s">
        <v>56</v>
      </c>
      <c r="X1163" t="s">
        <v>193</v>
      </c>
      <c r="Y1163" t="s">
        <v>194</v>
      </c>
      <c r="Z1163" t="s">
        <v>65</v>
      </c>
    </row>
    <row r="1164" spans="1:26" x14ac:dyDescent="0.3">
      <c r="A1164">
        <v>10363</v>
      </c>
      <c r="B1164">
        <v>24</v>
      </c>
      <c r="C1164">
        <v>100</v>
      </c>
      <c r="D1164">
        <v>11</v>
      </c>
      <c r="E1164">
        <v>4142.6400000000003</v>
      </c>
      <c r="F1164" s="1">
        <v>38358</v>
      </c>
      <c r="G1164" t="s">
        <v>39</v>
      </c>
      <c r="H1164">
        <v>1</v>
      </c>
      <c r="I1164">
        <v>1</v>
      </c>
      <c r="J1164" t="str">
        <f>TEXT(DATE(2012,Table1[[#This Row],[MONTH_ID]],10),"mmm")</f>
        <v>Jan</v>
      </c>
      <c r="K1164">
        <v>2005</v>
      </c>
      <c r="L1164" t="s">
        <v>195</v>
      </c>
      <c r="M1164">
        <v>146</v>
      </c>
      <c r="N1164" t="s">
        <v>623</v>
      </c>
      <c r="O1164" t="s">
        <v>481</v>
      </c>
      <c r="P1164" t="s">
        <v>482</v>
      </c>
      <c r="Q1164" t="s">
        <v>483</v>
      </c>
      <c r="S1164" t="s">
        <v>484</v>
      </c>
      <c r="U1164" t="s">
        <v>485</v>
      </c>
      <c r="V1164" t="s">
        <v>144</v>
      </c>
      <c r="W1164" t="s">
        <v>56</v>
      </c>
      <c r="X1164" t="s">
        <v>486</v>
      </c>
      <c r="Y1164" t="s">
        <v>487</v>
      </c>
      <c r="Z1164" t="s">
        <v>65</v>
      </c>
    </row>
    <row r="1165" spans="1:26" x14ac:dyDescent="0.3">
      <c r="A1165">
        <v>10378</v>
      </c>
      <c r="B1165">
        <v>43</v>
      </c>
      <c r="C1165">
        <v>96.49</v>
      </c>
      <c r="D1165">
        <v>10</v>
      </c>
      <c r="E1165">
        <v>4149.07</v>
      </c>
      <c r="F1165" s="1">
        <v>38393</v>
      </c>
      <c r="G1165" t="s">
        <v>39</v>
      </c>
      <c r="H1165">
        <v>1</v>
      </c>
      <c r="I1165">
        <v>2</v>
      </c>
      <c r="J1165" t="str">
        <f>TEXT(DATE(2012,Table1[[#This Row],[MONTH_ID]],10),"mmm")</f>
        <v>Feb</v>
      </c>
      <c r="K1165">
        <v>2005</v>
      </c>
      <c r="L1165" t="s">
        <v>195</v>
      </c>
      <c r="M1165">
        <v>146</v>
      </c>
      <c r="N1165" t="s">
        <v>623</v>
      </c>
      <c r="O1165" t="s">
        <v>188</v>
      </c>
      <c r="P1165" t="s">
        <v>189</v>
      </c>
      <c r="Q1165" t="s">
        <v>190</v>
      </c>
      <c r="S1165" t="s">
        <v>191</v>
      </c>
      <c r="U1165">
        <v>28034</v>
      </c>
      <c r="V1165" t="s">
        <v>192</v>
      </c>
      <c r="W1165" t="s">
        <v>56</v>
      </c>
      <c r="X1165" t="s">
        <v>193</v>
      </c>
      <c r="Y1165" t="s">
        <v>194</v>
      </c>
      <c r="Z1165" t="s">
        <v>65</v>
      </c>
    </row>
    <row r="1166" spans="1:26" x14ac:dyDescent="0.3">
      <c r="A1166">
        <v>10390</v>
      </c>
      <c r="B1166">
        <v>50</v>
      </c>
      <c r="C1166">
        <v>100</v>
      </c>
      <c r="D1166">
        <v>1</v>
      </c>
      <c r="E1166">
        <v>7397</v>
      </c>
      <c r="F1166" s="1">
        <v>38415</v>
      </c>
      <c r="G1166" t="s">
        <v>39</v>
      </c>
      <c r="H1166">
        <v>1</v>
      </c>
      <c r="I1166">
        <v>3</v>
      </c>
      <c r="J1166" t="str">
        <f>TEXT(DATE(2012,Table1[[#This Row],[MONTH_ID]],10),"mmm")</f>
        <v>Mar</v>
      </c>
      <c r="K1166">
        <v>2005</v>
      </c>
      <c r="L1166" t="s">
        <v>195</v>
      </c>
      <c r="M1166">
        <v>146</v>
      </c>
      <c r="N1166" t="s">
        <v>623</v>
      </c>
      <c r="O1166" t="s">
        <v>286</v>
      </c>
      <c r="P1166">
        <v>4155551450</v>
      </c>
      <c r="Q1166" t="s">
        <v>287</v>
      </c>
      <c r="S1166" t="s">
        <v>288</v>
      </c>
      <c r="T1166" t="s">
        <v>69</v>
      </c>
      <c r="U1166">
        <v>97562</v>
      </c>
      <c r="V1166" t="s">
        <v>46</v>
      </c>
      <c r="W1166" t="s">
        <v>47</v>
      </c>
      <c r="X1166" t="s">
        <v>289</v>
      </c>
      <c r="Y1166" t="s">
        <v>290</v>
      </c>
      <c r="Z1166" t="s">
        <v>165</v>
      </c>
    </row>
    <row r="1167" spans="1:26" x14ac:dyDescent="0.3">
      <c r="A1167">
        <v>10109</v>
      </c>
      <c r="B1167">
        <v>47</v>
      </c>
      <c r="C1167">
        <v>100</v>
      </c>
      <c r="D1167">
        <v>2</v>
      </c>
      <c r="E1167">
        <v>6241.6</v>
      </c>
      <c r="F1167" s="1">
        <v>37690</v>
      </c>
      <c r="G1167" t="s">
        <v>39</v>
      </c>
      <c r="H1167">
        <v>1</v>
      </c>
      <c r="I1167">
        <v>3</v>
      </c>
      <c r="J1167" t="str">
        <f>TEXT(DATE(2012,Table1[[#This Row],[MONTH_ID]],10),"mmm")</f>
        <v>Mar</v>
      </c>
      <c r="K1167">
        <v>2003</v>
      </c>
      <c r="L1167" t="s">
        <v>195</v>
      </c>
      <c r="M1167">
        <v>141</v>
      </c>
      <c r="N1167" t="s">
        <v>624</v>
      </c>
      <c r="O1167" t="s">
        <v>323</v>
      </c>
      <c r="P1167">
        <v>2155559857</v>
      </c>
      <c r="Q1167" t="s">
        <v>324</v>
      </c>
      <c r="S1167" t="s">
        <v>230</v>
      </c>
      <c r="T1167" t="s">
        <v>156</v>
      </c>
      <c r="U1167">
        <v>71270</v>
      </c>
      <c r="V1167" t="s">
        <v>46</v>
      </c>
      <c r="W1167" t="s">
        <v>47</v>
      </c>
      <c r="X1167" t="s">
        <v>138</v>
      </c>
      <c r="Y1167" t="s">
        <v>325</v>
      </c>
      <c r="Z1167" t="s">
        <v>65</v>
      </c>
    </row>
    <row r="1168" spans="1:26" x14ac:dyDescent="0.3">
      <c r="A1168">
        <v>10123</v>
      </c>
      <c r="B1168">
        <v>34</v>
      </c>
      <c r="C1168">
        <v>100</v>
      </c>
      <c r="D1168">
        <v>4</v>
      </c>
      <c r="E1168">
        <v>5331.88</v>
      </c>
      <c r="F1168" s="1">
        <v>37761</v>
      </c>
      <c r="G1168" t="s">
        <v>39</v>
      </c>
      <c r="H1168">
        <v>2</v>
      </c>
      <c r="I1168">
        <v>5</v>
      </c>
      <c r="J1168" t="str">
        <f>TEXT(DATE(2012,Table1[[#This Row],[MONTH_ID]],10),"mmm")</f>
        <v>May</v>
      </c>
      <c r="K1168">
        <v>2003</v>
      </c>
      <c r="L1168" t="s">
        <v>195</v>
      </c>
      <c r="M1168">
        <v>141</v>
      </c>
      <c r="N1168" t="s">
        <v>624</v>
      </c>
      <c r="O1168" t="s">
        <v>326</v>
      </c>
      <c r="P1168" t="s">
        <v>327</v>
      </c>
      <c r="Q1168" t="s">
        <v>328</v>
      </c>
      <c r="S1168" t="s">
        <v>131</v>
      </c>
      <c r="U1168">
        <v>44000</v>
      </c>
      <c r="V1168" t="s">
        <v>55</v>
      </c>
      <c r="W1168" t="s">
        <v>56</v>
      </c>
      <c r="X1168" t="s">
        <v>329</v>
      </c>
      <c r="Y1168" t="s">
        <v>330</v>
      </c>
      <c r="Z1168" t="s">
        <v>65</v>
      </c>
    </row>
    <row r="1169" spans="1:26" x14ac:dyDescent="0.3">
      <c r="A1169">
        <v>10137</v>
      </c>
      <c r="B1169">
        <v>31</v>
      </c>
      <c r="C1169">
        <v>100</v>
      </c>
      <c r="D1169">
        <v>4</v>
      </c>
      <c r="E1169">
        <v>5124.3</v>
      </c>
      <c r="F1169" s="1">
        <v>37812</v>
      </c>
      <c r="G1169" t="s">
        <v>39</v>
      </c>
      <c r="H1169">
        <v>3</v>
      </c>
      <c r="I1169">
        <v>7</v>
      </c>
      <c r="J1169" t="str">
        <f>TEXT(DATE(2012,Table1[[#This Row],[MONTH_ID]],10),"mmm")</f>
        <v>Jul</v>
      </c>
      <c r="K1169">
        <v>2003</v>
      </c>
      <c r="L1169" t="s">
        <v>195</v>
      </c>
      <c r="M1169">
        <v>141</v>
      </c>
      <c r="N1169" t="s">
        <v>624</v>
      </c>
      <c r="O1169" t="s">
        <v>51</v>
      </c>
      <c r="P1169" t="s">
        <v>52</v>
      </c>
      <c r="Q1169" t="s">
        <v>53</v>
      </c>
      <c r="S1169" t="s">
        <v>54</v>
      </c>
      <c r="U1169">
        <v>51100</v>
      </c>
      <c r="V1169" t="s">
        <v>55</v>
      </c>
      <c r="W1169" t="s">
        <v>56</v>
      </c>
      <c r="X1169" t="s">
        <v>57</v>
      </c>
      <c r="Y1169" t="s">
        <v>58</v>
      </c>
      <c r="Z1169" t="s">
        <v>65</v>
      </c>
    </row>
    <row r="1170" spans="1:26" x14ac:dyDescent="0.3">
      <c r="A1170">
        <v>10148</v>
      </c>
      <c r="B1170">
        <v>28</v>
      </c>
      <c r="C1170">
        <v>100</v>
      </c>
      <c r="D1170">
        <v>11</v>
      </c>
      <c r="E1170">
        <v>3639.44</v>
      </c>
      <c r="F1170" s="1">
        <v>37875</v>
      </c>
      <c r="G1170" t="s">
        <v>39</v>
      </c>
      <c r="H1170">
        <v>3</v>
      </c>
      <c r="I1170">
        <v>9</v>
      </c>
      <c r="J1170" t="str">
        <f>TEXT(DATE(2012,Table1[[#This Row],[MONTH_ID]],10),"mmm")</f>
        <v>Sep</v>
      </c>
      <c r="K1170">
        <v>2003</v>
      </c>
      <c r="L1170" t="s">
        <v>195</v>
      </c>
      <c r="M1170">
        <v>141</v>
      </c>
      <c r="N1170" t="s">
        <v>624</v>
      </c>
      <c r="O1170" t="s">
        <v>299</v>
      </c>
      <c r="P1170" t="s">
        <v>300</v>
      </c>
      <c r="Q1170" t="s">
        <v>301</v>
      </c>
      <c r="R1170" t="s">
        <v>302</v>
      </c>
      <c r="S1170" t="s">
        <v>303</v>
      </c>
      <c r="T1170" t="s">
        <v>171</v>
      </c>
      <c r="U1170">
        <v>2060</v>
      </c>
      <c r="V1170" t="s">
        <v>109</v>
      </c>
      <c r="W1170" t="s">
        <v>110</v>
      </c>
      <c r="X1170" t="s">
        <v>304</v>
      </c>
      <c r="Y1170" t="s">
        <v>305</v>
      </c>
      <c r="Z1170" t="s">
        <v>65</v>
      </c>
    </row>
    <row r="1171" spans="1:26" x14ac:dyDescent="0.3">
      <c r="A1171">
        <v>10161</v>
      </c>
      <c r="B1171">
        <v>36</v>
      </c>
      <c r="C1171">
        <v>100</v>
      </c>
      <c r="D1171">
        <v>10</v>
      </c>
      <c r="E1171">
        <v>5544</v>
      </c>
      <c r="F1171" s="1">
        <v>37911</v>
      </c>
      <c r="G1171" t="s">
        <v>39</v>
      </c>
      <c r="H1171">
        <v>4</v>
      </c>
      <c r="I1171">
        <v>10</v>
      </c>
      <c r="J1171" t="str">
        <f>TEXT(DATE(2012,Table1[[#This Row],[MONTH_ID]],10),"mmm")</f>
        <v>Oct</v>
      </c>
      <c r="K1171">
        <v>2003</v>
      </c>
      <c r="L1171" t="s">
        <v>195</v>
      </c>
      <c r="M1171">
        <v>141</v>
      </c>
      <c r="N1171" t="s">
        <v>624</v>
      </c>
      <c r="O1171" t="s">
        <v>512</v>
      </c>
      <c r="P1171" t="s">
        <v>513</v>
      </c>
      <c r="Q1171" t="s">
        <v>514</v>
      </c>
      <c r="S1171" t="s">
        <v>515</v>
      </c>
      <c r="U1171">
        <v>8200</v>
      </c>
      <c r="V1171" t="s">
        <v>340</v>
      </c>
      <c r="W1171" t="s">
        <v>56</v>
      </c>
      <c r="X1171" t="s">
        <v>516</v>
      </c>
      <c r="Y1171" t="s">
        <v>517</v>
      </c>
      <c r="Z1171" t="s">
        <v>65</v>
      </c>
    </row>
    <row r="1172" spans="1:26" x14ac:dyDescent="0.3">
      <c r="A1172">
        <v>10172</v>
      </c>
      <c r="B1172">
        <v>48</v>
      </c>
      <c r="C1172">
        <v>100</v>
      </c>
      <c r="D1172">
        <v>8</v>
      </c>
      <c r="E1172">
        <v>5493.12</v>
      </c>
      <c r="F1172" s="1">
        <v>37930</v>
      </c>
      <c r="G1172" t="s">
        <v>39</v>
      </c>
      <c r="H1172">
        <v>4</v>
      </c>
      <c r="I1172">
        <v>11</v>
      </c>
      <c r="J1172" t="str">
        <f>TEXT(DATE(2012,Table1[[#This Row],[MONTH_ID]],10),"mmm")</f>
        <v>Nov</v>
      </c>
      <c r="K1172">
        <v>2003</v>
      </c>
      <c r="L1172" t="s">
        <v>195</v>
      </c>
      <c r="M1172">
        <v>141</v>
      </c>
      <c r="N1172" t="s">
        <v>624</v>
      </c>
      <c r="O1172" t="s">
        <v>123</v>
      </c>
      <c r="P1172">
        <v>2035552570</v>
      </c>
      <c r="Q1172" t="s">
        <v>124</v>
      </c>
      <c r="S1172" t="s">
        <v>125</v>
      </c>
      <c r="T1172" t="s">
        <v>126</v>
      </c>
      <c r="U1172">
        <v>97562</v>
      </c>
      <c r="V1172" t="s">
        <v>46</v>
      </c>
      <c r="W1172" t="s">
        <v>47</v>
      </c>
      <c r="X1172" t="s">
        <v>127</v>
      </c>
      <c r="Y1172" t="s">
        <v>71</v>
      </c>
      <c r="Z1172" t="s">
        <v>65</v>
      </c>
    </row>
    <row r="1173" spans="1:26" x14ac:dyDescent="0.3">
      <c r="A1173">
        <v>10181</v>
      </c>
      <c r="B1173">
        <v>39</v>
      </c>
      <c r="C1173">
        <v>100</v>
      </c>
      <c r="D1173">
        <v>4</v>
      </c>
      <c r="E1173">
        <v>5785.26</v>
      </c>
      <c r="F1173" s="1">
        <v>37937</v>
      </c>
      <c r="G1173" t="s">
        <v>39</v>
      </c>
      <c r="H1173">
        <v>4</v>
      </c>
      <c r="I1173">
        <v>11</v>
      </c>
      <c r="J1173" t="str">
        <f>TEXT(DATE(2012,Table1[[#This Row],[MONTH_ID]],10),"mmm")</f>
        <v>Nov</v>
      </c>
      <c r="K1173">
        <v>2003</v>
      </c>
      <c r="L1173" t="s">
        <v>195</v>
      </c>
      <c r="M1173">
        <v>141</v>
      </c>
      <c r="N1173" t="s">
        <v>624</v>
      </c>
      <c r="O1173" t="s">
        <v>87</v>
      </c>
      <c r="P1173" t="s">
        <v>88</v>
      </c>
      <c r="Q1173" t="s">
        <v>89</v>
      </c>
      <c r="S1173" t="s">
        <v>90</v>
      </c>
      <c r="U1173" t="s">
        <v>91</v>
      </c>
      <c r="V1173" t="s">
        <v>92</v>
      </c>
      <c r="W1173" t="s">
        <v>56</v>
      </c>
      <c r="X1173" t="s">
        <v>93</v>
      </c>
      <c r="Y1173" t="s">
        <v>94</v>
      </c>
      <c r="Z1173" t="s">
        <v>65</v>
      </c>
    </row>
    <row r="1174" spans="1:26" x14ac:dyDescent="0.3">
      <c r="A1174">
        <v>10192</v>
      </c>
      <c r="B1174">
        <v>45</v>
      </c>
      <c r="C1174">
        <v>100</v>
      </c>
      <c r="D1174">
        <v>9</v>
      </c>
      <c r="E1174">
        <v>5340.6</v>
      </c>
      <c r="F1174" s="1">
        <v>37945</v>
      </c>
      <c r="G1174" t="s">
        <v>39</v>
      </c>
      <c r="H1174">
        <v>4</v>
      </c>
      <c r="I1174">
        <v>11</v>
      </c>
      <c r="J1174" t="str">
        <f>TEXT(DATE(2012,Table1[[#This Row],[MONTH_ID]],10),"mmm")</f>
        <v>Nov</v>
      </c>
      <c r="K1174">
        <v>2003</v>
      </c>
      <c r="L1174" t="s">
        <v>195</v>
      </c>
      <c r="M1174">
        <v>141</v>
      </c>
      <c r="N1174" t="s">
        <v>624</v>
      </c>
      <c r="O1174" t="s">
        <v>291</v>
      </c>
      <c r="P1174">
        <v>6035558647</v>
      </c>
      <c r="Q1174" t="s">
        <v>292</v>
      </c>
      <c r="S1174" t="s">
        <v>293</v>
      </c>
      <c r="T1174" t="s">
        <v>294</v>
      </c>
      <c r="U1174">
        <v>62005</v>
      </c>
      <c r="V1174" t="s">
        <v>46</v>
      </c>
      <c r="W1174" t="s">
        <v>47</v>
      </c>
      <c r="X1174" t="s">
        <v>70</v>
      </c>
      <c r="Y1174" t="s">
        <v>290</v>
      </c>
      <c r="Z1174" t="s">
        <v>65</v>
      </c>
    </row>
    <row r="1175" spans="1:26" x14ac:dyDescent="0.3">
      <c r="A1175">
        <v>10204</v>
      </c>
      <c r="B1175">
        <v>35</v>
      </c>
      <c r="C1175">
        <v>100</v>
      </c>
      <c r="D1175">
        <v>15</v>
      </c>
      <c r="E1175">
        <v>5735.8</v>
      </c>
      <c r="F1175" s="1">
        <v>37957</v>
      </c>
      <c r="G1175" t="s">
        <v>39</v>
      </c>
      <c r="H1175">
        <v>4</v>
      </c>
      <c r="I1175">
        <v>12</v>
      </c>
      <c r="J1175" t="str">
        <f>TEXT(DATE(2012,Table1[[#This Row],[MONTH_ID]],10),"mmm")</f>
        <v>Dec</v>
      </c>
      <c r="K1175">
        <v>2003</v>
      </c>
      <c r="L1175" t="s">
        <v>195</v>
      </c>
      <c r="M1175">
        <v>141</v>
      </c>
      <c r="N1175" t="s">
        <v>624</v>
      </c>
      <c r="O1175" t="s">
        <v>489</v>
      </c>
      <c r="P1175">
        <v>2125557413</v>
      </c>
      <c r="Q1175" t="s">
        <v>490</v>
      </c>
      <c r="R1175" t="s">
        <v>491</v>
      </c>
      <c r="S1175" t="s">
        <v>44</v>
      </c>
      <c r="T1175" t="s">
        <v>45</v>
      </c>
      <c r="U1175">
        <v>10022</v>
      </c>
      <c r="V1175" t="s">
        <v>46</v>
      </c>
      <c r="W1175" t="s">
        <v>47</v>
      </c>
      <c r="X1175" t="s">
        <v>70</v>
      </c>
      <c r="Y1175" t="s">
        <v>492</v>
      </c>
      <c r="Z1175" t="s">
        <v>65</v>
      </c>
    </row>
    <row r="1176" spans="1:26" x14ac:dyDescent="0.3">
      <c r="A1176">
        <v>10212</v>
      </c>
      <c r="B1176">
        <v>45</v>
      </c>
      <c r="C1176">
        <v>100</v>
      </c>
      <c r="D1176">
        <v>8</v>
      </c>
      <c r="E1176">
        <v>6357.6</v>
      </c>
      <c r="F1176" s="1">
        <v>38002</v>
      </c>
      <c r="G1176" t="s">
        <v>39</v>
      </c>
      <c r="H1176">
        <v>1</v>
      </c>
      <c r="I1176">
        <v>1</v>
      </c>
      <c r="J1176" t="str">
        <f>TEXT(DATE(2012,Table1[[#This Row],[MONTH_ID]],10),"mmm")</f>
        <v>Jan</v>
      </c>
      <c r="K1176">
        <v>2004</v>
      </c>
      <c r="L1176" t="s">
        <v>195</v>
      </c>
      <c r="M1176">
        <v>141</v>
      </c>
      <c r="N1176" t="s">
        <v>624</v>
      </c>
      <c r="O1176" t="s">
        <v>188</v>
      </c>
      <c r="P1176" t="s">
        <v>189</v>
      </c>
      <c r="Q1176" t="s">
        <v>190</v>
      </c>
      <c r="S1176" t="s">
        <v>191</v>
      </c>
      <c r="U1176">
        <v>28034</v>
      </c>
      <c r="V1176" t="s">
        <v>192</v>
      </c>
      <c r="W1176" t="s">
        <v>56</v>
      </c>
      <c r="X1176" t="s">
        <v>193</v>
      </c>
      <c r="Y1176" t="s">
        <v>194</v>
      </c>
      <c r="Z1176" t="s">
        <v>65</v>
      </c>
    </row>
    <row r="1177" spans="1:26" x14ac:dyDescent="0.3">
      <c r="A1177">
        <v>10226</v>
      </c>
      <c r="B1177">
        <v>46</v>
      </c>
      <c r="C1177">
        <v>100</v>
      </c>
      <c r="D1177">
        <v>6</v>
      </c>
      <c r="E1177">
        <v>7343.9</v>
      </c>
      <c r="F1177" s="1">
        <v>38043</v>
      </c>
      <c r="G1177" t="s">
        <v>39</v>
      </c>
      <c r="H1177">
        <v>1</v>
      </c>
      <c r="I1177">
        <v>2</v>
      </c>
      <c r="J1177" t="str">
        <f>TEXT(DATE(2012,Table1[[#This Row],[MONTH_ID]],10),"mmm")</f>
        <v>Feb</v>
      </c>
      <c r="K1177">
        <v>2004</v>
      </c>
      <c r="L1177" t="s">
        <v>195</v>
      </c>
      <c r="M1177">
        <v>141</v>
      </c>
      <c r="N1177" t="s">
        <v>624</v>
      </c>
      <c r="O1177" t="s">
        <v>376</v>
      </c>
      <c r="P1177">
        <v>7605558146</v>
      </c>
      <c r="Q1177" t="s">
        <v>377</v>
      </c>
      <c r="S1177" t="s">
        <v>378</v>
      </c>
      <c r="T1177" t="s">
        <v>69</v>
      </c>
      <c r="U1177">
        <v>91217</v>
      </c>
      <c r="V1177" t="s">
        <v>46</v>
      </c>
      <c r="W1177" t="s">
        <v>47</v>
      </c>
      <c r="X1177" t="s">
        <v>251</v>
      </c>
      <c r="Y1177" t="s">
        <v>290</v>
      </c>
      <c r="Z1177" t="s">
        <v>165</v>
      </c>
    </row>
    <row r="1178" spans="1:26" x14ac:dyDescent="0.3">
      <c r="A1178">
        <v>10240</v>
      </c>
      <c r="B1178">
        <v>37</v>
      </c>
      <c r="C1178">
        <v>100</v>
      </c>
      <c r="D1178">
        <v>1</v>
      </c>
      <c r="E1178">
        <v>5959.22</v>
      </c>
      <c r="F1178" s="1">
        <v>38090</v>
      </c>
      <c r="G1178" t="s">
        <v>39</v>
      </c>
      <c r="H1178">
        <v>2</v>
      </c>
      <c r="I1178">
        <v>4</v>
      </c>
      <c r="J1178" t="str">
        <f>TEXT(DATE(2012,Table1[[#This Row],[MONTH_ID]],10),"mmm")</f>
        <v>Apr</v>
      </c>
      <c r="K1178">
        <v>2004</v>
      </c>
      <c r="L1178" t="s">
        <v>195</v>
      </c>
      <c r="M1178">
        <v>141</v>
      </c>
      <c r="N1178" t="s">
        <v>624</v>
      </c>
      <c r="O1178" t="s">
        <v>316</v>
      </c>
      <c r="P1178" t="s">
        <v>317</v>
      </c>
      <c r="Q1178" t="s">
        <v>318</v>
      </c>
      <c r="S1178" t="s">
        <v>319</v>
      </c>
      <c r="T1178" t="s">
        <v>319</v>
      </c>
      <c r="U1178" t="s">
        <v>320</v>
      </c>
      <c r="V1178" t="s">
        <v>214</v>
      </c>
      <c r="W1178" t="s">
        <v>214</v>
      </c>
      <c r="X1178" t="s">
        <v>321</v>
      </c>
      <c r="Y1178" t="s">
        <v>322</v>
      </c>
      <c r="Z1178" t="s">
        <v>65</v>
      </c>
    </row>
    <row r="1179" spans="1:26" x14ac:dyDescent="0.3">
      <c r="A1179">
        <v>10253</v>
      </c>
      <c r="B1179">
        <v>31</v>
      </c>
      <c r="C1179">
        <v>100</v>
      </c>
      <c r="D1179">
        <v>3</v>
      </c>
      <c r="E1179">
        <v>4029.38</v>
      </c>
      <c r="F1179" s="1">
        <v>38139</v>
      </c>
      <c r="G1179" t="s">
        <v>353</v>
      </c>
      <c r="H1179">
        <v>2</v>
      </c>
      <c r="I1179">
        <v>6</v>
      </c>
      <c r="J1179" t="str">
        <f>TEXT(DATE(2012,Table1[[#This Row],[MONTH_ID]],10),"mmm")</f>
        <v>Jun</v>
      </c>
      <c r="K1179">
        <v>2004</v>
      </c>
      <c r="L1179" t="s">
        <v>195</v>
      </c>
      <c r="M1179">
        <v>141</v>
      </c>
      <c r="N1179" t="s">
        <v>624</v>
      </c>
      <c r="O1179" t="s">
        <v>179</v>
      </c>
      <c r="P1179" t="s">
        <v>180</v>
      </c>
      <c r="Q1179" t="s">
        <v>181</v>
      </c>
      <c r="S1179" t="s">
        <v>182</v>
      </c>
      <c r="U1179" t="s">
        <v>183</v>
      </c>
      <c r="V1179" t="s">
        <v>184</v>
      </c>
      <c r="W1179" t="s">
        <v>56</v>
      </c>
      <c r="X1179" t="s">
        <v>185</v>
      </c>
      <c r="Y1179" t="s">
        <v>186</v>
      </c>
      <c r="Z1179" t="s">
        <v>65</v>
      </c>
    </row>
    <row r="1180" spans="1:26" x14ac:dyDescent="0.3">
      <c r="A1180">
        <v>10266</v>
      </c>
      <c r="B1180">
        <v>33</v>
      </c>
      <c r="C1180">
        <v>100</v>
      </c>
      <c r="D1180">
        <v>4</v>
      </c>
      <c r="E1180">
        <v>5035.1400000000003</v>
      </c>
      <c r="F1180" s="1">
        <v>38174</v>
      </c>
      <c r="G1180" t="s">
        <v>39</v>
      </c>
      <c r="H1180">
        <v>3</v>
      </c>
      <c r="I1180">
        <v>7</v>
      </c>
      <c r="J1180" t="str">
        <f>TEXT(DATE(2012,Table1[[#This Row],[MONTH_ID]],10),"mmm")</f>
        <v>Jul</v>
      </c>
      <c r="K1180">
        <v>2004</v>
      </c>
      <c r="L1180" t="s">
        <v>195</v>
      </c>
      <c r="M1180">
        <v>141</v>
      </c>
      <c r="N1180" t="s">
        <v>624</v>
      </c>
      <c r="O1180" t="s">
        <v>466</v>
      </c>
      <c r="P1180" t="s">
        <v>467</v>
      </c>
      <c r="Q1180" t="s">
        <v>468</v>
      </c>
      <c r="S1180" t="s">
        <v>469</v>
      </c>
      <c r="U1180">
        <v>42100</v>
      </c>
      <c r="V1180" t="s">
        <v>272</v>
      </c>
      <c r="W1180" t="s">
        <v>56</v>
      </c>
      <c r="X1180" t="s">
        <v>470</v>
      </c>
      <c r="Y1180" t="s">
        <v>471</v>
      </c>
      <c r="Z1180" t="s">
        <v>65</v>
      </c>
    </row>
    <row r="1181" spans="1:26" x14ac:dyDescent="0.3">
      <c r="A1181">
        <v>10278</v>
      </c>
      <c r="B1181">
        <v>31</v>
      </c>
      <c r="C1181">
        <v>100</v>
      </c>
      <c r="D1181">
        <v>4</v>
      </c>
      <c r="E1181">
        <v>4116.8</v>
      </c>
      <c r="F1181" s="1">
        <v>38205</v>
      </c>
      <c r="G1181" t="s">
        <v>39</v>
      </c>
      <c r="H1181">
        <v>3</v>
      </c>
      <c r="I1181">
        <v>8</v>
      </c>
      <c r="J1181" t="str">
        <f>TEXT(DATE(2012,Table1[[#This Row],[MONTH_ID]],10),"mmm")</f>
        <v>Aug</v>
      </c>
      <c r="K1181">
        <v>2004</v>
      </c>
      <c r="L1181" t="s">
        <v>195</v>
      </c>
      <c r="M1181">
        <v>141</v>
      </c>
      <c r="N1181" t="s">
        <v>624</v>
      </c>
      <c r="O1181" t="s">
        <v>553</v>
      </c>
      <c r="P1181">
        <v>7025551838</v>
      </c>
      <c r="Q1181" t="s">
        <v>554</v>
      </c>
      <c r="S1181" t="s">
        <v>555</v>
      </c>
      <c r="T1181" t="s">
        <v>556</v>
      </c>
      <c r="U1181">
        <v>83030</v>
      </c>
      <c r="V1181" t="s">
        <v>46</v>
      </c>
      <c r="W1181" t="s">
        <v>47</v>
      </c>
      <c r="X1181" t="s">
        <v>127</v>
      </c>
      <c r="Y1181" t="s">
        <v>414</v>
      </c>
      <c r="Z1181" t="s">
        <v>65</v>
      </c>
    </row>
    <row r="1182" spans="1:26" x14ac:dyDescent="0.3">
      <c r="A1182">
        <v>10287</v>
      </c>
      <c r="B1182">
        <v>27</v>
      </c>
      <c r="C1182">
        <v>100</v>
      </c>
      <c r="D1182">
        <v>2</v>
      </c>
      <c r="E1182">
        <v>4310.55</v>
      </c>
      <c r="F1182" s="1">
        <v>38229</v>
      </c>
      <c r="G1182" t="s">
        <v>39</v>
      </c>
      <c r="H1182">
        <v>3</v>
      </c>
      <c r="I1182">
        <v>8</v>
      </c>
      <c r="J1182" t="str">
        <f>TEXT(DATE(2012,Table1[[#This Row],[MONTH_ID]],10),"mmm")</f>
        <v>Aug</v>
      </c>
      <c r="K1182">
        <v>2004</v>
      </c>
      <c r="L1182" t="s">
        <v>195</v>
      </c>
      <c r="M1182">
        <v>141</v>
      </c>
      <c r="N1182" t="s">
        <v>624</v>
      </c>
      <c r="O1182" t="s">
        <v>460</v>
      </c>
      <c r="P1182" t="s">
        <v>461</v>
      </c>
      <c r="Q1182" t="s">
        <v>462</v>
      </c>
      <c r="S1182" t="s">
        <v>463</v>
      </c>
      <c r="U1182">
        <v>1203</v>
      </c>
      <c r="V1182" t="s">
        <v>464</v>
      </c>
      <c r="W1182" t="s">
        <v>56</v>
      </c>
      <c r="X1182" t="s">
        <v>465</v>
      </c>
      <c r="Y1182" t="s">
        <v>117</v>
      </c>
      <c r="Z1182" t="s">
        <v>65</v>
      </c>
    </row>
    <row r="1183" spans="1:26" x14ac:dyDescent="0.3">
      <c r="A1183">
        <v>10301</v>
      </c>
      <c r="B1183">
        <v>39</v>
      </c>
      <c r="C1183">
        <v>100</v>
      </c>
      <c r="D1183">
        <v>6</v>
      </c>
      <c r="E1183">
        <v>6446.7</v>
      </c>
      <c r="F1183" s="1">
        <v>37899</v>
      </c>
      <c r="G1183" t="s">
        <v>39</v>
      </c>
      <c r="H1183">
        <v>4</v>
      </c>
      <c r="I1183">
        <v>10</v>
      </c>
      <c r="J1183" t="str">
        <f>TEXT(DATE(2012,Table1[[#This Row],[MONTH_ID]],10),"mmm")</f>
        <v>Oct</v>
      </c>
      <c r="K1183">
        <v>2003</v>
      </c>
      <c r="L1183" t="s">
        <v>195</v>
      </c>
      <c r="M1183">
        <v>141</v>
      </c>
      <c r="N1183" t="s">
        <v>624</v>
      </c>
      <c r="O1183" t="s">
        <v>557</v>
      </c>
      <c r="P1183" t="s">
        <v>558</v>
      </c>
      <c r="Q1183" t="s">
        <v>559</v>
      </c>
      <c r="S1183" t="s">
        <v>560</v>
      </c>
      <c r="U1183" t="s">
        <v>561</v>
      </c>
      <c r="V1183" t="s">
        <v>92</v>
      </c>
      <c r="W1183" t="s">
        <v>56</v>
      </c>
      <c r="X1183" t="s">
        <v>562</v>
      </c>
      <c r="Y1183" t="s">
        <v>563</v>
      </c>
      <c r="Z1183" t="s">
        <v>65</v>
      </c>
    </row>
    <row r="1184" spans="1:26" x14ac:dyDescent="0.3">
      <c r="A1184">
        <v>10311</v>
      </c>
      <c r="B1184">
        <v>32</v>
      </c>
      <c r="C1184">
        <v>100</v>
      </c>
      <c r="D1184">
        <v>11</v>
      </c>
      <c r="E1184">
        <v>3616.64</v>
      </c>
      <c r="F1184" s="1">
        <v>38276</v>
      </c>
      <c r="G1184" t="s">
        <v>39</v>
      </c>
      <c r="H1184">
        <v>4</v>
      </c>
      <c r="I1184">
        <v>10</v>
      </c>
      <c r="J1184" t="str">
        <f>TEXT(DATE(2012,Table1[[#This Row],[MONTH_ID]],10),"mmm")</f>
        <v>Oct</v>
      </c>
      <c r="K1184">
        <v>2004</v>
      </c>
      <c r="L1184" t="s">
        <v>195</v>
      </c>
      <c r="M1184">
        <v>141</v>
      </c>
      <c r="N1184" t="s">
        <v>624</v>
      </c>
      <c r="O1184" t="s">
        <v>188</v>
      </c>
      <c r="P1184" t="s">
        <v>189</v>
      </c>
      <c r="Q1184" t="s">
        <v>190</v>
      </c>
      <c r="S1184" t="s">
        <v>191</v>
      </c>
      <c r="U1184">
        <v>28034</v>
      </c>
      <c r="V1184" t="s">
        <v>192</v>
      </c>
      <c r="W1184" t="s">
        <v>56</v>
      </c>
      <c r="X1184" t="s">
        <v>193</v>
      </c>
      <c r="Y1184" t="s">
        <v>194</v>
      </c>
      <c r="Z1184" t="s">
        <v>65</v>
      </c>
    </row>
    <row r="1185" spans="1:26" x14ac:dyDescent="0.3">
      <c r="A1185">
        <v>10321</v>
      </c>
      <c r="B1185">
        <v>28</v>
      </c>
      <c r="C1185">
        <v>100</v>
      </c>
      <c r="D1185">
        <v>8</v>
      </c>
      <c r="E1185">
        <v>4232.76</v>
      </c>
      <c r="F1185" s="1">
        <v>38295</v>
      </c>
      <c r="G1185" t="s">
        <v>39</v>
      </c>
      <c r="H1185">
        <v>4</v>
      </c>
      <c r="I1185">
        <v>11</v>
      </c>
      <c r="J1185" t="str">
        <f>TEXT(DATE(2012,Table1[[#This Row],[MONTH_ID]],10),"mmm")</f>
        <v>Nov</v>
      </c>
      <c r="K1185">
        <v>2004</v>
      </c>
      <c r="L1185" t="s">
        <v>195</v>
      </c>
      <c r="M1185">
        <v>141</v>
      </c>
      <c r="N1185" t="s">
        <v>624</v>
      </c>
      <c r="O1185" t="s">
        <v>174</v>
      </c>
      <c r="P1185">
        <v>5085552555</v>
      </c>
      <c r="Q1185" t="s">
        <v>175</v>
      </c>
      <c r="S1185" t="s">
        <v>176</v>
      </c>
      <c r="T1185" t="s">
        <v>137</v>
      </c>
      <c r="U1185">
        <v>50553</v>
      </c>
      <c r="V1185" t="s">
        <v>46</v>
      </c>
      <c r="W1185" t="s">
        <v>47</v>
      </c>
      <c r="X1185" t="s">
        <v>177</v>
      </c>
      <c r="Y1185" t="s">
        <v>178</v>
      </c>
      <c r="Z1185" t="s">
        <v>65</v>
      </c>
    </row>
    <row r="1186" spans="1:26" x14ac:dyDescent="0.3">
      <c r="A1186">
        <v>10331</v>
      </c>
      <c r="B1186">
        <v>26</v>
      </c>
      <c r="C1186">
        <v>67.91</v>
      </c>
      <c r="D1186">
        <v>12</v>
      </c>
      <c r="E1186">
        <v>1765.66</v>
      </c>
      <c r="F1186" s="1">
        <v>38308</v>
      </c>
      <c r="G1186" t="s">
        <v>39</v>
      </c>
      <c r="H1186">
        <v>4</v>
      </c>
      <c r="I1186">
        <v>11</v>
      </c>
      <c r="J1186" t="str">
        <f>TEXT(DATE(2012,Table1[[#This Row],[MONTH_ID]],10),"mmm")</f>
        <v>Nov</v>
      </c>
      <c r="K1186">
        <v>2004</v>
      </c>
      <c r="L1186" t="s">
        <v>195</v>
      </c>
      <c r="M1186">
        <v>141</v>
      </c>
      <c r="N1186" t="s">
        <v>624</v>
      </c>
      <c r="O1186" t="s">
        <v>323</v>
      </c>
      <c r="P1186">
        <v>2155559857</v>
      </c>
      <c r="Q1186" t="s">
        <v>324</v>
      </c>
      <c r="S1186" t="s">
        <v>230</v>
      </c>
      <c r="T1186" t="s">
        <v>156</v>
      </c>
      <c r="U1186">
        <v>71270</v>
      </c>
      <c r="V1186" t="s">
        <v>46</v>
      </c>
      <c r="W1186" t="s">
        <v>47</v>
      </c>
      <c r="X1186" t="s">
        <v>138</v>
      </c>
      <c r="Y1186" t="s">
        <v>325</v>
      </c>
      <c r="Z1186" t="s">
        <v>50</v>
      </c>
    </row>
    <row r="1187" spans="1:26" x14ac:dyDescent="0.3">
      <c r="A1187">
        <v>10343</v>
      </c>
      <c r="B1187">
        <v>44</v>
      </c>
      <c r="C1187">
        <v>84.88</v>
      </c>
      <c r="D1187">
        <v>2</v>
      </c>
      <c r="E1187">
        <v>3734.72</v>
      </c>
      <c r="F1187" s="1">
        <v>38315</v>
      </c>
      <c r="G1187" t="s">
        <v>39</v>
      </c>
      <c r="H1187">
        <v>4</v>
      </c>
      <c r="I1187">
        <v>11</v>
      </c>
      <c r="J1187" t="str">
        <f>TEXT(DATE(2012,Table1[[#This Row],[MONTH_ID]],10),"mmm")</f>
        <v>Nov</v>
      </c>
      <c r="K1187">
        <v>2004</v>
      </c>
      <c r="L1187" t="s">
        <v>195</v>
      </c>
      <c r="M1187">
        <v>141</v>
      </c>
      <c r="N1187" t="s">
        <v>624</v>
      </c>
      <c r="O1187" t="s">
        <v>51</v>
      </c>
      <c r="P1187" t="s">
        <v>52</v>
      </c>
      <c r="Q1187" t="s">
        <v>53</v>
      </c>
      <c r="S1187" t="s">
        <v>54</v>
      </c>
      <c r="U1187">
        <v>51100</v>
      </c>
      <c r="V1187" t="s">
        <v>55</v>
      </c>
      <c r="W1187" t="s">
        <v>56</v>
      </c>
      <c r="X1187" t="s">
        <v>57</v>
      </c>
      <c r="Y1187" t="s">
        <v>58</v>
      </c>
      <c r="Z1187" t="s">
        <v>65</v>
      </c>
    </row>
    <row r="1188" spans="1:26" x14ac:dyDescent="0.3">
      <c r="A1188">
        <v>10367</v>
      </c>
      <c r="B1188">
        <v>46</v>
      </c>
      <c r="C1188">
        <v>100</v>
      </c>
      <c r="D1188">
        <v>6</v>
      </c>
      <c r="E1188">
        <v>4808.38</v>
      </c>
      <c r="F1188" s="1">
        <v>38364</v>
      </c>
      <c r="G1188" t="s">
        <v>422</v>
      </c>
      <c r="H1188">
        <v>1</v>
      </c>
      <c r="I1188">
        <v>1</v>
      </c>
      <c r="J1188" t="str">
        <f>TEXT(DATE(2012,Table1[[#This Row],[MONTH_ID]],10),"mmm")</f>
        <v>Jan</v>
      </c>
      <c r="K1188">
        <v>2005</v>
      </c>
      <c r="L1188" t="s">
        <v>195</v>
      </c>
      <c r="M1188">
        <v>141</v>
      </c>
      <c r="N1188" t="s">
        <v>624</v>
      </c>
      <c r="O1188" t="s">
        <v>66</v>
      </c>
      <c r="P1188">
        <v>6265557265</v>
      </c>
      <c r="Q1188" t="s">
        <v>67</v>
      </c>
      <c r="S1188" t="s">
        <v>68</v>
      </c>
      <c r="T1188" t="s">
        <v>69</v>
      </c>
      <c r="U1188">
        <v>90003</v>
      </c>
      <c r="V1188" t="s">
        <v>46</v>
      </c>
      <c r="W1188" t="s">
        <v>47</v>
      </c>
      <c r="X1188" t="s">
        <v>70</v>
      </c>
      <c r="Y1188" t="s">
        <v>71</v>
      </c>
      <c r="Z1188" t="s">
        <v>65</v>
      </c>
    </row>
    <row r="1189" spans="1:26" x14ac:dyDescent="0.3">
      <c r="A1189">
        <v>10379</v>
      </c>
      <c r="B1189">
        <v>32</v>
      </c>
      <c r="C1189">
        <v>70.83</v>
      </c>
      <c r="D1189">
        <v>4</v>
      </c>
      <c r="E1189">
        <v>2266.56</v>
      </c>
      <c r="F1189" s="1">
        <v>38393</v>
      </c>
      <c r="G1189" t="s">
        <v>39</v>
      </c>
      <c r="H1189">
        <v>1</v>
      </c>
      <c r="I1189">
        <v>2</v>
      </c>
      <c r="J1189" t="str">
        <f>TEXT(DATE(2012,Table1[[#This Row],[MONTH_ID]],10),"mmm")</f>
        <v>Feb</v>
      </c>
      <c r="K1189">
        <v>2005</v>
      </c>
      <c r="L1189" t="s">
        <v>195</v>
      </c>
      <c r="M1189">
        <v>141</v>
      </c>
      <c r="N1189" t="s">
        <v>624</v>
      </c>
      <c r="O1189" t="s">
        <v>188</v>
      </c>
      <c r="P1189" t="s">
        <v>189</v>
      </c>
      <c r="Q1189" t="s">
        <v>190</v>
      </c>
      <c r="S1189" t="s">
        <v>191</v>
      </c>
      <c r="U1189">
        <v>28034</v>
      </c>
      <c r="V1189" t="s">
        <v>192</v>
      </c>
      <c r="W1189" t="s">
        <v>56</v>
      </c>
      <c r="X1189" t="s">
        <v>193</v>
      </c>
      <c r="Y1189" t="s">
        <v>194</v>
      </c>
      <c r="Z1189" t="s">
        <v>50</v>
      </c>
    </row>
    <row r="1190" spans="1:26" x14ac:dyDescent="0.3">
      <c r="A1190">
        <v>10406</v>
      </c>
      <c r="B1190">
        <v>65</v>
      </c>
      <c r="C1190">
        <v>100</v>
      </c>
      <c r="D1190">
        <v>1</v>
      </c>
      <c r="E1190">
        <v>10468.9</v>
      </c>
      <c r="F1190" s="1">
        <v>38457</v>
      </c>
      <c r="G1190" t="s">
        <v>187</v>
      </c>
      <c r="H1190">
        <v>2</v>
      </c>
      <c r="I1190">
        <v>4</v>
      </c>
      <c r="J1190" t="str">
        <f>TEXT(DATE(2012,Table1[[#This Row],[MONTH_ID]],10),"mmm")</f>
        <v>Apr</v>
      </c>
      <c r="K1190">
        <v>2005</v>
      </c>
      <c r="L1190" t="s">
        <v>195</v>
      </c>
      <c r="M1190">
        <v>141</v>
      </c>
      <c r="N1190" t="s">
        <v>624</v>
      </c>
      <c r="O1190" t="s">
        <v>336</v>
      </c>
      <c r="P1190" t="s">
        <v>337</v>
      </c>
      <c r="Q1190" t="s">
        <v>338</v>
      </c>
      <c r="S1190" t="s">
        <v>339</v>
      </c>
      <c r="U1190">
        <v>1734</v>
      </c>
      <c r="V1190" t="s">
        <v>340</v>
      </c>
      <c r="W1190" t="s">
        <v>56</v>
      </c>
      <c r="X1190" t="s">
        <v>341</v>
      </c>
      <c r="Y1190" t="s">
        <v>342</v>
      </c>
      <c r="Z1190" t="s">
        <v>165</v>
      </c>
    </row>
    <row r="1191" spans="1:26" x14ac:dyDescent="0.3">
      <c r="A1191">
        <v>10419</v>
      </c>
      <c r="B1191">
        <v>43</v>
      </c>
      <c r="C1191">
        <v>100</v>
      </c>
      <c r="D1191">
        <v>3</v>
      </c>
      <c r="E1191">
        <v>5589.14</v>
      </c>
      <c r="F1191" s="1">
        <v>38489</v>
      </c>
      <c r="G1191" t="s">
        <v>39</v>
      </c>
      <c r="H1191">
        <v>2</v>
      </c>
      <c r="I1191">
        <v>5</v>
      </c>
      <c r="J1191" t="str">
        <f>TEXT(DATE(2012,Table1[[#This Row],[MONTH_ID]],10),"mmm")</f>
        <v>May</v>
      </c>
      <c r="K1191">
        <v>2005</v>
      </c>
      <c r="L1191" t="s">
        <v>195</v>
      </c>
      <c r="M1191">
        <v>141</v>
      </c>
      <c r="N1191" t="s">
        <v>624</v>
      </c>
      <c r="O1191" t="s">
        <v>158</v>
      </c>
      <c r="P1191" t="s">
        <v>159</v>
      </c>
      <c r="Q1191" t="s">
        <v>160</v>
      </c>
      <c r="S1191" t="s">
        <v>161</v>
      </c>
      <c r="U1191">
        <v>5020</v>
      </c>
      <c r="V1191" t="s">
        <v>162</v>
      </c>
      <c r="W1191" t="s">
        <v>56</v>
      </c>
      <c r="X1191" t="s">
        <v>163</v>
      </c>
      <c r="Y1191" t="s">
        <v>164</v>
      </c>
      <c r="Z1191" t="s">
        <v>65</v>
      </c>
    </row>
    <row r="1192" spans="1:26" x14ac:dyDescent="0.3">
      <c r="A1192">
        <v>10108</v>
      </c>
      <c r="B1192">
        <v>43</v>
      </c>
      <c r="C1192">
        <v>67.77</v>
      </c>
      <c r="D1192">
        <v>12</v>
      </c>
      <c r="E1192">
        <v>2914.11</v>
      </c>
      <c r="F1192" s="1">
        <v>37683</v>
      </c>
      <c r="G1192" t="s">
        <v>39</v>
      </c>
      <c r="H1192">
        <v>1</v>
      </c>
      <c r="I1192">
        <v>3</v>
      </c>
      <c r="J1192" t="str">
        <f>TEXT(DATE(2012,Table1[[#This Row],[MONTH_ID]],10),"mmm")</f>
        <v>Mar</v>
      </c>
      <c r="K1192">
        <v>2003</v>
      </c>
      <c r="L1192" t="s">
        <v>40</v>
      </c>
      <c r="M1192">
        <v>62</v>
      </c>
      <c r="N1192" t="s">
        <v>625</v>
      </c>
      <c r="O1192" t="s">
        <v>439</v>
      </c>
      <c r="P1192" t="s">
        <v>440</v>
      </c>
      <c r="Q1192" t="s">
        <v>441</v>
      </c>
      <c r="S1192" t="s">
        <v>442</v>
      </c>
      <c r="U1192" t="s">
        <v>443</v>
      </c>
      <c r="V1192" t="s">
        <v>444</v>
      </c>
      <c r="W1192" t="s">
        <v>214</v>
      </c>
      <c r="X1192" t="s">
        <v>445</v>
      </c>
      <c r="Y1192" t="s">
        <v>446</v>
      </c>
      <c r="Z1192" t="s">
        <v>50</v>
      </c>
    </row>
    <row r="1193" spans="1:26" x14ac:dyDescent="0.3">
      <c r="A1193">
        <v>10122</v>
      </c>
      <c r="B1193">
        <v>35</v>
      </c>
      <c r="C1193">
        <v>49.74</v>
      </c>
      <c r="D1193">
        <v>16</v>
      </c>
      <c r="E1193">
        <v>1740.9</v>
      </c>
      <c r="F1193" s="1">
        <v>37749</v>
      </c>
      <c r="G1193" t="s">
        <v>39</v>
      </c>
      <c r="H1193">
        <v>2</v>
      </c>
      <c r="I1193">
        <v>5</v>
      </c>
      <c r="J1193" t="str">
        <f>TEXT(DATE(2012,Table1[[#This Row],[MONTH_ID]],10),"mmm")</f>
        <v>May</v>
      </c>
      <c r="K1193">
        <v>2003</v>
      </c>
      <c r="L1193" t="s">
        <v>40</v>
      </c>
      <c r="M1193">
        <v>62</v>
      </c>
      <c r="N1193" t="s">
        <v>625</v>
      </c>
      <c r="O1193" t="s">
        <v>447</v>
      </c>
      <c r="P1193" t="s">
        <v>448</v>
      </c>
      <c r="Q1193" t="s">
        <v>449</v>
      </c>
      <c r="S1193" t="s">
        <v>450</v>
      </c>
      <c r="U1193">
        <v>13008</v>
      </c>
      <c r="V1193" t="s">
        <v>55</v>
      </c>
      <c r="W1193" t="s">
        <v>56</v>
      </c>
      <c r="X1193" t="s">
        <v>451</v>
      </c>
      <c r="Y1193" t="s">
        <v>452</v>
      </c>
      <c r="Z1193" t="s">
        <v>50</v>
      </c>
    </row>
    <row r="1194" spans="1:26" x14ac:dyDescent="0.3">
      <c r="A1194">
        <v>10135</v>
      </c>
      <c r="B1194">
        <v>45</v>
      </c>
      <c r="C1194">
        <v>50.36</v>
      </c>
      <c r="D1194">
        <v>13</v>
      </c>
      <c r="E1194">
        <v>2266.1999999999998</v>
      </c>
      <c r="F1194" s="1">
        <v>37804</v>
      </c>
      <c r="G1194" t="s">
        <v>39</v>
      </c>
      <c r="H1194">
        <v>3</v>
      </c>
      <c r="I1194">
        <v>7</v>
      </c>
      <c r="J1194" t="str">
        <f>TEXT(DATE(2012,Table1[[#This Row],[MONTH_ID]],10),"mmm")</f>
        <v>Jul</v>
      </c>
      <c r="K1194">
        <v>2003</v>
      </c>
      <c r="L1194" t="s">
        <v>40</v>
      </c>
      <c r="M1194">
        <v>62</v>
      </c>
      <c r="N1194" t="s">
        <v>625</v>
      </c>
      <c r="O1194" t="s">
        <v>286</v>
      </c>
      <c r="P1194">
        <v>4155551450</v>
      </c>
      <c r="Q1194" t="s">
        <v>287</v>
      </c>
      <c r="S1194" t="s">
        <v>288</v>
      </c>
      <c r="T1194" t="s">
        <v>69</v>
      </c>
      <c r="U1194">
        <v>97562</v>
      </c>
      <c r="V1194" t="s">
        <v>46</v>
      </c>
      <c r="W1194" t="s">
        <v>47</v>
      </c>
      <c r="X1194" t="s">
        <v>289</v>
      </c>
      <c r="Y1194" t="s">
        <v>290</v>
      </c>
      <c r="Z1194" t="s">
        <v>50</v>
      </c>
    </row>
    <row r="1195" spans="1:26" x14ac:dyDescent="0.3">
      <c r="A1195">
        <v>10146</v>
      </c>
      <c r="B1195">
        <v>47</v>
      </c>
      <c r="C1195">
        <v>67.14</v>
      </c>
      <c r="D1195">
        <v>2</v>
      </c>
      <c r="E1195">
        <v>3155.58</v>
      </c>
      <c r="F1195" s="1">
        <v>37867</v>
      </c>
      <c r="G1195" t="s">
        <v>39</v>
      </c>
      <c r="H1195">
        <v>3</v>
      </c>
      <c r="I1195">
        <v>9</v>
      </c>
      <c r="J1195" t="str">
        <f>TEXT(DATE(2012,Table1[[#This Row],[MONTH_ID]],10),"mmm")</f>
        <v>Sep</v>
      </c>
      <c r="K1195">
        <v>2003</v>
      </c>
      <c r="L1195" t="s">
        <v>40</v>
      </c>
      <c r="M1195">
        <v>62</v>
      </c>
      <c r="N1195" t="s">
        <v>625</v>
      </c>
      <c r="O1195" t="s">
        <v>582</v>
      </c>
      <c r="P1195">
        <v>2035554407</v>
      </c>
      <c r="Q1195" t="s">
        <v>583</v>
      </c>
      <c r="S1195" t="s">
        <v>530</v>
      </c>
      <c r="T1195" t="s">
        <v>126</v>
      </c>
      <c r="U1195">
        <v>97561</v>
      </c>
      <c r="V1195" t="s">
        <v>46</v>
      </c>
      <c r="W1195" t="s">
        <v>47</v>
      </c>
      <c r="X1195" t="s">
        <v>584</v>
      </c>
      <c r="Y1195" t="s">
        <v>585</v>
      </c>
      <c r="Z1195" t="s">
        <v>65</v>
      </c>
    </row>
    <row r="1196" spans="1:26" x14ac:dyDescent="0.3">
      <c r="A1196">
        <v>10159</v>
      </c>
      <c r="B1196">
        <v>21</v>
      </c>
      <c r="C1196">
        <v>64.66</v>
      </c>
      <c r="D1196">
        <v>8</v>
      </c>
      <c r="E1196">
        <v>1357.86</v>
      </c>
      <c r="F1196" s="1">
        <v>37904</v>
      </c>
      <c r="G1196" t="s">
        <v>39</v>
      </c>
      <c r="H1196">
        <v>4</v>
      </c>
      <c r="I1196">
        <v>10</v>
      </c>
      <c r="J1196" t="str">
        <f>TEXT(DATE(2012,Table1[[#This Row],[MONTH_ID]],10),"mmm")</f>
        <v>Oct</v>
      </c>
      <c r="K1196">
        <v>2003</v>
      </c>
      <c r="L1196" t="s">
        <v>40</v>
      </c>
      <c r="M1196">
        <v>62</v>
      </c>
      <c r="N1196" t="s">
        <v>625</v>
      </c>
      <c r="O1196" t="s">
        <v>72</v>
      </c>
      <c r="P1196">
        <v>6505551386</v>
      </c>
      <c r="Q1196" t="s">
        <v>73</v>
      </c>
      <c r="S1196" t="s">
        <v>74</v>
      </c>
      <c r="T1196" t="s">
        <v>69</v>
      </c>
      <c r="V1196" t="s">
        <v>46</v>
      </c>
      <c r="W1196" t="s">
        <v>47</v>
      </c>
      <c r="X1196" t="s">
        <v>75</v>
      </c>
      <c r="Y1196" t="s">
        <v>71</v>
      </c>
      <c r="Z1196" t="s">
        <v>50</v>
      </c>
    </row>
    <row r="1197" spans="1:26" x14ac:dyDescent="0.3">
      <c r="A1197">
        <v>10169</v>
      </c>
      <c r="B1197">
        <v>38</v>
      </c>
      <c r="C1197">
        <v>68.39</v>
      </c>
      <c r="D1197">
        <v>8</v>
      </c>
      <c r="E1197">
        <v>2598.8200000000002</v>
      </c>
      <c r="F1197" s="1">
        <v>37929</v>
      </c>
      <c r="G1197" t="s">
        <v>39</v>
      </c>
      <c r="H1197">
        <v>4</v>
      </c>
      <c r="I1197">
        <v>11</v>
      </c>
      <c r="J1197" t="str">
        <f>TEXT(DATE(2012,Table1[[#This Row],[MONTH_ID]],10),"mmm")</f>
        <v>Nov</v>
      </c>
      <c r="K1197">
        <v>2003</v>
      </c>
      <c r="L1197" t="s">
        <v>40</v>
      </c>
      <c r="M1197">
        <v>62</v>
      </c>
      <c r="N1197" t="s">
        <v>625</v>
      </c>
      <c r="O1197" t="s">
        <v>299</v>
      </c>
      <c r="P1197" t="s">
        <v>300</v>
      </c>
      <c r="Q1197" t="s">
        <v>301</v>
      </c>
      <c r="R1197" t="s">
        <v>302</v>
      </c>
      <c r="S1197" t="s">
        <v>303</v>
      </c>
      <c r="T1197" t="s">
        <v>171</v>
      </c>
      <c r="U1197">
        <v>2060</v>
      </c>
      <c r="V1197" t="s">
        <v>109</v>
      </c>
      <c r="W1197" t="s">
        <v>110</v>
      </c>
      <c r="X1197" t="s">
        <v>304</v>
      </c>
      <c r="Y1197" t="s">
        <v>305</v>
      </c>
      <c r="Z1197" t="s">
        <v>50</v>
      </c>
    </row>
    <row r="1198" spans="1:26" x14ac:dyDescent="0.3">
      <c r="A1198">
        <v>10180</v>
      </c>
      <c r="B1198">
        <v>21</v>
      </c>
      <c r="C1198">
        <v>50.36</v>
      </c>
      <c r="D1198">
        <v>3</v>
      </c>
      <c r="E1198">
        <v>1057.56</v>
      </c>
      <c r="F1198" s="1">
        <v>37936</v>
      </c>
      <c r="G1198" t="s">
        <v>39</v>
      </c>
      <c r="H1198">
        <v>4</v>
      </c>
      <c r="I1198">
        <v>11</v>
      </c>
      <c r="J1198" t="str">
        <f>TEXT(DATE(2012,Table1[[#This Row],[MONTH_ID]],10),"mmm")</f>
        <v>Nov</v>
      </c>
      <c r="K1198">
        <v>2003</v>
      </c>
      <c r="L1198" t="s">
        <v>40</v>
      </c>
      <c r="M1198">
        <v>62</v>
      </c>
      <c r="N1198" t="s">
        <v>625</v>
      </c>
      <c r="O1198" t="s">
        <v>81</v>
      </c>
      <c r="P1198" t="s">
        <v>82</v>
      </c>
      <c r="Q1198" t="s">
        <v>83</v>
      </c>
      <c r="S1198" t="s">
        <v>84</v>
      </c>
      <c r="U1198">
        <v>59000</v>
      </c>
      <c r="V1198" t="s">
        <v>55</v>
      </c>
      <c r="W1198" t="s">
        <v>56</v>
      </c>
      <c r="X1198" t="s">
        <v>85</v>
      </c>
      <c r="Y1198" t="s">
        <v>86</v>
      </c>
      <c r="Z1198" t="s">
        <v>50</v>
      </c>
    </row>
    <row r="1199" spans="1:26" x14ac:dyDescent="0.3">
      <c r="A1199">
        <v>10191</v>
      </c>
      <c r="B1199">
        <v>43</v>
      </c>
      <c r="C1199">
        <v>72.739999999999995</v>
      </c>
      <c r="D1199">
        <v>9</v>
      </c>
      <c r="E1199">
        <v>3127.82</v>
      </c>
      <c r="F1199" s="1">
        <v>37945</v>
      </c>
      <c r="G1199" t="s">
        <v>39</v>
      </c>
      <c r="H1199">
        <v>4</v>
      </c>
      <c r="I1199">
        <v>11</v>
      </c>
      <c r="J1199" t="str">
        <f>TEXT(DATE(2012,Table1[[#This Row],[MONTH_ID]],10),"mmm")</f>
        <v>Nov</v>
      </c>
      <c r="K1199">
        <v>2003</v>
      </c>
      <c r="L1199" t="s">
        <v>40</v>
      </c>
      <c r="M1199">
        <v>62</v>
      </c>
      <c r="N1199" t="s">
        <v>625</v>
      </c>
      <c r="O1199" t="s">
        <v>453</v>
      </c>
      <c r="P1199" t="s">
        <v>454</v>
      </c>
      <c r="Q1199" t="s">
        <v>455</v>
      </c>
      <c r="S1199" t="s">
        <v>456</v>
      </c>
      <c r="U1199">
        <v>50739</v>
      </c>
      <c r="V1199" t="s">
        <v>457</v>
      </c>
      <c r="W1199" t="s">
        <v>56</v>
      </c>
      <c r="X1199" t="s">
        <v>458</v>
      </c>
      <c r="Y1199" t="s">
        <v>459</v>
      </c>
      <c r="Z1199" t="s">
        <v>65</v>
      </c>
    </row>
    <row r="1200" spans="1:26" x14ac:dyDescent="0.3">
      <c r="A1200">
        <v>10211</v>
      </c>
      <c r="B1200">
        <v>46</v>
      </c>
      <c r="C1200">
        <v>54.09</v>
      </c>
      <c r="D1200">
        <v>8</v>
      </c>
      <c r="E1200">
        <v>2488.14</v>
      </c>
      <c r="F1200" s="1">
        <v>38001</v>
      </c>
      <c r="G1200" t="s">
        <v>39</v>
      </c>
      <c r="H1200">
        <v>1</v>
      </c>
      <c r="I1200">
        <v>1</v>
      </c>
      <c r="J1200" t="str">
        <f>TEXT(DATE(2012,Table1[[#This Row],[MONTH_ID]],10),"mmm")</f>
        <v>Jan</v>
      </c>
      <c r="K1200">
        <v>2004</v>
      </c>
      <c r="L1200" t="s">
        <v>40</v>
      </c>
      <c r="M1200">
        <v>62</v>
      </c>
      <c r="N1200" t="s">
        <v>625</v>
      </c>
      <c r="O1200" t="s">
        <v>98</v>
      </c>
      <c r="P1200" t="s">
        <v>99</v>
      </c>
      <c r="Q1200" t="s">
        <v>100</v>
      </c>
      <c r="S1200" t="s">
        <v>62</v>
      </c>
      <c r="U1200">
        <v>75016</v>
      </c>
      <c r="V1200" t="s">
        <v>55</v>
      </c>
      <c r="W1200" t="s">
        <v>56</v>
      </c>
      <c r="X1200" t="s">
        <v>101</v>
      </c>
      <c r="Y1200" t="s">
        <v>102</v>
      </c>
      <c r="Z1200" t="s">
        <v>50</v>
      </c>
    </row>
    <row r="1201" spans="1:26" x14ac:dyDescent="0.3">
      <c r="A1201">
        <v>10224</v>
      </c>
      <c r="B1201">
        <v>38</v>
      </c>
      <c r="C1201">
        <v>58.44</v>
      </c>
      <c r="D1201">
        <v>1</v>
      </c>
      <c r="E1201">
        <v>2220.7199999999998</v>
      </c>
      <c r="F1201" s="1">
        <v>38038</v>
      </c>
      <c r="G1201" t="s">
        <v>39</v>
      </c>
      <c r="H1201">
        <v>1</v>
      </c>
      <c r="I1201">
        <v>2</v>
      </c>
      <c r="J1201" t="str">
        <f>TEXT(DATE(2012,Table1[[#This Row],[MONTH_ID]],10),"mmm")</f>
        <v>Feb</v>
      </c>
      <c r="K1201">
        <v>2004</v>
      </c>
      <c r="L1201" t="s">
        <v>40</v>
      </c>
      <c r="M1201">
        <v>62</v>
      </c>
      <c r="N1201" t="s">
        <v>625</v>
      </c>
      <c r="O1201" t="s">
        <v>81</v>
      </c>
      <c r="P1201" t="s">
        <v>82</v>
      </c>
      <c r="Q1201" t="s">
        <v>83</v>
      </c>
      <c r="S1201" t="s">
        <v>84</v>
      </c>
      <c r="U1201">
        <v>59000</v>
      </c>
      <c r="V1201" t="s">
        <v>55</v>
      </c>
      <c r="W1201" t="s">
        <v>56</v>
      </c>
      <c r="X1201" t="s">
        <v>85</v>
      </c>
      <c r="Y1201" t="s">
        <v>86</v>
      </c>
      <c r="Z1201" t="s">
        <v>50</v>
      </c>
    </row>
    <row r="1202" spans="1:26" x14ac:dyDescent="0.3">
      <c r="A1202">
        <v>10237</v>
      </c>
      <c r="B1202">
        <v>26</v>
      </c>
      <c r="C1202">
        <v>52.22</v>
      </c>
      <c r="D1202">
        <v>1</v>
      </c>
      <c r="E1202">
        <v>1357.72</v>
      </c>
      <c r="F1202" s="1">
        <v>38082</v>
      </c>
      <c r="G1202" t="s">
        <v>39</v>
      </c>
      <c r="H1202">
        <v>2</v>
      </c>
      <c r="I1202">
        <v>4</v>
      </c>
      <c r="J1202" t="str">
        <f>TEXT(DATE(2012,Table1[[#This Row],[MONTH_ID]],10),"mmm")</f>
        <v>Apr</v>
      </c>
      <c r="K1202">
        <v>2004</v>
      </c>
      <c r="L1202" t="s">
        <v>40</v>
      </c>
      <c r="M1202">
        <v>62</v>
      </c>
      <c r="N1202" t="s">
        <v>625</v>
      </c>
      <c r="O1202" t="s">
        <v>113</v>
      </c>
      <c r="P1202">
        <v>2125551500</v>
      </c>
      <c r="Q1202" t="s">
        <v>114</v>
      </c>
      <c r="R1202" t="s">
        <v>115</v>
      </c>
      <c r="S1202" t="s">
        <v>44</v>
      </c>
      <c r="T1202" t="s">
        <v>45</v>
      </c>
      <c r="U1202">
        <v>10022</v>
      </c>
      <c r="V1202" t="s">
        <v>46</v>
      </c>
      <c r="W1202" t="s">
        <v>47</v>
      </c>
      <c r="X1202" t="s">
        <v>116</v>
      </c>
      <c r="Y1202" t="s">
        <v>117</v>
      </c>
      <c r="Z1202" t="s">
        <v>50</v>
      </c>
    </row>
    <row r="1203" spans="1:26" x14ac:dyDescent="0.3">
      <c r="A1203">
        <v>10252</v>
      </c>
      <c r="B1203">
        <v>31</v>
      </c>
      <c r="C1203">
        <v>52.84</v>
      </c>
      <c r="D1203">
        <v>5</v>
      </c>
      <c r="E1203">
        <v>1638.04</v>
      </c>
      <c r="F1203" s="1">
        <v>38133</v>
      </c>
      <c r="G1203" t="s">
        <v>39</v>
      </c>
      <c r="H1203">
        <v>2</v>
      </c>
      <c r="I1203">
        <v>5</v>
      </c>
      <c r="J1203" t="str">
        <f>TEXT(DATE(2012,Table1[[#This Row],[MONTH_ID]],10),"mmm")</f>
        <v>May</v>
      </c>
      <c r="K1203">
        <v>2004</v>
      </c>
      <c r="L1203" t="s">
        <v>40</v>
      </c>
      <c r="M1203">
        <v>62</v>
      </c>
      <c r="N1203" t="s">
        <v>625</v>
      </c>
      <c r="O1203" t="s">
        <v>98</v>
      </c>
      <c r="P1203" t="s">
        <v>99</v>
      </c>
      <c r="Q1203" t="s">
        <v>100</v>
      </c>
      <c r="S1203" t="s">
        <v>62</v>
      </c>
      <c r="U1203">
        <v>75016</v>
      </c>
      <c r="V1203" t="s">
        <v>55</v>
      </c>
      <c r="W1203" t="s">
        <v>56</v>
      </c>
      <c r="X1203" t="s">
        <v>101</v>
      </c>
      <c r="Y1203" t="s">
        <v>102</v>
      </c>
      <c r="Z1203" t="s">
        <v>50</v>
      </c>
    </row>
    <row r="1204" spans="1:26" x14ac:dyDescent="0.3">
      <c r="A1204">
        <v>10264</v>
      </c>
      <c r="B1204">
        <v>48</v>
      </c>
      <c r="C1204">
        <v>54.71</v>
      </c>
      <c r="D1204">
        <v>3</v>
      </c>
      <c r="E1204">
        <v>2626.08</v>
      </c>
      <c r="F1204" s="1">
        <v>38168</v>
      </c>
      <c r="G1204" t="s">
        <v>39</v>
      </c>
      <c r="H1204">
        <v>2</v>
      </c>
      <c r="I1204">
        <v>6</v>
      </c>
      <c r="J1204" t="str">
        <f>TEXT(DATE(2012,Table1[[#This Row],[MONTH_ID]],10),"mmm")</f>
        <v>Jun</v>
      </c>
      <c r="K1204">
        <v>2004</v>
      </c>
      <c r="L1204" t="s">
        <v>40</v>
      </c>
      <c r="M1204">
        <v>62</v>
      </c>
      <c r="N1204" t="s">
        <v>625</v>
      </c>
      <c r="O1204" t="s">
        <v>393</v>
      </c>
      <c r="P1204">
        <v>6175559555</v>
      </c>
      <c r="Q1204" t="s">
        <v>394</v>
      </c>
      <c r="S1204" t="s">
        <v>395</v>
      </c>
      <c r="T1204" t="s">
        <v>137</v>
      </c>
      <c r="U1204">
        <v>51003</v>
      </c>
      <c r="V1204" t="s">
        <v>46</v>
      </c>
      <c r="W1204" t="s">
        <v>47</v>
      </c>
      <c r="X1204" t="s">
        <v>396</v>
      </c>
      <c r="Y1204" t="s">
        <v>80</v>
      </c>
      <c r="Z1204" t="s">
        <v>50</v>
      </c>
    </row>
    <row r="1205" spans="1:26" x14ac:dyDescent="0.3">
      <c r="A1205">
        <v>10276</v>
      </c>
      <c r="B1205">
        <v>33</v>
      </c>
      <c r="C1205">
        <v>50.36</v>
      </c>
      <c r="D1205">
        <v>9</v>
      </c>
      <c r="E1205">
        <v>1661.88</v>
      </c>
      <c r="F1205" s="1">
        <v>38201</v>
      </c>
      <c r="G1205" t="s">
        <v>39</v>
      </c>
      <c r="H1205">
        <v>3</v>
      </c>
      <c r="I1205">
        <v>8</v>
      </c>
      <c r="J1205" t="str">
        <f>TEXT(DATE(2012,Table1[[#This Row],[MONTH_ID]],10),"mmm")</f>
        <v>Aug</v>
      </c>
      <c r="K1205">
        <v>2004</v>
      </c>
      <c r="L1205" t="s">
        <v>40</v>
      </c>
      <c r="M1205">
        <v>62</v>
      </c>
      <c r="N1205" t="s">
        <v>625</v>
      </c>
      <c r="O1205" t="s">
        <v>472</v>
      </c>
      <c r="P1205">
        <v>6175557555</v>
      </c>
      <c r="Q1205" t="s">
        <v>473</v>
      </c>
      <c r="S1205" t="s">
        <v>297</v>
      </c>
      <c r="T1205" t="s">
        <v>137</v>
      </c>
      <c r="U1205">
        <v>58339</v>
      </c>
      <c r="V1205" t="s">
        <v>46</v>
      </c>
      <c r="W1205" t="s">
        <v>47</v>
      </c>
      <c r="X1205" t="s">
        <v>474</v>
      </c>
      <c r="Y1205" t="s">
        <v>475</v>
      </c>
      <c r="Z1205" t="s">
        <v>50</v>
      </c>
    </row>
    <row r="1206" spans="1:26" x14ac:dyDescent="0.3">
      <c r="A1206">
        <v>10286</v>
      </c>
      <c r="B1206">
        <v>38</v>
      </c>
      <c r="C1206">
        <v>57.2</v>
      </c>
      <c r="D1206">
        <v>1</v>
      </c>
      <c r="E1206">
        <v>2173.6</v>
      </c>
      <c r="F1206" s="1">
        <v>38227</v>
      </c>
      <c r="G1206" t="s">
        <v>39</v>
      </c>
      <c r="H1206">
        <v>3</v>
      </c>
      <c r="I1206">
        <v>8</v>
      </c>
      <c r="J1206" t="str">
        <f>TEXT(DATE(2012,Table1[[#This Row],[MONTH_ID]],10),"mmm")</f>
        <v>Aug</v>
      </c>
      <c r="K1206">
        <v>2004</v>
      </c>
      <c r="L1206" t="s">
        <v>40</v>
      </c>
      <c r="M1206">
        <v>62</v>
      </c>
      <c r="N1206" t="s">
        <v>625</v>
      </c>
      <c r="O1206" t="s">
        <v>417</v>
      </c>
      <c r="P1206" t="s">
        <v>418</v>
      </c>
      <c r="Q1206" t="s">
        <v>419</v>
      </c>
      <c r="S1206" t="s">
        <v>62</v>
      </c>
      <c r="U1206">
        <v>75012</v>
      </c>
      <c r="V1206" t="s">
        <v>55</v>
      </c>
      <c r="W1206" t="s">
        <v>56</v>
      </c>
      <c r="X1206" t="s">
        <v>420</v>
      </c>
      <c r="Y1206" t="s">
        <v>421</v>
      </c>
      <c r="Z1206" t="s">
        <v>50</v>
      </c>
    </row>
    <row r="1207" spans="1:26" x14ac:dyDescent="0.3">
      <c r="A1207">
        <v>10299</v>
      </c>
      <c r="B1207">
        <v>39</v>
      </c>
      <c r="C1207">
        <v>55.95</v>
      </c>
      <c r="D1207">
        <v>3</v>
      </c>
      <c r="E1207">
        <v>2182.0500000000002</v>
      </c>
      <c r="F1207" s="1">
        <v>38260</v>
      </c>
      <c r="G1207" t="s">
        <v>39</v>
      </c>
      <c r="H1207">
        <v>3</v>
      </c>
      <c r="I1207">
        <v>9</v>
      </c>
      <c r="J1207" t="str">
        <f>TEXT(DATE(2012,Table1[[#This Row],[MONTH_ID]],10),"mmm")</f>
        <v>Sep</v>
      </c>
      <c r="K1207">
        <v>2004</v>
      </c>
      <c r="L1207" t="s">
        <v>40</v>
      </c>
      <c r="M1207">
        <v>62</v>
      </c>
      <c r="N1207" t="s">
        <v>625</v>
      </c>
      <c r="O1207" t="s">
        <v>140</v>
      </c>
      <c r="P1207" t="s">
        <v>141</v>
      </c>
      <c r="Q1207" t="s">
        <v>142</v>
      </c>
      <c r="S1207" t="s">
        <v>143</v>
      </c>
      <c r="U1207">
        <v>21240</v>
      </c>
      <c r="V1207" t="s">
        <v>144</v>
      </c>
      <c r="W1207" t="s">
        <v>56</v>
      </c>
      <c r="X1207" t="s">
        <v>145</v>
      </c>
      <c r="Y1207" t="s">
        <v>146</v>
      </c>
      <c r="Z1207" t="s">
        <v>50</v>
      </c>
    </row>
    <row r="1208" spans="1:26" x14ac:dyDescent="0.3">
      <c r="A1208">
        <v>10310</v>
      </c>
      <c r="B1208">
        <v>42</v>
      </c>
      <c r="C1208">
        <v>67.14</v>
      </c>
      <c r="D1208">
        <v>16</v>
      </c>
      <c r="E1208">
        <v>2819.88</v>
      </c>
      <c r="F1208" s="1">
        <v>38276</v>
      </c>
      <c r="G1208" t="s">
        <v>39</v>
      </c>
      <c r="H1208">
        <v>4</v>
      </c>
      <c r="I1208">
        <v>10</v>
      </c>
      <c r="J1208" t="str">
        <f>TEXT(DATE(2012,Table1[[#This Row],[MONTH_ID]],10),"mmm")</f>
        <v>Oct</v>
      </c>
      <c r="K1208">
        <v>2004</v>
      </c>
      <c r="L1208" t="s">
        <v>40</v>
      </c>
      <c r="M1208">
        <v>62</v>
      </c>
      <c r="N1208" t="s">
        <v>625</v>
      </c>
      <c r="O1208" t="s">
        <v>453</v>
      </c>
      <c r="P1208" t="s">
        <v>454</v>
      </c>
      <c r="Q1208" t="s">
        <v>455</v>
      </c>
      <c r="S1208" t="s">
        <v>456</v>
      </c>
      <c r="U1208">
        <v>50739</v>
      </c>
      <c r="V1208" t="s">
        <v>457</v>
      </c>
      <c r="W1208" t="s">
        <v>56</v>
      </c>
      <c r="X1208" t="s">
        <v>458</v>
      </c>
      <c r="Y1208" t="s">
        <v>459</v>
      </c>
      <c r="Z1208" t="s">
        <v>50</v>
      </c>
    </row>
    <row r="1209" spans="1:26" x14ac:dyDescent="0.3">
      <c r="A1209">
        <v>10319</v>
      </c>
      <c r="B1209">
        <v>44</v>
      </c>
      <c r="C1209">
        <v>59.06</v>
      </c>
      <c r="D1209">
        <v>4</v>
      </c>
      <c r="E1209">
        <v>2598.64</v>
      </c>
      <c r="F1209" s="1">
        <v>38294</v>
      </c>
      <c r="G1209" t="s">
        <v>39</v>
      </c>
      <c r="H1209">
        <v>4</v>
      </c>
      <c r="I1209">
        <v>11</v>
      </c>
      <c r="J1209" t="str">
        <f>TEXT(DATE(2012,Table1[[#This Row],[MONTH_ID]],10),"mmm")</f>
        <v>Nov</v>
      </c>
      <c r="K1209">
        <v>2004</v>
      </c>
      <c r="L1209" t="s">
        <v>40</v>
      </c>
      <c r="M1209">
        <v>62</v>
      </c>
      <c r="N1209" t="s">
        <v>625</v>
      </c>
      <c r="O1209" t="s">
        <v>521</v>
      </c>
      <c r="P1209">
        <v>2125551957</v>
      </c>
      <c r="Q1209" t="s">
        <v>522</v>
      </c>
      <c r="R1209" t="s">
        <v>523</v>
      </c>
      <c r="S1209" t="s">
        <v>44</v>
      </c>
      <c r="T1209" t="s">
        <v>45</v>
      </c>
      <c r="U1209">
        <v>10022</v>
      </c>
      <c r="V1209" t="s">
        <v>46</v>
      </c>
      <c r="W1209" t="s">
        <v>47</v>
      </c>
      <c r="X1209" t="s">
        <v>524</v>
      </c>
      <c r="Y1209" t="s">
        <v>525</v>
      </c>
      <c r="Z1209" t="s">
        <v>50</v>
      </c>
    </row>
    <row r="1210" spans="1:26" x14ac:dyDescent="0.3">
      <c r="A1210">
        <v>10330</v>
      </c>
      <c r="B1210">
        <v>29</v>
      </c>
      <c r="C1210">
        <v>69.63</v>
      </c>
      <c r="D1210">
        <v>2</v>
      </c>
      <c r="E1210">
        <v>2019.27</v>
      </c>
      <c r="F1210" s="1">
        <v>38307</v>
      </c>
      <c r="G1210" t="s">
        <v>39</v>
      </c>
      <c r="H1210">
        <v>4</v>
      </c>
      <c r="I1210">
        <v>11</v>
      </c>
      <c r="J1210" t="str">
        <f>TEXT(DATE(2012,Table1[[#This Row],[MONTH_ID]],10),"mmm")</f>
        <v>Nov</v>
      </c>
      <c r="K1210">
        <v>2004</v>
      </c>
      <c r="L1210" t="s">
        <v>40</v>
      </c>
      <c r="M1210">
        <v>62</v>
      </c>
      <c r="N1210" t="s">
        <v>625</v>
      </c>
      <c r="O1210" t="s">
        <v>439</v>
      </c>
      <c r="P1210" t="s">
        <v>440</v>
      </c>
      <c r="Q1210" t="s">
        <v>441</v>
      </c>
      <c r="S1210" t="s">
        <v>442</v>
      </c>
      <c r="U1210" t="s">
        <v>443</v>
      </c>
      <c r="V1210" t="s">
        <v>444</v>
      </c>
      <c r="W1210" t="s">
        <v>214</v>
      </c>
      <c r="X1210" t="s">
        <v>445</v>
      </c>
      <c r="Y1210" t="s">
        <v>446</v>
      </c>
      <c r="Z1210" t="s">
        <v>50</v>
      </c>
    </row>
    <row r="1211" spans="1:26" x14ac:dyDescent="0.3">
      <c r="A1211">
        <v>10342</v>
      </c>
      <c r="B1211">
        <v>26</v>
      </c>
      <c r="C1211">
        <v>55.95</v>
      </c>
      <c r="D1211">
        <v>8</v>
      </c>
      <c r="E1211">
        <v>1454.7</v>
      </c>
      <c r="F1211" s="1">
        <v>38315</v>
      </c>
      <c r="G1211" t="s">
        <v>39</v>
      </c>
      <c r="H1211">
        <v>4</v>
      </c>
      <c r="I1211">
        <v>11</v>
      </c>
      <c r="J1211" t="str">
        <f>TEXT(DATE(2012,Table1[[#This Row],[MONTH_ID]],10),"mmm")</f>
        <v>Nov</v>
      </c>
      <c r="K1211">
        <v>2004</v>
      </c>
      <c r="L1211" t="s">
        <v>40</v>
      </c>
      <c r="M1211">
        <v>62</v>
      </c>
      <c r="N1211" t="s">
        <v>625</v>
      </c>
      <c r="O1211" t="s">
        <v>103</v>
      </c>
      <c r="P1211" t="s">
        <v>104</v>
      </c>
      <c r="Q1211" t="s">
        <v>105</v>
      </c>
      <c r="R1211" t="s">
        <v>106</v>
      </c>
      <c r="S1211" t="s">
        <v>107</v>
      </c>
      <c r="T1211" t="s">
        <v>108</v>
      </c>
      <c r="U1211">
        <v>3004</v>
      </c>
      <c r="V1211" t="s">
        <v>109</v>
      </c>
      <c r="W1211" t="s">
        <v>110</v>
      </c>
      <c r="X1211" t="s">
        <v>111</v>
      </c>
      <c r="Y1211" t="s">
        <v>112</v>
      </c>
      <c r="Z1211" t="s">
        <v>50</v>
      </c>
    </row>
    <row r="1212" spans="1:26" x14ac:dyDescent="0.3">
      <c r="A1212">
        <v>10355</v>
      </c>
      <c r="B1212">
        <v>31</v>
      </c>
      <c r="C1212">
        <v>53.47</v>
      </c>
      <c r="D1212">
        <v>1</v>
      </c>
      <c r="E1212">
        <v>1657.57</v>
      </c>
      <c r="F1212" s="1">
        <v>38328</v>
      </c>
      <c r="G1212" t="s">
        <v>39</v>
      </c>
      <c r="H1212">
        <v>4</v>
      </c>
      <c r="I1212">
        <v>12</v>
      </c>
      <c r="J1212" t="str">
        <f>TEXT(DATE(2012,Table1[[#This Row],[MONTH_ID]],10),"mmm")</f>
        <v>Dec</v>
      </c>
      <c r="K1212">
        <v>2004</v>
      </c>
      <c r="L1212" t="s">
        <v>40</v>
      </c>
      <c r="M1212">
        <v>62</v>
      </c>
      <c r="N1212" t="s">
        <v>625</v>
      </c>
      <c r="O1212" t="s">
        <v>188</v>
      </c>
      <c r="P1212" t="s">
        <v>189</v>
      </c>
      <c r="Q1212" t="s">
        <v>190</v>
      </c>
      <c r="S1212" t="s">
        <v>191</v>
      </c>
      <c r="U1212">
        <v>28034</v>
      </c>
      <c r="V1212" t="s">
        <v>192</v>
      </c>
      <c r="W1212" t="s">
        <v>56</v>
      </c>
      <c r="X1212" t="s">
        <v>193</v>
      </c>
      <c r="Y1212" t="s">
        <v>194</v>
      </c>
      <c r="Z1212" t="s">
        <v>50</v>
      </c>
    </row>
    <row r="1213" spans="1:26" x14ac:dyDescent="0.3">
      <c r="A1213">
        <v>10363</v>
      </c>
      <c r="B1213">
        <v>32</v>
      </c>
      <c r="C1213">
        <v>89.12</v>
      </c>
      <c r="D1213">
        <v>12</v>
      </c>
      <c r="E1213">
        <v>2851.84</v>
      </c>
      <c r="F1213" s="1">
        <v>38358</v>
      </c>
      <c r="G1213" t="s">
        <v>39</v>
      </c>
      <c r="H1213">
        <v>1</v>
      </c>
      <c r="I1213">
        <v>1</v>
      </c>
      <c r="J1213" t="str">
        <f>TEXT(DATE(2012,Table1[[#This Row],[MONTH_ID]],10),"mmm")</f>
        <v>Jan</v>
      </c>
      <c r="K1213">
        <v>2005</v>
      </c>
      <c r="L1213" t="s">
        <v>40</v>
      </c>
      <c r="M1213">
        <v>62</v>
      </c>
      <c r="N1213" t="s">
        <v>625</v>
      </c>
      <c r="O1213" t="s">
        <v>481</v>
      </c>
      <c r="P1213" t="s">
        <v>482</v>
      </c>
      <c r="Q1213" t="s">
        <v>483</v>
      </c>
      <c r="S1213" t="s">
        <v>484</v>
      </c>
      <c r="U1213" t="s">
        <v>485</v>
      </c>
      <c r="V1213" t="s">
        <v>144</v>
      </c>
      <c r="W1213" t="s">
        <v>56</v>
      </c>
      <c r="X1213" t="s">
        <v>486</v>
      </c>
      <c r="Y1213" t="s">
        <v>487</v>
      </c>
      <c r="Z1213" t="s">
        <v>50</v>
      </c>
    </row>
    <row r="1214" spans="1:26" x14ac:dyDescent="0.3">
      <c r="A1214">
        <v>10378</v>
      </c>
      <c r="B1214">
        <v>28</v>
      </c>
      <c r="C1214">
        <v>100</v>
      </c>
      <c r="D1214">
        <v>9</v>
      </c>
      <c r="E1214">
        <v>4609.6400000000003</v>
      </c>
      <c r="F1214" s="1">
        <v>38393</v>
      </c>
      <c r="G1214" t="s">
        <v>39</v>
      </c>
      <c r="H1214">
        <v>1</v>
      </c>
      <c r="I1214">
        <v>2</v>
      </c>
      <c r="J1214" t="str">
        <f>TEXT(DATE(2012,Table1[[#This Row],[MONTH_ID]],10),"mmm")</f>
        <v>Feb</v>
      </c>
      <c r="K1214">
        <v>2005</v>
      </c>
      <c r="L1214" t="s">
        <v>40</v>
      </c>
      <c r="M1214">
        <v>62</v>
      </c>
      <c r="N1214" t="s">
        <v>625</v>
      </c>
      <c r="O1214" t="s">
        <v>188</v>
      </c>
      <c r="P1214" t="s">
        <v>189</v>
      </c>
      <c r="Q1214" t="s">
        <v>190</v>
      </c>
      <c r="S1214" t="s">
        <v>191</v>
      </c>
      <c r="U1214">
        <v>28034</v>
      </c>
      <c r="V1214" t="s">
        <v>192</v>
      </c>
      <c r="W1214" t="s">
        <v>56</v>
      </c>
      <c r="X1214" t="s">
        <v>193</v>
      </c>
      <c r="Y1214" t="s">
        <v>194</v>
      </c>
      <c r="Z1214" t="s">
        <v>65</v>
      </c>
    </row>
    <row r="1215" spans="1:26" x14ac:dyDescent="0.3">
      <c r="A1215">
        <v>10390</v>
      </c>
      <c r="B1215">
        <v>36</v>
      </c>
      <c r="C1215">
        <v>100</v>
      </c>
      <c r="D1215">
        <v>2</v>
      </c>
      <c r="E1215">
        <v>5079.96</v>
      </c>
      <c r="F1215" s="1">
        <v>38415</v>
      </c>
      <c r="G1215" t="s">
        <v>39</v>
      </c>
      <c r="H1215">
        <v>1</v>
      </c>
      <c r="I1215">
        <v>3</v>
      </c>
      <c r="J1215" t="str">
        <f>TEXT(DATE(2012,Table1[[#This Row],[MONTH_ID]],10),"mmm")</f>
        <v>Mar</v>
      </c>
      <c r="K1215">
        <v>2005</v>
      </c>
      <c r="L1215" t="s">
        <v>40</v>
      </c>
      <c r="M1215">
        <v>62</v>
      </c>
      <c r="N1215" t="s">
        <v>625</v>
      </c>
      <c r="O1215" t="s">
        <v>286</v>
      </c>
      <c r="P1215">
        <v>4155551450</v>
      </c>
      <c r="Q1215" t="s">
        <v>287</v>
      </c>
      <c r="S1215" t="s">
        <v>288</v>
      </c>
      <c r="T1215" t="s">
        <v>69</v>
      </c>
      <c r="U1215">
        <v>97562</v>
      </c>
      <c r="V1215" t="s">
        <v>46</v>
      </c>
      <c r="W1215" t="s">
        <v>47</v>
      </c>
      <c r="X1215" t="s">
        <v>289</v>
      </c>
      <c r="Y1215" t="s">
        <v>290</v>
      </c>
      <c r="Z1215" t="s">
        <v>65</v>
      </c>
    </row>
    <row r="1216" spans="1:26" x14ac:dyDescent="0.3">
      <c r="A1216">
        <v>10403</v>
      </c>
      <c r="B1216">
        <v>36</v>
      </c>
      <c r="C1216">
        <v>52.22</v>
      </c>
      <c r="D1216">
        <v>1</v>
      </c>
      <c r="E1216">
        <v>1879.92</v>
      </c>
      <c r="F1216" s="1">
        <v>38450</v>
      </c>
      <c r="G1216" t="s">
        <v>39</v>
      </c>
      <c r="H1216">
        <v>2</v>
      </c>
      <c r="I1216">
        <v>4</v>
      </c>
      <c r="J1216" t="str">
        <f>TEXT(DATE(2012,Table1[[#This Row],[MONTH_ID]],10),"mmm")</f>
        <v>Apr</v>
      </c>
      <c r="K1216">
        <v>2005</v>
      </c>
      <c r="L1216" t="s">
        <v>40</v>
      </c>
      <c r="M1216">
        <v>62</v>
      </c>
      <c r="N1216" t="s">
        <v>625</v>
      </c>
      <c r="O1216" t="s">
        <v>179</v>
      </c>
      <c r="P1216" t="s">
        <v>180</v>
      </c>
      <c r="Q1216" t="s">
        <v>181</v>
      </c>
      <c r="S1216" t="s">
        <v>182</v>
      </c>
      <c r="U1216" t="s">
        <v>183</v>
      </c>
      <c r="V1216" t="s">
        <v>184</v>
      </c>
      <c r="W1216" t="s">
        <v>56</v>
      </c>
      <c r="X1216" t="s">
        <v>185</v>
      </c>
      <c r="Y1216" t="s">
        <v>186</v>
      </c>
      <c r="Z1216" t="s">
        <v>50</v>
      </c>
    </row>
    <row r="1217" spans="1:26" x14ac:dyDescent="0.3">
      <c r="A1217">
        <v>10106</v>
      </c>
      <c r="B1217">
        <v>41</v>
      </c>
      <c r="C1217">
        <v>100</v>
      </c>
      <c r="D1217">
        <v>17</v>
      </c>
      <c r="E1217">
        <v>4774.8599999999997</v>
      </c>
      <c r="F1217" s="1">
        <v>37669</v>
      </c>
      <c r="G1217" t="s">
        <v>39</v>
      </c>
      <c r="H1217">
        <v>1</v>
      </c>
      <c r="I1217">
        <v>2</v>
      </c>
      <c r="J1217" t="str">
        <f>TEXT(DATE(2012,Table1[[#This Row],[MONTH_ID]],10),"mmm")</f>
        <v>Feb</v>
      </c>
      <c r="K1217">
        <v>2003</v>
      </c>
      <c r="L1217" t="s">
        <v>564</v>
      </c>
      <c r="M1217">
        <v>105</v>
      </c>
      <c r="N1217" t="s">
        <v>626</v>
      </c>
      <c r="O1217" t="s">
        <v>566</v>
      </c>
      <c r="P1217" t="s">
        <v>567</v>
      </c>
      <c r="Q1217" t="s">
        <v>568</v>
      </c>
      <c r="S1217" t="s">
        <v>569</v>
      </c>
      <c r="U1217">
        <v>24100</v>
      </c>
      <c r="V1217" t="s">
        <v>272</v>
      </c>
      <c r="W1217" t="s">
        <v>56</v>
      </c>
      <c r="X1217" t="s">
        <v>570</v>
      </c>
      <c r="Y1217" t="s">
        <v>571</v>
      </c>
      <c r="Z1217" t="s">
        <v>65</v>
      </c>
    </row>
    <row r="1218" spans="1:26" x14ac:dyDescent="0.3">
      <c r="A1218">
        <v>10119</v>
      </c>
      <c r="B1218">
        <v>27</v>
      </c>
      <c r="C1218">
        <v>99.52</v>
      </c>
      <c r="D1218">
        <v>8</v>
      </c>
      <c r="E1218">
        <v>2687.04</v>
      </c>
      <c r="F1218" s="1">
        <v>37739</v>
      </c>
      <c r="G1218" t="s">
        <v>39</v>
      </c>
      <c r="H1218">
        <v>2</v>
      </c>
      <c r="I1218">
        <v>4</v>
      </c>
      <c r="J1218" t="str">
        <f>TEXT(DATE(2012,Table1[[#This Row],[MONTH_ID]],10),"mmm")</f>
        <v>Apr</v>
      </c>
      <c r="K1218">
        <v>2003</v>
      </c>
      <c r="L1218" t="s">
        <v>564</v>
      </c>
      <c r="M1218">
        <v>105</v>
      </c>
      <c r="N1218" t="s">
        <v>626</v>
      </c>
      <c r="O1218" t="s">
        <v>158</v>
      </c>
      <c r="P1218" t="s">
        <v>159</v>
      </c>
      <c r="Q1218" t="s">
        <v>160</v>
      </c>
      <c r="S1218" t="s">
        <v>161</v>
      </c>
      <c r="U1218">
        <v>5020</v>
      </c>
      <c r="V1218" t="s">
        <v>162</v>
      </c>
      <c r="W1218" t="s">
        <v>56</v>
      </c>
      <c r="X1218" t="s">
        <v>163</v>
      </c>
      <c r="Y1218" t="s">
        <v>164</v>
      </c>
      <c r="Z1218" t="s">
        <v>50</v>
      </c>
    </row>
    <row r="1219" spans="1:26" x14ac:dyDescent="0.3">
      <c r="A1219">
        <v>10130</v>
      </c>
      <c r="B1219">
        <v>33</v>
      </c>
      <c r="C1219">
        <v>100</v>
      </c>
      <c r="D1219">
        <v>1</v>
      </c>
      <c r="E1219">
        <v>3423.75</v>
      </c>
      <c r="F1219" s="1">
        <v>37788</v>
      </c>
      <c r="G1219" t="s">
        <v>39</v>
      </c>
      <c r="H1219">
        <v>2</v>
      </c>
      <c r="I1219">
        <v>6</v>
      </c>
      <c r="J1219" t="str">
        <f>TEXT(DATE(2012,Table1[[#This Row],[MONTH_ID]],10),"mmm")</f>
        <v>Jun</v>
      </c>
      <c r="K1219">
        <v>2003</v>
      </c>
      <c r="L1219" t="s">
        <v>564</v>
      </c>
      <c r="M1219">
        <v>105</v>
      </c>
      <c r="N1219" t="s">
        <v>626</v>
      </c>
      <c r="O1219" t="s">
        <v>614</v>
      </c>
      <c r="P1219">
        <v>6175558428</v>
      </c>
      <c r="Q1219" t="s">
        <v>615</v>
      </c>
      <c r="S1219" t="s">
        <v>297</v>
      </c>
      <c r="T1219" t="s">
        <v>137</v>
      </c>
      <c r="U1219">
        <v>58339</v>
      </c>
      <c r="V1219" t="s">
        <v>46</v>
      </c>
      <c r="W1219" t="s">
        <v>47</v>
      </c>
      <c r="X1219" t="s">
        <v>543</v>
      </c>
      <c r="Y1219" t="s">
        <v>259</v>
      </c>
      <c r="Z1219" t="s">
        <v>65</v>
      </c>
    </row>
    <row r="1220" spans="1:26" x14ac:dyDescent="0.3">
      <c r="A1220">
        <v>10143</v>
      </c>
      <c r="B1220">
        <v>34</v>
      </c>
      <c r="C1220">
        <v>100</v>
      </c>
      <c r="D1220">
        <v>12</v>
      </c>
      <c r="E1220">
        <v>3455.76</v>
      </c>
      <c r="F1220" s="1">
        <v>37843</v>
      </c>
      <c r="G1220" t="s">
        <v>39</v>
      </c>
      <c r="H1220">
        <v>3</v>
      </c>
      <c r="I1220">
        <v>8</v>
      </c>
      <c r="J1220" t="str">
        <f>TEXT(DATE(2012,Table1[[#This Row],[MONTH_ID]],10),"mmm")</f>
        <v>Aug</v>
      </c>
      <c r="K1220">
        <v>2003</v>
      </c>
      <c r="L1220" t="s">
        <v>564</v>
      </c>
      <c r="M1220">
        <v>105</v>
      </c>
      <c r="N1220" t="s">
        <v>626</v>
      </c>
      <c r="O1220" t="s">
        <v>349</v>
      </c>
      <c r="P1220">
        <v>5085559555</v>
      </c>
      <c r="Q1220" t="s">
        <v>350</v>
      </c>
      <c r="S1220" t="s">
        <v>176</v>
      </c>
      <c r="T1220" t="s">
        <v>137</v>
      </c>
      <c r="U1220">
        <v>50553</v>
      </c>
      <c r="V1220" t="s">
        <v>46</v>
      </c>
      <c r="W1220" t="s">
        <v>47</v>
      </c>
      <c r="X1220" t="s">
        <v>351</v>
      </c>
      <c r="Y1220" t="s">
        <v>352</v>
      </c>
      <c r="Z1220" t="s">
        <v>65</v>
      </c>
    </row>
    <row r="1221" spans="1:26" x14ac:dyDescent="0.3">
      <c r="A1221">
        <v>10155</v>
      </c>
      <c r="B1221">
        <v>29</v>
      </c>
      <c r="C1221">
        <v>100</v>
      </c>
      <c r="D1221">
        <v>10</v>
      </c>
      <c r="E1221">
        <v>3622.97</v>
      </c>
      <c r="F1221" s="1">
        <v>37900</v>
      </c>
      <c r="G1221" t="s">
        <v>39</v>
      </c>
      <c r="H1221">
        <v>4</v>
      </c>
      <c r="I1221">
        <v>10</v>
      </c>
      <c r="J1221" t="str">
        <f>TEXT(DATE(2012,Table1[[#This Row],[MONTH_ID]],10),"mmm")</f>
        <v>Oct</v>
      </c>
      <c r="K1221">
        <v>2003</v>
      </c>
      <c r="L1221" t="s">
        <v>564</v>
      </c>
      <c r="M1221">
        <v>105</v>
      </c>
      <c r="N1221" t="s">
        <v>626</v>
      </c>
      <c r="O1221" t="s">
        <v>140</v>
      </c>
      <c r="P1221" t="s">
        <v>141</v>
      </c>
      <c r="Q1221" t="s">
        <v>142</v>
      </c>
      <c r="S1221" t="s">
        <v>143</v>
      </c>
      <c r="U1221">
        <v>21240</v>
      </c>
      <c r="V1221" t="s">
        <v>144</v>
      </c>
      <c r="W1221" t="s">
        <v>56</v>
      </c>
      <c r="X1221" t="s">
        <v>145</v>
      </c>
      <c r="Y1221" t="s">
        <v>146</v>
      </c>
      <c r="Z1221" t="s">
        <v>65</v>
      </c>
    </row>
    <row r="1222" spans="1:26" x14ac:dyDescent="0.3">
      <c r="A1222">
        <v>10167</v>
      </c>
      <c r="B1222">
        <v>34</v>
      </c>
      <c r="C1222">
        <v>100</v>
      </c>
      <c r="D1222">
        <v>6</v>
      </c>
      <c r="E1222">
        <v>3599.58</v>
      </c>
      <c r="F1222" s="1">
        <v>37917</v>
      </c>
      <c r="G1222" t="s">
        <v>353</v>
      </c>
      <c r="H1222">
        <v>4</v>
      </c>
      <c r="I1222">
        <v>10</v>
      </c>
      <c r="J1222" t="str">
        <f>TEXT(DATE(2012,Table1[[#This Row],[MONTH_ID]],10),"mmm")</f>
        <v>Oct</v>
      </c>
      <c r="K1222">
        <v>2003</v>
      </c>
      <c r="L1222" t="s">
        <v>564</v>
      </c>
      <c r="M1222">
        <v>105</v>
      </c>
      <c r="N1222" t="s">
        <v>626</v>
      </c>
      <c r="O1222" t="s">
        <v>275</v>
      </c>
      <c r="P1222" t="s">
        <v>276</v>
      </c>
      <c r="Q1222" t="s">
        <v>277</v>
      </c>
      <c r="S1222" t="s">
        <v>278</v>
      </c>
      <c r="U1222" t="s">
        <v>279</v>
      </c>
      <c r="V1222" t="s">
        <v>202</v>
      </c>
      <c r="W1222" t="s">
        <v>56</v>
      </c>
      <c r="X1222" t="s">
        <v>280</v>
      </c>
      <c r="Y1222" t="s">
        <v>220</v>
      </c>
      <c r="Z1222" t="s">
        <v>65</v>
      </c>
    </row>
    <row r="1223" spans="1:26" x14ac:dyDescent="0.3">
      <c r="A1223">
        <v>10178</v>
      </c>
      <c r="B1223">
        <v>48</v>
      </c>
      <c r="C1223">
        <v>100</v>
      </c>
      <c r="D1223">
        <v>9</v>
      </c>
      <c r="E1223">
        <v>5386.56</v>
      </c>
      <c r="F1223" s="1">
        <v>37933</v>
      </c>
      <c r="G1223" t="s">
        <v>39</v>
      </c>
      <c r="H1223">
        <v>4</v>
      </c>
      <c r="I1223">
        <v>11</v>
      </c>
      <c r="J1223" t="str">
        <f>TEXT(DATE(2012,Table1[[#This Row],[MONTH_ID]],10),"mmm")</f>
        <v>Nov</v>
      </c>
      <c r="K1223">
        <v>2003</v>
      </c>
      <c r="L1223" t="s">
        <v>564</v>
      </c>
      <c r="M1223">
        <v>105</v>
      </c>
      <c r="N1223" t="s">
        <v>626</v>
      </c>
      <c r="O1223" t="s">
        <v>354</v>
      </c>
      <c r="P1223" t="s">
        <v>355</v>
      </c>
      <c r="Q1223" t="s">
        <v>356</v>
      </c>
      <c r="S1223" t="s">
        <v>357</v>
      </c>
      <c r="U1223">
        <v>31000</v>
      </c>
      <c r="V1223" t="s">
        <v>55</v>
      </c>
      <c r="W1223" t="s">
        <v>56</v>
      </c>
      <c r="X1223" t="s">
        <v>358</v>
      </c>
      <c r="Y1223" t="s">
        <v>359</v>
      </c>
      <c r="Z1223" t="s">
        <v>65</v>
      </c>
    </row>
    <row r="1224" spans="1:26" x14ac:dyDescent="0.3">
      <c r="A1224">
        <v>10186</v>
      </c>
      <c r="B1224">
        <v>46</v>
      </c>
      <c r="C1224">
        <v>100</v>
      </c>
      <c r="D1224">
        <v>6</v>
      </c>
      <c r="E1224">
        <v>4918.78</v>
      </c>
      <c r="F1224" s="1">
        <v>37939</v>
      </c>
      <c r="G1224" t="s">
        <v>39</v>
      </c>
      <c r="H1224">
        <v>4</v>
      </c>
      <c r="I1224">
        <v>11</v>
      </c>
      <c r="J1224" t="str">
        <f>TEXT(DATE(2012,Table1[[#This Row],[MONTH_ID]],10),"mmm")</f>
        <v>Nov</v>
      </c>
      <c r="K1224">
        <v>2003</v>
      </c>
      <c r="L1224" t="s">
        <v>564</v>
      </c>
      <c r="M1224">
        <v>105</v>
      </c>
      <c r="N1224" t="s">
        <v>626</v>
      </c>
      <c r="O1224" t="s">
        <v>360</v>
      </c>
      <c r="P1224" t="s">
        <v>361</v>
      </c>
      <c r="Q1224" t="s">
        <v>362</v>
      </c>
      <c r="S1224" t="s">
        <v>346</v>
      </c>
      <c r="U1224" t="s">
        <v>363</v>
      </c>
      <c r="V1224" t="s">
        <v>184</v>
      </c>
      <c r="W1224" t="s">
        <v>56</v>
      </c>
      <c r="X1224" t="s">
        <v>364</v>
      </c>
      <c r="Y1224" t="s">
        <v>365</v>
      </c>
      <c r="Z1224" t="s">
        <v>65</v>
      </c>
    </row>
    <row r="1225" spans="1:26" x14ac:dyDescent="0.3">
      <c r="A1225">
        <v>10197</v>
      </c>
      <c r="B1225">
        <v>22</v>
      </c>
      <c r="C1225">
        <v>100</v>
      </c>
      <c r="D1225">
        <v>3</v>
      </c>
      <c r="E1225">
        <v>2538.8000000000002</v>
      </c>
      <c r="F1225" s="1">
        <v>37951</v>
      </c>
      <c r="G1225" t="s">
        <v>39</v>
      </c>
      <c r="H1225">
        <v>4</v>
      </c>
      <c r="I1225">
        <v>11</v>
      </c>
      <c r="J1225" t="str">
        <f>TEXT(DATE(2012,Table1[[#This Row],[MONTH_ID]],10),"mmm")</f>
        <v>Nov</v>
      </c>
      <c r="K1225">
        <v>2003</v>
      </c>
      <c r="L1225" t="s">
        <v>564</v>
      </c>
      <c r="M1225">
        <v>105</v>
      </c>
      <c r="N1225" t="s">
        <v>626</v>
      </c>
      <c r="O1225" t="s">
        <v>366</v>
      </c>
      <c r="P1225" t="s">
        <v>367</v>
      </c>
      <c r="Q1225" t="s">
        <v>368</v>
      </c>
      <c r="S1225" t="s">
        <v>369</v>
      </c>
      <c r="U1225">
        <v>8022</v>
      </c>
      <c r="V1225" t="s">
        <v>192</v>
      </c>
      <c r="W1225" t="s">
        <v>56</v>
      </c>
      <c r="X1225" t="s">
        <v>370</v>
      </c>
      <c r="Y1225" t="s">
        <v>371</v>
      </c>
      <c r="Z1225" t="s">
        <v>50</v>
      </c>
    </row>
    <row r="1226" spans="1:26" x14ac:dyDescent="0.3">
      <c r="A1226">
        <v>10209</v>
      </c>
      <c r="B1226">
        <v>20</v>
      </c>
      <c r="C1226">
        <v>100</v>
      </c>
      <c r="D1226">
        <v>5</v>
      </c>
      <c r="E1226">
        <v>2498.6</v>
      </c>
      <c r="F1226" s="1">
        <v>37995</v>
      </c>
      <c r="G1226" t="s">
        <v>39</v>
      </c>
      <c r="H1226">
        <v>1</v>
      </c>
      <c r="I1226">
        <v>1</v>
      </c>
      <c r="J1226" t="str">
        <f>TEXT(DATE(2012,Table1[[#This Row],[MONTH_ID]],10),"mmm")</f>
        <v>Jan</v>
      </c>
      <c r="K1226">
        <v>2004</v>
      </c>
      <c r="L1226" t="s">
        <v>564</v>
      </c>
      <c r="M1226">
        <v>105</v>
      </c>
      <c r="N1226" t="s">
        <v>626</v>
      </c>
      <c r="O1226" t="s">
        <v>372</v>
      </c>
      <c r="P1226">
        <v>2155554369</v>
      </c>
      <c r="Q1226" t="s">
        <v>373</v>
      </c>
      <c r="S1226" t="s">
        <v>374</v>
      </c>
      <c r="T1226" t="s">
        <v>69</v>
      </c>
      <c r="V1226" t="s">
        <v>46</v>
      </c>
      <c r="W1226" t="s">
        <v>47</v>
      </c>
      <c r="X1226" t="s">
        <v>375</v>
      </c>
      <c r="Y1226" t="s">
        <v>117</v>
      </c>
      <c r="Z1226" t="s">
        <v>50</v>
      </c>
    </row>
    <row r="1227" spans="1:26" x14ac:dyDescent="0.3">
      <c r="A1227">
        <v>10222</v>
      </c>
      <c r="B1227">
        <v>45</v>
      </c>
      <c r="C1227">
        <v>85.75</v>
      </c>
      <c r="D1227">
        <v>9</v>
      </c>
      <c r="E1227">
        <v>3858.75</v>
      </c>
      <c r="F1227" s="1">
        <v>38036</v>
      </c>
      <c r="G1227" t="s">
        <v>39</v>
      </c>
      <c r="H1227">
        <v>1</v>
      </c>
      <c r="I1227">
        <v>2</v>
      </c>
      <c r="J1227" t="str">
        <f>TEXT(DATE(2012,Table1[[#This Row],[MONTH_ID]],10),"mmm")</f>
        <v>Feb</v>
      </c>
      <c r="K1227">
        <v>2004</v>
      </c>
      <c r="L1227" t="s">
        <v>564</v>
      </c>
      <c r="M1227">
        <v>105</v>
      </c>
      <c r="N1227" t="s">
        <v>626</v>
      </c>
      <c r="O1227" t="s">
        <v>376</v>
      </c>
      <c r="P1227">
        <v>7605558146</v>
      </c>
      <c r="Q1227" t="s">
        <v>377</v>
      </c>
      <c r="S1227" t="s">
        <v>378</v>
      </c>
      <c r="T1227" t="s">
        <v>69</v>
      </c>
      <c r="U1227">
        <v>91217</v>
      </c>
      <c r="V1227" t="s">
        <v>46</v>
      </c>
      <c r="W1227" t="s">
        <v>47</v>
      </c>
      <c r="X1227" t="s">
        <v>251</v>
      </c>
      <c r="Y1227" t="s">
        <v>290</v>
      </c>
      <c r="Z1227" t="s">
        <v>65</v>
      </c>
    </row>
    <row r="1228" spans="1:26" x14ac:dyDescent="0.3">
      <c r="A1228">
        <v>10249</v>
      </c>
      <c r="B1228">
        <v>46</v>
      </c>
      <c r="C1228">
        <v>100</v>
      </c>
      <c r="D1228">
        <v>5</v>
      </c>
      <c r="E1228">
        <v>5600.5</v>
      </c>
      <c r="F1228" s="1">
        <v>38115</v>
      </c>
      <c r="G1228" t="s">
        <v>39</v>
      </c>
      <c r="H1228">
        <v>2</v>
      </c>
      <c r="I1228">
        <v>5</v>
      </c>
      <c r="J1228" t="str">
        <f>TEXT(DATE(2012,Table1[[#This Row],[MONTH_ID]],10),"mmm")</f>
        <v>May</v>
      </c>
      <c r="K1228">
        <v>2004</v>
      </c>
      <c r="L1228" t="s">
        <v>564</v>
      </c>
      <c r="M1228">
        <v>105</v>
      </c>
      <c r="N1228" t="s">
        <v>626</v>
      </c>
      <c r="O1228" t="s">
        <v>253</v>
      </c>
      <c r="P1228">
        <v>6175555555</v>
      </c>
      <c r="Q1228" t="s">
        <v>254</v>
      </c>
      <c r="S1228" t="s">
        <v>136</v>
      </c>
      <c r="T1228" t="s">
        <v>137</v>
      </c>
      <c r="U1228">
        <v>51247</v>
      </c>
      <c r="V1228" t="s">
        <v>46</v>
      </c>
      <c r="W1228" t="s">
        <v>47</v>
      </c>
      <c r="X1228" t="s">
        <v>255</v>
      </c>
      <c r="Y1228" t="s">
        <v>157</v>
      </c>
      <c r="Z1228" t="s">
        <v>65</v>
      </c>
    </row>
    <row r="1229" spans="1:26" x14ac:dyDescent="0.3">
      <c r="A1229">
        <v>10262</v>
      </c>
      <c r="B1229">
        <v>34</v>
      </c>
      <c r="C1229">
        <v>100</v>
      </c>
      <c r="D1229">
        <v>14</v>
      </c>
      <c r="E1229">
        <v>4103.46</v>
      </c>
      <c r="F1229" s="1">
        <v>38162</v>
      </c>
      <c r="G1229" t="s">
        <v>353</v>
      </c>
      <c r="H1229">
        <v>2</v>
      </c>
      <c r="I1229">
        <v>6</v>
      </c>
      <c r="J1229" t="str">
        <f>TEXT(DATE(2012,Table1[[#This Row],[MONTH_ID]],10),"mmm")</f>
        <v>Jun</v>
      </c>
      <c r="K1229">
        <v>2004</v>
      </c>
      <c r="L1229" t="s">
        <v>564</v>
      </c>
      <c r="M1229">
        <v>105</v>
      </c>
      <c r="N1229" t="s">
        <v>626</v>
      </c>
      <c r="O1229" t="s">
        <v>188</v>
      </c>
      <c r="P1229" t="s">
        <v>189</v>
      </c>
      <c r="Q1229" t="s">
        <v>190</v>
      </c>
      <c r="S1229" t="s">
        <v>191</v>
      </c>
      <c r="U1229">
        <v>28034</v>
      </c>
      <c r="V1229" t="s">
        <v>192</v>
      </c>
      <c r="W1229" t="s">
        <v>56</v>
      </c>
      <c r="X1229" t="s">
        <v>193</v>
      </c>
      <c r="Y1229" t="s">
        <v>194</v>
      </c>
      <c r="Z1229" t="s">
        <v>65</v>
      </c>
    </row>
    <row r="1230" spans="1:26" x14ac:dyDescent="0.3">
      <c r="A1230">
        <v>10273</v>
      </c>
      <c r="B1230">
        <v>50</v>
      </c>
      <c r="C1230">
        <v>85.75</v>
      </c>
      <c r="D1230">
        <v>1</v>
      </c>
      <c r="E1230">
        <v>4287.5</v>
      </c>
      <c r="F1230" s="1">
        <v>38189</v>
      </c>
      <c r="G1230" t="s">
        <v>39</v>
      </c>
      <c r="H1230">
        <v>3</v>
      </c>
      <c r="I1230">
        <v>7</v>
      </c>
      <c r="J1230" t="str">
        <f>TEXT(DATE(2012,Table1[[#This Row],[MONTH_ID]],10),"mmm")</f>
        <v>Jul</v>
      </c>
      <c r="K1230">
        <v>2004</v>
      </c>
      <c r="L1230" t="s">
        <v>564</v>
      </c>
      <c r="M1230">
        <v>105</v>
      </c>
      <c r="N1230" t="s">
        <v>626</v>
      </c>
      <c r="O1230" t="s">
        <v>379</v>
      </c>
      <c r="P1230" t="s">
        <v>380</v>
      </c>
      <c r="Q1230" t="s">
        <v>381</v>
      </c>
      <c r="S1230" t="s">
        <v>382</v>
      </c>
      <c r="U1230" t="s">
        <v>383</v>
      </c>
      <c r="V1230" t="s">
        <v>384</v>
      </c>
      <c r="W1230" t="s">
        <v>56</v>
      </c>
      <c r="X1230" t="s">
        <v>385</v>
      </c>
      <c r="Y1230" t="s">
        <v>386</v>
      </c>
      <c r="Z1230" t="s">
        <v>65</v>
      </c>
    </row>
    <row r="1231" spans="1:26" x14ac:dyDescent="0.3">
      <c r="A1231">
        <v>10283</v>
      </c>
      <c r="B1231">
        <v>46</v>
      </c>
      <c r="C1231">
        <v>100</v>
      </c>
      <c r="D1231">
        <v>3</v>
      </c>
      <c r="E1231">
        <v>5795.54</v>
      </c>
      <c r="F1231" s="1">
        <v>38219</v>
      </c>
      <c r="G1231" t="s">
        <v>39</v>
      </c>
      <c r="H1231">
        <v>3</v>
      </c>
      <c r="I1231">
        <v>8</v>
      </c>
      <c r="J1231" t="str">
        <f>TEXT(DATE(2012,Table1[[#This Row],[MONTH_ID]],10),"mmm")</f>
        <v>Aug</v>
      </c>
      <c r="K1231">
        <v>2004</v>
      </c>
      <c r="L1231" t="s">
        <v>564</v>
      </c>
      <c r="M1231">
        <v>105</v>
      </c>
      <c r="N1231" t="s">
        <v>626</v>
      </c>
      <c r="O1231" t="s">
        <v>387</v>
      </c>
      <c r="P1231" t="s">
        <v>388</v>
      </c>
      <c r="Q1231" t="s">
        <v>389</v>
      </c>
      <c r="S1231" t="s">
        <v>390</v>
      </c>
      <c r="T1231" t="s">
        <v>243</v>
      </c>
      <c r="U1231" t="s">
        <v>391</v>
      </c>
      <c r="V1231" t="s">
        <v>245</v>
      </c>
      <c r="W1231" t="s">
        <v>47</v>
      </c>
      <c r="X1231" t="s">
        <v>392</v>
      </c>
      <c r="Y1231" t="s">
        <v>186</v>
      </c>
      <c r="Z1231" t="s">
        <v>65</v>
      </c>
    </row>
    <row r="1232" spans="1:26" x14ac:dyDescent="0.3">
      <c r="A1232">
        <v>10296</v>
      </c>
      <c r="B1232">
        <v>22</v>
      </c>
      <c r="C1232">
        <v>84.7</v>
      </c>
      <c r="D1232">
        <v>12</v>
      </c>
      <c r="E1232">
        <v>1863.4</v>
      </c>
      <c r="F1232" s="1">
        <v>38245</v>
      </c>
      <c r="G1232" t="s">
        <v>39</v>
      </c>
      <c r="H1232">
        <v>3</v>
      </c>
      <c r="I1232">
        <v>9</v>
      </c>
      <c r="J1232" t="str">
        <f>TEXT(DATE(2012,Table1[[#This Row],[MONTH_ID]],10),"mmm")</f>
        <v>Sep</v>
      </c>
      <c r="K1232">
        <v>2004</v>
      </c>
      <c r="L1232" t="s">
        <v>564</v>
      </c>
      <c r="M1232">
        <v>105</v>
      </c>
      <c r="N1232" t="s">
        <v>626</v>
      </c>
      <c r="O1232" t="s">
        <v>586</v>
      </c>
      <c r="P1232" t="s">
        <v>587</v>
      </c>
      <c r="Q1232" t="s">
        <v>588</v>
      </c>
      <c r="S1232" t="s">
        <v>589</v>
      </c>
      <c r="U1232">
        <v>80686</v>
      </c>
      <c r="V1232" t="s">
        <v>457</v>
      </c>
      <c r="W1232" t="s">
        <v>56</v>
      </c>
      <c r="X1232" t="s">
        <v>590</v>
      </c>
      <c r="Y1232" t="s">
        <v>117</v>
      </c>
      <c r="Z1232" t="s">
        <v>50</v>
      </c>
    </row>
    <row r="1233" spans="1:26" x14ac:dyDescent="0.3">
      <c r="A1233">
        <v>10307</v>
      </c>
      <c r="B1233">
        <v>48</v>
      </c>
      <c r="C1233">
        <v>86.81</v>
      </c>
      <c r="D1233">
        <v>6</v>
      </c>
      <c r="E1233">
        <v>4166.88</v>
      </c>
      <c r="F1233" s="1">
        <v>38274</v>
      </c>
      <c r="G1233" t="s">
        <v>39</v>
      </c>
      <c r="H1233">
        <v>4</v>
      </c>
      <c r="I1233">
        <v>10</v>
      </c>
      <c r="J1233" t="str">
        <f>TEXT(DATE(2012,Table1[[#This Row],[MONTH_ID]],10),"mmm")</f>
        <v>Oct</v>
      </c>
      <c r="K1233">
        <v>2004</v>
      </c>
      <c r="L1233" t="s">
        <v>564</v>
      </c>
      <c r="M1233">
        <v>105</v>
      </c>
      <c r="N1233" t="s">
        <v>626</v>
      </c>
      <c r="O1233" t="s">
        <v>228</v>
      </c>
      <c r="P1233">
        <v>2155554695</v>
      </c>
      <c r="Q1233" t="s">
        <v>229</v>
      </c>
      <c r="S1233" t="s">
        <v>230</v>
      </c>
      <c r="T1233" t="s">
        <v>156</v>
      </c>
      <c r="U1233">
        <v>71270</v>
      </c>
      <c r="V1233" t="s">
        <v>46</v>
      </c>
      <c r="W1233" t="s">
        <v>47</v>
      </c>
      <c r="X1233" t="s">
        <v>231</v>
      </c>
      <c r="Y1233" t="s">
        <v>232</v>
      </c>
      <c r="Z1233" t="s">
        <v>65</v>
      </c>
    </row>
    <row r="1234" spans="1:26" x14ac:dyDescent="0.3">
      <c r="A1234">
        <v>10316</v>
      </c>
      <c r="B1234">
        <v>47</v>
      </c>
      <c r="C1234">
        <v>86.81</v>
      </c>
      <c r="D1234">
        <v>14</v>
      </c>
      <c r="E1234">
        <v>4080.07</v>
      </c>
      <c r="F1234" s="1">
        <v>38292</v>
      </c>
      <c r="G1234" t="s">
        <v>39</v>
      </c>
      <c r="H1234">
        <v>4</v>
      </c>
      <c r="I1234">
        <v>11</v>
      </c>
      <c r="J1234" t="str">
        <f>TEXT(DATE(2012,Table1[[#This Row],[MONTH_ID]],10),"mmm")</f>
        <v>Nov</v>
      </c>
      <c r="K1234">
        <v>2004</v>
      </c>
      <c r="L1234" t="s">
        <v>564</v>
      </c>
      <c r="M1234">
        <v>105</v>
      </c>
      <c r="N1234" t="s">
        <v>626</v>
      </c>
      <c r="O1234" t="s">
        <v>397</v>
      </c>
      <c r="P1234" t="s">
        <v>398</v>
      </c>
      <c r="Q1234" t="s">
        <v>399</v>
      </c>
      <c r="S1234" t="s">
        <v>400</v>
      </c>
      <c r="T1234" t="s">
        <v>401</v>
      </c>
      <c r="U1234" t="s">
        <v>402</v>
      </c>
      <c r="V1234" t="s">
        <v>184</v>
      </c>
      <c r="W1234" t="s">
        <v>56</v>
      </c>
      <c r="X1234" t="s">
        <v>403</v>
      </c>
      <c r="Y1234" t="s">
        <v>404</v>
      </c>
      <c r="Z1234" t="s">
        <v>65</v>
      </c>
    </row>
    <row r="1235" spans="1:26" x14ac:dyDescent="0.3">
      <c r="A1235">
        <v>10328</v>
      </c>
      <c r="B1235">
        <v>34</v>
      </c>
      <c r="C1235">
        <v>100</v>
      </c>
      <c r="D1235">
        <v>6</v>
      </c>
      <c r="E1235">
        <v>3815.48</v>
      </c>
      <c r="F1235" s="1">
        <v>38303</v>
      </c>
      <c r="G1235" t="s">
        <v>39</v>
      </c>
      <c r="H1235">
        <v>4</v>
      </c>
      <c r="I1235">
        <v>11</v>
      </c>
      <c r="J1235" t="str">
        <f>TEXT(DATE(2012,Table1[[#This Row],[MONTH_ID]],10),"mmm")</f>
        <v>Nov</v>
      </c>
      <c r="K1235">
        <v>2004</v>
      </c>
      <c r="L1235" t="s">
        <v>564</v>
      </c>
      <c r="M1235">
        <v>105</v>
      </c>
      <c r="N1235" t="s">
        <v>626</v>
      </c>
      <c r="O1235" t="s">
        <v>566</v>
      </c>
      <c r="P1235" t="s">
        <v>567</v>
      </c>
      <c r="Q1235" t="s">
        <v>568</v>
      </c>
      <c r="S1235" t="s">
        <v>569</v>
      </c>
      <c r="U1235">
        <v>24100</v>
      </c>
      <c r="V1235" t="s">
        <v>272</v>
      </c>
      <c r="W1235" t="s">
        <v>56</v>
      </c>
      <c r="X1235" t="s">
        <v>570</v>
      </c>
      <c r="Y1235" t="s">
        <v>571</v>
      </c>
      <c r="Z1235" t="s">
        <v>65</v>
      </c>
    </row>
    <row r="1236" spans="1:26" x14ac:dyDescent="0.3">
      <c r="A1236">
        <v>10338</v>
      </c>
      <c r="B1236">
        <v>45</v>
      </c>
      <c r="C1236">
        <v>100</v>
      </c>
      <c r="D1236">
        <v>2</v>
      </c>
      <c r="E1236">
        <v>5526.45</v>
      </c>
      <c r="F1236" s="1">
        <v>38313</v>
      </c>
      <c r="G1236" t="s">
        <v>39</v>
      </c>
      <c r="H1236">
        <v>4</v>
      </c>
      <c r="I1236">
        <v>11</v>
      </c>
      <c r="J1236" t="str">
        <f>TEXT(DATE(2012,Table1[[#This Row],[MONTH_ID]],10),"mmm")</f>
        <v>Nov</v>
      </c>
      <c r="K1236">
        <v>2004</v>
      </c>
      <c r="L1236" t="s">
        <v>564</v>
      </c>
      <c r="M1236">
        <v>105</v>
      </c>
      <c r="N1236" t="s">
        <v>626</v>
      </c>
      <c r="O1236" t="s">
        <v>591</v>
      </c>
      <c r="P1236" t="s">
        <v>592</v>
      </c>
      <c r="Q1236" t="s">
        <v>593</v>
      </c>
      <c r="S1236" t="s">
        <v>594</v>
      </c>
      <c r="U1236" t="s">
        <v>595</v>
      </c>
      <c r="V1236" t="s">
        <v>384</v>
      </c>
      <c r="W1236" t="s">
        <v>56</v>
      </c>
      <c r="X1236" t="s">
        <v>596</v>
      </c>
      <c r="Y1236" t="s">
        <v>597</v>
      </c>
      <c r="Z1236" t="s">
        <v>65</v>
      </c>
    </row>
    <row r="1237" spans="1:26" x14ac:dyDescent="0.3">
      <c r="A1237">
        <v>10351</v>
      </c>
      <c r="B1237">
        <v>20</v>
      </c>
      <c r="C1237">
        <v>100</v>
      </c>
      <c r="D1237">
        <v>2</v>
      </c>
      <c r="E1237">
        <v>3374.6</v>
      </c>
      <c r="F1237" s="1">
        <v>38324</v>
      </c>
      <c r="G1237" t="s">
        <v>39</v>
      </c>
      <c r="H1237">
        <v>4</v>
      </c>
      <c r="I1237">
        <v>12</v>
      </c>
      <c r="J1237" t="str">
        <f>TEXT(DATE(2012,Table1[[#This Row],[MONTH_ID]],10),"mmm")</f>
        <v>Dec</v>
      </c>
      <c r="K1237">
        <v>2004</v>
      </c>
      <c r="L1237" t="s">
        <v>564</v>
      </c>
      <c r="M1237">
        <v>105</v>
      </c>
      <c r="N1237" t="s">
        <v>626</v>
      </c>
      <c r="O1237" t="s">
        <v>343</v>
      </c>
      <c r="P1237" t="s">
        <v>344</v>
      </c>
      <c r="Q1237" t="s">
        <v>345</v>
      </c>
      <c r="S1237" t="s">
        <v>346</v>
      </c>
      <c r="U1237" t="s">
        <v>347</v>
      </c>
      <c r="V1237" t="s">
        <v>184</v>
      </c>
      <c r="W1237" t="s">
        <v>56</v>
      </c>
      <c r="X1237" t="s">
        <v>75</v>
      </c>
      <c r="Y1237" t="s">
        <v>348</v>
      </c>
      <c r="Z1237" t="s">
        <v>65</v>
      </c>
    </row>
    <row r="1238" spans="1:26" x14ac:dyDescent="0.3">
      <c r="A1238">
        <v>10373</v>
      </c>
      <c r="B1238">
        <v>50</v>
      </c>
      <c r="C1238">
        <v>60.49</v>
      </c>
      <c r="D1238">
        <v>6</v>
      </c>
      <c r="E1238">
        <v>3024.5</v>
      </c>
      <c r="F1238" s="1">
        <v>38383</v>
      </c>
      <c r="G1238" t="s">
        <v>39</v>
      </c>
      <c r="H1238">
        <v>1</v>
      </c>
      <c r="I1238">
        <v>1</v>
      </c>
      <c r="J1238" t="str">
        <f>TEXT(DATE(2012,Table1[[#This Row],[MONTH_ID]],10),"mmm")</f>
        <v>Jan</v>
      </c>
      <c r="K1238">
        <v>2005</v>
      </c>
      <c r="L1238" t="s">
        <v>564</v>
      </c>
      <c r="M1238">
        <v>105</v>
      </c>
      <c r="N1238" t="s">
        <v>626</v>
      </c>
      <c r="O1238" t="s">
        <v>405</v>
      </c>
      <c r="P1238" t="s">
        <v>406</v>
      </c>
      <c r="Q1238" t="s">
        <v>407</v>
      </c>
      <c r="S1238" t="s">
        <v>408</v>
      </c>
      <c r="U1238">
        <v>90110</v>
      </c>
      <c r="V1238" t="s">
        <v>144</v>
      </c>
      <c r="W1238" t="s">
        <v>56</v>
      </c>
      <c r="X1238" t="s">
        <v>409</v>
      </c>
      <c r="Y1238" t="s">
        <v>410</v>
      </c>
      <c r="Z1238" t="s">
        <v>65</v>
      </c>
    </row>
    <row r="1239" spans="1:26" x14ac:dyDescent="0.3">
      <c r="A1239">
        <v>10386</v>
      </c>
      <c r="B1239">
        <v>22</v>
      </c>
      <c r="C1239">
        <v>57.55</v>
      </c>
      <c r="D1239">
        <v>6</v>
      </c>
      <c r="E1239">
        <v>1266.0999999999999</v>
      </c>
      <c r="F1239" s="1">
        <v>38412</v>
      </c>
      <c r="G1239" t="s">
        <v>422</v>
      </c>
      <c r="H1239">
        <v>1</v>
      </c>
      <c r="I1239">
        <v>3</v>
      </c>
      <c r="J1239" t="str">
        <f>TEXT(DATE(2012,Table1[[#This Row],[MONTH_ID]],10),"mmm")</f>
        <v>Mar</v>
      </c>
      <c r="K1239">
        <v>2005</v>
      </c>
      <c r="L1239" t="s">
        <v>564</v>
      </c>
      <c r="M1239">
        <v>105</v>
      </c>
      <c r="N1239" t="s">
        <v>626</v>
      </c>
      <c r="O1239" t="s">
        <v>188</v>
      </c>
      <c r="P1239" t="s">
        <v>189</v>
      </c>
      <c r="Q1239" t="s">
        <v>190</v>
      </c>
      <c r="S1239" t="s">
        <v>191</v>
      </c>
      <c r="U1239">
        <v>28034</v>
      </c>
      <c r="V1239" t="s">
        <v>192</v>
      </c>
      <c r="W1239" t="s">
        <v>56</v>
      </c>
      <c r="X1239" t="s">
        <v>193</v>
      </c>
      <c r="Y1239" t="s">
        <v>194</v>
      </c>
      <c r="Z1239" t="s">
        <v>50</v>
      </c>
    </row>
    <row r="1240" spans="1:26" x14ac:dyDescent="0.3">
      <c r="A1240">
        <v>10398</v>
      </c>
      <c r="B1240">
        <v>45</v>
      </c>
      <c r="C1240">
        <v>100</v>
      </c>
      <c r="D1240">
        <v>17</v>
      </c>
      <c r="E1240">
        <v>4811.8500000000004</v>
      </c>
      <c r="F1240" s="1">
        <v>38441</v>
      </c>
      <c r="G1240" t="s">
        <v>39</v>
      </c>
      <c r="H1240">
        <v>1</v>
      </c>
      <c r="I1240">
        <v>3</v>
      </c>
      <c r="J1240" t="str">
        <f>TEXT(DATE(2012,Table1[[#This Row],[MONTH_ID]],10),"mmm")</f>
        <v>Mar</v>
      </c>
      <c r="K1240">
        <v>2005</v>
      </c>
      <c r="L1240" t="s">
        <v>564</v>
      </c>
      <c r="M1240">
        <v>105</v>
      </c>
      <c r="N1240" t="s">
        <v>626</v>
      </c>
      <c r="O1240" t="s">
        <v>51</v>
      </c>
      <c r="P1240" t="s">
        <v>52</v>
      </c>
      <c r="Q1240" t="s">
        <v>53</v>
      </c>
      <c r="S1240" t="s">
        <v>54</v>
      </c>
      <c r="U1240">
        <v>51100</v>
      </c>
      <c r="V1240" t="s">
        <v>55</v>
      </c>
      <c r="W1240" t="s">
        <v>56</v>
      </c>
      <c r="X1240" t="s">
        <v>57</v>
      </c>
      <c r="Y1240" t="s">
        <v>58</v>
      </c>
      <c r="Z1240" t="s">
        <v>65</v>
      </c>
    </row>
    <row r="1241" spans="1:26" x14ac:dyDescent="0.3">
      <c r="A1241">
        <v>10400</v>
      </c>
      <c r="B1241">
        <v>58</v>
      </c>
      <c r="C1241">
        <v>100</v>
      </c>
      <c r="D1241">
        <v>6</v>
      </c>
      <c r="E1241">
        <v>7307.42</v>
      </c>
      <c r="F1241" s="1">
        <v>38443</v>
      </c>
      <c r="G1241" t="s">
        <v>39</v>
      </c>
      <c r="H1241">
        <v>2</v>
      </c>
      <c r="I1241">
        <v>4</v>
      </c>
      <c r="J1241" t="str">
        <f>TEXT(DATE(2012,Table1[[#This Row],[MONTH_ID]],10),"mmm")</f>
        <v>Apr</v>
      </c>
      <c r="K1241">
        <v>2005</v>
      </c>
      <c r="L1241" t="s">
        <v>564</v>
      </c>
      <c r="M1241">
        <v>105</v>
      </c>
      <c r="N1241" t="s">
        <v>626</v>
      </c>
      <c r="O1241" t="s">
        <v>411</v>
      </c>
      <c r="P1241">
        <v>4085553659</v>
      </c>
      <c r="Q1241" t="s">
        <v>412</v>
      </c>
      <c r="S1241" t="s">
        <v>413</v>
      </c>
      <c r="T1241" t="s">
        <v>69</v>
      </c>
      <c r="U1241">
        <v>94217</v>
      </c>
      <c r="V1241" t="s">
        <v>46</v>
      </c>
      <c r="W1241" t="s">
        <v>47</v>
      </c>
      <c r="X1241" t="s">
        <v>116</v>
      </c>
      <c r="Y1241" t="s">
        <v>414</v>
      </c>
      <c r="Z1241" t="s">
        <v>165</v>
      </c>
    </row>
    <row r="1242" spans="1:26" x14ac:dyDescent="0.3">
      <c r="A1242">
        <v>10415</v>
      </c>
      <c r="B1242">
        <v>51</v>
      </c>
      <c r="C1242">
        <v>100</v>
      </c>
      <c r="D1242">
        <v>5</v>
      </c>
      <c r="E1242">
        <v>6209.25</v>
      </c>
      <c r="F1242" s="1">
        <v>38481</v>
      </c>
      <c r="G1242" t="s">
        <v>187</v>
      </c>
      <c r="H1242">
        <v>2</v>
      </c>
      <c r="I1242">
        <v>5</v>
      </c>
      <c r="J1242" t="str">
        <f>TEXT(DATE(2012,Table1[[#This Row],[MONTH_ID]],10),"mmm")</f>
        <v>May</v>
      </c>
      <c r="K1242">
        <v>2005</v>
      </c>
      <c r="L1242" t="s">
        <v>564</v>
      </c>
      <c r="M1242">
        <v>105</v>
      </c>
      <c r="N1242" t="s">
        <v>626</v>
      </c>
      <c r="O1242" t="s">
        <v>572</v>
      </c>
      <c r="P1242" t="s">
        <v>573</v>
      </c>
      <c r="Q1242" t="s">
        <v>574</v>
      </c>
      <c r="S1242" t="s">
        <v>575</v>
      </c>
      <c r="T1242" t="s">
        <v>108</v>
      </c>
      <c r="U1242">
        <v>3150</v>
      </c>
      <c r="V1242" t="s">
        <v>109</v>
      </c>
      <c r="W1242" t="s">
        <v>110</v>
      </c>
      <c r="X1242" t="s">
        <v>576</v>
      </c>
      <c r="Y1242" t="s">
        <v>577</v>
      </c>
      <c r="Z1242" t="s">
        <v>65</v>
      </c>
    </row>
    <row r="1243" spans="1:26" x14ac:dyDescent="0.3">
      <c r="A1243">
        <v>10104</v>
      </c>
      <c r="B1243">
        <v>38</v>
      </c>
      <c r="C1243">
        <v>100</v>
      </c>
      <c r="D1243">
        <v>3</v>
      </c>
      <c r="E1243">
        <v>5348.5</v>
      </c>
      <c r="F1243" s="1">
        <v>37652</v>
      </c>
      <c r="G1243" t="s">
        <v>39</v>
      </c>
      <c r="H1243">
        <v>1</v>
      </c>
      <c r="I1243">
        <v>1</v>
      </c>
      <c r="J1243" t="str">
        <f>TEXT(DATE(2012,Table1[[#This Row],[MONTH_ID]],10),"mmm")</f>
        <v>Jan</v>
      </c>
      <c r="K1243">
        <v>2003</v>
      </c>
      <c r="L1243" t="s">
        <v>195</v>
      </c>
      <c r="M1243">
        <v>143</v>
      </c>
      <c r="N1243" t="s">
        <v>627</v>
      </c>
      <c r="O1243" t="s">
        <v>188</v>
      </c>
      <c r="P1243" t="s">
        <v>189</v>
      </c>
      <c r="Q1243" t="s">
        <v>190</v>
      </c>
      <c r="S1243" t="s">
        <v>191</v>
      </c>
      <c r="U1243">
        <v>28034</v>
      </c>
      <c r="V1243" t="s">
        <v>192</v>
      </c>
      <c r="W1243" t="s">
        <v>56</v>
      </c>
      <c r="X1243" t="s">
        <v>193</v>
      </c>
      <c r="Y1243" t="s">
        <v>194</v>
      </c>
      <c r="Z1243" t="s">
        <v>65</v>
      </c>
    </row>
    <row r="1244" spans="1:26" x14ac:dyDescent="0.3">
      <c r="A1244">
        <v>10117</v>
      </c>
      <c r="B1244">
        <v>22</v>
      </c>
      <c r="C1244">
        <v>100</v>
      </c>
      <c r="D1244">
        <v>12</v>
      </c>
      <c r="E1244">
        <v>2780.58</v>
      </c>
      <c r="F1244" s="1">
        <v>37727</v>
      </c>
      <c r="G1244" t="s">
        <v>39</v>
      </c>
      <c r="H1244">
        <v>2</v>
      </c>
      <c r="I1244">
        <v>4</v>
      </c>
      <c r="J1244" t="str">
        <f>TEXT(DATE(2012,Table1[[#This Row],[MONTH_ID]],10),"mmm")</f>
        <v>Apr</v>
      </c>
      <c r="K1244">
        <v>2003</v>
      </c>
      <c r="L1244" t="s">
        <v>195</v>
      </c>
      <c r="M1244">
        <v>143</v>
      </c>
      <c r="N1244" t="s">
        <v>627</v>
      </c>
      <c r="O1244" t="s">
        <v>210</v>
      </c>
      <c r="P1244" t="s">
        <v>211</v>
      </c>
      <c r="Q1244" t="s">
        <v>212</v>
      </c>
      <c r="S1244" t="s">
        <v>213</v>
      </c>
      <c r="U1244">
        <v>79903</v>
      </c>
      <c r="V1244" t="s">
        <v>213</v>
      </c>
      <c r="W1244" t="s">
        <v>214</v>
      </c>
      <c r="X1244" t="s">
        <v>215</v>
      </c>
      <c r="Y1244" t="s">
        <v>216</v>
      </c>
      <c r="Z1244" t="s">
        <v>50</v>
      </c>
    </row>
    <row r="1245" spans="1:26" x14ac:dyDescent="0.3">
      <c r="A1245">
        <v>10127</v>
      </c>
      <c r="B1245">
        <v>25</v>
      </c>
      <c r="C1245">
        <v>100</v>
      </c>
      <c r="D1245">
        <v>5</v>
      </c>
      <c r="E1245">
        <v>3447</v>
      </c>
      <c r="F1245" s="1">
        <v>37775</v>
      </c>
      <c r="G1245" t="s">
        <v>39</v>
      </c>
      <c r="H1245">
        <v>2</v>
      </c>
      <c r="I1245">
        <v>6</v>
      </c>
      <c r="J1245" t="str">
        <f>TEXT(DATE(2012,Table1[[#This Row],[MONTH_ID]],10),"mmm")</f>
        <v>Jun</v>
      </c>
      <c r="K1245">
        <v>2003</v>
      </c>
      <c r="L1245" t="s">
        <v>195</v>
      </c>
      <c r="M1245">
        <v>143</v>
      </c>
      <c r="N1245" t="s">
        <v>627</v>
      </c>
      <c r="O1245" t="s">
        <v>489</v>
      </c>
      <c r="P1245">
        <v>2125557413</v>
      </c>
      <c r="Q1245" t="s">
        <v>490</v>
      </c>
      <c r="R1245" t="s">
        <v>491</v>
      </c>
      <c r="S1245" t="s">
        <v>44</v>
      </c>
      <c r="T1245" t="s">
        <v>45</v>
      </c>
      <c r="U1245">
        <v>10022</v>
      </c>
      <c r="V1245" t="s">
        <v>46</v>
      </c>
      <c r="W1245" t="s">
        <v>47</v>
      </c>
      <c r="X1245" t="s">
        <v>70</v>
      </c>
      <c r="Y1245" t="s">
        <v>492</v>
      </c>
      <c r="Z1245" t="s">
        <v>65</v>
      </c>
    </row>
    <row r="1246" spans="1:26" x14ac:dyDescent="0.3">
      <c r="A1246">
        <v>10142</v>
      </c>
      <c r="B1246">
        <v>24</v>
      </c>
      <c r="C1246">
        <v>100</v>
      </c>
      <c r="D1246">
        <v>15</v>
      </c>
      <c r="E1246">
        <v>3791.52</v>
      </c>
      <c r="F1246" s="1">
        <v>37841</v>
      </c>
      <c r="G1246" t="s">
        <v>39</v>
      </c>
      <c r="H1246">
        <v>3</v>
      </c>
      <c r="I1246">
        <v>8</v>
      </c>
      <c r="J1246" t="str">
        <f>TEXT(DATE(2012,Table1[[#This Row],[MONTH_ID]],10),"mmm")</f>
        <v>Aug</v>
      </c>
      <c r="K1246">
        <v>2003</v>
      </c>
      <c r="L1246" t="s">
        <v>195</v>
      </c>
      <c r="M1246">
        <v>143</v>
      </c>
      <c r="N1246" t="s">
        <v>627</v>
      </c>
      <c r="O1246" t="s">
        <v>286</v>
      </c>
      <c r="P1246">
        <v>4155551450</v>
      </c>
      <c r="Q1246" t="s">
        <v>287</v>
      </c>
      <c r="S1246" t="s">
        <v>288</v>
      </c>
      <c r="T1246" t="s">
        <v>69</v>
      </c>
      <c r="U1246">
        <v>97562</v>
      </c>
      <c r="V1246" t="s">
        <v>46</v>
      </c>
      <c r="W1246" t="s">
        <v>47</v>
      </c>
      <c r="X1246" t="s">
        <v>289</v>
      </c>
      <c r="Y1246" t="s">
        <v>290</v>
      </c>
      <c r="Z1246" t="s">
        <v>65</v>
      </c>
    </row>
    <row r="1247" spans="1:26" x14ac:dyDescent="0.3">
      <c r="A1247">
        <v>10152</v>
      </c>
      <c r="B1247">
        <v>35</v>
      </c>
      <c r="C1247">
        <v>100</v>
      </c>
      <c r="D1247">
        <v>1</v>
      </c>
      <c r="E1247">
        <v>4524.1000000000004</v>
      </c>
      <c r="F1247" s="1">
        <v>37889</v>
      </c>
      <c r="G1247" t="s">
        <v>39</v>
      </c>
      <c r="H1247">
        <v>3</v>
      </c>
      <c r="I1247">
        <v>9</v>
      </c>
      <c r="J1247" t="str">
        <f>TEXT(DATE(2012,Table1[[#This Row],[MONTH_ID]],10),"mmm")</f>
        <v>Sep</v>
      </c>
      <c r="K1247">
        <v>2003</v>
      </c>
      <c r="L1247" t="s">
        <v>195</v>
      </c>
      <c r="M1247">
        <v>143</v>
      </c>
      <c r="N1247" t="s">
        <v>627</v>
      </c>
      <c r="O1247" t="s">
        <v>221</v>
      </c>
      <c r="P1247" t="s">
        <v>222</v>
      </c>
      <c r="Q1247" t="s">
        <v>223</v>
      </c>
      <c r="S1247" t="s">
        <v>224</v>
      </c>
      <c r="T1247" t="s">
        <v>225</v>
      </c>
      <c r="U1247">
        <v>4101</v>
      </c>
      <c r="V1247" t="s">
        <v>109</v>
      </c>
      <c r="W1247" t="s">
        <v>110</v>
      </c>
      <c r="X1247" t="s">
        <v>226</v>
      </c>
      <c r="Y1247" t="s">
        <v>227</v>
      </c>
      <c r="Z1247" t="s">
        <v>65</v>
      </c>
    </row>
    <row r="1248" spans="1:26" x14ac:dyDescent="0.3">
      <c r="A1248">
        <v>10165</v>
      </c>
      <c r="B1248">
        <v>28</v>
      </c>
      <c r="C1248">
        <v>100</v>
      </c>
      <c r="D1248">
        <v>6</v>
      </c>
      <c r="E1248">
        <v>3337.6</v>
      </c>
      <c r="F1248" s="1">
        <v>37916</v>
      </c>
      <c r="G1248" t="s">
        <v>39</v>
      </c>
      <c r="H1248">
        <v>4</v>
      </c>
      <c r="I1248">
        <v>10</v>
      </c>
      <c r="J1248" t="str">
        <f>TEXT(DATE(2012,Table1[[#This Row],[MONTH_ID]],10),"mmm")</f>
        <v>Oct</v>
      </c>
      <c r="K1248">
        <v>2003</v>
      </c>
      <c r="L1248" t="s">
        <v>195</v>
      </c>
      <c r="M1248">
        <v>143</v>
      </c>
      <c r="N1248" t="s">
        <v>627</v>
      </c>
      <c r="O1248" t="s">
        <v>210</v>
      </c>
      <c r="P1248" t="s">
        <v>211</v>
      </c>
      <c r="Q1248" t="s">
        <v>212</v>
      </c>
      <c r="S1248" t="s">
        <v>213</v>
      </c>
      <c r="U1248">
        <v>79903</v>
      </c>
      <c r="V1248" t="s">
        <v>213</v>
      </c>
      <c r="W1248" t="s">
        <v>214</v>
      </c>
      <c r="X1248" t="s">
        <v>215</v>
      </c>
      <c r="Y1248" t="s">
        <v>216</v>
      </c>
      <c r="Z1248" t="s">
        <v>65</v>
      </c>
    </row>
    <row r="1249" spans="1:26" x14ac:dyDescent="0.3">
      <c r="A1249">
        <v>10176</v>
      </c>
      <c r="B1249">
        <v>36</v>
      </c>
      <c r="C1249">
        <v>100</v>
      </c>
      <c r="D1249">
        <v>5</v>
      </c>
      <c r="E1249">
        <v>5532.12</v>
      </c>
      <c r="F1249" s="1">
        <v>37931</v>
      </c>
      <c r="G1249" t="s">
        <v>39</v>
      </c>
      <c r="H1249">
        <v>4</v>
      </c>
      <c r="I1249">
        <v>11</v>
      </c>
      <c r="J1249" t="str">
        <f>TEXT(DATE(2012,Table1[[#This Row],[MONTH_ID]],10),"mmm")</f>
        <v>Nov</v>
      </c>
      <c r="K1249">
        <v>2003</v>
      </c>
      <c r="L1249" t="s">
        <v>195</v>
      </c>
      <c r="M1249">
        <v>143</v>
      </c>
      <c r="N1249" t="s">
        <v>627</v>
      </c>
      <c r="O1249" t="s">
        <v>466</v>
      </c>
      <c r="P1249" t="s">
        <v>467</v>
      </c>
      <c r="Q1249" t="s">
        <v>468</v>
      </c>
      <c r="S1249" t="s">
        <v>469</v>
      </c>
      <c r="U1249">
        <v>42100</v>
      </c>
      <c r="V1249" t="s">
        <v>272</v>
      </c>
      <c r="W1249" t="s">
        <v>56</v>
      </c>
      <c r="X1249" t="s">
        <v>470</v>
      </c>
      <c r="Y1249" t="s">
        <v>471</v>
      </c>
      <c r="Z1249" t="s">
        <v>65</v>
      </c>
    </row>
    <row r="1250" spans="1:26" x14ac:dyDescent="0.3">
      <c r="A1250">
        <v>10185</v>
      </c>
      <c r="B1250">
        <v>39</v>
      </c>
      <c r="C1250">
        <v>100</v>
      </c>
      <c r="D1250">
        <v>16</v>
      </c>
      <c r="E1250">
        <v>5096.91</v>
      </c>
      <c r="F1250" s="1">
        <v>37939</v>
      </c>
      <c r="G1250" t="s">
        <v>39</v>
      </c>
      <c r="H1250">
        <v>4</v>
      </c>
      <c r="I1250">
        <v>11</v>
      </c>
      <c r="J1250" t="str">
        <f>TEXT(DATE(2012,Table1[[#This Row],[MONTH_ID]],10),"mmm")</f>
        <v>Nov</v>
      </c>
      <c r="K1250">
        <v>2003</v>
      </c>
      <c r="L1250" t="s">
        <v>195</v>
      </c>
      <c r="M1250">
        <v>143</v>
      </c>
      <c r="N1250" t="s">
        <v>627</v>
      </c>
      <c r="O1250" t="s">
        <v>349</v>
      </c>
      <c r="P1250">
        <v>5085559555</v>
      </c>
      <c r="Q1250" t="s">
        <v>350</v>
      </c>
      <c r="S1250" t="s">
        <v>176</v>
      </c>
      <c r="T1250" t="s">
        <v>137</v>
      </c>
      <c r="U1250">
        <v>50553</v>
      </c>
      <c r="V1250" t="s">
        <v>46</v>
      </c>
      <c r="W1250" t="s">
        <v>47</v>
      </c>
      <c r="X1250" t="s">
        <v>351</v>
      </c>
      <c r="Y1250" t="s">
        <v>352</v>
      </c>
      <c r="Z1250" t="s">
        <v>65</v>
      </c>
    </row>
    <row r="1251" spans="1:26" x14ac:dyDescent="0.3">
      <c r="A1251">
        <v>10196</v>
      </c>
      <c r="B1251">
        <v>27</v>
      </c>
      <c r="C1251">
        <v>100</v>
      </c>
      <c r="D1251">
        <v>8</v>
      </c>
      <c r="E1251">
        <v>4537.08</v>
      </c>
      <c r="F1251" s="1">
        <v>37951</v>
      </c>
      <c r="G1251" t="s">
        <v>39</v>
      </c>
      <c r="H1251">
        <v>4</v>
      </c>
      <c r="I1251">
        <v>11</v>
      </c>
      <c r="J1251" t="str">
        <f>TEXT(DATE(2012,Table1[[#This Row],[MONTH_ID]],10),"mmm")</f>
        <v>Nov</v>
      </c>
      <c r="K1251">
        <v>2003</v>
      </c>
      <c r="L1251" t="s">
        <v>195</v>
      </c>
      <c r="M1251">
        <v>143</v>
      </c>
      <c r="N1251" t="s">
        <v>627</v>
      </c>
      <c r="O1251" t="s">
        <v>256</v>
      </c>
      <c r="P1251">
        <v>2035559545</v>
      </c>
      <c r="Q1251" t="s">
        <v>257</v>
      </c>
      <c r="S1251" t="s">
        <v>258</v>
      </c>
      <c r="T1251" t="s">
        <v>126</v>
      </c>
      <c r="U1251">
        <v>97823</v>
      </c>
      <c r="V1251" t="s">
        <v>46</v>
      </c>
      <c r="W1251" t="s">
        <v>47</v>
      </c>
      <c r="X1251" t="s">
        <v>97</v>
      </c>
      <c r="Y1251" t="s">
        <v>259</v>
      </c>
      <c r="Z1251" t="s">
        <v>65</v>
      </c>
    </row>
    <row r="1252" spans="1:26" x14ac:dyDescent="0.3">
      <c r="A1252">
        <v>10207</v>
      </c>
      <c r="B1252">
        <v>40</v>
      </c>
      <c r="C1252">
        <v>100</v>
      </c>
      <c r="D1252">
        <v>1</v>
      </c>
      <c r="E1252">
        <v>6146.8</v>
      </c>
      <c r="F1252" s="1">
        <v>37964</v>
      </c>
      <c r="G1252" t="s">
        <v>39</v>
      </c>
      <c r="H1252">
        <v>4</v>
      </c>
      <c r="I1252">
        <v>12</v>
      </c>
      <c r="J1252" t="str">
        <f>TEXT(DATE(2012,Table1[[#This Row],[MONTH_ID]],10),"mmm")</f>
        <v>Dec</v>
      </c>
      <c r="K1252">
        <v>2003</v>
      </c>
      <c r="L1252" t="s">
        <v>195</v>
      </c>
      <c r="M1252">
        <v>143</v>
      </c>
      <c r="N1252" t="s">
        <v>627</v>
      </c>
      <c r="O1252" t="s">
        <v>429</v>
      </c>
      <c r="P1252">
        <v>6175552555</v>
      </c>
      <c r="Q1252" t="s">
        <v>430</v>
      </c>
      <c r="S1252" t="s">
        <v>395</v>
      </c>
      <c r="T1252" t="s">
        <v>137</v>
      </c>
      <c r="U1252">
        <v>51003</v>
      </c>
      <c r="V1252" t="s">
        <v>46</v>
      </c>
      <c r="W1252" t="s">
        <v>47</v>
      </c>
      <c r="X1252" t="s">
        <v>431</v>
      </c>
      <c r="Y1252" t="s">
        <v>290</v>
      </c>
      <c r="Z1252" t="s">
        <v>65</v>
      </c>
    </row>
    <row r="1253" spans="1:26" x14ac:dyDescent="0.3">
      <c r="A1253">
        <v>10220</v>
      </c>
      <c r="B1253">
        <v>50</v>
      </c>
      <c r="C1253">
        <v>100</v>
      </c>
      <c r="D1253">
        <v>5</v>
      </c>
      <c r="E1253">
        <v>8258</v>
      </c>
      <c r="F1253" s="1">
        <v>38029</v>
      </c>
      <c r="G1253" t="s">
        <v>39</v>
      </c>
      <c r="H1253">
        <v>1</v>
      </c>
      <c r="I1253">
        <v>2</v>
      </c>
      <c r="J1253" t="str">
        <f>TEXT(DATE(2012,Table1[[#This Row],[MONTH_ID]],10),"mmm")</f>
        <v>Feb</v>
      </c>
      <c r="K1253">
        <v>2004</v>
      </c>
      <c r="L1253" t="s">
        <v>195</v>
      </c>
      <c r="M1253">
        <v>143</v>
      </c>
      <c r="N1253" t="s">
        <v>627</v>
      </c>
      <c r="O1253" t="s">
        <v>493</v>
      </c>
      <c r="P1253" t="s">
        <v>494</v>
      </c>
      <c r="Q1253" t="s">
        <v>495</v>
      </c>
      <c r="R1253" t="s">
        <v>496</v>
      </c>
      <c r="S1253" t="s">
        <v>497</v>
      </c>
      <c r="U1253">
        <v>2</v>
      </c>
      <c r="V1253" t="s">
        <v>498</v>
      </c>
      <c r="W1253" t="s">
        <v>56</v>
      </c>
      <c r="X1253" t="s">
        <v>499</v>
      </c>
      <c r="Y1253" t="s">
        <v>500</v>
      </c>
      <c r="Z1253" t="s">
        <v>165</v>
      </c>
    </row>
    <row r="1254" spans="1:26" x14ac:dyDescent="0.3">
      <c r="A1254">
        <v>10230</v>
      </c>
      <c r="B1254">
        <v>42</v>
      </c>
      <c r="C1254">
        <v>100</v>
      </c>
      <c r="D1254">
        <v>3</v>
      </c>
      <c r="E1254">
        <v>7238.28</v>
      </c>
      <c r="F1254" s="1">
        <v>38061</v>
      </c>
      <c r="G1254" t="s">
        <v>39</v>
      </c>
      <c r="H1254">
        <v>1</v>
      </c>
      <c r="I1254">
        <v>3</v>
      </c>
      <c r="J1254" t="str">
        <f>TEXT(DATE(2012,Table1[[#This Row],[MONTH_ID]],10),"mmm")</f>
        <v>Mar</v>
      </c>
      <c r="K1254">
        <v>2004</v>
      </c>
      <c r="L1254" t="s">
        <v>195</v>
      </c>
      <c r="M1254">
        <v>143</v>
      </c>
      <c r="N1254" t="s">
        <v>627</v>
      </c>
      <c r="O1254" t="s">
        <v>476</v>
      </c>
      <c r="P1254" t="s">
        <v>477</v>
      </c>
      <c r="Q1254" t="s">
        <v>478</v>
      </c>
      <c r="S1254" t="s">
        <v>479</v>
      </c>
      <c r="U1254">
        <v>60528</v>
      </c>
      <c r="V1254" t="s">
        <v>457</v>
      </c>
      <c r="W1254" t="s">
        <v>56</v>
      </c>
      <c r="X1254" t="s">
        <v>480</v>
      </c>
      <c r="Y1254" t="s">
        <v>428</v>
      </c>
      <c r="Z1254" t="s">
        <v>165</v>
      </c>
    </row>
    <row r="1255" spans="1:26" x14ac:dyDescent="0.3">
      <c r="A1255">
        <v>10247</v>
      </c>
      <c r="B1255">
        <v>48</v>
      </c>
      <c r="C1255">
        <v>100</v>
      </c>
      <c r="D1255">
        <v>5</v>
      </c>
      <c r="E1255">
        <v>6756</v>
      </c>
      <c r="F1255" s="1">
        <v>38112</v>
      </c>
      <c r="G1255" t="s">
        <v>39</v>
      </c>
      <c r="H1255">
        <v>2</v>
      </c>
      <c r="I1255">
        <v>5</v>
      </c>
      <c r="J1255" t="str">
        <f>TEXT(DATE(2012,Table1[[#This Row],[MONTH_ID]],10),"mmm")</f>
        <v>May</v>
      </c>
      <c r="K1255">
        <v>2004</v>
      </c>
      <c r="L1255" t="s">
        <v>195</v>
      </c>
      <c r="M1255">
        <v>143</v>
      </c>
      <c r="N1255" t="s">
        <v>627</v>
      </c>
      <c r="O1255" t="s">
        <v>481</v>
      </c>
      <c r="P1255" t="s">
        <v>482</v>
      </c>
      <c r="Q1255" t="s">
        <v>483</v>
      </c>
      <c r="S1255" t="s">
        <v>484</v>
      </c>
      <c r="U1255" t="s">
        <v>485</v>
      </c>
      <c r="V1255" t="s">
        <v>144</v>
      </c>
      <c r="W1255" t="s">
        <v>56</v>
      </c>
      <c r="X1255" t="s">
        <v>486</v>
      </c>
      <c r="Y1255" t="s">
        <v>487</v>
      </c>
      <c r="Z1255" t="s">
        <v>65</v>
      </c>
    </row>
    <row r="1256" spans="1:26" x14ac:dyDescent="0.3">
      <c r="A1256">
        <v>10272</v>
      </c>
      <c r="B1256">
        <v>25</v>
      </c>
      <c r="C1256">
        <v>100</v>
      </c>
      <c r="D1256">
        <v>5</v>
      </c>
      <c r="E1256">
        <v>3734</v>
      </c>
      <c r="F1256" s="1">
        <v>38188</v>
      </c>
      <c r="G1256" t="s">
        <v>39</v>
      </c>
      <c r="H1256">
        <v>3</v>
      </c>
      <c r="I1256">
        <v>7</v>
      </c>
      <c r="J1256" t="str">
        <f>TEXT(DATE(2012,Table1[[#This Row],[MONTH_ID]],10),"mmm")</f>
        <v>Jul</v>
      </c>
      <c r="K1256">
        <v>2004</v>
      </c>
      <c r="L1256" t="s">
        <v>195</v>
      </c>
      <c r="M1256">
        <v>143</v>
      </c>
      <c r="N1256" t="s">
        <v>627</v>
      </c>
      <c r="O1256" t="s">
        <v>153</v>
      </c>
      <c r="P1256">
        <v>2155551555</v>
      </c>
      <c r="Q1256" t="s">
        <v>154</v>
      </c>
      <c r="S1256" t="s">
        <v>155</v>
      </c>
      <c r="T1256" t="s">
        <v>156</v>
      </c>
      <c r="U1256">
        <v>70267</v>
      </c>
      <c r="V1256" t="s">
        <v>46</v>
      </c>
      <c r="W1256" t="s">
        <v>47</v>
      </c>
      <c r="X1256" t="s">
        <v>48</v>
      </c>
      <c r="Y1256" t="s">
        <v>157</v>
      </c>
      <c r="Z1256" t="s">
        <v>65</v>
      </c>
    </row>
    <row r="1257" spans="1:26" x14ac:dyDescent="0.3">
      <c r="A1257">
        <v>10282</v>
      </c>
      <c r="B1257">
        <v>31</v>
      </c>
      <c r="C1257">
        <v>100</v>
      </c>
      <c r="D1257">
        <v>8</v>
      </c>
      <c r="E1257">
        <v>4674.8</v>
      </c>
      <c r="F1257" s="1">
        <v>38219</v>
      </c>
      <c r="G1257" t="s">
        <v>39</v>
      </c>
      <c r="H1257">
        <v>3</v>
      </c>
      <c r="I1257">
        <v>8</v>
      </c>
      <c r="J1257" t="str">
        <f>TEXT(DATE(2012,Table1[[#This Row],[MONTH_ID]],10),"mmm")</f>
        <v>Aug</v>
      </c>
      <c r="K1257">
        <v>2004</v>
      </c>
      <c r="L1257" t="s">
        <v>195</v>
      </c>
      <c r="M1257">
        <v>143</v>
      </c>
      <c r="N1257" t="s">
        <v>627</v>
      </c>
      <c r="O1257" t="s">
        <v>286</v>
      </c>
      <c r="P1257">
        <v>4155551450</v>
      </c>
      <c r="Q1257" t="s">
        <v>287</v>
      </c>
      <c r="S1257" t="s">
        <v>288</v>
      </c>
      <c r="T1257" t="s">
        <v>69</v>
      </c>
      <c r="U1257">
        <v>97562</v>
      </c>
      <c r="V1257" t="s">
        <v>46</v>
      </c>
      <c r="W1257" t="s">
        <v>47</v>
      </c>
      <c r="X1257" t="s">
        <v>289</v>
      </c>
      <c r="Y1257" t="s">
        <v>290</v>
      </c>
      <c r="Z1257" t="s">
        <v>65</v>
      </c>
    </row>
    <row r="1258" spans="1:26" x14ac:dyDescent="0.3">
      <c r="A1258">
        <v>10292</v>
      </c>
      <c r="B1258">
        <v>44</v>
      </c>
      <c r="C1258">
        <v>100</v>
      </c>
      <c r="D1258">
        <v>2</v>
      </c>
      <c r="E1258">
        <v>7140.76</v>
      </c>
      <c r="F1258" s="1">
        <v>38238</v>
      </c>
      <c r="G1258" t="s">
        <v>39</v>
      </c>
      <c r="H1258">
        <v>3</v>
      </c>
      <c r="I1258">
        <v>9</v>
      </c>
      <c r="J1258" t="str">
        <f>TEXT(DATE(2012,Table1[[#This Row],[MONTH_ID]],10),"mmm")</f>
        <v>Sep</v>
      </c>
      <c r="K1258">
        <v>2004</v>
      </c>
      <c r="L1258" t="s">
        <v>195</v>
      </c>
      <c r="M1258">
        <v>143</v>
      </c>
      <c r="N1258" t="s">
        <v>627</v>
      </c>
      <c r="O1258" t="s">
        <v>42</v>
      </c>
      <c r="P1258">
        <v>2125557818</v>
      </c>
      <c r="Q1258" t="s">
        <v>43</v>
      </c>
      <c r="S1258" t="s">
        <v>44</v>
      </c>
      <c r="T1258" t="s">
        <v>45</v>
      </c>
      <c r="U1258">
        <v>10022</v>
      </c>
      <c r="V1258" t="s">
        <v>46</v>
      </c>
      <c r="W1258" t="s">
        <v>47</v>
      </c>
      <c r="X1258" t="s">
        <v>48</v>
      </c>
      <c r="Y1258" t="s">
        <v>49</v>
      </c>
      <c r="Z1258" t="s">
        <v>165</v>
      </c>
    </row>
    <row r="1259" spans="1:26" x14ac:dyDescent="0.3">
      <c r="A1259">
        <v>10306</v>
      </c>
      <c r="B1259">
        <v>23</v>
      </c>
      <c r="C1259">
        <v>100</v>
      </c>
      <c r="D1259">
        <v>16</v>
      </c>
      <c r="E1259">
        <v>3600.65</v>
      </c>
      <c r="F1259" s="1">
        <v>38274</v>
      </c>
      <c r="G1259" t="s">
        <v>39</v>
      </c>
      <c r="H1259">
        <v>4</v>
      </c>
      <c r="I1259">
        <v>10</v>
      </c>
      <c r="J1259" t="str">
        <f>TEXT(DATE(2012,Table1[[#This Row],[MONTH_ID]],10),"mmm")</f>
        <v>Oct</v>
      </c>
      <c r="K1259">
        <v>2004</v>
      </c>
      <c r="L1259" t="s">
        <v>195</v>
      </c>
      <c r="M1259">
        <v>143</v>
      </c>
      <c r="N1259" t="s">
        <v>627</v>
      </c>
      <c r="O1259" t="s">
        <v>506</v>
      </c>
      <c r="P1259" t="s">
        <v>507</v>
      </c>
      <c r="Q1259" t="s">
        <v>508</v>
      </c>
      <c r="S1259" t="s">
        <v>509</v>
      </c>
      <c r="U1259" t="s">
        <v>510</v>
      </c>
      <c r="V1259" t="s">
        <v>184</v>
      </c>
      <c r="W1259" t="s">
        <v>56</v>
      </c>
      <c r="X1259" t="s">
        <v>511</v>
      </c>
      <c r="Y1259" t="s">
        <v>108</v>
      </c>
      <c r="Z1259" t="s">
        <v>65</v>
      </c>
    </row>
    <row r="1260" spans="1:26" x14ac:dyDescent="0.3">
      <c r="A1260">
        <v>10314</v>
      </c>
      <c r="B1260">
        <v>29</v>
      </c>
      <c r="C1260">
        <v>100</v>
      </c>
      <c r="D1260">
        <v>8</v>
      </c>
      <c r="E1260">
        <v>4206.74</v>
      </c>
      <c r="F1260" s="1">
        <v>38282</v>
      </c>
      <c r="G1260" t="s">
        <v>39</v>
      </c>
      <c r="H1260">
        <v>4</v>
      </c>
      <c r="I1260">
        <v>10</v>
      </c>
      <c r="J1260" t="str">
        <f>TEXT(DATE(2012,Table1[[#This Row],[MONTH_ID]],10),"mmm")</f>
        <v>Oct</v>
      </c>
      <c r="K1260">
        <v>2004</v>
      </c>
      <c r="L1260" t="s">
        <v>195</v>
      </c>
      <c r="M1260">
        <v>143</v>
      </c>
      <c r="N1260" t="s">
        <v>627</v>
      </c>
      <c r="O1260" t="s">
        <v>512</v>
      </c>
      <c r="P1260" t="s">
        <v>513</v>
      </c>
      <c r="Q1260" t="s">
        <v>514</v>
      </c>
      <c r="S1260" t="s">
        <v>515</v>
      </c>
      <c r="U1260">
        <v>8200</v>
      </c>
      <c r="V1260" t="s">
        <v>340</v>
      </c>
      <c r="W1260" t="s">
        <v>56</v>
      </c>
      <c r="X1260" t="s">
        <v>516</v>
      </c>
      <c r="Y1260" t="s">
        <v>517</v>
      </c>
      <c r="Z1260" t="s">
        <v>65</v>
      </c>
    </row>
    <row r="1261" spans="1:26" x14ac:dyDescent="0.3">
      <c r="A1261">
        <v>10324</v>
      </c>
      <c r="B1261">
        <v>49</v>
      </c>
      <c r="C1261">
        <v>100</v>
      </c>
      <c r="D1261">
        <v>13</v>
      </c>
      <c r="E1261">
        <v>5379.71</v>
      </c>
      <c r="F1261" s="1">
        <v>38296</v>
      </c>
      <c r="G1261" t="s">
        <v>39</v>
      </c>
      <c r="H1261">
        <v>4</v>
      </c>
      <c r="I1261">
        <v>11</v>
      </c>
      <c r="J1261" t="str">
        <f>TEXT(DATE(2012,Table1[[#This Row],[MONTH_ID]],10),"mmm")</f>
        <v>Nov</v>
      </c>
      <c r="K1261">
        <v>2004</v>
      </c>
      <c r="L1261" t="s">
        <v>195</v>
      </c>
      <c r="M1261">
        <v>143</v>
      </c>
      <c r="N1261" t="s">
        <v>627</v>
      </c>
      <c r="O1261" t="s">
        <v>113</v>
      </c>
      <c r="P1261">
        <v>2125551500</v>
      </c>
      <c r="Q1261" t="s">
        <v>114</v>
      </c>
      <c r="R1261" t="s">
        <v>115</v>
      </c>
      <c r="S1261" t="s">
        <v>44</v>
      </c>
      <c r="T1261" t="s">
        <v>45</v>
      </c>
      <c r="U1261">
        <v>10022</v>
      </c>
      <c r="V1261" t="s">
        <v>46</v>
      </c>
      <c r="W1261" t="s">
        <v>47</v>
      </c>
      <c r="X1261" t="s">
        <v>116</v>
      </c>
      <c r="Y1261" t="s">
        <v>117</v>
      </c>
      <c r="Z1261" t="s">
        <v>65</v>
      </c>
    </row>
    <row r="1262" spans="1:26" x14ac:dyDescent="0.3">
      <c r="A1262">
        <v>10337</v>
      </c>
      <c r="B1262">
        <v>36</v>
      </c>
      <c r="C1262">
        <v>100</v>
      </c>
      <c r="D1262">
        <v>3</v>
      </c>
      <c r="E1262">
        <v>5679.36</v>
      </c>
      <c r="F1262" s="1">
        <v>38312</v>
      </c>
      <c r="G1262" t="s">
        <v>39</v>
      </c>
      <c r="H1262">
        <v>4</v>
      </c>
      <c r="I1262">
        <v>11</v>
      </c>
      <c r="J1262" t="str">
        <f>TEXT(DATE(2012,Table1[[#This Row],[MONTH_ID]],10),"mmm")</f>
        <v>Nov</v>
      </c>
      <c r="K1262">
        <v>2004</v>
      </c>
      <c r="L1262" t="s">
        <v>195</v>
      </c>
      <c r="M1262">
        <v>143</v>
      </c>
      <c r="N1262" t="s">
        <v>627</v>
      </c>
      <c r="O1262" t="s">
        <v>217</v>
      </c>
      <c r="P1262">
        <v>2125558493</v>
      </c>
      <c r="Q1262" t="s">
        <v>218</v>
      </c>
      <c r="R1262" t="s">
        <v>219</v>
      </c>
      <c r="S1262" t="s">
        <v>44</v>
      </c>
      <c r="T1262" t="s">
        <v>45</v>
      </c>
      <c r="U1262">
        <v>10022</v>
      </c>
      <c r="V1262" t="s">
        <v>46</v>
      </c>
      <c r="W1262" t="s">
        <v>47</v>
      </c>
      <c r="X1262" t="s">
        <v>138</v>
      </c>
      <c r="Y1262" t="s">
        <v>220</v>
      </c>
      <c r="Z1262" t="s">
        <v>65</v>
      </c>
    </row>
    <row r="1263" spans="1:26" x14ac:dyDescent="0.3">
      <c r="A1263">
        <v>10349</v>
      </c>
      <c r="B1263">
        <v>34</v>
      </c>
      <c r="C1263">
        <v>100</v>
      </c>
      <c r="D1263">
        <v>5</v>
      </c>
      <c r="E1263">
        <v>4394.84</v>
      </c>
      <c r="F1263" s="1">
        <v>38322</v>
      </c>
      <c r="G1263" t="s">
        <v>39</v>
      </c>
      <c r="H1263">
        <v>4</v>
      </c>
      <c r="I1263">
        <v>12</v>
      </c>
      <c r="J1263" t="str">
        <f>TEXT(DATE(2012,Table1[[#This Row],[MONTH_ID]],10),"mmm")</f>
        <v>Dec</v>
      </c>
      <c r="K1263">
        <v>2004</v>
      </c>
      <c r="L1263" t="s">
        <v>195</v>
      </c>
      <c r="M1263">
        <v>143</v>
      </c>
      <c r="N1263" t="s">
        <v>627</v>
      </c>
      <c r="O1263" t="s">
        <v>489</v>
      </c>
      <c r="P1263">
        <v>2125557413</v>
      </c>
      <c r="Q1263" t="s">
        <v>490</v>
      </c>
      <c r="R1263" t="s">
        <v>491</v>
      </c>
      <c r="S1263" t="s">
        <v>44</v>
      </c>
      <c r="T1263" t="s">
        <v>45</v>
      </c>
      <c r="U1263">
        <v>10022</v>
      </c>
      <c r="V1263" t="s">
        <v>46</v>
      </c>
      <c r="W1263" t="s">
        <v>47</v>
      </c>
      <c r="X1263" t="s">
        <v>70</v>
      </c>
      <c r="Y1263" t="s">
        <v>492</v>
      </c>
      <c r="Z1263" t="s">
        <v>65</v>
      </c>
    </row>
    <row r="1264" spans="1:26" x14ac:dyDescent="0.3">
      <c r="A1264">
        <v>10358</v>
      </c>
      <c r="B1264">
        <v>25</v>
      </c>
      <c r="C1264">
        <v>100</v>
      </c>
      <c r="D1264">
        <v>13</v>
      </c>
      <c r="E1264">
        <v>2528.25</v>
      </c>
      <c r="F1264" s="1">
        <v>38331</v>
      </c>
      <c r="G1264" t="s">
        <v>39</v>
      </c>
      <c r="H1264">
        <v>4</v>
      </c>
      <c r="I1264">
        <v>12</v>
      </c>
      <c r="J1264" t="str">
        <f>TEXT(DATE(2012,Table1[[#This Row],[MONTH_ID]],10),"mmm")</f>
        <v>Dec</v>
      </c>
      <c r="K1264">
        <v>2004</v>
      </c>
      <c r="L1264" t="s">
        <v>195</v>
      </c>
      <c r="M1264">
        <v>143</v>
      </c>
      <c r="N1264" t="s">
        <v>627</v>
      </c>
      <c r="O1264" t="s">
        <v>188</v>
      </c>
      <c r="P1264" t="s">
        <v>189</v>
      </c>
      <c r="Q1264" t="s">
        <v>190</v>
      </c>
      <c r="S1264" t="s">
        <v>191</v>
      </c>
      <c r="U1264">
        <v>28034</v>
      </c>
      <c r="V1264" t="s">
        <v>192</v>
      </c>
      <c r="W1264" t="s">
        <v>56</v>
      </c>
      <c r="X1264" t="s">
        <v>193</v>
      </c>
      <c r="Y1264" t="s">
        <v>194</v>
      </c>
      <c r="Z1264" t="s">
        <v>50</v>
      </c>
    </row>
    <row r="1265" spans="1:26" x14ac:dyDescent="0.3">
      <c r="A1265">
        <v>10372</v>
      </c>
      <c r="B1265">
        <v>48</v>
      </c>
      <c r="C1265">
        <v>100</v>
      </c>
      <c r="D1265">
        <v>6</v>
      </c>
      <c r="E1265">
        <v>7031.52</v>
      </c>
      <c r="F1265" s="1">
        <v>38378</v>
      </c>
      <c r="G1265" t="s">
        <v>39</v>
      </c>
      <c r="H1265">
        <v>1</v>
      </c>
      <c r="I1265">
        <v>1</v>
      </c>
      <c r="J1265" t="str">
        <f>TEXT(DATE(2012,Table1[[#This Row],[MONTH_ID]],10),"mmm")</f>
        <v>Jan</v>
      </c>
      <c r="K1265">
        <v>2005</v>
      </c>
      <c r="L1265" t="s">
        <v>195</v>
      </c>
      <c r="M1265">
        <v>143</v>
      </c>
      <c r="N1265" t="s">
        <v>627</v>
      </c>
      <c r="O1265" t="s">
        <v>260</v>
      </c>
      <c r="P1265" t="s">
        <v>261</v>
      </c>
      <c r="Q1265" t="s">
        <v>262</v>
      </c>
      <c r="S1265" t="s">
        <v>263</v>
      </c>
      <c r="T1265" t="s">
        <v>264</v>
      </c>
      <c r="U1265" t="s">
        <v>265</v>
      </c>
      <c r="V1265" t="s">
        <v>214</v>
      </c>
      <c r="W1265" t="s">
        <v>214</v>
      </c>
      <c r="X1265" t="s">
        <v>266</v>
      </c>
      <c r="Y1265" t="s">
        <v>267</v>
      </c>
      <c r="Z1265" t="s">
        <v>165</v>
      </c>
    </row>
    <row r="1266" spans="1:26" x14ac:dyDescent="0.3">
      <c r="A1266">
        <v>10383</v>
      </c>
      <c r="B1266">
        <v>38</v>
      </c>
      <c r="C1266">
        <v>100</v>
      </c>
      <c r="D1266">
        <v>1</v>
      </c>
      <c r="E1266">
        <v>5340.9</v>
      </c>
      <c r="F1266" s="1">
        <v>38405</v>
      </c>
      <c r="G1266" t="s">
        <v>39</v>
      </c>
      <c r="H1266">
        <v>1</v>
      </c>
      <c r="I1266">
        <v>2</v>
      </c>
      <c r="J1266" t="str">
        <f>TEXT(DATE(2012,Table1[[#This Row],[MONTH_ID]],10),"mmm")</f>
        <v>Feb</v>
      </c>
      <c r="K1266">
        <v>2005</v>
      </c>
      <c r="L1266" t="s">
        <v>195</v>
      </c>
      <c r="M1266">
        <v>143</v>
      </c>
      <c r="N1266" t="s">
        <v>627</v>
      </c>
      <c r="O1266" t="s">
        <v>188</v>
      </c>
      <c r="P1266" t="s">
        <v>189</v>
      </c>
      <c r="Q1266" t="s">
        <v>190</v>
      </c>
      <c r="S1266" t="s">
        <v>191</v>
      </c>
      <c r="U1266">
        <v>28034</v>
      </c>
      <c r="V1266" t="s">
        <v>192</v>
      </c>
      <c r="W1266" t="s">
        <v>56</v>
      </c>
      <c r="X1266" t="s">
        <v>193</v>
      </c>
      <c r="Y1266" t="s">
        <v>194</v>
      </c>
      <c r="Z1266" t="s">
        <v>65</v>
      </c>
    </row>
    <row r="1267" spans="1:26" x14ac:dyDescent="0.3">
      <c r="A1267">
        <v>10394</v>
      </c>
      <c r="B1267">
        <v>37</v>
      </c>
      <c r="C1267">
        <v>100</v>
      </c>
      <c r="D1267">
        <v>1</v>
      </c>
      <c r="E1267">
        <v>6376.58</v>
      </c>
      <c r="F1267" s="1">
        <v>38426</v>
      </c>
      <c r="G1267" t="s">
        <v>39</v>
      </c>
      <c r="H1267">
        <v>1</v>
      </c>
      <c r="I1267">
        <v>3</v>
      </c>
      <c r="J1267" t="str">
        <f>TEXT(DATE(2012,Table1[[#This Row],[MONTH_ID]],10),"mmm")</f>
        <v>Mar</v>
      </c>
      <c r="K1267">
        <v>2005</v>
      </c>
      <c r="L1267" t="s">
        <v>195</v>
      </c>
      <c r="M1267">
        <v>143</v>
      </c>
      <c r="N1267" t="s">
        <v>627</v>
      </c>
      <c r="O1267" t="s">
        <v>188</v>
      </c>
      <c r="P1267" t="s">
        <v>189</v>
      </c>
      <c r="Q1267" t="s">
        <v>190</v>
      </c>
      <c r="S1267" t="s">
        <v>191</v>
      </c>
      <c r="U1267">
        <v>28034</v>
      </c>
      <c r="V1267" t="s">
        <v>192</v>
      </c>
      <c r="W1267" t="s">
        <v>56</v>
      </c>
      <c r="X1267" t="s">
        <v>193</v>
      </c>
      <c r="Y1267" t="s">
        <v>194</v>
      </c>
      <c r="Z1267" t="s">
        <v>65</v>
      </c>
    </row>
    <row r="1268" spans="1:26" x14ac:dyDescent="0.3">
      <c r="A1268">
        <v>10413</v>
      </c>
      <c r="B1268">
        <v>49</v>
      </c>
      <c r="C1268">
        <v>100</v>
      </c>
      <c r="D1268">
        <v>5</v>
      </c>
      <c r="E1268">
        <v>6896.75</v>
      </c>
      <c r="F1268" s="1">
        <v>38477</v>
      </c>
      <c r="G1268" t="s">
        <v>39</v>
      </c>
      <c r="H1268">
        <v>2</v>
      </c>
      <c r="I1268">
        <v>5</v>
      </c>
      <c r="J1268" t="str">
        <f>TEXT(DATE(2012,Table1[[#This Row],[MONTH_ID]],10),"mmm")</f>
        <v>May</v>
      </c>
      <c r="K1268">
        <v>2005</v>
      </c>
      <c r="L1268" t="s">
        <v>195</v>
      </c>
      <c r="M1268">
        <v>143</v>
      </c>
      <c r="N1268" t="s">
        <v>627</v>
      </c>
      <c r="O1268" t="s">
        <v>123</v>
      </c>
      <c r="P1268">
        <v>2035552570</v>
      </c>
      <c r="Q1268" t="s">
        <v>124</v>
      </c>
      <c r="S1268" t="s">
        <v>125</v>
      </c>
      <c r="T1268" t="s">
        <v>126</v>
      </c>
      <c r="U1268">
        <v>97562</v>
      </c>
      <c r="V1268" t="s">
        <v>46</v>
      </c>
      <c r="W1268" t="s">
        <v>47</v>
      </c>
      <c r="X1268" t="s">
        <v>127</v>
      </c>
      <c r="Y1268" t="s">
        <v>71</v>
      </c>
      <c r="Z1268" t="s">
        <v>65</v>
      </c>
    </row>
    <row r="1269" spans="1:26" x14ac:dyDescent="0.3">
      <c r="A1269">
        <v>10100</v>
      </c>
      <c r="B1269">
        <v>22</v>
      </c>
      <c r="C1269">
        <v>86.51</v>
      </c>
      <c r="D1269">
        <v>4</v>
      </c>
      <c r="E1269">
        <v>1903.22</v>
      </c>
      <c r="F1269" s="1">
        <v>37627</v>
      </c>
      <c r="G1269" t="s">
        <v>39</v>
      </c>
      <c r="H1269">
        <v>1</v>
      </c>
      <c r="I1269">
        <v>1</v>
      </c>
      <c r="J1269" t="str">
        <f>TEXT(DATE(2012,Table1[[#This Row],[MONTH_ID]],10),"mmm")</f>
        <v>Jan</v>
      </c>
      <c r="K1269">
        <v>2003</v>
      </c>
      <c r="L1269" t="s">
        <v>564</v>
      </c>
      <c r="M1269">
        <v>92</v>
      </c>
      <c r="N1269" t="s">
        <v>628</v>
      </c>
      <c r="O1269" t="s">
        <v>291</v>
      </c>
      <c r="P1269">
        <v>6035558647</v>
      </c>
      <c r="Q1269" t="s">
        <v>292</v>
      </c>
      <c r="S1269" t="s">
        <v>293</v>
      </c>
      <c r="T1269" t="s">
        <v>294</v>
      </c>
      <c r="U1269">
        <v>62005</v>
      </c>
      <c r="V1269" t="s">
        <v>46</v>
      </c>
      <c r="W1269" t="s">
        <v>47</v>
      </c>
      <c r="X1269" t="s">
        <v>70</v>
      </c>
      <c r="Y1269" t="s">
        <v>290</v>
      </c>
      <c r="Z1269" t="s">
        <v>50</v>
      </c>
    </row>
    <row r="1270" spans="1:26" x14ac:dyDescent="0.3">
      <c r="A1270">
        <v>10110</v>
      </c>
      <c r="B1270">
        <v>28</v>
      </c>
      <c r="C1270">
        <v>89.27</v>
      </c>
      <c r="D1270">
        <v>8</v>
      </c>
      <c r="E1270">
        <v>2499.56</v>
      </c>
      <c r="F1270" s="1">
        <v>37698</v>
      </c>
      <c r="G1270" t="s">
        <v>39</v>
      </c>
      <c r="H1270">
        <v>1</v>
      </c>
      <c r="I1270">
        <v>3</v>
      </c>
      <c r="J1270" t="str">
        <f>TEXT(DATE(2012,Table1[[#This Row],[MONTH_ID]],10),"mmm")</f>
        <v>Mar</v>
      </c>
      <c r="K1270">
        <v>2003</v>
      </c>
      <c r="L1270" t="s">
        <v>564</v>
      </c>
      <c r="M1270">
        <v>92</v>
      </c>
      <c r="N1270" t="s">
        <v>628</v>
      </c>
      <c r="O1270" t="s">
        <v>506</v>
      </c>
      <c r="P1270" t="s">
        <v>507</v>
      </c>
      <c r="Q1270" t="s">
        <v>508</v>
      </c>
      <c r="S1270" t="s">
        <v>509</v>
      </c>
      <c r="U1270" t="s">
        <v>510</v>
      </c>
      <c r="V1270" t="s">
        <v>184</v>
      </c>
      <c r="W1270" t="s">
        <v>56</v>
      </c>
      <c r="X1270" t="s">
        <v>511</v>
      </c>
      <c r="Y1270" t="s">
        <v>108</v>
      </c>
      <c r="Z1270" t="s">
        <v>50</v>
      </c>
    </row>
    <row r="1271" spans="1:26" x14ac:dyDescent="0.3">
      <c r="A1271">
        <v>10124</v>
      </c>
      <c r="B1271">
        <v>36</v>
      </c>
      <c r="C1271">
        <v>85.59</v>
      </c>
      <c r="D1271">
        <v>7</v>
      </c>
      <c r="E1271">
        <v>3081.24</v>
      </c>
      <c r="F1271" s="1">
        <v>37762</v>
      </c>
      <c r="G1271" t="s">
        <v>39</v>
      </c>
      <c r="H1271">
        <v>2</v>
      </c>
      <c r="I1271">
        <v>5</v>
      </c>
      <c r="J1271" t="str">
        <f>TEXT(DATE(2012,Table1[[#This Row],[MONTH_ID]],10),"mmm")</f>
        <v>May</v>
      </c>
      <c r="K1271">
        <v>2003</v>
      </c>
      <c r="L1271" t="s">
        <v>564</v>
      </c>
      <c r="M1271">
        <v>92</v>
      </c>
      <c r="N1271" t="s">
        <v>628</v>
      </c>
      <c r="O1271" t="s">
        <v>553</v>
      </c>
      <c r="P1271">
        <v>7025551838</v>
      </c>
      <c r="Q1271" t="s">
        <v>554</v>
      </c>
      <c r="S1271" t="s">
        <v>555</v>
      </c>
      <c r="T1271" t="s">
        <v>556</v>
      </c>
      <c r="U1271">
        <v>83030</v>
      </c>
      <c r="V1271" t="s">
        <v>46</v>
      </c>
      <c r="W1271" t="s">
        <v>47</v>
      </c>
      <c r="X1271" t="s">
        <v>127</v>
      </c>
      <c r="Y1271" t="s">
        <v>414</v>
      </c>
      <c r="Z1271" t="s">
        <v>65</v>
      </c>
    </row>
    <row r="1272" spans="1:26" x14ac:dyDescent="0.3">
      <c r="A1272">
        <v>10148</v>
      </c>
      <c r="B1272">
        <v>34</v>
      </c>
      <c r="C1272">
        <v>100</v>
      </c>
      <c r="D1272">
        <v>1</v>
      </c>
      <c r="E1272">
        <v>3598.22</v>
      </c>
      <c r="F1272" s="1">
        <v>37875</v>
      </c>
      <c r="G1272" t="s">
        <v>39</v>
      </c>
      <c r="H1272">
        <v>3</v>
      </c>
      <c r="I1272">
        <v>9</v>
      </c>
      <c r="J1272" t="str">
        <f>TEXT(DATE(2012,Table1[[#This Row],[MONTH_ID]],10),"mmm")</f>
        <v>Sep</v>
      </c>
      <c r="K1272">
        <v>2003</v>
      </c>
      <c r="L1272" t="s">
        <v>564</v>
      </c>
      <c r="M1272">
        <v>92</v>
      </c>
      <c r="N1272" t="s">
        <v>628</v>
      </c>
      <c r="O1272" t="s">
        <v>299</v>
      </c>
      <c r="P1272" t="s">
        <v>300</v>
      </c>
      <c r="Q1272" t="s">
        <v>301</v>
      </c>
      <c r="R1272" t="s">
        <v>302</v>
      </c>
      <c r="S1272" t="s">
        <v>303</v>
      </c>
      <c r="T1272" t="s">
        <v>171</v>
      </c>
      <c r="U1272">
        <v>2060</v>
      </c>
      <c r="V1272" t="s">
        <v>109</v>
      </c>
      <c r="W1272" t="s">
        <v>110</v>
      </c>
      <c r="X1272" t="s">
        <v>304</v>
      </c>
      <c r="Y1272" t="s">
        <v>305</v>
      </c>
      <c r="Z1272" t="s">
        <v>65</v>
      </c>
    </row>
    <row r="1273" spans="1:26" x14ac:dyDescent="0.3">
      <c r="A1273">
        <v>10162</v>
      </c>
      <c r="B1273">
        <v>39</v>
      </c>
      <c r="C1273">
        <v>100</v>
      </c>
      <c r="D1273">
        <v>10</v>
      </c>
      <c r="E1273">
        <v>3912.09</v>
      </c>
      <c r="F1273" s="1">
        <v>37912</v>
      </c>
      <c r="G1273" t="s">
        <v>39</v>
      </c>
      <c r="H1273">
        <v>4</v>
      </c>
      <c r="I1273">
        <v>10</v>
      </c>
      <c r="J1273" t="str">
        <f>TEXT(DATE(2012,Table1[[#This Row],[MONTH_ID]],10),"mmm")</f>
        <v>Oct</v>
      </c>
      <c r="K1273">
        <v>2003</v>
      </c>
      <c r="L1273" t="s">
        <v>564</v>
      </c>
      <c r="M1273">
        <v>92</v>
      </c>
      <c r="N1273" t="s">
        <v>628</v>
      </c>
      <c r="O1273" t="s">
        <v>72</v>
      </c>
      <c r="P1273">
        <v>6505551386</v>
      </c>
      <c r="Q1273" t="s">
        <v>73</v>
      </c>
      <c r="S1273" t="s">
        <v>74</v>
      </c>
      <c r="T1273" t="s">
        <v>69</v>
      </c>
      <c r="V1273" t="s">
        <v>46</v>
      </c>
      <c r="W1273" t="s">
        <v>47</v>
      </c>
      <c r="X1273" t="s">
        <v>75</v>
      </c>
      <c r="Y1273" t="s">
        <v>71</v>
      </c>
      <c r="Z1273" t="s">
        <v>65</v>
      </c>
    </row>
    <row r="1274" spans="1:26" x14ac:dyDescent="0.3">
      <c r="A1274">
        <v>10173</v>
      </c>
      <c r="B1274">
        <v>21</v>
      </c>
      <c r="C1274">
        <v>75.459999999999994</v>
      </c>
      <c r="D1274">
        <v>14</v>
      </c>
      <c r="E1274">
        <v>1584.66</v>
      </c>
      <c r="F1274" s="1">
        <v>37930</v>
      </c>
      <c r="G1274" t="s">
        <v>39</v>
      </c>
      <c r="H1274">
        <v>4</v>
      </c>
      <c r="I1274">
        <v>11</v>
      </c>
      <c r="J1274" t="str">
        <f>TEXT(DATE(2012,Table1[[#This Row],[MONTH_ID]],10),"mmm")</f>
        <v>Nov</v>
      </c>
      <c r="K1274">
        <v>2003</v>
      </c>
      <c r="L1274" t="s">
        <v>564</v>
      </c>
      <c r="M1274">
        <v>92</v>
      </c>
      <c r="N1274" t="s">
        <v>628</v>
      </c>
      <c r="O1274" t="s">
        <v>566</v>
      </c>
      <c r="P1274" t="s">
        <v>567</v>
      </c>
      <c r="Q1274" t="s">
        <v>568</v>
      </c>
      <c r="S1274" t="s">
        <v>569</v>
      </c>
      <c r="U1274">
        <v>24100</v>
      </c>
      <c r="V1274" t="s">
        <v>272</v>
      </c>
      <c r="W1274" t="s">
        <v>56</v>
      </c>
      <c r="X1274" t="s">
        <v>570</v>
      </c>
      <c r="Y1274" t="s">
        <v>571</v>
      </c>
      <c r="Z1274" t="s">
        <v>50</v>
      </c>
    </row>
    <row r="1275" spans="1:26" x14ac:dyDescent="0.3">
      <c r="A1275">
        <v>10182</v>
      </c>
      <c r="B1275">
        <v>36</v>
      </c>
      <c r="C1275">
        <v>100</v>
      </c>
      <c r="D1275">
        <v>11</v>
      </c>
      <c r="E1275">
        <v>3942.72</v>
      </c>
      <c r="F1275" s="1">
        <v>37937</v>
      </c>
      <c r="G1275" t="s">
        <v>39</v>
      </c>
      <c r="H1275">
        <v>4</v>
      </c>
      <c r="I1275">
        <v>11</v>
      </c>
      <c r="J1275" t="str">
        <f>TEXT(DATE(2012,Table1[[#This Row],[MONTH_ID]],10),"mmm")</f>
        <v>Nov</v>
      </c>
      <c r="K1275">
        <v>2003</v>
      </c>
      <c r="L1275" t="s">
        <v>564</v>
      </c>
      <c r="M1275">
        <v>92</v>
      </c>
      <c r="N1275" t="s">
        <v>628</v>
      </c>
      <c r="O1275" t="s">
        <v>286</v>
      </c>
      <c r="P1275">
        <v>4155551450</v>
      </c>
      <c r="Q1275" t="s">
        <v>287</v>
      </c>
      <c r="S1275" t="s">
        <v>288</v>
      </c>
      <c r="T1275" t="s">
        <v>69</v>
      </c>
      <c r="U1275">
        <v>97562</v>
      </c>
      <c r="V1275" t="s">
        <v>46</v>
      </c>
      <c r="W1275" t="s">
        <v>47</v>
      </c>
      <c r="X1275" t="s">
        <v>289</v>
      </c>
      <c r="Y1275" t="s">
        <v>290</v>
      </c>
      <c r="Z1275" t="s">
        <v>65</v>
      </c>
    </row>
    <row r="1276" spans="1:26" x14ac:dyDescent="0.3">
      <c r="A1276">
        <v>10193</v>
      </c>
      <c r="B1276">
        <v>24</v>
      </c>
      <c r="C1276">
        <v>97.55</v>
      </c>
      <c r="D1276">
        <v>15</v>
      </c>
      <c r="E1276">
        <v>2341.1999999999998</v>
      </c>
      <c r="F1276" s="1">
        <v>37946</v>
      </c>
      <c r="G1276" t="s">
        <v>39</v>
      </c>
      <c r="H1276">
        <v>4</v>
      </c>
      <c r="I1276">
        <v>11</v>
      </c>
      <c r="J1276" t="str">
        <f>TEXT(DATE(2012,Table1[[#This Row],[MONTH_ID]],10),"mmm")</f>
        <v>Nov</v>
      </c>
      <c r="K1276">
        <v>2003</v>
      </c>
      <c r="L1276" t="s">
        <v>564</v>
      </c>
      <c r="M1276">
        <v>92</v>
      </c>
      <c r="N1276" t="s">
        <v>628</v>
      </c>
      <c r="O1276" t="s">
        <v>572</v>
      </c>
      <c r="P1276" t="s">
        <v>573</v>
      </c>
      <c r="Q1276" t="s">
        <v>574</v>
      </c>
      <c r="S1276" t="s">
        <v>575</v>
      </c>
      <c r="T1276" t="s">
        <v>108</v>
      </c>
      <c r="U1276">
        <v>3150</v>
      </c>
      <c r="V1276" t="s">
        <v>109</v>
      </c>
      <c r="W1276" t="s">
        <v>110</v>
      </c>
      <c r="X1276" t="s">
        <v>576</v>
      </c>
      <c r="Y1276" t="s">
        <v>577</v>
      </c>
      <c r="Z1276" t="s">
        <v>50</v>
      </c>
    </row>
    <row r="1277" spans="1:26" x14ac:dyDescent="0.3">
      <c r="A1277">
        <v>10204</v>
      </c>
      <c r="B1277">
        <v>29</v>
      </c>
      <c r="C1277">
        <v>85.59</v>
      </c>
      <c r="D1277">
        <v>5</v>
      </c>
      <c r="E1277">
        <v>2482.11</v>
      </c>
      <c r="F1277" s="1">
        <v>37957</v>
      </c>
      <c r="G1277" t="s">
        <v>39</v>
      </c>
      <c r="H1277">
        <v>4</v>
      </c>
      <c r="I1277">
        <v>12</v>
      </c>
      <c r="J1277" t="str">
        <f>TEXT(DATE(2012,Table1[[#This Row],[MONTH_ID]],10),"mmm")</f>
        <v>Dec</v>
      </c>
      <c r="K1277">
        <v>2003</v>
      </c>
      <c r="L1277" t="s">
        <v>564</v>
      </c>
      <c r="M1277">
        <v>92</v>
      </c>
      <c r="N1277" t="s">
        <v>628</v>
      </c>
      <c r="O1277" t="s">
        <v>489</v>
      </c>
      <c r="P1277">
        <v>2125557413</v>
      </c>
      <c r="Q1277" t="s">
        <v>490</v>
      </c>
      <c r="R1277" t="s">
        <v>491</v>
      </c>
      <c r="S1277" t="s">
        <v>44</v>
      </c>
      <c r="T1277" t="s">
        <v>45</v>
      </c>
      <c r="U1277">
        <v>10022</v>
      </c>
      <c r="V1277" t="s">
        <v>46</v>
      </c>
      <c r="W1277" t="s">
        <v>47</v>
      </c>
      <c r="X1277" t="s">
        <v>70</v>
      </c>
      <c r="Y1277" t="s">
        <v>492</v>
      </c>
      <c r="Z1277" t="s">
        <v>50</v>
      </c>
    </row>
    <row r="1278" spans="1:26" x14ac:dyDescent="0.3">
      <c r="A1278">
        <v>10213</v>
      </c>
      <c r="B1278">
        <v>38</v>
      </c>
      <c r="C1278">
        <v>94.79</v>
      </c>
      <c r="D1278">
        <v>1</v>
      </c>
      <c r="E1278">
        <v>3602.02</v>
      </c>
      <c r="F1278" s="1">
        <v>38008</v>
      </c>
      <c r="G1278" t="s">
        <v>39</v>
      </c>
      <c r="H1278">
        <v>1</v>
      </c>
      <c r="I1278">
        <v>1</v>
      </c>
      <c r="J1278" t="str">
        <f>TEXT(DATE(2012,Table1[[#This Row],[MONTH_ID]],10),"mmm")</f>
        <v>Jan</v>
      </c>
      <c r="K1278">
        <v>2004</v>
      </c>
      <c r="L1278" t="s">
        <v>564</v>
      </c>
      <c r="M1278">
        <v>92</v>
      </c>
      <c r="N1278" t="s">
        <v>628</v>
      </c>
      <c r="O1278" t="s">
        <v>360</v>
      </c>
      <c r="P1278" t="s">
        <v>361</v>
      </c>
      <c r="Q1278" t="s">
        <v>362</v>
      </c>
      <c r="S1278" t="s">
        <v>346</v>
      </c>
      <c r="U1278" t="s">
        <v>363</v>
      </c>
      <c r="V1278" t="s">
        <v>184</v>
      </c>
      <c r="W1278" t="s">
        <v>56</v>
      </c>
      <c r="X1278" t="s">
        <v>364</v>
      </c>
      <c r="Y1278" t="s">
        <v>365</v>
      </c>
      <c r="Z1278" t="s">
        <v>65</v>
      </c>
    </row>
    <row r="1279" spans="1:26" x14ac:dyDescent="0.3">
      <c r="A1279">
        <v>10227</v>
      </c>
      <c r="B1279">
        <v>34</v>
      </c>
      <c r="C1279">
        <v>100</v>
      </c>
      <c r="D1279">
        <v>11</v>
      </c>
      <c r="E1279">
        <v>3566.94</v>
      </c>
      <c r="F1279" s="1">
        <v>38048</v>
      </c>
      <c r="G1279" t="s">
        <v>39</v>
      </c>
      <c r="H1279">
        <v>1</v>
      </c>
      <c r="I1279">
        <v>3</v>
      </c>
      <c r="J1279" t="str">
        <f>TEXT(DATE(2012,Table1[[#This Row],[MONTH_ID]],10),"mmm")</f>
        <v>Mar</v>
      </c>
      <c r="K1279">
        <v>2004</v>
      </c>
      <c r="L1279" t="s">
        <v>564</v>
      </c>
      <c r="M1279">
        <v>92</v>
      </c>
      <c r="N1279" t="s">
        <v>628</v>
      </c>
      <c r="O1279" t="s">
        <v>233</v>
      </c>
      <c r="P1279" t="s">
        <v>234</v>
      </c>
      <c r="Q1279" t="s">
        <v>235</v>
      </c>
      <c r="S1279" t="s">
        <v>236</v>
      </c>
      <c r="U1279">
        <v>69004</v>
      </c>
      <c r="V1279" t="s">
        <v>55</v>
      </c>
      <c r="W1279" t="s">
        <v>56</v>
      </c>
      <c r="X1279" t="s">
        <v>237</v>
      </c>
      <c r="Y1279" t="s">
        <v>238</v>
      </c>
      <c r="Z1279" t="s">
        <v>65</v>
      </c>
    </row>
    <row r="1280" spans="1:26" x14ac:dyDescent="0.3">
      <c r="A1280">
        <v>10241</v>
      </c>
      <c r="B1280">
        <v>42</v>
      </c>
      <c r="C1280">
        <v>90.19</v>
      </c>
      <c r="D1280">
        <v>3</v>
      </c>
      <c r="E1280">
        <v>3787.98</v>
      </c>
      <c r="F1280" s="1">
        <v>38090</v>
      </c>
      <c r="G1280" t="s">
        <v>39</v>
      </c>
      <c r="H1280">
        <v>2</v>
      </c>
      <c r="I1280">
        <v>4</v>
      </c>
      <c r="J1280" t="str">
        <f>TEXT(DATE(2012,Table1[[#This Row],[MONTH_ID]],10),"mmm")</f>
        <v>Apr</v>
      </c>
      <c r="K1280">
        <v>2004</v>
      </c>
      <c r="L1280" t="s">
        <v>564</v>
      </c>
      <c r="M1280">
        <v>92</v>
      </c>
      <c r="N1280" t="s">
        <v>628</v>
      </c>
      <c r="O1280" t="s">
        <v>545</v>
      </c>
      <c r="P1280" t="s">
        <v>546</v>
      </c>
      <c r="Q1280" t="s">
        <v>547</v>
      </c>
      <c r="S1280" t="s">
        <v>548</v>
      </c>
      <c r="U1280">
        <v>67000</v>
      </c>
      <c r="V1280" t="s">
        <v>55</v>
      </c>
      <c r="W1280" t="s">
        <v>56</v>
      </c>
      <c r="X1280" t="s">
        <v>549</v>
      </c>
      <c r="Y1280" t="s">
        <v>550</v>
      </c>
      <c r="Z1280" t="s">
        <v>65</v>
      </c>
    </row>
    <row r="1281" spans="1:26" x14ac:dyDescent="0.3">
      <c r="A1281">
        <v>10280</v>
      </c>
      <c r="B1281">
        <v>35</v>
      </c>
      <c r="C1281">
        <v>100</v>
      </c>
      <c r="D1281">
        <v>17</v>
      </c>
      <c r="E1281">
        <v>3704.05</v>
      </c>
      <c r="F1281" s="1">
        <v>38216</v>
      </c>
      <c r="G1281" t="s">
        <v>39</v>
      </c>
      <c r="H1281">
        <v>3</v>
      </c>
      <c r="I1281">
        <v>8</v>
      </c>
      <c r="J1281" t="str">
        <f>TEXT(DATE(2012,Table1[[#This Row],[MONTH_ID]],10),"mmm")</f>
        <v>Aug</v>
      </c>
      <c r="K1281">
        <v>2004</v>
      </c>
      <c r="L1281" t="s">
        <v>564</v>
      </c>
      <c r="M1281">
        <v>92</v>
      </c>
      <c r="N1281" t="s">
        <v>628</v>
      </c>
      <c r="O1281" t="s">
        <v>268</v>
      </c>
      <c r="P1281" t="s">
        <v>269</v>
      </c>
      <c r="Q1281" t="s">
        <v>270</v>
      </c>
      <c r="S1281" t="s">
        <v>271</v>
      </c>
      <c r="U1281">
        <v>10100</v>
      </c>
      <c r="V1281" t="s">
        <v>272</v>
      </c>
      <c r="W1281" t="s">
        <v>56</v>
      </c>
      <c r="X1281" t="s">
        <v>273</v>
      </c>
      <c r="Y1281" t="s">
        <v>274</v>
      </c>
      <c r="Z1281" t="s">
        <v>65</v>
      </c>
    </row>
    <row r="1282" spans="1:26" x14ac:dyDescent="0.3">
      <c r="A1282">
        <v>10288</v>
      </c>
      <c r="B1282">
        <v>35</v>
      </c>
      <c r="C1282">
        <v>80.989999999999995</v>
      </c>
      <c r="D1282">
        <v>6</v>
      </c>
      <c r="E1282">
        <v>2834.65</v>
      </c>
      <c r="F1282" s="1">
        <v>38231</v>
      </c>
      <c r="G1282" t="s">
        <v>39</v>
      </c>
      <c r="H1282">
        <v>3</v>
      </c>
      <c r="I1282">
        <v>9</v>
      </c>
      <c r="J1282" t="str">
        <f>TEXT(DATE(2012,Table1[[#This Row],[MONTH_ID]],10),"mmm")</f>
        <v>Sep</v>
      </c>
      <c r="K1282">
        <v>2004</v>
      </c>
      <c r="L1282" t="s">
        <v>564</v>
      </c>
      <c r="M1282">
        <v>92</v>
      </c>
      <c r="N1282" t="s">
        <v>628</v>
      </c>
      <c r="O1282" t="s">
        <v>432</v>
      </c>
      <c r="P1282" t="s">
        <v>433</v>
      </c>
      <c r="Q1282" t="s">
        <v>434</v>
      </c>
      <c r="R1282" t="s">
        <v>435</v>
      </c>
      <c r="S1282" t="s">
        <v>213</v>
      </c>
      <c r="U1282">
        <v>69045</v>
      </c>
      <c r="V1282" t="s">
        <v>213</v>
      </c>
      <c r="W1282" t="s">
        <v>110</v>
      </c>
      <c r="X1282" t="s">
        <v>436</v>
      </c>
      <c r="Y1282" t="s">
        <v>437</v>
      </c>
      <c r="Z1282" t="s">
        <v>50</v>
      </c>
    </row>
    <row r="1283" spans="1:26" x14ac:dyDescent="0.3">
      <c r="A1283">
        <v>10302</v>
      </c>
      <c r="B1283">
        <v>38</v>
      </c>
      <c r="C1283">
        <v>89.27</v>
      </c>
      <c r="D1283">
        <v>2</v>
      </c>
      <c r="E1283">
        <v>3392.26</v>
      </c>
      <c r="F1283" s="1">
        <v>37900</v>
      </c>
      <c r="G1283" t="s">
        <v>39</v>
      </c>
      <c r="H1283">
        <v>4</v>
      </c>
      <c r="I1283">
        <v>10</v>
      </c>
      <c r="J1283" t="str">
        <f>TEXT(DATE(2012,Table1[[#This Row],[MONTH_ID]],10),"mmm")</f>
        <v>Oct</v>
      </c>
      <c r="K1283">
        <v>2003</v>
      </c>
      <c r="L1283" t="s">
        <v>564</v>
      </c>
      <c r="M1283">
        <v>92</v>
      </c>
      <c r="N1283" t="s">
        <v>628</v>
      </c>
      <c r="O1283" t="s">
        <v>179</v>
      </c>
      <c r="P1283" t="s">
        <v>180</v>
      </c>
      <c r="Q1283" t="s">
        <v>181</v>
      </c>
      <c r="S1283" t="s">
        <v>182</v>
      </c>
      <c r="U1283" t="s">
        <v>183</v>
      </c>
      <c r="V1283" t="s">
        <v>184</v>
      </c>
      <c r="W1283" t="s">
        <v>56</v>
      </c>
      <c r="X1283" t="s">
        <v>185</v>
      </c>
      <c r="Y1283" t="s">
        <v>186</v>
      </c>
      <c r="Z1283" t="s">
        <v>65</v>
      </c>
    </row>
    <row r="1284" spans="1:26" x14ac:dyDescent="0.3">
      <c r="A1284">
        <v>10311</v>
      </c>
      <c r="B1284">
        <v>41</v>
      </c>
      <c r="C1284">
        <v>81.91</v>
      </c>
      <c r="D1284">
        <v>1</v>
      </c>
      <c r="E1284">
        <v>3358.31</v>
      </c>
      <c r="F1284" s="1">
        <v>38276</v>
      </c>
      <c r="G1284" t="s">
        <v>39</v>
      </c>
      <c r="H1284">
        <v>4</v>
      </c>
      <c r="I1284">
        <v>10</v>
      </c>
      <c r="J1284" t="str">
        <f>TEXT(DATE(2012,Table1[[#This Row],[MONTH_ID]],10),"mmm")</f>
        <v>Oct</v>
      </c>
      <c r="K1284">
        <v>2004</v>
      </c>
      <c r="L1284" t="s">
        <v>564</v>
      </c>
      <c r="M1284">
        <v>92</v>
      </c>
      <c r="N1284" t="s">
        <v>628</v>
      </c>
      <c r="O1284" t="s">
        <v>188</v>
      </c>
      <c r="P1284" t="s">
        <v>189</v>
      </c>
      <c r="Q1284" t="s">
        <v>190</v>
      </c>
      <c r="S1284" t="s">
        <v>191</v>
      </c>
      <c r="U1284">
        <v>28034</v>
      </c>
      <c r="V1284" t="s">
        <v>192</v>
      </c>
      <c r="W1284" t="s">
        <v>56</v>
      </c>
      <c r="X1284" t="s">
        <v>193</v>
      </c>
      <c r="Y1284" t="s">
        <v>194</v>
      </c>
      <c r="Z1284" t="s">
        <v>65</v>
      </c>
    </row>
    <row r="1285" spans="1:26" x14ac:dyDescent="0.3">
      <c r="A1285">
        <v>10332</v>
      </c>
      <c r="B1285">
        <v>50</v>
      </c>
      <c r="C1285">
        <v>100</v>
      </c>
      <c r="D1285">
        <v>2</v>
      </c>
      <c r="E1285">
        <v>7310</v>
      </c>
      <c r="F1285" s="1">
        <v>38308</v>
      </c>
      <c r="G1285" t="s">
        <v>39</v>
      </c>
      <c r="H1285">
        <v>4</v>
      </c>
      <c r="I1285">
        <v>11</v>
      </c>
      <c r="J1285" t="str">
        <f>TEXT(DATE(2012,Table1[[#This Row],[MONTH_ID]],10),"mmm")</f>
        <v>Nov</v>
      </c>
      <c r="K1285">
        <v>2004</v>
      </c>
      <c r="L1285" t="s">
        <v>564</v>
      </c>
      <c r="M1285">
        <v>92</v>
      </c>
      <c r="N1285" t="s">
        <v>628</v>
      </c>
      <c r="O1285" t="s">
        <v>506</v>
      </c>
      <c r="P1285" t="s">
        <v>507</v>
      </c>
      <c r="Q1285" t="s">
        <v>508</v>
      </c>
      <c r="S1285" t="s">
        <v>509</v>
      </c>
      <c r="U1285" t="s">
        <v>510</v>
      </c>
      <c r="V1285" t="s">
        <v>184</v>
      </c>
      <c r="W1285" t="s">
        <v>56</v>
      </c>
      <c r="X1285" t="s">
        <v>511</v>
      </c>
      <c r="Y1285" t="s">
        <v>108</v>
      </c>
      <c r="Z1285" t="s">
        <v>165</v>
      </c>
    </row>
    <row r="1286" spans="1:26" x14ac:dyDescent="0.3">
      <c r="A1286">
        <v>10344</v>
      </c>
      <c r="B1286">
        <v>21</v>
      </c>
      <c r="C1286">
        <v>100</v>
      </c>
      <c r="D1286">
        <v>4</v>
      </c>
      <c r="E1286">
        <v>2203.11</v>
      </c>
      <c r="F1286" s="1">
        <v>38316</v>
      </c>
      <c r="G1286" t="s">
        <v>39</v>
      </c>
      <c r="H1286">
        <v>4</v>
      </c>
      <c r="I1286">
        <v>11</v>
      </c>
      <c r="J1286" t="str">
        <f>TEXT(DATE(2012,Table1[[#This Row],[MONTH_ID]],10),"mmm")</f>
        <v>Nov</v>
      </c>
      <c r="K1286">
        <v>2004</v>
      </c>
      <c r="L1286" t="s">
        <v>564</v>
      </c>
      <c r="M1286">
        <v>92</v>
      </c>
      <c r="N1286" t="s">
        <v>628</v>
      </c>
      <c r="O1286" t="s">
        <v>447</v>
      </c>
      <c r="P1286" t="s">
        <v>448</v>
      </c>
      <c r="Q1286" t="s">
        <v>449</v>
      </c>
      <c r="S1286" t="s">
        <v>450</v>
      </c>
      <c r="U1286">
        <v>13008</v>
      </c>
      <c r="V1286" t="s">
        <v>55</v>
      </c>
      <c r="W1286" t="s">
        <v>56</v>
      </c>
      <c r="X1286" t="s">
        <v>451</v>
      </c>
      <c r="Y1286" t="s">
        <v>452</v>
      </c>
      <c r="Z1286" t="s">
        <v>50</v>
      </c>
    </row>
    <row r="1287" spans="1:26" x14ac:dyDescent="0.3">
      <c r="A1287">
        <v>10367</v>
      </c>
      <c r="B1287">
        <v>43</v>
      </c>
      <c r="C1287">
        <v>62.72</v>
      </c>
      <c r="D1287">
        <v>8</v>
      </c>
      <c r="E1287">
        <v>2696.96</v>
      </c>
      <c r="F1287" s="1">
        <v>38364</v>
      </c>
      <c r="G1287" t="s">
        <v>422</v>
      </c>
      <c r="H1287">
        <v>1</v>
      </c>
      <c r="I1287">
        <v>1</v>
      </c>
      <c r="J1287" t="str">
        <f>TEXT(DATE(2012,Table1[[#This Row],[MONTH_ID]],10),"mmm")</f>
        <v>Jan</v>
      </c>
      <c r="K1287">
        <v>2005</v>
      </c>
      <c r="L1287" t="s">
        <v>564</v>
      </c>
      <c r="M1287">
        <v>92</v>
      </c>
      <c r="N1287" t="s">
        <v>628</v>
      </c>
      <c r="O1287" t="s">
        <v>66</v>
      </c>
      <c r="P1287">
        <v>6265557265</v>
      </c>
      <c r="Q1287" t="s">
        <v>67</v>
      </c>
      <c r="S1287" t="s">
        <v>68</v>
      </c>
      <c r="T1287" t="s">
        <v>69</v>
      </c>
      <c r="U1287">
        <v>90003</v>
      </c>
      <c r="V1287" t="s">
        <v>46</v>
      </c>
      <c r="W1287" t="s">
        <v>47</v>
      </c>
      <c r="X1287" t="s">
        <v>70</v>
      </c>
      <c r="Y1287" t="s">
        <v>71</v>
      </c>
      <c r="Z1287" t="s">
        <v>50</v>
      </c>
    </row>
    <row r="1288" spans="1:26" x14ac:dyDescent="0.3">
      <c r="A1288">
        <v>10380</v>
      </c>
      <c r="B1288">
        <v>32</v>
      </c>
      <c r="C1288">
        <v>100</v>
      </c>
      <c r="D1288">
        <v>1</v>
      </c>
      <c r="E1288">
        <v>3376.64</v>
      </c>
      <c r="F1288" s="1">
        <v>38399</v>
      </c>
      <c r="G1288" t="s">
        <v>39</v>
      </c>
      <c r="H1288">
        <v>1</v>
      </c>
      <c r="I1288">
        <v>2</v>
      </c>
      <c r="J1288" t="str">
        <f>TEXT(DATE(2012,Table1[[#This Row],[MONTH_ID]],10),"mmm")</f>
        <v>Feb</v>
      </c>
      <c r="K1288">
        <v>2005</v>
      </c>
      <c r="L1288" t="s">
        <v>564</v>
      </c>
      <c r="M1288">
        <v>92</v>
      </c>
      <c r="N1288" t="s">
        <v>628</v>
      </c>
      <c r="O1288" t="s">
        <v>188</v>
      </c>
      <c r="P1288" t="s">
        <v>189</v>
      </c>
      <c r="Q1288" t="s">
        <v>190</v>
      </c>
      <c r="S1288" t="s">
        <v>191</v>
      </c>
      <c r="U1288">
        <v>28034</v>
      </c>
      <c r="V1288" t="s">
        <v>192</v>
      </c>
      <c r="W1288" t="s">
        <v>56</v>
      </c>
      <c r="X1288" t="s">
        <v>193</v>
      </c>
      <c r="Y1288" t="s">
        <v>194</v>
      </c>
      <c r="Z1288" t="s">
        <v>65</v>
      </c>
    </row>
    <row r="1289" spans="1:26" x14ac:dyDescent="0.3">
      <c r="A1289">
        <v>10407</v>
      </c>
      <c r="B1289">
        <v>6</v>
      </c>
      <c r="C1289">
        <v>90.19</v>
      </c>
      <c r="D1289">
        <v>3</v>
      </c>
      <c r="E1289">
        <v>541.14</v>
      </c>
      <c r="F1289" s="1">
        <v>38464</v>
      </c>
      <c r="G1289" t="s">
        <v>415</v>
      </c>
      <c r="H1289">
        <v>2</v>
      </c>
      <c r="I1289">
        <v>4</v>
      </c>
      <c r="J1289" t="str">
        <f>TEXT(DATE(2012,Table1[[#This Row],[MONTH_ID]],10),"mmm")</f>
        <v>Apr</v>
      </c>
      <c r="K1289">
        <v>2005</v>
      </c>
      <c r="L1289" t="s">
        <v>564</v>
      </c>
      <c r="M1289">
        <v>92</v>
      </c>
      <c r="N1289" t="s">
        <v>628</v>
      </c>
      <c r="O1289" t="s">
        <v>411</v>
      </c>
      <c r="P1289">
        <v>4085553659</v>
      </c>
      <c r="Q1289" t="s">
        <v>412</v>
      </c>
      <c r="S1289" t="s">
        <v>413</v>
      </c>
      <c r="T1289" t="s">
        <v>69</v>
      </c>
      <c r="U1289">
        <v>94217</v>
      </c>
      <c r="V1289" t="s">
        <v>46</v>
      </c>
      <c r="W1289" t="s">
        <v>47</v>
      </c>
      <c r="X1289" t="s">
        <v>116</v>
      </c>
      <c r="Y1289" t="s">
        <v>414</v>
      </c>
      <c r="Z1289" t="s">
        <v>50</v>
      </c>
    </row>
    <row r="1290" spans="1:26" x14ac:dyDescent="0.3">
      <c r="A1290">
        <v>10420</v>
      </c>
      <c r="B1290">
        <v>66</v>
      </c>
      <c r="C1290">
        <v>92.95</v>
      </c>
      <c r="D1290">
        <v>6</v>
      </c>
      <c r="E1290">
        <v>6134.7</v>
      </c>
      <c r="F1290" s="1">
        <v>38501</v>
      </c>
      <c r="G1290" t="s">
        <v>314</v>
      </c>
      <c r="H1290">
        <v>2</v>
      </c>
      <c r="I1290">
        <v>5</v>
      </c>
      <c r="J1290" t="str">
        <f>TEXT(DATE(2012,Table1[[#This Row],[MONTH_ID]],10),"mmm")</f>
        <v>May</v>
      </c>
      <c r="K1290">
        <v>2005</v>
      </c>
      <c r="L1290" t="s">
        <v>564</v>
      </c>
      <c r="M1290">
        <v>92</v>
      </c>
      <c r="N1290" t="s">
        <v>628</v>
      </c>
      <c r="O1290" t="s">
        <v>166</v>
      </c>
      <c r="P1290" t="s">
        <v>167</v>
      </c>
      <c r="Q1290" t="s">
        <v>168</v>
      </c>
      <c r="R1290" t="s">
        <v>169</v>
      </c>
      <c r="S1290" t="s">
        <v>170</v>
      </c>
      <c r="T1290" t="s">
        <v>171</v>
      </c>
      <c r="U1290">
        <v>2067</v>
      </c>
      <c r="V1290" t="s">
        <v>109</v>
      </c>
      <c r="W1290" t="s">
        <v>110</v>
      </c>
      <c r="X1290" t="s">
        <v>172</v>
      </c>
      <c r="Y1290" t="s">
        <v>173</v>
      </c>
      <c r="Z1290" t="s">
        <v>65</v>
      </c>
    </row>
    <row r="1291" spans="1:26" x14ac:dyDescent="0.3">
      <c r="A1291">
        <v>10105</v>
      </c>
      <c r="B1291">
        <v>41</v>
      </c>
      <c r="C1291">
        <v>82.5</v>
      </c>
      <c r="D1291">
        <v>10</v>
      </c>
      <c r="E1291">
        <v>3382.5</v>
      </c>
      <c r="F1291" s="1">
        <v>37663</v>
      </c>
      <c r="G1291" t="s">
        <v>39</v>
      </c>
      <c r="H1291">
        <v>1</v>
      </c>
      <c r="I1291">
        <v>2</v>
      </c>
      <c r="J1291" t="str">
        <f>TEXT(DATE(2012,Table1[[#This Row],[MONTH_ID]],10),"mmm")</f>
        <v>Feb</v>
      </c>
      <c r="K1291">
        <v>2003</v>
      </c>
      <c r="L1291" t="s">
        <v>564</v>
      </c>
      <c r="M1291">
        <v>87</v>
      </c>
      <c r="N1291" t="s">
        <v>629</v>
      </c>
      <c r="O1291" t="s">
        <v>336</v>
      </c>
      <c r="P1291" t="s">
        <v>337</v>
      </c>
      <c r="Q1291" t="s">
        <v>338</v>
      </c>
      <c r="S1291" t="s">
        <v>339</v>
      </c>
      <c r="U1291">
        <v>1734</v>
      </c>
      <c r="V1291" t="s">
        <v>340</v>
      </c>
      <c r="W1291" t="s">
        <v>56</v>
      </c>
      <c r="X1291" t="s">
        <v>341</v>
      </c>
      <c r="Y1291" t="s">
        <v>342</v>
      </c>
      <c r="Z1291" t="s">
        <v>65</v>
      </c>
    </row>
    <row r="1292" spans="1:26" x14ac:dyDescent="0.3">
      <c r="A1292">
        <v>10117</v>
      </c>
      <c r="B1292">
        <v>23</v>
      </c>
      <c r="C1292">
        <v>97.42</v>
      </c>
      <c r="D1292">
        <v>4</v>
      </c>
      <c r="E1292">
        <v>2240.66</v>
      </c>
      <c r="F1292" s="1">
        <v>37727</v>
      </c>
      <c r="G1292" t="s">
        <v>39</v>
      </c>
      <c r="H1292">
        <v>2</v>
      </c>
      <c r="I1292">
        <v>4</v>
      </c>
      <c r="J1292" t="str">
        <f>TEXT(DATE(2012,Table1[[#This Row],[MONTH_ID]],10),"mmm")</f>
        <v>Apr</v>
      </c>
      <c r="K1292">
        <v>2003</v>
      </c>
      <c r="L1292" t="s">
        <v>564</v>
      </c>
      <c r="M1292">
        <v>87</v>
      </c>
      <c r="N1292" t="s">
        <v>629</v>
      </c>
      <c r="O1292" t="s">
        <v>210</v>
      </c>
      <c r="P1292" t="s">
        <v>211</v>
      </c>
      <c r="Q1292" t="s">
        <v>212</v>
      </c>
      <c r="S1292" t="s">
        <v>213</v>
      </c>
      <c r="U1292">
        <v>79903</v>
      </c>
      <c r="V1292" t="s">
        <v>213</v>
      </c>
      <c r="W1292" t="s">
        <v>214</v>
      </c>
      <c r="X1292" t="s">
        <v>215</v>
      </c>
      <c r="Y1292" t="s">
        <v>216</v>
      </c>
      <c r="Z1292" t="s">
        <v>50</v>
      </c>
    </row>
    <row r="1293" spans="1:26" x14ac:dyDescent="0.3">
      <c r="A1293">
        <v>10128</v>
      </c>
      <c r="B1293">
        <v>43</v>
      </c>
      <c r="C1293">
        <v>92.16</v>
      </c>
      <c r="D1293">
        <v>1</v>
      </c>
      <c r="E1293">
        <v>3962.88</v>
      </c>
      <c r="F1293" s="1">
        <v>37778</v>
      </c>
      <c r="G1293" t="s">
        <v>39</v>
      </c>
      <c r="H1293">
        <v>2</v>
      </c>
      <c r="I1293">
        <v>6</v>
      </c>
      <c r="J1293" t="str">
        <f>TEXT(DATE(2012,Table1[[#This Row],[MONTH_ID]],10),"mmm")</f>
        <v>Jun</v>
      </c>
      <c r="K1293">
        <v>2003</v>
      </c>
      <c r="L1293" t="s">
        <v>564</v>
      </c>
      <c r="M1293">
        <v>87</v>
      </c>
      <c r="N1293" t="s">
        <v>629</v>
      </c>
      <c r="O1293" t="s">
        <v>188</v>
      </c>
      <c r="P1293" t="s">
        <v>189</v>
      </c>
      <c r="Q1293" t="s">
        <v>190</v>
      </c>
      <c r="S1293" t="s">
        <v>191</v>
      </c>
      <c r="U1293">
        <v>28034</v>
      </c>
      <c r="V1293" t="s">
        <v>192</v>
      </c>
      <c r="W1293" t="s">
        <v>56</v>
      </c>
      <c r="X1293" t="s">
        <v>193</v>
      </c>
      <c r="Y1293" t="s">
        <v>194</v>
      </c>
      <c r="Z1293" t="s">
        <v>65</v>
      </c>
    </row>
    <row r="1294" spans="1:26" x14ac:dyDescent="0.3">
      <c r="A1294">
        <v>10142</v>
      </c>
      <c r="B1294">
        <v>24</v>
      </c>
      <c r="C1294">
        <v>70.22</v>
      </c>
      <c r="D1294">
        <v>7</v>
      </c>
      <c r="E1294">
        <v>1685.28</v>
      </c>
      <c r="F1294" s="1">
        <v>37841</v>
      </c>
      <c r="G1294" t="s">
        <v>39</v>
      </c>
      <c r="H1294">
        <v>3</v>
      </c>
      <c r="I1294">
        <v>8</v>
      </c>
      <c r="J1294" t="str">
        <f>TEXT(DATE(2012,Table1[[#This Row],[MONTH_ID]],10),"mmm")</f>
        <v>Aug</v>
      </c>
      <c r="K1294">
        <v>2003</v>
      </c>
      <c r="L1294" t="s">
        <v>564</v>
      </c>
      <c r="M1294">
        <v>87</v>
      </c>
      <c r="N1294" t="s">
        <v>629</v>
      </c>
      <c r="O1294" t="s">
        <v>286</v>
      </c>
      <c r="P1294">
        <v>4155551450</v>
      </c>
      <c r="Q1294" t="s">
        <v>287</v>
      </c>
      <c r="S1294" t="s">
        <v>288</v>
      </c>
      <c r="T1294" t="s">
        <v>69</v>
      </c>
      <c r="U1294">
        <v>97562</v>
      </c>
      <c r="V1294" t="s">
        <v>46</v>
      </c>
      <c r="W1294" t="s">
        <v>47</v>
      </c>
      <c r="X1294" t="s">
        <v>289</v>
      </c>
      <c r="Y1294" t="s">
        <v>290</v>
      </c>
      <c r="Z1294" t="s">
        <v>50</v>
      </c>
    </row>
    <row r="1295" spans="1:26" x14ac:dyDescent="0.3">
      <c r="A1295">
        <v>10153</v>
      </c>
      <c r="B1295">
        <v>22</v>
      </c>
      <c r="C1295">
        <v>83.38</v>
      </c>
      <c r="D1295">
        <v>6</v>
      </c>
      <c r="E1295">
        <v>1834.36</v>
      </c>
      <c r="F1295" s="1">
        <v>37892</v>
      </c>
      <c r="G1295" t="s">
        <v>39</v>
      </c>
      <c r="H1295">
        <v>3</v>
      </c>
      <c r="I1295">
        <v>9</v>
      </c>
      <c r="J1295" t="str">
        <f>TEXT(DATE(2012,Table1[[#This Row],[MONTH_ID]],10),"mmm")</f>
        <v>Sep</v>
      </c>
      <c r="K1295">
        <v>2003</v>
      </c>
      <c r="L1295" t="s">
        <v>564</v>
      </c>
      <c r="M1295">
        <v>87</v>
      </c>
      <c r="N1295" t="s">
        <v>629</v>
      </c>
      <c r="O1295" t="s">
        <v>188</v>
      </c>
      <c r="P1295" t="s">
        <v>189</v>
      </c>
      <c r="Q1295" t="s">
        <v>190</v>
      </c>
      <c r="S1295" t="s">
        <v>191</v>
      </c>
      <c r="U1295">
        <v>28034</v>
      </c>
      <c r="V1295" t="s">
        <v>192</v>
      </c>
      <c r="W1295" t="s">
        <v>56</v>
      </c>
      <c r="X1295" t="s">
        <v>193</v>
      </c>
      <c r="Y1295" t="s">
        <v>194</v>
      </c>
      <c r="Z1295" t="s">
        <v>50</v>
      </c>
    </row>
    <row r="1296" spans="1:26" x14ac:dyDescent="0.3">
      <c r="A1296">
        <v>10166</v>
      </c>
      <c r="B1296">
        <v>26</v>
      </c>
      <c r="C1296">
        <v>73.73</v>
      </c>
      <c r="D1296">
        <v>1</v>
      </c>
      <c r="E1296">
        <v>1916.98</v>
      </c>
      <c r="F1296" s="1">
        <v>37915</v>
      </c>
      <c r="G1296" t="s">
        <v>39</v>
      </c>
      <c r="H1296">
        <v>4</v>
      </c>
      <c r="I1296">
        <v>10</v>
      </c>
      <c r="J1296" t="str">
        <f>TEXT(DATE(2012,Table1[[#This Row],[MONTH_ID]],10),"mmm")</f>
        <v>Oct</v>
      </c>
      <c r="K1296">
        <v>2003</v>
      </c>
      <c r="L1296" t="s">
        <v>564</v>
      </c>
      <c r="M1296">
        <v>87</v>
      </c>
      <c r="N1296" t="s">
        <v>629</v>
      </c>
      <c r="O1296" t="s">
        <v>174</v>
      </c>
      <c r="P1296">
        <v>5085552555</v>
      </c>
      <c r="Q1296" t="s">
        <v>175</v>
      </c>
      <c r="S1296" t="s">
        <v>176</v>
      </c>
      <c r="T1296" t="s">
        <v>137</v>
      </c>
      <c r="U1296">
        <v>50553</v>
      </c>
      <c r="V1296" t="s">
        <v>46</v>
      </c>
      <c r="W1296" t="s">
        <v>47</v>
      </c>
      <c r="X1296" t="s">
        <v>177</v>
      </c>
      <c r="Y1296" t="s">
        <v>178</v>
      </c>
      <c r="Z1296" t="s">
        <v>50</v>
      </c>
    </row>
    <row r="1297" spans="1:26" x14ac:dyDescent="0.3">
      <c r="A1297">
        <v>10177</v>
      </c>
      <c r="B1297">
        <v>35</v>
      </c>
      <c r="C1297">
        <v>74.599999999999994</v>
      </c>
      <c r="D1297">
        <v>8</v>
      </c>
      <c r="E1297">
        <v>2611</v>
      </c>
      <c r="F1297" s="1">
        <v>37932</v>
      </c>
      <c r="G1297" t="s">
        <v>39</v>
      </c>
      <c r="H1297">
        <v>4</v>
      </c>
      <c r="I1297">
        <v>11</v>
      </c>
      <c r="J1297" t="str">
        <f>TEXT(DATE(2012,Table1[[#This Row],[MONTH_ID]],10),"mmm")</f>
        <v>Nov</v>
      </c>
      <c r="K1297">
        <v>2003</v>
      </c>
      <c r="L1297" t="s">
        <v>564</v>
      </c>
      <c r="M1297">
        <v>87</v>
      </c>
      <c r="N1297" t="s">
        <v>629</v>
      </c>
      <c r="O1297" t="s">
        <v>501</v>
      </c>
      <c r="P1297" t="s">
        <v>502</v>
      </c>
      <c r="Q1297" t="s">
        <v>503</v>
      </c>
      <c r="S1297" t="s">
        <v>191</v>
      </c>
      <c r="U1297">
        <v>28023</v>
      </c>
      <c r="V1297" t="s">
        <v>192</v>
      </c>
      <c r="W1297" t="s">
        <v>56</v>
      </c>
      <c r="X1297" t="s">
        <v>504</v>
      </c>
      <c r="Y1297" t="s">
        <v>505</v>
      </c>
      <c r="Z1297" t="s">
        <v>50</v>
      </c>
    </row>
    <row r="1298" spans="1:26" x14ac:dyDescent="0.3">
      <c r="A1298">
        <v>10185</v>
      </c>
      <c r="B1298">
        <v>47</v>
      </c>
      <c r="C1298">
        <v>77.239999999999995</v>
      </c>
      <c r="D1298">
        <v>8</v>
      </c>
      <c r="E1298">
        <v>3630.28</v>
      </c>
      <c r="F1298" s="1">
        <v>37939</v>
      </c>
      <c r="G1298" t="s">
        <v>39</v>
      </c>
      <c r="H1298">
        <v>4</v>
      </c>
      <c r="I1298">
        <v>11</v>
      </c>
      <c r="J1298" t="str">
        <f>TEXT(DATE(2012,Table1[[#This Row],[MONTH_ID]],10),"mmm")</f>
        <v>Nov</v>
      </c>
      <c r="K1298">
        <v>2003</v>
      </c>
      <c r="L1298" t="s">
        <v>564</v>
      </c>
      <c r="M1298">
        <v>87</v>
      </c>
      <c r="N1298" t="s">
        <v>629</v>
      </c>
      <c r="O1298" t="s">
        <v>349</v>
      </c>
      <c r="P1298">
        <v>5085559555</v>
      </c>
      <c r="Q1298" t="s">
        <v>350</v>
      </c>
      <c r="S1298" t="s">
        <v>176</v>
      </c>
      <c r="T1298" t="s">
        <v>137</v>
      </c>
      <c r="U1298">
        <v>50553</v>
      </c>
      <c r="V1298" t="s">
        <v>46</v>
      </c>
      <c r="W1298" t="s">
        <v>47</v>
      </c>
      <c r="X1298" t="s">
        <v>351</v>
      </c>
      <c r="Y1298" t="s">
        <v>352</v>
      </c>
      <c r="Z1298" t="s">
        <v>65</v>
      </c>
    </row>
    <row r="1299" spans="1:26" x14ac:dyDescent="0.3">
      <c r="A1299">
        <v>10197</v>
      </c>
      <c r="B1299">
        <v>50</v>
      </c>
      <c r="C1299">
        <v>100</v>
      </c>
      <c r="D1299">
        <v>14</v>
      </c>
      <c r="E1299">
        <v>5090.5</v>
      </c>
      <c r="F1299" s="1">
        <v>37951</v>
      </c>
      <c r="G1299" t="s">
        <v>39</v>
      </c>
      <c r="H1299">
        <v>4</v>
      </c>
      <c r="I1299">
        <v>11</v>
      </c>
      <c r="J1299" t="str">
        <f>TEXT(DATE(2012,Table1[[#This Row],[MONTH_ID]],10),"mmm")</f>
        <v>Nov</v>
      </c>
      <c r="K1299">
        <v>2003</v>
      </c>
      <c r="L1299" t="s">
        <v>564</v>
      </c>
      <c r="M1299">
        <v>87</v>
      </c>
      <c r="N1299" t="s">
        <v>629</v>
      </c>
      <c r="O1299" t="s">
        <v>366</v>
      </c>
      <c r="P1299" t="s">
        <v>367</v>
      </c>
      <c r="Q1299" t="s">
        <v>368</v>
      </c>
      <c r="S1299" t="s">
        <v>369</v>
      </c>
      <c r="U1299">
        <v>8022</v>
      </c>
      <c r="V1299" t="s">
        <v>192</v>
      </c>
      <c r="W1299" t="s">
        <v>56</v>
      </c>
      <c r="X1299" t="s">
        <v>370</v>
      </c>
      <c r="Y1299" t="s">
        <v>371</v>
      </c>
      <c r="Z1299" t="s">
        <v>65</v>
      </c>
    </row>
    <row r="1300" spans="1:26" x14ac:dyDescent="0.3">
      <c r="A1300">
        <v>10208</v>
      </c>
      <c r="B1300">
        <v>45</v>
      </c>
      <c r="C1300">
        <v>87.77</v>
      </c>
      <c r="D1300">
        <v>8</v>
      </c>
      <c r="E1300">
        <v>3949.65</v>
      </c>
      <c r="F1300" s="1">
        <v>37988</v>
      </c>
      <c r="G1300" t="s">
        <v>39</v>
      </c>
      <c r="H1300">
        <v>1</v>
      </c>
      <c r="I1300">
        <v>1</v>
      </c>
      <c r="J1300" t="str">
        <f>TEXT(DATE(2012,Table1[[#This Row],[MONTH_ID]],10),"mmm")</f>
        <v>Jan</v>
      </c>
      <c r="K1300">
        <v>2004</v>
      </c>
      <c r="L1300" t="s">
        <v>564</v>
      </c>
      <c r="M1300">
        <v>87</v>
      </c>
      <c r="N1300" t="s">
        <v>629</v>
      </c>
      <c r="O1300" t="s">
        <v>233</v>
      </c>
      <c r="P1300" t="s">
        <v>234</v>
      </c>
      <c r="Q1300" t="s">
        <v>235</v>
      </c>
      <c r="S1300" t="s">
        <v>236</v>
      </c>
      <c r="U1300">
        <v>69004</v>
      </c>
      <c r="V1300" t="s">
        <v>55</v>
      </c>
      <c r="W1300" t="s">
        <v>56</v>
      </c>
      <c r="X1300" t="s">
        <v>237</v>
      </c>
      <c r="Y1300" t="s">
        <v>238</v>
      </c>
      <c r="Z1300" t="s">
        <v>65</v>
      </c>
    </row>
    <row r="1301" spans="1:26" x14ac:dyDescent="0.3">
      <c r="A1301">
        <v>10221</v>
      </c>
      <c r="B1301">
        <v>39</v>
      </c>
      <c r="C1301">
        <v>89.53</v>
      </c>
      <c r="D1301">
        <v>2</v>
      </c>
      <c r="E1301">
        <v>3491.67</v>
      </c>
      <c r="F1301" s="1">
        <v>38035</v>
      </c>
      <c r="G1301" t="s">
        <v>39</v>
      </c>
      <c r="H1301">
        <v>1</v>
      </c>
      <c r="I1301">
        <v>2</v>
      </c>
      <c r="J1301" t="str">
        <f>TEXT(DATE(2012,Table1[[#This Row],[MONTH_ID]],10),"mmm")</f>
        <v>Feb</v>
      </c>
      <c r="K1301">
        <v>2004</v>
      </c>
      <c r="L1301" t="s">
        <v>564</v>
      </c>
      <c r="M1301">
        <v>87</v>
      </c>
      <c r="N1301" t="s">
        <v>629</v>
      </c>
      <c r="O1301" t="s">
        <v>379</v>
      </c>
      <c r="P1301" t="s">
        <v>380</v>
      </c>
      <c r="Q1301" t="s">
        <v>381</v>
      </c>
      <c r="S1301" t="s">
        <v>382</v>
      </c>
      <c r="U1301" t="s">
        <v>383</v>
      </c>
      <c r="V1301" t="s">
        <v>384</v>
      </c>
      <c r="W1301" t="s">
        <v>56</v>
      </c>
      <c r="X1301" t="s">
        <v>385</v>
      </c>
      <c r="Y1301" t="s">
        <v>386</v>
      </c>
      <c r="Z1301" t="s">
        <v>65</v>
      </c>
    </row>
    <row r="1302" spans="1:26" x14ac:dyDescent="0.3">
      <c r="A1302">
        <v>10232</v>
      </c>
      <c r="B1302">
        <v>23</v>
      </c>
      <c r="C1302">
        <v>89.53</v>
      </c>
      <c r="D1302">
        <v>5</v>
      </c>
      <c r="E1302">
        <v>2059.19</v>
      </c>
      <c r="F1302" s="1">
        <v>38066</v>
      </c>
      <c r="G1302" t="s">
        <v>39</v>
      </c>
      <c r="H1302">
        <v>1</v>
      </c>
      <c r="I1302">
        <v>3</v>
      </c>
      <c r="J1302" t="str">
        <f>TEXT(DATE(2012,Table1[[#This Row],[MONTH_ID]],10),"mmm")</f>
        <v>Mar</v>
      </c>
      <c r="K1302">
        <v>2004</v>
      </c>
      <c r="L1302" t="s">
        <v>564</v>
      </c>
      <c r="M1302">
        <v>87</v>
      </c>
      <c r="N1302" t="s">
        <v>629</v>
      </c>
      <c r="O1302" t="s">
        <v>397</v>
      </c>
      <c r="P1302" t="s">
        <v>398</v>
      </c>
      <c r="Q1302" t="s">
        <v>399</v>
      </c>
      <c r="S1302" t="s">
        <v>400</v>
      </c>
      <c r="T1302" t="s">
        <v>401</v>
      </c>
      <c r="U1302" t="s">
        <v>402</v>
      </c>
      <c r="V1302" t="s">
        <v>184</v>
      </c>
      <c r="W1302" t="s">
        <v>56</v>
      </c>
      <c r="X1302" t="s">
        <v>403</v>
      </c>
      <c r="Y1302" t="s">
        <v>404</v>
      </c>
      <c r="Z1302" t="s">
        <v>50</v>
      </c>
    </row>
    <row r="1303" spans="1:26" x14ac:dyDescent="0.3">
      <c r="A1303">
        <v>10248</v>
      </c>
      <c r="B1303">
        <v>42</v>
      </c>
      <c r="C1303">
        <v>75.48</v>
      </c>
      <c r="D1303">
        <v>11</v>
      </c>
      <c r="E1303">
        <v>3170.16</v>
      </c>
      <c r="F1303" s="1">
        <v>38114</v>
      </c>
      <c r="G1303" t="s">
        <v>353</v>
      </c>
      <c r="H1303">
        <v>2</v>
      </c>
      <c r="I1303">
        <v>5</v>
      </c>
      <c r="J1303" t="str">
        <f>TEXT(DATE(2012,Table1[[#This Row],[MONTH_ID]],10),"mmm")</f>
        <v>May</v>
      </c>
      <c r="K1303">
        <v>2004</v>
      </c>
      <c r="L1303" t="s">
        <v>564</v>
      </c>
      <c r="M1303">
        <v>87</v>
      </c>
      <c r="N1303" t="s">
        <v>629</v>
      </c>
      <c r="O1303" t="s">
        <v>42</v>
      </c>
      <c r="P1303">
        <v>2125557818</v>
      </c>
      <c r="Q1303" t="s">
        <v>43</v>
      </c>
      <c r="S1303" t="s">
        <v>44</v>
      </c>
      <c r="T1303" t="s">
        <v>45</v>
      </c>
      <c r="U1303">
        <v>10022</v>
      </c>
      <c r="V1303" t="s">
        <v>46</v>
      </c>
      <c r="W1303" t="s">
        <v>47</v>
      </c>
      <c r="X1303" t="s">
        <v>48</v>
      </c>
      <c r="Y1303" t="s">
        <v>49</v>
      </c>
      <c r="Z1303" t="s">
        <v>65</v>
      </c>
    </row>
    <row r="1304" spans="1:26" x14ac:dyDescent="0.3">
      <c r="A1304">
        <v>10261</v>
      </c>
      <c r="B1304">
        <v>20</v>
      </c>
      <c r="C1304">
        <v>89.53</v>
      </c>
      <c r="D1304">
        <v>9</v>
      </c>
      <c r="E1304">
        <v>1790.6</v>
      </c>
      <c r="F1304" s="1">
        <v>38155</v>
      </c>
      <c r="G1304" t="s">
        <v>39</v>
      </c>
      <c r="H1304">
        <v>2</v>
      </c>
      <c r="I1304">
        <v>6</v>
      </c>
      <c r="J1304" t="str">
        <f>TEXT(DATE(2012,Table1[[#This Row],[MONTH_ID]],10),"mmm")</f>
        <v>Jun</v>
      </c>
      <c r="K1304">
        <v>2004</v>
      </c>
      <c r="L1304" t="s">
        <v>564</v>
      </c>
      <c r="M1304">
        <v>87</v>
      </c>
      <c r="N1304" t="s">
        <v>629</v>
      </c>
      <c r="O1304" t="s">
        <v>306</v>
      </c>
      <c r="P1304" t="s">
        <v>307</v>
      </c>
      <c r="Q1304" t="s">
        <v>308</v>
      </c>
      <c r="S1304" t="s">
        <v>309</v>
      </c>
      <c r="T1304" t="s">
        <v>310</v>
      </c>
      <c r="U1304" t="s">
        <v>311</v>
      </c>
      <c r="V1304" t="s">
        <v>245</v>
      </c>
      <c r="W1304" t="s">
        <v>47</v>
      </c>
      <c r="X1304" t="s">
        <v>312</v>
      </c>
      <c r="Y1304" t="s">
        <v>313</v>
      </c>
      <c r="Z1304" t="s">
        <v>50</v>
      </c>
    </row>
    <row r="1305" spans="1:26" x14ac:dyDescent="0.3">
      <c r="A1305">
        <v>10273</v>
      </c>
      <c r="B1305">
        <v>33</v>
      </c>
      <c r="C1305">
        <v>71.09</v>
      </c>
      <c r="D1305">
        <v>12</v>
      </c>
      <c r="E1305">
        <v>2345.9699999999998</v>
      </c>
      <c r="F1305" s="1">
        <v>38189</v>
      </c>
      <c r="G1305" t="s">
        <v>39</v>
      </c>
      <c r="H1305">
        <v>3</v>
      </c>
      <c r="I1305">
        <v>7</v>
      </c>
      <c r="J1305" t="str">
        <f>TEXT(DATE(2012,Table1[[#This Row],[MONTH_ID]],10),"mmm")</f>
        <v>Jul</v>
      </c>
      <c r="K1305">
        <v>2004</v>
      </c>
      <c r="L1305" t="s">
        <v>564</v>
      </c>
      <c r="M1305">
        <v>87</v>
      </c>
      <c r="N1305" t="s">
        <v>629</v>
      </c>
      <c r="O1305" t="s">
        <v>379</v>
      </c>
      <c r="P1305" t="s">
        <v>380</v>
      </c>
      <c r="Q1305" t="s">
        <v>381</v>
      </c>
      <c r="S1305" t="s">
        <v>382</v>
      </c>
      <c r="U1305" t="s">
        <v>383</v>
      </c>
      <c r="V1305" t="s">
        <v>384</v>
      </c>
      <c r="W1305" t="s">
        <v>56</v>
      </c>
      <c r="X1305" t="s">
        <v>385</v>
      </c>
      <c r="Y1305" t="s">
        <v>386</v>
      </c>
      <c r="Z1305" t="s">
        <v>50</v>
      </c>
    </row>
    <row r="1306" spans="1:26" x14ac:dyDescent="0.3">
      <c r="A1306">
        <v>10283</v>
      </c>
      <c r="B1306">
        <v>34</v>
      </c>
      <c r="C1306">
        <v>100</v>
      </c>
      <c r="D1306">
        <v>14</v>
      </c>
      <c r="E1306">
        <v>3580.88</v>
      </c>
      <c r="F1306" s="1">
        <v>38219</v>
      </c>
      <c r="G1306" t="s">
        <v>39</v>
      </c>
      <c r="H1306">
        <v>3</v>
      </c>
      <c r="I1306">
        <v>8</v>
      </c>
      <c r="J1306" t="str">
        <f>TEXT(DATE(2012,Table1[[#This Row],[MONTH_ID]],10),"mmm")</f>
        <v>Aug</v>
      </c>
      <c r="K1306">
        <v>2004</v>
      </c>
      <c r="L1306" t="s">
        <v>564</v>
      </c>
      <c r="M1306">
        <v>87</v>
      </c>
      <c r="N1306" t="s">
        <v>629</v>
      </c>
      <c r="O1306" t="s">
        <v>387</v>
      </c>
      <c r="P1306" t="s">
        <v>388</v>
      </c>
      <c r="Q1306" t="s">
        <v>389</v>
      </c>
      <c r="S1306" t="s">
        <v>390</v>
      </c>
      <c r="T1306" t="s">
        <v>243</v>
      </c>
      <c r="U1306" t="s">
        <v>391</v>
      </c>
      <c r="V1306" t="s">
        <v>245</v>
      </c>
      <c r="W1306" t="s">
        <v>47</v>
      </c>
      <c r="X1306" t="s">
        <v>392</v>
      </c>
      <c r="Y1306" t="s">
        <v>186</v>
      </c>
      <c r="Z1306" t="s">
        <v>65</v>
      </c>
    </row>
    <row r="1307" spans="1:26" x14ac:dyDescent="0.3">
      <c r="A1307">
        <v>10293</v>
      </c>
      <c r="B1307">
        <v>49</v>
      </c>
      <c r="C1307">
        <v>100</v>
      </c>
      <c r="D1307">
        <v>3</v>
      </c>
      <c r="E1307">
        <v>4946.0600000000004</v>
      </c>
      <c r="F1307" s="1">
        <v>38239</v>
      </c>
      <c r="G1307" t="s">
        <v>39</v>
      </c>
      <c r="H1307">
        <v>3</v>
      </c>
      <c r="I1307">
        <v>9</v>
      </c>
      <c r="J1307" t="str">
        <f>TEXT(DATE(2012,Table1[[#This Row],[MONTH_ID]],10),"mmm")</f>
        <v>Sep</v>
      </c>
      <c r="K1307">
        <v>2004</v>
      </c>
      <c r="L1307" t="s">
        <v>564</v>
      </c>
      <c r="M1307">
        <v>87</v>
      </c>
      <c r="N1307" t="s">
        <v>629</v>
      </c>
      <c r="O1307" t="s">
        <v>268</v>
      </c>
      <c r="P1307" t="s">
        <v>269</v>
      </c>
      <c r="Q1307" t="s">
        <v>270</v>
      </c>
      <c r="S1307" t="s">
        <v>271</v>
      </c>
      <c r="U1307">
        <v>10100</v>
      </c>
      <c r="V1307" t="s">
        <v>272</v>
      </c>
      <c r="W1307" t="s">
        <v>56</v>
      </c>
      <c r="X1307" t="s">
        <v>273</v>
      </c>
      <c r="Y1307" t="s">
        <v>274</v>
      </c>
      <c r="Z1307" t="s">
        <v>65</v>
      </c>
    </row>
    <row r="1308" spans="1:26" x14ac:dyDescent="0.3">
      <c r="A1308">
        <v>10306</v>
      </c>
      <c r="B1308">
        <v>39</v>
      </c>
      <c r="C1308">
        <v>90.4</v>
      </c>
      <c r="D1308">
        <v>8</v>
      </c>
      <c r="E1308">
        <v>3525.6</v>
      </c>
      <c r="F1308" s="1">
        <v>38274</v>
      </c>
      <c r="G1308" t="s">
        <v>39</v>
      </c>
      <c r="H1308">
        <v>4</v>
      </c>
      <c r="I1308">
        <v>10</v>
      </c>
      <c r="J1308" t="str">
        <f>TEXT(DATE(2012,Table1[[#This Row],[MONTH_ID]],10),"mmm")</f>
        <v>Oct</v>
      </c>
      <c r="K1308">
        <v>2004</v>
      </c>
      <c r="L1308" t="s">
        <v>564</v>
      </c>
      <c r="M1308">
        <v>87</v>
      </c>
      <c r="N1308" t="s">
        <v>629</v>
      </c>
      <c r="O1308" t="s">
        <v>506</v>
      </c>
      <c r="P1308" t="s">
        <v>507</v>
      </c>
      <c r="Q1308" t="s">
        <v>508</v>
      </c>
      <c r="S1308" t="s">
        <v>509</v>
      </c>
      <c r="U1308" t="s">
        <v>510</v>
      </c>
      <c r="V1308" t="s">
        <v>184</v>
      </c>
      <c r="W1308" t="s">
        <v>56</v>
      </c>
      <c r="X1308" t="s">
        <v>511</v>
      </c>
      <c r="Y1308" t="s">
        <v>108</v>
      </c>
      <c r="Z1308" t="s">
        <v>65</v>
      </c>
    </row>
    <row r="1309" spans="1:26" x14ac:dyDescent="0.3">
      <c r="A1309">
        <v>10315</v>
      </c>
      <c r="B1309">
        <v>36</v>
      </c>
      <c r="C1309">
        <v>100</v>
      </c>
      <c r="D1309">
        <v>7</v>
      </c>
      <c r="E1309">
        <v>3602.16</v>
      </c>
      <c r="F1309" s="1">
        <v>38289</v>
      </c>
      <c r="G1309" t="s">
        <v>39</v>
      </c>
      <c r="H1309">
        <v>4</v>
      </c>
      <c r="I1309">
        <v>10</v>
      </c>
      <c r="J1309" t="str">
        <f>TEXT(DATE(2012,Table1[[#This Row],[MONTH_ID]],10),"mmm")</f>
        <v>Oct</v>
      </c>
      <c r="K1309">
        <v>2004</v>
      </c>
      <c r="L1309" t="s">
        <v>564</v>
      </c>
      <c r="M1309">
        <v>87</v>
      </c>
      <c r="N1309" t="s">
        <v>629</v>
      </c>
      <c r="O1309" t="s">
        <v>128</v>
      </c>
      <c r="P1309" t="s">
        <v>129</v>
      </c>
      <c r="Q1309" t="s">
        <v>130</v>
      </c>
      <c r="S1309" t="s">
        <v>131</v>
      </c>
      <c r="U1309">
        <v>44000</v>
      </c>
      <c r="V1309" t="s">
        <v>55</v>
      </c>
      <c r="W1309" t="s">
        <v>56</v>
      </c>
      <c r="X1309" t="s">
        <v>132</v>
      </c>
      <c r="Y1309" t="s">
        <v>133</v>
      </c>
      <c r="Z1309" t="s">
        <v>65</v>
      </c>
    </row>
    <row r="1310" spans="1:26" x14ac:dyDescent="0.3">
      <c r="A1310">
        <v>10326</v>
      </c>
      <c r="B1310">
        <v>50</v>
      </c>
      <c r="C1310">
        <v>86.01</v>
      </c>
      <c r="D1310">
        <v>5</v>
      </c>
      <c r="E1310">
        <v>4300.5</v>
      </c>
      <c r="F1310" s="1">
        <v>38300</v>
      </c>
      <c r="G1310" t="s">
        <v>39</v>
      </c>
      <c r="H1310">
        <v>4</v>
      </c>
      <c r="I1310">
        <v>11</v>
      </c>
      <c r="J1310" t="str">
        <f>TEXT(DATE(2012,Table1[[#This Row],[MONTH_ID]],10),"mmm")</f>
        <v>Nov</v>
      </c>
      <c r="K1310">
        <v>2004</v>
      </c>
      <c r="L1310" t="s">
        <v>564</v>
      </c>
      <c r="M1310">
        <v>87</v>
      </c>
      <c r="N1310" t="s">
        <v>629</v>
      </c>
      <c r="O1310" t="s">
        <v>197</v>
      </c>
      <c r="P1310" t="s">
        <v>198</v>
      </c>
      <c r="Q1310" t="s">
        <v>199</v>
      </c>
      <c r="S1310" t="s">
        <v>200</v>
      </c>
      <c r="U1310" t="s">
        <v>201</v>
      </c>
      <c r="V1310" t="s">
        <v>202</v>
      </c>
      <c r="W1310" t="s">
        <v>56</v>
      </c>
      <c r="X1310" t="s">
        <v>203</v>
      </c>
      <c r="Y1310" t="s">
        <v>204</v>
      </c>
      <c r="Z1310" t="s">
        <v>65</v>
      </c>
    </row>
    <row r="1311" spans="1:26" x14ac:dyDescent="0.3">
      <c r="A1311">
        <v>10337</v>
      </c>
      <c r="B1311">
        <v>29</v>
      </c>
      <c r="C1311">
        <v>100</v>
      </c>
      <c r="D1311">
        <v>2</v>
      </c>
      <c r="E1311">
        <v>4498.1899999999996</v>
      </c>
      <c r="F1311" s="1">
        <v>38312</v>
      </c>
      <c r="G1311" t="s">
        <v>39</v>
      </c>
      <c r="H1311">
        <v>4</v>
      </c>
      <c r="I1311">
        <v>11</v>
      </c>
      <c r="J1311" t="str">
        <f>TEXT(DATE(2012,Table1[[#This Row],[MONTH_ID]],10),"mmm")</f>
        <v>Nov</v>
      </c>
      <c r="K1311">
        <v>2004</v>
      </c>
      <c r="L1311" t="s">
        <v>564</v>
      </c>
      <c r="M1311">
        <v>87</v>
      </c>
      <c r="N1311" t="s">
        <v>629</v>
      </c>
      <c r="O1311" t="s">
        <v>217</v>
      </c>
      <c r="P1311">
        <v>2125558493</v>
      </c>
      <c r="Q1311" t="s">
        <v>218</v>
      </c>
      <c r="R1311" t="s">
        <v>219</v>
      </c>
      <c r="S1311" t="s">
        <v>44</v>
      </c>
      <c r="T1311" t="s">
        <v>45</v>
      </c>
      <c r="U1311">
        <v>10022</v>
      </c>
      <c r="V1311" t="s">
        <v>46</v>
      </c>
      <c r="W1311" t="s">
        <v>47</v>
      </c>
      <c r="X1311" t="s">
        <v>138</v>
      </c>
      <c r="Y1311" t="s">
        <v>220</v>
      </c>
      <c r="Z1311" t="s">
        <v>65</v>
      </c>
    </row>
    <row r="1312" spans="1:26" x14ac:dyDescent="0.3">
      <c r="A1312">
        <v>10350</v>
      </c>
      <c r="B1312">
        <v>30</v>
      </c>
      <c r="C1312">
        <v>100</v>
      </c>
      <c r="D1312">
        <v>3</v>
      </c>
      <c r="E1312">
        <v>3023.1</v>
      </c>
      <c r="F1312" s="1">
        <v>38323</v>
      </c>
      <c r="G1312" t="s">
        <v>39</v>
      </c>
      <c r="H1312">
        <v>4</v>
      </c>
      <c r="I1312">
        <v>12</v>
      </c>
      <c r="J1312" t="str">
        <f>TEXT(DATE(2012,Table1[[#This Row],[MONTH_ID]],10),"mmm")</f>
        <v>Dec</v>
      </c>
      <c r="K1312">
        <v>2004</v>
      </c>
      <c r="L1312" t="s">
        <v>564</v>
      </c>
      <c r="M1312">
        <v>87</v>
      </c>
      <c r="N1312" t="s">
        <v>629</v>
      </c>
      <c r="O1312" t="s">
        <v>188</v>
      </c>
      <c r="P1312" t="s">
        <v>189</v>
      </c>
      <c r="Q1312" t="s">
        <v>190</v>
      </c>
      <c r="S1312" t="s">
        <v>191</v>
      </c>
      <c r="U1312">
        <v>28034</v>
      </c>
      <c r="V1312" t="s">
        <v>192</v>
      </c>
      <c r="W1312" t="s">
        <v>56</v>
      </c>
      <c r="X1312" t="s">
        <v>193</v>
      </c>
      <c r="Y1312" t="s">
        <v>194</v>
      </c>
      <c r="Z1312" t="s">
        <v>65</v>
      </c>
    </row>
    <row r="1313" spans="1:26" x14ac:dyDescent="0.3">
      <c r="A1313">
        <v>10372</v>
      </c>
      <c r="B1313">
        <v>41</v>
      </c>
      <c r="C1313">
        <v>86.89</v>
      </c>
      <c r="D1313">
        <v>7</v>
      </c>
      <c r="E1313">
        <v>3562.49</v>
      </c>
      <c r="F1313" s="1">
        <v>38378</v>
      </c>
      <c r="G1313" t="s">
        <v>39</v>
      </c>
      <c r="H1313">
        <v>1</v>
      </c>
      <c r="I1313">
        <v>1</v>
      </c>
      <c r="J1313" t="str">
        <f>TEXT(DATE(2012,Table1[[#This Row],[MONTH_ID]],10),"mmm")</f>
        <v>Jan</v>
      </c>
      <c r="K1313">
        <v>2005</v>
      </c>
      <c r="L1313" t="s">
        <v>564</v>
      </c>
      <c r="M1313">
        <v>87</v>
      </c>
      <c r="N1313" t="s">
        <v>629</v>
      </c>
      <c r="O1313" t="s">
        <v>260</v>
      </c>
      <c r="P1313" t="s">
        <v>261</v>
      </c>
      <c r="Q1313" t="s">
        <v>262</v>
      </c>
      <c r="S1313" t="s">
        <v>263</v>
      </c>
      <c r="T1313" t="s">
        <v>264</v>
      </c>
      <c r="U1313" t="s">
        <v>265</v>
      </c>
      <c r="V1313" t="s">
        <v>214</v>
      </c>
      <c r="W1313" t="s">
        <v>214</v>
      </c>
      <c r="X1313" t="s">
        <v>266</v>
      </c>
      <c r="Y1313" t="s">
        <v>267</v>
      </c>
      <c r="Z1313" t="s">
        <v>65</v>
      </c>
    </row>
    <row r="1314" spans="1:26" x14ac:dyDescent="0.3">
      <c r="A1314">
        <v>10383</v>
      </c>
      <c r="B1314">
        <v>28</v>
      </c>
      <c r="C1314">
        <v>58.58</v>
      </c>
      <c r="D1314">
        <v>7</v>
      </c>
      <c r="E1314">
        <v>1640.24</v>
      </c>
      <c r="F1314" s="1">
        <v>38405</v>
      </c>
      <c r="G1314" t="s">
        <v>39</v>
      </c>
      <c r="H1314">
        <v>1</v>
      </c>
      <c r="I1314">
        <v>2</v>
      </c>
      <c r="J1314" t="str">
        <f>TEXT(DATE(2012,Table1[[#This Row],[MONTH_ID]],10),"mmm")</f>
        <v>Feb</v>
      </c>
      <c r="K1314">
        <v>2005</v>
      </c>
      <c r="L1314" t="s">
        <v>564</v>
      </c>
      <c r="M1314">
        <v>87</v>
      </c>
      <c r="N1314" t="s">
        <v>629</v>
      </c>
      <c r="O1314" t="s">
        <v>188</v>
      </c>
      <c r="P1314" t="s">
        <v>189</v>
      </c>
      <c r="Q1314" t="s">
        <v>190</v>
      </c>
      <c r="S1314" t="s">
        <v>191</v>
      </c>
      <c r="U1314">
        <v>28034</v>
      </c>
      <c r="V1314" t="s">
        <v>192</v>
      </c>
      <c r="W1314" t="s">
        <v>56</v>
      </c>
      <c r="X1314" t="s">
        <v>193</v>
      </c>
      <c r="Y1314" t="s">
        <v>194</v>
      </c>
      <c r="Z1314" t="s">
        <v>50</v>
      </c>
    </row>
    <row r="1315" spans="1:26" x14ac:dyDescent="0.3">
      <c r="A1315">
        <v>10396</v>
      </c>
      <c r="B1315">
        <v>45</v>
      </c>
      <c r="C1315">
        <v>100</v>
      </c>
      <c r="D1315">
        <v>5</v>
      </c>
      <c r="E1315">
        <v>4739.3999999999996</v>
      </c>
      <c r="F1315" s="1">
        <v>38434</v>
      </c>
      <c r="G1315" t="s">
        <v>39</v>
      </c>
      <c r="H1315">
        <v>1</v>
      </c>
      <c r="I1315">
        <v>3</v>
      </c>
      <c r="J1315" t="str">
        <f>TEXT(DATE(2012,Table1[[#This Row],[MONTH_ID]],10),"mmm")</f>
        <v>Mar</v>
      </c>
      <c r="K1315">
        <v>2005</v>
      </c>
      <c r="L1315" t="s">
        <v>564</v>
      </c>
      <c r="M1315">
        <v>87</v>
      </c>
      <c r="N1315" t="s">
        <v>629</v>
      </c>
      <c r="O1315" t="s">
        <v>286</v>
      </c>
      <c r="P1315">
        <v>4155551450</v>
      </c>
      <c r="Q1315" t="s">
        <v>287</v>
      </c>
      <c r="S1315" t="s">
        <v>288</v>
      </c>
      <c r="T1315" t="s">
        <v>69</v>
      </c>
      <c r="U1315">
        <v>97562</v>
      </c>
      <c r="V1315" t="s">
        <v>46</v>
      </c>
      <c r="W1315" t="s">
        <v>47</v>
      </c>
      <c r="X1315" t="s">
        <v>289</v>
      </c>
      <c r="Y1315" t="s">
        <v>290</v>
      </c>
      <c r="Z1315" t="s">
        <v>65</v>
      </c>
    </row>
    <row r="1316" spans="1:26" x14ac:dyDescent="0.3">
      <c r="A1316">
        <v>10414</v>
      </c>
      <c r="B1316">
        <v>16</v>
      </c>
      <c r="C1316">
        <v>75.48</v>
      </c>
      <c r="D1316">
        <v>11</v>
      </c>
      <c r="E1316">
        <v>1207.68</v>
      </c>
      <c r="F1316" s="1">
        <v>38478</v>
      </c>
      <c r="G1316" t="s">
        <v>415</v>
      </c>
      <c r="H1316">
        <v>2</v>
      </c>
      <c r="I1316">
        <v>5</v>
      </c>
      <c r="J1316" t="str">
        <f>TEXT(DATE(2012,Table1[[#This Row],[MONTH_ID]],10),"mmm")</f>
        <v>May</v>
      </c>
      <c r="K1316">
        <v>2005</v>
      </c>
      <c r="L1316" t="s">
        <v>564</v>
      </c>
      <c r="M1316">
        <v>87</v>
      </c>
      <c r="N1316" t="s">
        <v>629</v>
      </c>
      <c r="O1316" t="s">
        <v>393</v>
      </c>
      <c r="P1316">
        <v>6175559555</v>
      </c>
      <c r="Q1316" t="s">
        <v>394</v>
      </c>
      <c r="S1316" t="s">
        <v>395</v>
      </c>
      <c r="T1316" t="s">
        <v>137</v>
      </c>
      <c r="U1316">
        <v>51003</v>
      </c>
      <c r="V1316" t="s">
        <v>46</v>
      </c>
      <c r="W1316" t="s">
        <v>47</v>
      </c>
      <c r="X1316" t="s">
        <v>396</v>
      </c>
      <c r="Y1316" t="s">
        <v>80</v>
      </c>
      <c r="Z1316" t="s">
        <v>50</v>
      </c>
    </row>
    <row r="1317" spans="1:26" x14ac:dyDescent="0.3">
      <c r="A1317">
        <v>10103</v>
      </c>
      <c r="B1317">
        <v>36</v>
      </c>
      <c r="C1317">
        <v>100</v>
      </c>
      <c r="D1317">
        <v>5</v>
      </c>
      <c r="E1317">
        <v>4228.2</v>
      </c>
      <c r="F1317" s="1">
        <v>37650</v>
      </c>
      <c r="G1317" t="s">
        <v>39</v>
      </c>
      <c r="H1317">
        <v>1</v>
      </c>
      <c r="I1317">
        <v>1</v>
      </c>
      <c r="J1317" t="str">
        <f>TEXT(DATE(2012,Table1[[#This Row],[MONTH_ID]],10),"mmm")</f>
        <v>Jan</v>
      </c>
      <c r="K1317">
        <v>2003</v>
      </c>
      <c r="L1317" t="s">
        <v>518</v>
      </c>
      <c r="M1317">
        <v>121</v>
      </c>
      <c r="N1317" t="s">
        <v>630</v>
      </c>
      <c r="O1317" t="s">
        <v>147</v>
      </c>
      <c r="P1317" t="s">
        <v>148</v>
      </c>
      <c r="Q1317" t="s">
        <v>149</v>
      </c>
      <c r="S1317" t="s">
        <v>150</v>
      </c>
      <c r="U1317">
        <v>4110</v>
      </c>
      <c r="V1317" t="s">
        <v>92</v>
      </c>
      <c r="W1317" t="s">
        <v>56</v>
      </c>
      <c r="X1317" t="s">
        <v>151</v>
      </c>
      <c r="Y1317" t="s">
        <v>152</v>
      </c>
      <c r="Z1317" t="s">
        <v>65</v>
      </c>
    </row>
    <row r="1318" spans="1:26" x14ac:dyDescent="0.3">
      <c r="A1318">
        <v>10114</v>
      </c>
      <c r="B1318">
        <v>41</v>
      </c>
      <c r="C1318">
        <v>100</v>
      </c>
      <c r="D1318">
        <v>9</v>
      </c>
      <c r="E1318">
        <v>4815.45</v>
      </c>
      <c r="F1318" s="1">
        <v>37712</v>
      </c>
      <c r="G1318" t="s">
        <v>39</v>
      </c>
      <c r="H1318">
        <v>2</v>
      </c>
      <c r="I1318">
        <v>4</v>
      </c>
      <c r="J1318" t="str">
        <f>TEXT(DATE(2012,Table1[[#This Row],[MONTH_ID]],10),"mmm")</f>
        <v>Apr</v>
      </c>
      <c r="K1318">
        <v>2003</v>
      </c>
      <c r="L1318" t="s">
        <v>518</v>
      </c>
      <c r="M1318">
        <v>121</v>
      </c>
      <c r="N1318" t="s">
        <v>630</v>
      </c>
      <c r="O1318" t="s">
        <v>417</v>
      </c>
      <c r="P1318" t="s">
        <v>418</v>
      </c>
      <c r="Q1318" t="s">
        <v>419</v>
      </c>
      <c r="S1318" t="s">
        <v>62</v>
      </c>
      <c r="U1318">
        <v>75012</v>
      </c>
      <c r="V1318" t="s">
        <v>55</v>
      </c>
      <c r="W1318" t="s">
        <v>56</v>
      </c>
      <c r="X1318" t="s">
        <v>420</v>
      </c>
      <c r="Y1318" t="s">
        <v>421</v>
      </c>
      <c r="Z1318" t="s">
        <v>65</v>
      </c>
    </row>
    <row r="1319" spans="1:26" x14ac:dyDescent="0.3">
      <c r="A1319">
        <v>10126</v>
      </c>
      <c r="B1319">
        <v>50</v>
      </c>
      <c r="C1319">
        <v>100</v>
      </c>
      <c r="D1319">
        <v>5</v>
      </c>
      <c r="E1319">
        <v>7083</v>
      </c>
      <c r="F1319" s="1">
        <v>37769</v>
      </c>
      <c r="G1319" t="s">
        <v>39</v>
      </c>
      <c r="H1319">
        <v>2</v>
      </c>
      <c r="I1319">
        <v>5</v>
      </c>
      <c r="J1319" t="str">
        <f>TEXT(DATE(2012,Table1[[#This Row],[MONTH_ID]],10),"mmm")</f>
        <v>May</v>
      </c>
      <c r="K1319">
        <v>2003</v>
      </c>
      <c r="L1319" t="s">
        <v>518</v>
      </c>
      <c r="M1319">
        <v>121</v>
      </c>
      <c r="N1319" t="s">
        <v>630</v>
      </c>
      <c r="O1319" t="s">
        <v>205</v>
      </c>
      <c r="P1319" t="s">
        <v>206</v>
      </c>
      <c r="Q1319" t="s">
        <v>207</v>
      </c>
      <c r="S1319" t="s">
        <v>191</v>
      </c>
      <c r="U1319">
        <v>28023</v>
      </c>
      <c r="V1319" t="s">
        <v>192</v>
      </c>
      <c r="W1319" t="s">
        <v>56</v>
      </c>
      <c r="X1319" t="s">
        <v>208</v>
      </c>
      <c r="Y1319" t="s">
        <v>209</v>
      </c>
      <c r="Z1319" t="s">
        <v>165</v>
      </c>
    </row>
    <row r="1320" spans="1:26" x14ac:dyDescent="0.3">
      <c r="A1320">
        <v>10140</v>
      </c>
      <c r="B1320">
        <v>40</v>
      </c>
      <c r="C1320">
        <v>100</v>
      </c>
      <c r="D1320">
        <v>5</v>
      </c>
      <c r="E1320">
        <v>4601.2</v>
      </c>
      <c r="F1320" s="1">
        <v>37826</v>
      </c>
      <c r="G1320" t="s">
        <v>39</v>
      </c>
      <c r="H1320">
        <v>3</v>
      </c>
      <c r="I1320">
        <v>7</v>
      </c>
      <c r="J1320" t="str">
        <f>TEXT(DATE(2012,Table1[[#This Row],[MONTH_ID]],10),"mmm")</f>
        <v>Jul</v>
      </c>
      <c r="K1320">
        <v>2003</v>
      </c>
      <c r="L1320" t="s">
        <v>518</v>
      </c>
      <c r="M1320">
        <v>121</v>
      </c>
      <c r="N1320" t="s">
        <v>630</v>
      </c>
      <c r="O1320" t="s">
        <v>76</v>
      </c>
      <c r="P1320">
        <v>6505556809</v>
      </c>
      <c r="Q1320" t="s">
        <v>77</v>
      </c>
      <c r="S1320" t="s">
        <v>78</v>
      </c>
      <c r="T1320" t="s">
        <v>69</v>
      </c>
      <c r="U1320">
        <v>94217</v>
      </c>
      <c r="V1320" t="s">
        <v>46</v>
      </c>
      <c r="W1320" t="s">
        <v>47</v>
      </c>
      <c r="X1320" t="s">
        <v>79</v>
      </c>
      <c r="Y1320" t="s">
        <v>80</v>
      </c>
      <c r="Z1320" t="s">
        <v>65</v>
      </c>
    </row>
    <row r="1321" spans="1:26" x14ac:dyDescent="0.3">
      <c r="A1321">
        <v>10150</v>
      </c>
      <c r="B1321">
        <v>49</v>
      </c>
      <c r="C1321">
        <v>100</v>
      </c>
      <c r="D1321">
        <v>2</v>
      </c>
      <c r="E1321">
        <v>6467.02</v>
      </c>
      <c r="F1321" s="1">
        <v>37883</v>
      </c>
      <c r="G1321" t="s">
        <v>39</v>
      </c>
      <c r="H1321">
        <v>3</v>
      </c>
      <c r="I1321">
        <v>9</v>
      </c>
      <c r="J1321" t="str">
        <f>TEXT(DATE(2012,Table1[[#This Row],[MONTH_ID]],10),"mmm")</f>
        <v>Sep</v>
      </c>
      <c r="K1321">
        <v>2003</v>
      </c>
      <c r="L1321" t="s">
        <v>518</v>
      </c>
      <c r="M1321">
        <v>121</v>
      </c>
      <c r="N1321" t="s">
        <v>630</v>
      </c>
      <c r="O1321" t="s">
        <v>210</v>
      </c>
      <c r="P1321" t="s">
        <v>211</v>
      </c>
      <c r="Q1321" t="s">
        <v>212</v>
      </c>
      <c r="S1321" t="s">
        <v>213</v>
      </c>
      <c r="U1321">
        <v>79903</v>
      </c>
      <c r="V1321" t="s">
        <v>213</v>
      </c>
      <c r="W1321" t="s">
        <v>214</v>
      </c>
      <c r="X1321" t="s">
        <v>215</v>
      </c>
      <c r="Y1321" t="s">
        <v>216</v>
      </c>
      <c r="Z1321" t="s">
        <v>65</v>
      </c>
    </row>
    <row r="1322" spans="1:26" x14ac:dyDescent="0.3">
      <c r="A1322">
        <v>10164</v>
      </c>
      <c r="B1322">
        <v>45</v>
      </c>
      <c r="C1322">
        <v>100</v>
      </c>
      <c r="D1322">
        <v>3</v>
      </c>
      <c r="E1322">
        <v>5012.55</v>
      </c>
      <c r="F1322" s="1">
        <v>37915</v>
      </c>
      <c r="G1322" t="s">
        <v>422</v>
      </c>
      <c r="H1322">
        <v>4</v>
      </c>
      <c r="I1322">
        <v>10</v>
      </c>
      <c r="J1322" t="str">
        <f>TEXT(DATE(2012,Table1[[#This Row],[MONTH_ID]],10),"mmm")</f>
        <v>Oct</v>
      </c>
      <c r="K1322">
        <v>2003</v>
      </c>
      <c r="L1322" t="s">
        <v>518</v>
      </c>
      <c r="M1322">
        <v>121</v>
      </c>
      <c r="N1322" t="s">
        <v>630</v>
      </c>
      <c r="O1322" t="s">
        <v>423</v>
      </c>
      <c r="P1322" t="s">
        <v>424</v>
      </c>
      <c r="Q1322" t="s">
        <v>425</v>
      </c>
      <c r="S1322" t="s">
        <v>426</v>
      </c>
      <c r="U1322">
        <v>8010</v>
      </c>
      <c r="V1322" t="s">
        <v>162</v>
      </c>
      <c r="W1322" t="s">
        <v>56</v>
      </c>
      <c r="X1322" t="s">
        <v>427</v>
      </c>
      <c r="Y1322" t="s">
        <v>428</v>
      </c>
      <c r="Z1322" t="s">
        <v>65</v>
      </c>
    </row>
    <row r="1323" spans="1:26" x14ac:dyDescent="0.3">
      <c r="A1323">
        <v>10175</v>
      </c>
      <c r="B1323">
        <v>47</v>
      </c>
      <c r="C1323">
        <v>100</v>
      </c>
      <c r="D1323">
        <v>10</v>
      </c>
      <c r="E1323">
        <v>5121.59</v>
      </c>
      <c r="F1323" s="1">
        <v>37931</v>
      </c>
      <c r="G1323" t="s">
        <v>39</v>
      </c>
      <c r="H1323">
        <v>4</v>
      </c>
      <c r="I1323">
        <v>11</v>
      </c>
      <c r="J1323" t="str">
        <f>TEXT(DATE(2012,Table1[[#This Row],[MONTH_ID]],10),"mmm")</f>
        <v>Nov</v>
      </c>
      <c r="K1323">
        <v>2003</v>
      </c>
      <c r="L1323" t="s">
        <v>518</v>
      </c>
      <c r="M1323">
        <v>121</v>
      </c>
      <c r="N1323" t="s">
        <v>630</v>
      </c>
      <c r="O1323" t="s">
        <v>343</v>
      </c>
      <c r="P1323" t="s">
        <v>344</v>
      </c>
      <c r="Q1323" t="s">
        <v>345</v>
      </c>
      <c r="S1323" t="s">
        <v>346</v>
      </c>
      <c r="U1323" t="s">
        <v>347</v>
      </c>
      <c r="V1323" t="s">
        <v>184</v>
      </c>
      <c r="W1323" t="s">
        <v>56</v>
      </c>
      <c r="X1323" t="s">
        <v>75</v>
      </c>
      <c r="Y1323" t="s">
        <v>348</v>
      </c>
      <c r="Z1323" t="s">
        <v>65</v>
      </c>
    </row>
    <row r="1324" spans="1:26" x14ac:dyDescent="0.3">
      <c r="A1324">
        <v>10183</v>
      </c>
      <c r="B1324">
        <v>21</v>
      </c>
      <c r="C1324">
        <v>100</v>
      </c>
      <c r="D1324">
        <v>2</v>
      </c>
      <c r="E1324">
        <v>2441.04</v>
      </c>
      <c r="F1324" s="1">
        <v>37938</v>
      </c>
      <c r="G1324" t="s">
        <v>39</v>
      </c>
      <c r="H1324">
        <v>4</v>
      </c>
      <c r="I1324">
        <v>11</v>
      </c>
      <c r="J1324" t="str">
        <f>TEXT(DATE(2012,Table1[[#This Row],[MONTH_ID]],10),"mmm")</f>
        <v>Nov</v>
      </c>
      <c r="K1324">
        <v>2003</v>
      </c>
      <c r="L1324" t="s">
        <v>518</v>
      </c>
      <c r="M1324">
        <v>121</v>
      </c>
      <c r="N1324" t="s">
        <v>630</v>
      </c>
      <c r="O1324" t="s">
        <v>228</v>
      </c>
      <c r="P1324">
        <v>2155554695</v>
      </c>
      <c r="Q1324" t="s">
        <v>229</v>
      </c>
      <c r="S1324" t="s">
        <v>230</v>
      </c>
      <c r="T1324" t="s">
        <v>156</v>
      </c>
      <c r="U1324">
        <v>71270</v>
      </c>
      <c r="V1324" t="s">
        <v>46</v>
      </c>
      <c r="W1324" t="s">
        <v>47</v>
      </c>
      <c r="X1324" t="s">
        <v>231</v>
      </c>
      <c r="Y1324" t="s">
        <v>232</v>
      </c>
      <c r="Z1324" t="s">
        <v>50</v>
      </c>
    </row>
    <row r="1325" spans="1:26" x14ac:dyDescent="0.3">
      <c r="A1325">
        <v>10194</v>
      </c>
      <c r="B1325">
        <v>32</v>
      </c>
      <c r="C1325">
        <v>100</v>
      </c>
      <c r="D1325">
        <v>5</v>
      </c>
      <c r="E1325">
        <v>4262.08</v>
      </c>
      <c r="F1325" s="1">
        <v>37950</v>
      </c>
      <c r="G1325" t="s">
        <v>39</v>
      </c>
      <c r="H1325">
        <v>4</v>
      </c>
      <c r="I1325">
        <v>11</v>
      </c>
      <c r="J1325" t="str">
        <f>TEXT(DATE(2012,Table1[[#This Row],[MONTH_ID]],10),"mmm")</f>
        <v>Nov</v>
      </c>
      <c r="K1325">
        <v>2003</v>
      </c>
      <c r="L1325" t="s">
        <v>518</v>
      </c>
      <c r="M1325">
        <v>121</v>
      </c>
      <c r="N1325" t="s">
        <v>630</v>
      </c>
      <c r="O1325" t="s">
        <v>233</v>
      </c>
      <c r="P1325" t="s">
        <v>234</v>
      </c>
      <c r="Q1325" t="s">
        <v>235</v>
      </c>
      <c r="S1325" t="s">
        <v>236</v>
      </c>
      <c r="U1325">
        <v>69004</v>
      </c>
      <c r="V1325" t="s">
        <v>55</v>
      </c>
      <c r="W1325" t="s">
        <v>56</v>
      </c>
      <c r="X1325" t="s">
        <v>237</v>
      </c>
      <c r="Y1325" t="s">
        <v>238</v>
      </c>
      <c r="Z1325" t="s">
        <v>65</v>
      </c>
    </row>
    <row r="1326" spans="1:26" x14ac:dyDescent="0.3">
      <c r="A1326">
        <v>10207</v>
      </c>
      <c r="B1326">
        <v>47</v>
      </c>
      <c r="C1326">
        <v>100</v>
      </c>
      <c r="D1326">
        <v>16</v>
      </c>
      <c r="E1326">
        <v>6658.02</v>
      </c>
      <c r="F1326" s="1">
        <v>37964</v>
      </c>
      <c r="G1326" t="s">
        <v>39</v>
      </c>
      <c r="H1326">
        <v>4</v>
      </c>
      <c r="I1326">
        <v>12</v>
      </c>
      <c r="J1326" t="str">
        <f>TEXT(DATE(2012,Table1[[#This Row],[MONTH_ID]],10),"mmm")</f>
        <v>Dec</v>
      </c>
      <c r="K1326">
        <v>2003</v>
      </c>
      <c r="L1326" t="s">
        <v>518</v>
      </c>
      <c r="M1326">
        <v>121</v>
      </c>
      <c r="N1326" t="s">
        <v>630</v>
      </c>
      <c r="O1326" t="s">
        <v>429</v>
      </c>
      <c r="P1326">
        <v>6175552555</v>
      </c>
      <c r="Q1326" t="s">
        <v>430</v>
      </c>
      <c r="S1326" t="s">
        <v>395</v>
      </c>
      <c r="T1326" t="s">
        <v>137</v>
      </c>
      <c r="U1326">
        <v>51003</v>
      </c>
      <c r="V1326" t="s">
        <v>46</v>
      </c>
      <c r="W1326" t="s">
        <v>47</v>
      </c>
      <c r="X1326" t="s">
        <v>431</v>
      </c>
      <c r="Y1326" t="s">
        <v>290</v>
      </c>
      <c r="Z1326" t="s">
        <v>65</v>
      </c>
    </row>
    <row r="1327" spans="1:26" x14ac:dyDescent="0.3">
      <c r="A1327">
        <v>10217</v>
      </c>
      <c r="B1327">
        <v>38</v>
      </c>
      <c r="C1327">
        <v>100</v>
      </c>
      <c r="D1327">
        <v>5</v>
      </c>
      <c r="E1327">
        <v>4509.08</v>
      </c>
      <c r="F1327" s="1">
        <v>38021</v>
      </c>
      <c r="G1327" t="s">
        <v>39</v>
      </c>
      <c r="H1327">
        <v>1</v>
      </c>
      <c r="I1327">
        <v>2</v>
      </c>
      <c r="J1327" t="str">
        <f>TEXT(DATE(2012,Table1[[#This Row],[MONTH_ID]],10),"mmm")</f>
        <v>Feb</v>
      </c>
      <c r="K1327">
        <v>2004</v>
      </c>
      <c r="L1327" t="s">
        <v>518</v>
      </c>
      <c r="M1327">
        <v>121</v>
      </c>
      <c r="N1327" t="s">
        <v>630</v>
      </c>
      <c r="O1327" t="s">
        <v>432</v>
      </c>
      <c r="P1327" t="s">
        <v>433</v>
      </c>
      <c r="Q1327" t="s">
        <v>434</v>
      </c>
      <c r="R1327" t="s">
        <v>435</v>
      </c>
      <c r="S1327" t="s">
        <v>213</v>
      </c>
      <c r="U1327">
        <v>69045</v>
      </c>
      <c r="V1327" t="s">
        <v>213</v>
      </c>
      <c r="W1327" t="s">
        <v>110</v>
      </c>
      <c r="X1327" t="s">
        <v>436</v>
      </c>
      <c r="Y1327" t="s">
        <v>437</v>
      </c>
      <c r="Z1327" t="s">
        <v>65</v>
      </c>
    </row>
    <row r="1328" spans="1:26" x14ac:dyDescent="0.3">
      <c r="A1328">
        <v>10229</v>
      </c>
      <c r="B1328">
        <v>41</v>
      </c>
      <c r="C1328">
        <v>100</v>
      </c>
      <c r="D1328">
        <v>10</v>
      </c>
      <c r="E1328">
        <v>4716.2299999999996</v>
      </c>
      <c r="F1328" s="1">
        <v>38057</v>
      </c>
      <c r="G1328" t="s">
        <v>39</v>
      </c>
      <c r="H1328">
        <v>1</v>
      </c>
      <c r="I1328">
        <v>3</v>
      </c>
      <c r="J1328" t="str">
        <f>TEXT(DATE(2012,Table1[[#This Row],[MONTH_ID]],10),"mmm")</f>
        <v>Mar</v>
      </c>
      <c r="K1328">
        <v>2004</v>
      </c>
      <c r="L1328" t="s">
        <v>518</v>
      </c>
      <c r="M1328">
        <v>121</v>
      </c>
      <c r="N1328" t="s">
        <v>630</v>
      </c>
      <c r="O1328" t="s">
        <v>286</v>
      </c>
      <c r="P1328">
        <v>4155551450</v>
      </c>
      <c r="Q1328" t="s">
        <v>287</v>
      </c>
      <c r="S1328" t="s">
        <v>288</v>
      </c>
      <c r="T1328" t="s">
        <v>69</v>
      </c>
      <c r="U1328">
        <v>97562</v>
      </c>
      <c r="V1328" t="s">
        <v>46</v>
      </c>
      <c r="W1328" t="s">
        <v>47</v>
      </c>
      <c r="X1328" t="s">
        <v>289</v>
      </c>
      <c r="Y1328" t="s">
        <v>290</v>
      </c>
      <c r="Z1328" t="s">
        <v>65</v>
      </c>
    </row>
    <row r="1329" spans="1:26" x14ac:dyDescent="0.3">
      <c r="A1329">
        <v>10245</v>
      </c>
      <c r="B1329">
        <v>21</v>
      </c>
      <c r="C1329">
        <v>100</v>
      </c>
      <c r="D1329">
        <v>3</v>
      </c>
      <c r="E1329">
        <v>2390.2199999999998</v>
      </c>
      <c r="F1329" s="1">
        <v>38111</v>
      </c>
      <c r="G1329" t="s">
        <v>39</v>
      </c>
      <c r="H1329">
        <v>2</v>
      </c>
      <c r="I1329">
        <v>5</v>
      </c>
      <c r="J1329" t="str">
        <f>TEXT(DATE(2012,Table1[[#This Row],[MONTH_ID]],10),"mmm")</f>
        <v>May</v>
      </c>
      <c r="K1329">
        <v>2004</v>
      </c>
      <c r="L1329" t="s">
        <v>518</v>
      </c>
      <c r="M1329">
        <v>121</v>
      </c>
      <c r="N1329" t="s">
        <v>630</v>
      </c>
      <c r="O1329" t="s">
        <v>256</v>
      </c>
      <c r="P1329">
        <v>2035559545</v>
      </c>
      <c r="Q1329" t="s">
        <v>257</v>
      </c>
      <c r="S1329" t="s">
        <v>258</v>
      </c>
      <c r="T1329" t="s">
        <v>126</v>
      </c>
      <c r="U1329">
        <v>97823</v>
      </c>
      <c r="V1329" t="s">
        <v>46</v>
      </c>
      <c r="W1329" t="s">
        <v>47</v>
      </c>
      <c r="X1329" t="s">
        <v>97</v>
      </c>
      <c r="Y1329" t="s">
        <v>259</v>
      </c>
      <c r="Z1329" t="s">
        <v>50</v>
      </c>
    </row>
    <row r="1330" spans="1:26" x14ac:dyDescent="0.3">
      <c r="A1330">
        <v>10259</v>
      </c>
      <c r="B1330">
        <v>41</v>
      </c>
      <c r="C1330">
        <v>100</v>
      </c>
      <c r="D1330">
        <v>13</v>
      </c>
      <c r="E1330">
        <v>4666.62</v>
      </c>
      <c r="F1330" s="1">
        <v>38153</v>
      </c>
      <c r="G1330" t="s">
        <v>39</v>
      </c>
      <c r="H1330">
        <v>2</v>
      </c>
      <c r="I1330">
        <v>6</v>
      </c>
      <c r="J1330" t="str">
        <f>TEXT(DATE(2012,Table1[[#This Row],[MONTH_ID]],10),"mmm")</f>
        <v>Jun</v>
      </c>
      <c r="K1330">
        <v>2004</v>
      </c>
      <c r="L1330" t="s">
        <v>518</v>
      </c>
      <c r="M1330">
        <v>121</v>
      </c>
      <c r="N1330" t="s">
        <v>630</v>
      </c>
      <c r="O1330" t="s">
        <v>432</v>
      </c>
      <c r="P1330" t="s">
        <v>433</v>
      </c>
      <c r="Q1330" t="s">
        <v>434</v>
      </c>
      <c r="R1330" t="s">
        <v>435</v>
      </c>
      <c r="S1330" t="s">
        <v>213</v>
      </c>
      <c r="U1330">
        <v>69045</v>
      </c>
      <c r="V1330" t="s">
        <v>213</v>
      </c>
      <c r="W1330" t="s">
        <v>110</v>
      </c>
      <c r="X1330" t="s">
        <v>436</v>
      </c>
      <c r="Y1330" t="s">
        <v>437</v>
      </c>
      <c r="Z1330" t="s">
        <v>65</v>
      </c>
    </row>
    <row r="1331" spans="1:26" x14ac:dyDescent="0.3">
      <c r="A1331">
        <v>10270</v>
      </c>
      <c r="B1331">
        <v>38</v>
      </c>
      <c r="C1331">
        <v>100</v>
      </c>
      <c r="D1331">
        <v>3</v>
      </c>
      <c r="E1331">
        <v>5383.08</v>
      </c>
      <c r="F1331" s="1">
        <v>38187</v>
      </c>
      <c r="G1331" t="s">
        <v>39</v>
      </c>
      <c r="H1331">
        <v>3</v>
      </c>
      <c r="I1331">
        <v>7</v>
      </c>
      <c r="J1331" t="str">
        <f>TEXT(DATE(2012,Table1[[#This Row],[MONTH_ID]],10),"mmm")</f>
        <v>Jul</v>
      </c>
      <c r="K1331">
        <v>2004</v>
      </c>
      <c r="L1331" t="s">
        <v>518</v>
      </c>
      <c r="M1331">
        <v>121</v>
      </c>
      <c r="N1331" t="s">
        <v>630</v>
      </c>
      <c r="O1331" t="s">
        <v>166</v>
      </c>
      <c r="P1331" t="s">
        <v>167</v>
      </c>
      <c r="Q1331" t="s">
        <v>168</v>
      </c>
      <c r="R1331" t="s">
        <v>169</v>
      </c>
      <c r="S1331" t="s">
        <v>170</v>
      </c>
      <c r="T1331" t="s">
        <v>171</v>
      </c>
      <c r="U1331">
        <v>2067</v>
      </c>
      <c r="V1331" t="s">
        <v>109</v>
      </c>
      <c r="W1331" t="s">
        <v>110</v>
      </c>
      <c r="X1331" t="s">
        <v>172</v>
      </c>
      <c r="Y1331" t="s">
        <v>173</v>
      </c>
      <c r="Z1331" t="s">
        <v>65</v>
      </c>
    </row>
    <row r="1332" spans="1:26" x14ac:dyDescent="0.3">
      <c r="A1332">
        <v>10281</v>
      </c>
      <c r="B1332">
        <v>25</v>
      </c>
      <c r="C1332">
        <v>99.29</v>
      </c>
      <c r="D1332">
        <v>10</v>
      </c>
      <c r="E1332">
        <v>2482.25</v>
      </c>
      <c r="F1332" s="1">
        <v>38218</v>
      </c>
      <c r="G1332" t="s">
        <v>39</v>
      </c>
      <c r="H1332">
        <v>3</v>
      </c>
      <c r="I1332">
        <v>8</v>
      </c>
      <c r="J1332" t="str">
        <f>TEXT(DATE(2012,Table1[[#This Row],[MONTH_ID]],10),"mmm")</f>
        <v>Aug</v>
      </c>
      <c r="K1332">
        <v>2004</v>
      </c>
      <c r="L1332" t="s">
        <v>518</v>
      </c>
      <c r="M1332">
        <v>121</v>
      </c>
      <c r="N1332" t="s">
        <v>630</v>
      </c>
      <c r="O1332" t="s">
        <v>153</v>
      </c>
      <c r="P1332">
        <v>2155551555</v>
      </c>
      <c r="Q1332" t="s">
        <v>154</v>
      </c>
      <c r="S1332" t="s">
        <v>155</v>
      </c>
      <c r="T1332" t="s">
        <v>156</v>
      </c>
      <c r="U1332">
        <v>70267</v>
      </c>
      <c r="V1332" t="s">
        <v>46</v>
      </c>
      <c r="W1332" t="s">
        <v>47</v>
      </c>
      <c r="X1332" t="s">
        <v>48</v>
      </c>
      <c r="Y1332" t="s">
        <v>157</v>
      </c>
      <c r="Z1332" t="s">
        <v>50</v>
      </c>
    </row>
    <row r="1333" spans="1:26" x14ac:dyDescent="0.3">
      <c r="A1333">
        <v>10291</v>
      </c>
      <c r="B1333">
        <v>48</v>
      </c>
      <c r="C1333">
        <v>100</v>
      </c>
      <c r="D1333">
        <v>5</v>
      </c>
      <c r="E1333">
        <v>5288.64</v>
      </c>
      <c r="F1333" s="1">
        <v>38238</v>
      </c>
      <c r="G1333" t="s">
        <v>39</v>
      </c>
      <c r="H1333">
        <v>3</v>
      </c>
      <c r="I1333">
        <v>9</v>
      </c>
      <c r="J1333" t="str">
        <f>TEXT(DATE(2012,Table1[[#This Row],[MONTH_ID]],10),"mmm")</f>
        <v>Sep</v>
      </c>
      <c r="K1333">
        <v>2004</v>
      </c>
      <c r="L1333" t="s">
        <v>518</v>
      </c>
      <c r="M1333">
        <v>121</v>
      </c>
      <c r="N1333" t="s">
        <v>630</v>
      </c>
      <c r="O1333" t="s">
        <v>275</v>
      </c>
      <c r="P1333" t="s">
        <v>276</v>
      </c>
      <c r="Q1333" t="s">
        <v>277</v>
      </c>
      <c r="S1333" t="s">
        <v>278</v>
      </c>
      <c r="U1333" t="s">
        <v>279</v>
      </c>
      <c r="V1333" t="s">
        <v>202</v>
      </c>
      <c r="W1333" t="s">
        <v>56</v>
      </c>
      <c r="X1333" t="s">
        <v>280</v>
      </c>
      <c r="Y1333" t="s">
        <v>220</v>
      </c>
      <c r="Z1333" t="s">
        <v>65</v>
      </c>
    </row>
    <row r="1334" spans="1:26" x14ac:dyDescent="0.3">
      <c r="A1334">
        <v>10305</v>
      </c>
      <c r="B1334">
        <v>22</v>
      </c>
      <c r="C1334">
        <v>99.29</v>
      </c>
      <c r="D1334">
        <v>14</v>
      </c>
      <c r="E1334">
        <v>2184.38</v>
      </c>
      <c r="F1334" s="1">
        <v>38273</v>
      </c>
      <c r="G1334" t="s">
        <v>39</v>
      </c>
      <c r="H1334">
        <v>4</v>
      </c>
      <c r="I1334">
        <v>10</v>
      </c>
      <c r="J1334" t="str">
        <f>TEXT(DATE(2012,Table1[[#This Row],[MONTH_ID]],10),"mmm")</f>
        <v>Oct</v>
      </c>
      <c r="K1334">
        <v>2004</v>
      </c>
      <c r="L1334" t="s">
        <v>518</v>
      </c>
      <c r="M1334">
        <v>121</v>
      </c>
      <c r="N1334" t="s">
        <v>630</v>
      </c>
      <c r="O1334" t="s">
        <v>134</v>
      </c>
      <c r="P1334">
        <v>6175558555</v>
      </c>
      <c r="Q1334" t="s">
        <v>135</v>
      </c>
      <c r="S1334" t="s">
        <v>136</v>
      </c>
      <c r="T1334" t="s">
        <v>137</v>
      </c>
      <c r="U1334">
        <v>51247</v>
      </c>
      <c r="V1334" t="s">
        <v>46</v>
      </c>
      <c r="W1334" t="s">
        <v>47</v>
      </c>
      <c r="X1334" t="s">
        <v>138</v>
      </c>
      <c r="Y1334" t="s">
        <v>139</v>
      </c>
      <c r="Z1334" t="s">
        <v>50</v>
      </c>
    </row>
    <row r="1335" spans="1:26" x14ac:dyDescent="0.3">
      <c r="A1335">
        <v>10313</v>
      </c>
      <c r="B1335">
        <v>28</v>
      </c>
      <c r="C1335">
        <v>100</v>
      </c>
      <c r="D1335">
        <v>8</v>
      </c>
      <c r="E1335">
        <v>2881.76</v>
      </c>
      <c r="F1335" s="1">
        <v>38282</v>
      </c>
      <c r="G1335" t="s">
        <v>39</v>
      </c>
      <c r="H1335">
        <v>4</v>
      </c>
      <c r="I1335">
        <v>10</v>
      </c>
      <c r="J1335" t="str">
        <f>TEXT(DATE(2012,Table1[[#This Row],[MONTH_ID]],10),"mmm")</f>
        <v>Oct</v>
      </c>
      <c r="K1335">
        <v>2004</v>
      </c>
      <c r="L1335" t="s">
        <v>518</v>
      </c>
      <c r="M1335">
        <v>121</v>
      </c>
      <c r="N1335" t="s">
        <v>630</v>
      </c>
      <c r="O1335" t="s">
        <v>239</v>
      </c>
      <c r="P1335" t="s">
        <v>240</v>
      </c>
      <c r="Q1335" t="s">
        <v>241</v>
      </c>
      <c r="S1335" t="s">
        <v>242</v>
      </c>
      <c r="T1335" t="s">
        <v>243</v>
      </c>
      <c r="U1335" t="s">
        <v>244</v>
      </c>
      <c r="V1335" t="s">
        <v>245</v>
      </c>
      <c r="W1335" t="s">
        <v>47</v>
      </c>
      <c r="X1335" t="s">
        <v>246</v>
      </c>
      <c r="Y1335" t="s">
        <v>247</v>
      </c>
      <c r="Z1335" t="s">
        <v>50</v>
      </c>
    </row>
    <row r="1336" spans="1:26" x14ac:dyDescent="0.3">
      <c r="A1336">
        <v>10323</v>
      </c>
      <c r="B1336">
        <v>47</v>
      </c>
      <c r="C1336">
        <v>100</v>
      </c>
      <c r="D1336">
        <v>1</v>
      </c>
      <c r="E1336">
        <v>6203.06</v>
      </c>
      <c r="F1336" s="1">
        <v>38296</v>
      </c>
      <c r="G1336" t="s">
        <v>39</v>
      </c>
      <c r="H1336">
        <v>4</v>
      </c>
      <c r="I1336">
        <v>11</v>
      </c>
      <c r="J1336" t="str">
        <f>TEXT(DATE(2012,Table1[[#This Row],[MONTH_ID]],10),"mmm")</f>
        <v>Nov</v>
      </c>
      <c r="K1336">
        <v>2004</v>
      </c>
      <c r="L1336" t="s">
        <v>518</v>
      </c>
      <c r="M1336">
        <v>121</v>
      </c>
      <c r="N1336" t="s">
        <v>630</v>
      </c>
      <c r="O1336" t="s">
        <v>476</v>
      </c>
      <c r="P1336" t="s">
        <v>477</v>
      </c>
      <c r="Q1336" t="s">
        <v>478</v>
      </c>
      <c r="S1336" t="s">
        <v>479</v>
      </c>
      <c r="U1336">
        <v>60528</v>
      </c>
      <c r="V1336" t="s">
        <v>457</v>
      </c>
      <c r="W1336" t="s">
        <v>56</v>
      </c>
      <c r="X1336" t="s">
        <v>480</v>
      </c>
      <c r="Y1336" t="s">
        <v>428</v>
      </c>
      <c r="Z1336" t="s">
        <v>65</v>
      </c>
    </row>
    <row r="1337" spans="1:26" x14ac:dyDescent="0.3">
      <c r="A1337">
        <v>10334</v>
      </c>
      <c r="B1337">
        <v>49</v>
      </c>
      <c r="C1337">
        <v>100</v>
      </c>
      <c r="D1337">
        <v>4</v>
      </c>
      <c r="E1337">
        <v>6763.47</v>
      </c>
      <c r="F1337" s="1">
        <v>38310</v>
      </c>
      <c r="G1337" t="s">
        <v>415</v>
      </c>
      <c r="H1337">
        <v>4</v>
      </c>
      <c r="I1337">
        <v>11</v>
      </c>
      <c r="J1337" t="str">
        <f>TEXT(DATE(2012,Table1[[#This Row],[MONTH_ID]],10),"mmm")</f>
        <v>Nov</v>
      </c>
      <c r="K1337">
        <v>2004</v>
      </c>
      <c r="L1337" t="s">
        <v>518</v>
      </c>
      <c r="M1337">
        <v>121</v>
      </c>
      <c r="N1337" t="s">
        <v>630</v>
      </c>
      <c r="O1337" t="s">
        <v>197</v>
      </c>
      <c r="P1337" t="s">
        <v>198</v>
      </c>
      <c r="Q1337" t="s">
        <v>199</v>
      </c>
      <c r="S1337" t="s">
        <v>200</v>
      </c>
      <c r="U1337" t="s">
        <v>201</v>
      </c>
      <c r="V1337" t="s">
        <v>202</v>
      </c>
      <c r="W1337" t="s">
        <v>56</v>
      </c>
      <c r="X1337" t="s">
        <v>203</v>
      </c>
      <c r="Y1337" t="s">
        <v>204</v>
      </c>
      <c r="Z1337" t="s">
        <v>65</v>
      </c>
    </row>
    <row r="1338" spans="1:26" x14ac:dyDescent="0.3">
      <c r="A1338">
        <v>10347</v>
      </c>
      <c r="B1338">
        <v>45</v>
      </c>
      <c r="C1338">
        <v>100</v>
      </c>
      <c r="D1338">
        <v>4</v>
      </c>
      <c r="E1338">
        <v>5884.65</v>
      </c>
      <c r="F1338" s="1">
        <v>38320</v>
      </c>
      <c r="G1338" t="s">
        <v>39</v>
      </c>
      <c r="H1338">
        <v>4</v>
      </c>
      <c r="I1338">
        <v>11</v>
      </c>
      <c r="J1338" t="str">
        <f>TEXT(DATE(2012,Table1[[#This Row],[MONTH_ID]],10),"mmm")</f>
        <v>Nov</v>
      </c>
      <c r="K1338">
        <v>2004</v>
      </c>
      <c r="L1338" t="s">
        <v>518</v>
      </c>
      <c r="M1338">
        <v>121</v>
      </c>
      <c r="N1338" t="s">
        <v>630</v>
      </c>
      <c r="O1338" t="s">
        <v>103</v>
      </c>
      <c r="P1338" t="s">
        <v>104</v>
      </c>
      <c r="Q1338" t="s">
        <v>105</v>
      </c>
      <c r="R1338" t="s">
        <v>106</v>
      </c>
      <c r="S1338" t="s">
        <v>107</v>
      </c>
      <c r="T1338" t="s">
        <v>108</v>
      </c>
      <c r="U1338">
        <v>3004</v>
      </c>
      <c r="V1338" t="s">
        <v>109</v>
      </c>
      <c r="W1338" t="s">
        <v>110</v>
      </c>
      <c r="X1338" t="s">
        <v>111</v>
      </c>
      <c r="Y1338" t="s">
        <v>112</v>
      </c>
      <c r="Z1338" t="s">
        <v>65</v>
      </c>
    </row>
    <row r="1339" spans="1:26" x14ac:dyDescent="0.3">
      <c r="A1339">
        <v>10357</v>
      </c>
      <c r="B1339">
        <v>28</v>
      </c>
      <c r="C1339">
        <v>100</v>
      </c>
      <c r="D1339">
        <v>2</v>
      </c>
      <c r="E1339">
        <v>3559.64</v>
      </c>
      <c r="F1339" s="1">
        <v>38331</v>
      </c>
      <c r="G1339" t="s">
        <v>39</v>
      </c>
      <c r="H1339">
        <v>4</v>
      </c>
      <c r="I1339">
        <v>12</v>
      </c>
      <c r="J1339" t="str">
        <f>TEXT(DATE(2012,Table1[[#This Row],[MONTH_ID]],10),"mmm")</f>
        <v>Dec</v>
      </c>
      <c r="K1339">
        <v>2004</v>
      </c>
      <c r="L1339" t="s">
        <v>518</v>
      </c>
      <c r="M1339">
        <v>121</v>
      </c>
      <c r="N1339" t="s">
        <v>630</v>
      </c>
      <c r="O1339" t="s">
        <v>286</v>
      </c>
      <c r="P1339">
        <v>4155551450</v>
      </c>
      <c r="Q1339" t="s">
        <v>287</v>
      </c>
      <c r="S1339" t="s">
        <v>288</v>
      </c>
      <c r="T1339" t="s">
        <v>69</v>
      </c>
      <c r="U1339">
        <v>97562</v>
      </c>
      <c r="V1339" t="s">
        <v>46</v>
      </c>
      <c r="W1339" t="s">
        <v>47</v>
      </c>
      <c r="X1339" t="s">
        <v>289</v>
      </c>
      <c r="Y1339" t="s">
        <v>290</v>
      </c>
      <c r="Z1339" t="s">
        <v>65</v>
      </c>
    </row>
    <row r="1340" spans="1:26" x14ac:dyDescent="0.3">
      <c r="A1340">
        <v>10370</v>
      </c>
      <c r="B1340">
        <v>29</v>
      </c>
      <c r="C1340">
        <v>57.53</v>
      </c>
      <c r="D1340">
        <v>6</v>
      </c>
      <c r="E1340">
        <v>1668.37</v>
      </c>
      <c r="F1340" s="1">
        <v>38372</v>
      </c>
      <c r="G1340" t="s">
        <v>39</v>
      </c>
      <c r="H1340">
        <v>1</v>
      </c>
      <c r="I1340">
        <v>1</v>
      </c>
      <c r="J1340" t="str">
        <f>TEXT(DATE(2012,Table1[[#This Row],[MONTH_ID]],10),"mmm")</f>
        <v>Jan</v>
      </c>
      <c r="K1340">
        <v>2005</v>
      </c>
      <c r="L1340" t="s">
        <v>518</v>
      </c>
      <c r="M1340">
        <v>121</v>
      </c>
      <c r="N1340" t="s">
        <v>630</v>
      </c>
      <c r="O1340" t="s">
        <v>299</v>
      </c>
      <c r="P1340" t="s">
        <v>300</v>
      </c>
      <c r="Q1340" t="s">
        <v>301</v>
      </c>
      <c r="R1340" t="s">
        <v>302</v>
      </c>
      <c r="S1340" t="s">
        <v>303</v>
      </c>
      <c r="T1340" t="s">
        <v>171</v>
      </c>
      <c r="U1340">
        <v>2060</v>
      </c>
      <c r="V1340" t="s">
        <v>109</v>
      </c>
      <c r="W1340" t="s">
        <v>110</v>
      </c>
      <c r="X1340" t="s">
        <v>304</v>
      </c>
      <c r="Y1340" t="s">
        <v>305</v>
      </c>
      <c r="Z1340" t="s">
        <v>50</v>
      </c>
    </row>
    <row r="1341" spans="1:26" x14ac:dyDescent="0.3">
      <c r="A1341">
        <v>10382</v>
      </c>
      <c r="B1341">
        <v>39</v>
      </c>
      <c r="C1341">
        <v>100</v>
      </c>
      <c r="D1341">
        <v>1</v>
      </c>
      <c r="E1341">
        <v>4890.6000000000004</v>
      </c>
      <c r="F1341" s="1">
        <v>38400</v>
      </c>
      <c r="G1341" t="s">
        <v>39</v>
      </c>
      <c r="H1341">
        <v>1</v>
      </c>
      <c r="I1341">
        <v>2</v>
      </c>
      <c r="J1341" t="str">
        <f>TEXT(DATE(2012,Table1[[#This Row],[MONTH_ID]],10),"mmm")</f>
        <v>Feb</v>
      </c>
      <c r="K1341">
        <v>2005</v>
      </c>
      <c r="L1341" t="s">
        <v>518</v>
      </c>
      <c r="M1341">
        <v>121</v>
      </c>
      <c r="N1341" t="s">
        <v>630</v>
      </c>
      <c r="O1341" t="s">
        <v>286</v>
      </c>
      <c r="P1341">
        <v>4155551450</v>
      </c>
      <c r="Q1341" t="s">
        <v>287</v>
      </c>
      <c r="S1341" t="s">
        <v>288</v>
      </c>
      <c r="T1341" t="s">
        <v>69</v>
      </c>
      <c r="U1341">
        <v>97562</v>
      </c>
      <c r="V1341" t="s">
        <v>46</v>
      </c>
      <c r="W1341" t="s">
        <v>47</v>
      </c>
      <c r="X1341" t="s">
        <v>289</v>
      </c>
      <c r="Y1341" t="s">
        <v>290</v>
      </c>
      <c r="Z1341" t="s">
        <v>65</v>
      </c>
    </row>
    <row r="1342" spans="1:26" x14ac:dyDescent="0.3">
      <c r="A1342">
        <v>10411</v>
      </c>
      <c r="B1342">
        <v>46</v>
      </c>
      <c r="C1342">
        <v>100</v>
      </c>
      <c r="D1342">
        <v>3</v>
      </c>
      <c r="E1342">
        <v>5235.72</v>
      </c>
      <c r="F1342" s="1">
        <v>38473</v>
      </c>
      <c r="G1342" t="s">
        <v>39</v>
      </c>
      <c r="H1342">
        <v>2</v>
      </c>
      <c r="I1342">
        <v>5</v>
      </c>
      <c r="J1342" t="str">
        <f>TEXT(DATE(2012,Table1[[#This Row],[MONTH_ID]],10),"mmm")</f>
        <v>May</v>
      </c>
      <c r="K1342">
        <v>2005</v>
      </c>
      <c r="L1342" t="s">
        <v>518</v>
      </c>
      <c r="M1342">
        <v>121</v>
      </c>
      <c r="N1342" t="s">
        <v>630</v>
      </c>
      <c r="O1342" t="s">
        <v>306</v>
      </c>
      <c r="P1342" t="s">
        <v>307</v>
      </c>
      <c r="Q1342" t="s">
        <v>308</v>
      </c>
      <c r="S1342" t="s">
        <v>309</v>
      </c>
      <c r="T1342" t="s">
        <v>310</v>
      </c>
      <c r="U1342" t="s">
        <v>311</v>
      </c>
      <c r="V1342" t="s">
        <v>245</v>
      </c>
      <c r="W1342" t="s">
        <v>47</v>
      </c>
      <c r="X1342" t="s">
        <v>312</v>
      </c>
      <c r="Y1342" t="s">
        <v>313</v>
      </c>
      <c r="Z1342" t="s">
        <v>65</v>
      </c>
    </row>
    <row r="1343" spans="1:26" x14ac:dyDescent="0.3">
      <c r="A1343">
        <v>10425</v>
      </c>
      <c r="B1343">
        <v>38</v>
      </c>
      <c r="C1343">
        <v>100</v>
      </c>
      <c r="D1343">
        <v>13</v>
      </c>
      <c r="E1343">
        <v>4325.16</v>
      </c>
      <c r="F1343" s="1">
        <v>38503</v>
      </c>
      <c r="G1343" t="s">
        <v>314</v>
      </c>
      <c r="H1343">
        <v>2</v>
      </c>
      <c r="I1343">
        <v>5</v>
      </c>
      <c r="J1343" t="str">
        <f>TEXT(DATE(2012,Table1[[#This Row],[MONTH_ID]],10),"mmm")</f>
        <v>May</v>
      </c>
      <c r="K1343">
        <v>2005</v>
      </c>
      <c r="L1343" t="s">
        <v>518</v>
      </c>
      <c r="M1343">
        <v>121</v>
      </c>
      <c r="N1343" t="s">
        <v>630</v>
      </c>
      <c r="O1343" t="s">
        <v>128</v>
      </c>
      <c r="P1343" t="s">
        <v>129</v>
      </c>
      <c r="Q1343" t="s">
        <v>130</v>
      </c>
      <c r="S1343" t="s">
        <v>131</v>
      </c>
      <c r="U1343">
        <v>44000</v>
      </c>
      <c r="V1343" t="s">
        <v>55</v>
      </c>
      <c r="W1343" t="s">
        <v>56</v>
      </c>
      <c r="X1343" t="s">
        <v>132</v>
      </c>
      <c r="Y1343" t="s">
        <v>133</v>
      </c>
      <c r="Z1343" t="s">
        <v>65</v>
      </c>
    </row>
    <row r="1344" spans="1:26" x14ac:dyDescent="0.3">
      <c r="A1344">
        <v>10103</v>
      </c>
      <c r="B1344">
        <v>41</v>
      </c>
      <c r="C1344">
        <v>47.29</v>
      </c>
      <c r="D1344">
        <v>9</v>
      </c>
      <c r="E1344">
        <v>1938.89</v>
      </c>
      <c r="F1344" s="1">
        <v>37650</v>
      </c>
      <c r="G1344" t="s">
        <v>39</v>
      </c>
      <c r="H1344">
        <v>1</v>
      </c>
      <c r="I1344">
        <v>1</v>
      </c>
      <c r="J1344" t="str">
        <f>TEXT(DATE(2012,Table1[[#This Row],[MONTH_ID]],10),"mmm")</f>
        <v>Jan</v>
      </c>
      <c r="K1344">
        <v>2003</v>
      </c>
      <c r="L1344" t="s">
        <v>564</v>
      </c>
      <c r="M1344">
        <v>50</v>
      </c>
      <c r="N1344" t="s">
        <v>631</v>
      </c>
      <c r="O1344" t="s">
        <v>147</v>
      </c>
      <c r="P1344" t="s">
        <v>148</v>
      </c>
      <c r="Q1344" t="s">
        <v>149</v>
      </c>
      <c r="S1344" t="s">
        <v>150</v>
      </c>
      <c r="U1344">
        <v>4110</v>
      </c>
      <c r="V1344" t="s">
        <v>92</v>
      </c>
      <c r="W1344" t="s">
        <v>56</v>
      </c>
      <c r="X1344" t="s">
        <v>151</v>
      </c>
      <c r="Y1344" t="s">
        <v>152</v>
      </c>
      <c r="Z1344" t="s">
        <v>50</v>
      </c>
    </row>
    <row r="1345" spans="1:26" x14ac:dyDescent="0.3">
      <c r="A1345">
        <v>10113</v>
      </c>
      <c r="B1345">
        <v>50</v>
      </c>
      <c r="C1345">
        <v>49.81</v>
      </c>
      <c r="D1345">
        <v>3</v>
      </c>
      <c r="E1345">
        <v>2490.5</v>
      </c>
      <c r="F1345" s="1">
        <v>37706</v>
      </c>
      <c r="G1345" t="s">
        <v>39</v>
      </c>
      <c r="H1345">
        <v>1</v>
      </c>
      <c r="I1345">
        <v>3</v>
      </c>
      <c r="J1345" t="str">
        <f>TEXT(DATE(2012,Table1[[#This Row],[MONTH_ID]],10),"mmm")</f>
        <v>Mar</v>
      </c>
      <c r="K1345">
        <v>2003</v>
      </c>
      <c r="L1345" t="s">
        <v>564</v>
      </c>
      <c r="M1345">
        <v>50</v>
      </c>
      <c r="N1345" t="s">
        <v>631</v>
      </c>
      <c r="O1345" t="s">
        <v>286</v>
      </c>
      <c r="P1345">
        <v>4155551450</v>
      </c>
      <c r="Q1345" t="s">
        <v>287</v>
      </c>
      <c r="S1345" t="s">
        <v>288</v>
      </c>
      <c r="T1345" t="s">
        <v>69</v>
      </c>
      <c r="U1345">
        <v>97562</v>
      </c>
      <c r="V1345" t="s">
        <v>46</v>
      </c>
      <c r="W1345" t="s">
        <v>47</v>
      </c>
      <c r="X1345" t="s">
        <v>289</v>
      </c>
      <c r="Y1345" t="s">
        <v>290</v>
      </c>
      <c r="Z1345" t="s">
        <v>50</v>
      </c>
    </row>
    <row r="1346" spans="1:26" x14ac:dyDescent="0.3">
      <c r="A1346">
        <v>10126</v>
      </c>
      <c r="B1346">
        <v>43</v>
      </c>
      <c r="C1346">
        <v>53.83</v>
      </c>
      <c r="D1346">
        <v>9</v>
      </c>
      <c r="E1346">
        <v>2314.69</v>
      </c>
      <c r="F1346" s="1">
        <v>37769</v>
      </c>
      <c r="G1346" t="s">
        <v>39</v>
      </c>
      <c r="H1346">
        <v>2</v>
      </c>
      <c r="I1346">
        <v>5</v>
      </c>
      <c r="J1346" t="str">
        <f>TEXT(DATE(2012,Table1[[#This Row],[MONTH_ID]],10),"mmm")</f>
        <v>May</v>
      </c>
      <c r="K1346">
        <v>2003</v>
      </c>
      <c r="L1346" t="s">
        <v>564</v>
      </c>
      <c r="M1346">
        <v>50</v>
      </c>
      <c r="N1346" t="s">
        <v>631</v>
      </c>
      <c r="O1346" t="s">
        <v>205</v>
      </c>
      <c r="P1346" t="s">
        <v>206</v>
      </c>
      <c r="Q1346" t="s">
        <v>207</v>
      </c>
      <c r="S1346" t="s">
        <v>191</v>
      </c>
      <c r="U1346">
        <v>28023</v>
      </c>
      <c r="V1346" t="s">
        <v>192</v>
      </c>
      <c r="W1346" t="s">
        <v>56</v>
      </c>
      <c r="X1346" t="s">
        <v>208</v>
      </c>
      <c r="Y1346" t="s">
        <v>209</v>
      </c>
      <c r="Z1346" t="s">
        <v>50</v>
      </c>
    </row>
    <row r="1347" spans="1:26" x14ac:dyDescent="0.3">
      <c r="A1347">
        <v>10140</v>
      </c>
      <c r="B1347">
        <v>29</v>
      </c>
      <c r="C1347">
        <v>43.27</v>
      </c>
      <c r="D1347">
        <v>9</v>
      </c>
      <c r="E1347">
        <v>1254.83</v>
      </c>
      <c r="F1347" s="1">
        <v>37826</v>
      </c>
      <c r="G1347" t="s">
        <v>39</v>
      </c>
      <c r="H1347">
        <v>3</v>
      </c>
      <c r="I1347">
        <v>7</v>
      </c>
      <c r="J1347" t="str">
        <f>TEXT(DATE(2012,Table1[[#This Row],[MONTH_ID]],10),"mmm")</f>
        <v>Jul</v>
      </c>
      <c r="K1347">
        <v>2003</v>
      </c>
      <c r="L1347" t="s">
        <v>564</v>
      </c>
      <c r="M1347">
        <v>50</v>
      </c>
      <c r="N1347" t="s">
        <v>631</v>
      </c>
      <c r="O1347" t="s">
        <v>76</v>
      </c>
      <c r="P1347">
        <v>6505556809</v>
      </c>
      <c r="Q1347" t="s">
        <v>77</v>
      </c>
      <c r="S1347" t="s">
        <v>78</v>
      </c>
      <c r="T1347" t="s">
        <v>69</v>
      </c>
      <c r="U1347">
        <v>94217</v>
      </c>
      <c r="V1347" t="s">
        <v>46</v>
      </c>
      <c r="W1347" t="s">
        <v>47</v>
      </c>
      <c r="X1347" t="s">
        <v>79</v>
      </c>
      <c r="Y1347" t="s">
        <v>80</v>
      </c>
      <c r="Z1347" t="s">
        <v>50</v>
      </c>
    </row>
    <row r="1348" spans="1:26" x14ac:dyDescent="0.3">
      <c r="A1348">
        <v>10150</v>
      </c>
      <c r="B1348">
        <v>30</v>
      </c>
      <c r="C1348">
        <v>42.76</v>
      </c>
      <c r="D1348">
        <v>6</v>
      </c>
      <c r="E1348">
        <v>1282.8</v>
      </c>
      <c r="F1348" s="1">
        <v>37883</v>
      </c>
      <c r="G1348" t="s">
        <v>39</v>
      </c>
      <c r="H1348">
        <v>3</v>
      </c>
      <c r="I1348">
        <v>9</v>
      </c>
      <c r="J1348" t="str">
        <f>TEXT(DATE(2012,Table1[[#This Row],[MONTH_ID]],10),"mmm")</f>
        <v>Sep</v>
      </c>
      <c r="K1348">
        <v>2003</v>
      </c>
      <c r="L1348" t="s">
        <v>564</v>
      </c>
      <c r="M1348">
        <v>50</v>
      </c>
      <c r="N1348" t="s">
        <v>631</v>
      </c>
      <c r="O1348" t="s">
        <v>210</v>
      </c>
      <c r="P1348" t="s">
        <v>211</v>
      </c>
      <c r="Q1348" t="s">
        <v>212</v>
      </c>
      <c r="S1348" t="s">
        <v>213</v>
      </c>
      <c r="U1348">
        <v>79903</v>
      </c>
      <c r="V1348" t="s">
        <v>213</v>
      </c>
      <c r="W1348" t="s">
        <v>214</v>
      </c>
      <c r="X1348" t="s">
        <v>215</v>
      </c>
      <c r="Y1348" t="s">
        <v>216</v>
      </c>
      <c r="Z1348" t="s">
        <v>50</v>
      </c>
    </row>
    <row r="1349" spans="1:26" x14ac:dyDescent="0.3">
      <c r="A1349">
        <v>10164</v>
      </c>
      <c r="B1349">
        <v>25</v>
      </c>
      <c r="C1349">
        <v>53.83</v>
      </c>
      <c r="D1349">
        <v>7</v>
      </c>
      <c r="E1349">
        <v>1345.75</v>
      </c>
      <c r="F1349" s="1">
        <v>37915</v>
      </c>
      <c r="G1349" t="s">
        <v>422</v>
      </c>
      <c r="H1349">
        <v>4</v>
      </c>
      <c r="I1349">
        <v>10</v>
      </c>
      <c r="J1349" t="str">
        <f>TEXT(DATE(2012,Table1[[#This Row],[MONTH_ID]],10),"mmm")</f>
        <v>Oct</v>
      </c>
      <c r="K1349">
        <v>2003</v>
      </c>
      <c r="L1349" t="s">
        <v>564</v>
      </c>
      <c r="M1349">
        <v>50</v>
      </c>
      <c r="N1349" t="s">
        <v>631</v>
      </c>
      <c r="O1349" t="s">
        <v>423</v>
      </c>
      <c r="P1349" t="s">
        <v>424</v>
      </c>
      <c r="Q1349" t="s">
        <v>425</v>
      </c>
      <c r="S1349" t="s">
        <v>426</v>
      </c>
      <c r="U1349">
        <v>8010</v>
      </c>
      <c r="V1349" t="s">
        <v>162</v>
      </c>
      <c r="W1349" t="s">
        <v>56</v>
      </c>
      <c r="X1349" t="s">
        <v>427</v>
      </c>
      <c r="Y1349" t="s">
        <v>428</v>
      </c>
      <c r="Z1349" t="s">
        <v>50</v>
      </c>
    </row>
    <row r="1350" spans="1:26" x14ac:dyDescent="0.3">
      <c r="A1350">
        <v>10174</v>
      </c>
      <c r="B1350">
        <v>49</v>
      </c>
      <c r="C1350">
        <v>44.78</v>
      </c>
      <c r="D1350">
        <v>2</v>
      </c>
      <c r="E1350">
        <v>2194.2199999999998</v>
      </c>
      <c r="F1350" s="1">
        <v>37931</v>
      </c>
      <c r="G1350" t="s">
        <v>39</v>
      </c>
      <c r="H1350">
        <v>4</v>
      </c>
      <c r="I1350">
        <v>11</v>
      </c>
      <c r="J1350" t="str">
        <f>TEXT(DATE(2012,Table1[[#This Row],[MONTH_ID]],10),"mmm")</f>
        <v>Nov</v>
      </c>
      <c r="K1350">
        <v>2003</v>
      </c>
      <c r="L1350" t="s">
        <v>564</v>
      </c>
      <c r="M1350">
        <v>50</v>
      </c>
      <c r="N1350" t="s">
        <v>631</v>
      </c>
      <c r="O1350" t="s">
        <v>221</v>
      </c>
      <c r="P1350" t="s">
        <v>222</v>
      </c>
      <c r="Q1350" t="s">
        <v>223</v>
      </c>
      <c r="S1350" t="s">
        <v>224</v>
      </c>
      <c r="T1350" t="s">
        <v>225</v>
      </c>
      <c r="U1350">
        <v>4101</v>
      </c>
      <c r="V1350" t="s">
        <v>109</v>
      </c>
      <c r="W1350" t="s">
        <v>110</v>
      </c>
      <c r="X1350" t="s">
        <v>226</v>
      </c>
      <c r="Y1350" t="s">
        <v>227</v>
      </c>
      <c r="Z1350" t="s">
        <v>50</v>
      </c>
    </row>
    <row r="1351" spans="1:26" x14ac:dyDescent="0.3">
      <c r="A1351">
        <v>10183</v>
      </c>
      <c r="B1351">
        <v>40</v>
      </c>
      <c r="C1351">
        <v>49.3</v>
      </c>
      <c r="D1351">
        <v>6</v>
      </c>
      <c r="E1351">
        <v>1972</v>
      </c>
      <c r="F1351" s="1">
        <v>37938</v>
      </c>
      <c r="G1351" t="s">
        <v>39</v>
      </c>
      <c r="H1351">
        <v>4</v>
      </c>
      <c r="I1351">
        <v>11</v>
      </c>
      <c r="J1351" t="str">
        <f>TEXT(DATE(2012,Table1[[#This Row],[MONTH_ID]],10),"mmm")</f>
        <v>Nov</v>
      </c>
      <c r="K1351">
        <v>2003</v>
      </c>
      <c r="L1351" t="s">
        <v>564</v>
      </c>
      <c r="M1351">
        <v>50</v>
      </c>
      <c r="N1351" t="s">
        <v>631</v>
      </c>
      <c r="O1351" t="s">
        <v>228</v>
      </c>
      <c r="P1351">
        <v>2155554695</v>
      </c>
      <c r="Q1351" t="s">
        <v>229</v>
      </c>
      <c r="S1351" t="s">
        <v>230</v>
      </c>
      <c r="T1351" t="s">
        <v>156</v>
      </c>
      <c r="U1351">
        <v>71270</v>
      </c>
      <c r="V1351" t="s">
        <v>46</v>
      </c>
      <c r="W1351" t="s">
        <v>47</v>
      </c>
      <c r="X1351" t="s">
        <v>231</v>
      </c>
      <c r="Y1351" t="s">
        <v>232</v>
      </c>
      <c r="Z1351" t="s">
        <v>50</v>
      </c>
    </row>
    <row r="1352" spans="1:26" x14ac:dyDescent="0.3">
      <c r="A1352">
        <v>10194</v>
      </c>
      <c r="B1352">
        <v>41</v>
      </c>
      <c r="C1352">
        <v>44.78</v>
      </c>
      <c r="D1352">
        <v>9</v>
      </c>
      <c r="E1352">
        <v>1835.98</v>
      </c>
      <c r="F1352" s="1">
        <v>37950</v>
      </c>
      <c r="G1352" t="s">
        <v>39</v>
      </c>
      <c r="H1352">
        <v>4</v>
      </c>
      <c r="I1352">
        <v>11</v>
      </c>
      <c r="J1352" t="str">
        <f>TEXT(DATE(2012,Table1[[#This Row],[MONTH_ID]],10),"mmm")</f>
        <v>Nov</v>
      </c>
      <c r="K1352">
        <v>2003</v>
      </c>
      <c r="L1352" t="s">
        <v>564</v>
      </c>
      <c r="M1352">
        <v>50</v>
      </c>
      <c r="N1352" t="s">
        <v>631</v>
      </c>
      <c r="O1352" t="s">
        <v>233</v>
      </c>
      <c r="P1352" t="s">
        <v>234</v>
      </c>
      <c r="Q1352" t="s">
        <v>235</v>
      </c>
      <c r="S1352" t="s">
        <v>236</v>
      </c>
      <c r="U1352">
        <v>69004</v>
      </c>
      <c r="V1352" t="s">
        <v>55</v>
      </c>
      <c r="W1352" t="s">
        <v>56</v>
      </c>
      <c r="X1352" t="s">
        <v>237</v>
      </c>
      <c r="Y1352" t="s">
        <v>238</v>
      </c>
      <c r="Z1352" t="s">
        <v>50</v>
      </c>
    </row>
    <row r="1353" spans="1:26" x14ac:dyDescent="0.3">
      <c r="A1353">
        <v>10206</v>
      </c>
      <c r="B1353">
        <v>21</v>
      </c>
      <c r="C1353">
        <v>53.33</v>
      </c>
      <c r="D1353">
        <v>4</v>
      </c>
      <c r="E1353">
        <v>1119.93</v>
      </c>
      <c r="F1353" s="1">
        <v>37960</v>
      </c>
      <c r="G1353" t="s">
        <v>39</v>
      </c>
      <c r="H1353">
        <v>4</v>
      </c>
      <c r="I1353">
        <v>12</v>
      </c>
      <c r="J1353" t="str">
        <f>TEXT(DATE(2012,Table1[[#This Row],[MONTH_ID]],10),"mmm")</f>
        <v>Dec</v>
      </c>
      <c r="K1353">
        <v>2003</v>
      </c>
      <c r="L1353" t="s">
        <v>564</v>
      </c>
      <c r="M1353">
        <v>50</v>
      </c>
      <c r="N1353" t="s">
        <v>631</v>
      </c>
      <c r="O1353" t="s">
        <v>239</v>
      </c>
      <c r="P1353" t="s">
        <v>240</v>
      </c>
      <c r="Q1353" t="s">
        <v>241</v>
      </c>
      <c r="S1353" t="s">
        <v>242</v>
      </c>
      <c r="T1353" t="s">
        <v>243</v>
      </c>
      <c r="U1353" t="s">
        <v>244</v>
      </c>
      <c r="V1353" t="s">
        <v>245</v>
      </c>
      <c r="W1353" t="s">
        <v>47</v>
      </c>
      <c r="X1353" t="s">
        <v>246</v>
      </c>
      <c r="Y1353" t="s">
        <v>247</v>
      </c>
      <c r="Z1353" t="s">
        <v>50</v>
      </c>
    </row>
    <row r="1354" spans="1:26" x14ac:dyDescent="0.3">
      <c r="A1354">
        <v>10215</v>
      </c>
      <c r="B1354">
        <v>46</v>
      </c>
      <c r="C1354">
        <v>45.28</v>
      </c>
      <c r="D1354">
        <v>1</v>
      </c>
      <c r="E1354">
        <v>2082.88</v>
      </c>
      <c r="F1354" s="1">
        <v>38015</v>
      </c>
      <c r="G1354" t="s">
        <v>39</v>
      </c>
      <c r="H1354">
        <v>1</v>
      </c>
      <c r="I1354">
        <v>1</v>
      </c>
      <c r="J1354" t="str">
        <f>TEXT(DATE(2012,Table1[[#This Row],[MONTH_ID]],10),"mmm")</f>
        <v>Jan</v>
      </c>
      <c r="K1354">
        <v>2004</v>
      </c>
      <c r="L1354" t="s">
        <v>564</v>
      </c>
      <c r="M1354">
        <v>50</v>
      </c>
      <c r="N1354" t="s">
        <v>631</v>
      </c>
      <c r="O1354" t="s">
        <v>248</v>
      </c>
      <c r="P1354">
        <v>3105553722</v>
      </c>
      <c r="Q1354" t="s">
        <v>249</v>
      </c>
      <c r="S1354" t="s">
        <v>250</v>
      </c>
      <c r="T1354" t="s">
        <v>69</v>
      </c>
      <c r="U1354">
        <v>94019</v>
      </c>
      <c r="V1354" t="s">
        <v>46</v>
      </c>
      <c r="W1354" t="s">
        <v>47</v>
      </c>
      <c r="X1354" t="s">
        <v>251</v>
      </c>
      <c r="Y1354" t="s">
        <v>252</v>
      </c>
      <c r="Z1354" t="s">
        <v>50</v>
      </c>
    </row>
    <row r="1355" spans="1:26" x14ac:dyDescent="0.3">
      <c r="A1355">
        <v>10229</v>
      </c>
      <c r="B1355">
        <v>39</v>
      </c>
      <c r="C1355">
        <v>40.25</v>
      </c>
      <c r="D1355">
        <v>14</v>
      </c>
      <c r="E1355">
        <v>1569.75</v>
      </c>
      <c r="F1355" s="1">
        <v>38057</v>
      </c>
      <c r="G1355" t="s">
        <v>39</v>
      </c>
      <c r="H1355">
        <v>1</v>
      </c>
      <c r="I1355">
        <v>3</v>
      </c>
      <c r="J1355" t="str">
        <f>TEXT(DATE(2012,Table1[[#This Row],[MONTH_ID]],10),"mmm")</f>
        <v>Mar</v>
      </c>
      <c r="K1355">
        <v>2004</v>
      </c>
      <c r="L1355" t="s">
        <v>564</v>
      </c>
      <c r="M1355">
        <v>50</v>
      </c>
      <c r="N1355" t="s">
        <v>631</v>
      </c>
      <c r="O1355" t="s">
        <v>286</v>
      </c>
      <c r="P1355">
        <v>4155551450</v>
      </c>
      <c r="Q1355" t="s">
        <v>287</v>
      </c>
      <c r="S1355" t="s">
        <v>288</v>
      </c>
      <c r="T1355" t="s">
        <v>69</v>
      </c>
      <c r="U1355">
        <v>97562</v>
      </c>
      <c r="V1355" t="s">
        <v>46</v>
      </c>
      <c r="W1355" t="s">
        <v>47</v>
      </c>
      <c r="X1355" t="s">
        <v>289</v>
      </c>
      <c r="Y1355" t="s">
        <v>290</v>
      </c>
      <c r="Z1355" t="s">
        <v>50</v>
      </c>
    </row>
    <row r="1356" spans="1:26" x14ac:dyDescent="0.3">
      <c r="A1356">
        <v>10245</v>
      </c>
      <c r="B1356">
        <v>45</v>
      </c>
      <c r="C1356">
        <v>59.87</v>
      </c>
      <c r="D1356">
        <v>7</v>
      </c>
      <c r="E1356">
        <v>2694.15</v>
      </c>
      <c r="F1356" s="1">
        <v>38111</v>
      </c>
      <c r="G1356" t="s">
        <v>39</v>
      </c>
      <c r="H1356">
        <v>2</v>
      </c>
      <c r="I1356">
        <v>5</v>
      </c>
      <c r="J1356" t="str">
        <f>TEXT(DATE(2012,Table1[[#This Row],[MONTH_ID]],10),"mmm")</f>
        <v>May</v>
      </c>
      <c r="K1356">
        <v>2004</v>
      </c>
      <c r="L1356" t="s">
        <v>564</v>
      </c>
      <c r="M1356">
        <v>50</v>
      </c>
      <c r="N1356" t="s">
        <v>631</v>
      </c>
      <c r="O1356" t="s">
        <v>256</v>
      </c>
      <c r="P1356">
        <v>2035559545</v>
      </c>
      <c r="Q1356" t="s">
        <v>257</v>
      </c>
      <c r="S1356" t="s">
        <v>258</v>
      </c>
      <c r="T1356" t="s">
        <v>126</v>
      </c>
      <c r="U1356">
        <v>97823</v>
      </c>
      <c r="V1356" t="s">
        <v>46</v>
      </c>
      <c r="W1356" t="s">
        <v>47</v>
      </c>
      <c r="X1356" t="s">
        <v>97</v>
      </c>
      <c r="Y1356" t="s">
        <v>259</v>
      </c>
      <c r="Z1356" t="s">
        <v>50</v>
      </c>
    </row>
    <row r="1357" spans="1:26" x14ac:dyDescent="0.3">
      <c r="A1357">
        <v>10258</v>
      </c>
      <c r="B1357">
        <v>21</v>
      </c>
      <c r="C1357">
        <v>59.87</v>
      </c>
      <c r="D1357">
        <v>4</v>
      </c>
      <c r="E1357">
        <v>1257.27</v>
      </c>
      <c r="F1357" s="1">
        <v>38153</v>
      </c>
      <c r="G1357" t="s">
        <v>39</v>
      </c>
      <c r="H1357">
        <v>2</v>
      </c>
      <c r="I1357">
        <v>6</v>
      </c>
      <c r="J1357" t="str">
        <f>TEXT(DATE(2012,Table1[[#This Row],[MONTH_ID]],10),"mmm")</f>
        <v>Jun</v>
      </c>
      <c r="K1357">
        <v>2004</v>
      </c>
      <c r="L1357" t="s">
        <v>564</v>
      </c>
      <c r="M1357">
        <v>50</v>
      </c>
      <c r="N1357" t="s">
        <v>631</v>
      </c>
      <c r="O1357" t="s">
        <v>260</v>
      </c>
      <c r="P1357" t="s">
        <v>261</v>
      </c>
      <c r="Q1357" t="s">
        <v>262</v>
      </c>
      <c r="S1357" t="s">
        <v>263</v>
      </c>
      <c r="T1357" t="s">
        <v>264</v>
      </c>
      <c r="U1357" t="s">
        <v>265</v>
      </c>
      <c r="V1357" t="s">
        <v>214</v>
      </c>
      <c r="W1357" t="s">
        <v>214</v>
      </c>
      <c r="X1357" t="s">
        <v>266</v>
      </c>
      <c r="Y1357" t="s">
        <v>267</v>
      </c>
      <c r="Z1357" t="s">
        <v>50</v>
      </c>
    </row>
    <row r="1358" spans="1:26" x14ac:dyDescent="0.3">
      <c r="A1358">
        <v>10270</v>
      </c>
      <c r="B1358">
        <v>44</v>
      </c>
      <c r="C1358">
        <v>58.36</v>
      </c>
      <c r="D1358">
        <v>7</v>
      </c>
      <c r="E1358">
        <v>2567.84</v>
      </c>
      <c r="F1358" s="1">
        <v>38187</v>
      </c>
      <c r="G1358" t="s">
        <v>39</v>
      </c>
      <c r="H1358">
        <v>3</v>
      </c>
      <c r="I1358">
        <v>7</v>
      </c>
      <c r="J1358" t="str">
        <f>TEXT(DATE(2012,Table1[[#This Row],[MONTH_ID]],10),"mmm")</f>
        <v>Jul</v>
      </c>
      <c r="K1358">
        <v>2004</v>
      </c>
      <c r="L1358" t="s">
        <v>564</v>
      </c>
      <c r="M1358">
        <v>50</v>
      </c>
      <c r="N1358" t="s">
        <v>631</v>
      </c>
      <c r="O1358" t="s">
        <v>166</v>
      </c>
      <c r="P1358" t="s">
        <v>167</v>
      </c>
      <c r="Q1358" t="s">
        <v>168</v>
      </c>
      <c r="R1358" t="s">
        <v>169</v>
      </c>
      <c r="S1358" t="s">
        <v>170</v>
      </c>
      <c r="T1358" t="s">
        <v>171</v>
      </c>
      <c r="U1358">
        <v>2067</v>
      </c>
      <c r="V1358" t="s">
        <v>109</v>
      </c>
      <c r="W1358" t="s">
        <v>110</v>
      </c>
      <c r="X1358" t="s">
        <v>172</v>
      </c>
      <c r="Y1358" t="s">
        <v>173</v>
      </c>
      <c r="Z1358" t="s">
        <v>50</v>
      </c>
    </row>
    <row r="1359" spans="1:26" x14ac:dyDescent="0.3">
      <c r="A1359">
        <v>10281</v>
      </c>
      <c r="B1359">
        <v>44</v>
      </c>
      <c r="C1359">
        <v>59.87</v>
      </c>
      <c r="D1359">
        <v>14</v>
      </c>
      <c r="E1359">
        <v>2634.28</v>
      </c>
      <c r="F1359" s="1">
        <v>38218</v>
      </c>
      <c r="G1359" t="s">
        <v>39</v>
      </c>
      <c r="H1359">
        <v>3</v>
      </c>
      <c r="I1359">
        <v>8</v>
      </c>
      <c r="J1359" t="str">
        <f>TEXT(DATE(2012,Table1[[#This Row],[MONTH_ID]],10),"mmm")</f>
        <v>Aug</v>
      </c>
      <c r="K1359">
        <v>2004</v>
      </c>
      <c r="L1359" t="s">
        <v>564</v>
      </c>
      <c r="M1359">
        <v>50</v>
      </c>
      <c r="N1359" t="s">
        <v>631</v>
      </c>
      <c r="O1359" t="s">
        <v>153</v>
      </c>
      <c r="P1359">
        <v>2155551555</v>
      </c>
      <c r="Q1359" t="s">
        <v>154</v>
      </c>
      <c r="S1359" t="s">
        <v>155</v>
      </c>
      <c r="T1359" t="s">
        <v>156</v>
      </c>
      <c r="U1359">
        <v>70267</v>
      </c>
      <c r="V1359" t="s">
        <v>46</v>
      </c>
      <c r="W1359" t="s">
        <v>47</v>
      </c>
      <c r="X1359" t="s">
        <v>48</v>
      </c>
      <c r="Y1359" t="s">
        <v>157</v>
      </c>
      <c r="Z1359" t="s">
        <v>50</v>
      </c>
    </row>
    <row r="1360" spans="1:26" x14ac:dyDescent="0.3">
      <c r="A1360">
        <v>10291</v>
      </c>
      <c r="B1360">
        <v>29</v>
      </c>
      <c r="C1360">
        <v>51.82</v>
      </c>
      <c r="D1360">
        <v>9</v>
      </c>
      <c r="E1360">
        <v>1502.78</v>
      </c>
      <c r="F1360" s="1">
        <v>38238</v>
      </c>
      <c r="G1360" t="s">
        <v>39</v>
      </c>
      <c r="H1360">
        <v>3</v>
      </c>
      <c r="I1360">
        <v>9</v>
      </c>
      <c r="J1360" t="str">
        <f>TEXT(DATE(2012,Table1[[#This Row],[MONTH_ID]],10),"mmm")</f>
        <v>Sep</v>
      </c>
      <c r="K1360">
        <v>2004</v>
      </c>
      <c r="L1360" t="s">
        <v>564</v>
      </c>
      <c r="M1360">
        <v>50</v>
      </c>
      <c r="N1360" t="s">
        <v>631</v>
      </c>
      <c r="O1360" t="s">
        <v>275</v>
      </c>
      <c r="P1360" t="s">
        <v>276</v>
      </c>
      <c r="Q1360" t="s">
        <v>277</v>
      </c>
      <c r="S1360" t="s">
        <v>278</v>
      </c>
      <c r="U1360" t="s">
        <v>279</v>
      </c>
      <c r="V1360" t="s">
        <v>202</v>
      </c>
      <c r="W1360" t="s">
        <v>56</v>
      </c>
      <c r="X1360" t="s">
        <v>280</v>
      </c>
      <c r="Y1360" t="s">
        <v>220</v>
      </c>
      <c r="Z1360" t="s">
        <v>50</v>
      </c>
    </row>
    <row r="1361" spans="1:26" x14ac:dyDescent="0.3">
      <c r="A1361">
        <v>10304</v>
      </c>
      <c r="B1361">
        <v>34</v>
      </c>
      <c r="C1361">
        <v>49.3</v>
      </c>
      <c r="D1361">
        <v>4</v>
      </c>
      <c r="E1361">
        <v>1676.2</v>
      </c>
      <c r="F1361" s="1">
        <v>38271</v>
      </c>
      <c r="G1361" t="s">
        <v>39</v>
      </c>
      <c r="H1361">
        <v>4</v>
      </c>
      <c r="I1361">
        <v>10</v>
      </c>
      <c r="J1361" t="str">
        <f>TEXT(DATE(2012,Table1[[#This Row],[MONTH_ID]],10),"mmm")</f>
        <v>Oct</v>
      </c>
      <c r="K1361">
        <v>2004</v>
      </c>
      <c r="L1361" t="s">
        <v>564</v>
      </c>
      <c r="M1361">
        <v>50</v>
      </c>
      <c r="N1361" t="s">
        <v>631</v>
      </c>
      <c r="O1361" t="s">
        <v>281</v>
      </c>
      <c r="P1361" t="s">
        <v>282</v>
      </c>
      <c r="Q1361" t="s">
        <v>283</v>
      </c>
      <c r="S1361" t="s">
        <v>284</v>
      </c>
      <c r="U1361">
        <v>78000</v>
      </c>
      <c r="V1361" t="s">
        <v>55</v>
      </c>
      <c r="W1361" t="s">
        <v>56</v>
      </c>
      <c r="X1361" t="s">
        <v>285</v>
      </c>
      <c r="Y1361" t="s">
        <v>64</v>
      </c>
      <c r="Z1361" t="s">
        <v>50</v>
      </c>
    </row>
    <row r="1362" spans="1:26" x14ac:dyDescent="0.3">
      <c r="A1362">
        <v>10312</v>
      </c>
      <c r="B1362">
        <v>39</v>
      </c>
      <c r="C1362">
        <v>56.85</v>
      </c>
      <c r="D1362">
        <v>1</v>
      </c>
      <c r="E1362">
        <v>2217.15</v>
      </c>
      <c r="F1362" s="1">
        <v>38281</v>
      </c>
      <c r="G1362" t="s">
        <v>39</v>
      </c>
      <c r="H1362">
        <v>4</v>
      </c>
      <c r="I1362">
        <v>10</v>
      </c>
      <c r="J1362" t="str">
        <f>TEXT(DATE(2012,Table1[[#This Row],[MONTH_ID]],10),"mmm")</f>
        <v>Oct</v>
      </c>
      <c r="K1362">
        <v>2004</v>
      </c>
      <c r="L1362" t="s">
        <v>564</v>
      </c>
      <c r="M1362">
        <v>50</v>
      </c>
      <c r="N1362" t="s">
        <v>631</v>
      </c>
      <c r="O1362" t="s">
        <v>286</v>
      </c>
      <c r="P1362">
        <v>4155551450</v>
      </c>
      <c r="Q1362" t="s">
        <v>287</v>
      </c>
      <c r="S1362" t="s">
        <v>288</v>
      </c>
      <c r="T1362" t="s">
        <v>69</v>
      </c>
      <c r="U1362">
        <v>97562</v>
      </c>
      <c r="V1362" t="s">
        <v>46</v>
      </c>
      <c r="W1362" t="s">
        <v>47</v>
      </c>
      <c r="X1362" t="s">
        <v>289</v>
      </c>
      <c r="Y1362" t="s">
        <v>290</v>
      </c>
      <c r="Z1362" t="s">
        <v>50</v>
      </c>
    </row>
    <row r="1363" spans="1:26" x14ac:dyDescent="0.3">
      <c r="A1363">
        <v>10324</v>
      </c>
      <c r="B1363">
        <v>38</v>
      </c>
      <c r="C1363">
        <v>100</v>
      </c>
      <c r="D1363">
        <v>6</v>
      </c>
      <c r="E1363">
        <v>6832.02</v>
      </c>
      <c r="F1363" s="1">
        <v>38296</v>
      </c>
      <c r="G1363" t="s">
        <v>39</v>
      </c>
      <c r="H1363">
        <v>4</v>
      </c>
      <c r="I1363">
        <v>11</v>
      </c>
      <c r="J1363" t="str">
        <f>TEXT(DATE(2012,Table1[[#This Row],[MONTH_ID]],10),"mmm")</f>
        <v>Nov</v>
      </c>
      <c r="K1363">
        <v>2004</v>
      </c>
      <c r="L1363" t="s">
        <v>564</v>
      </c>
      <c r="M1363">
        <v>50</v>
      </c>
      <c r="N1363" t="s">
        <v>631</v>
      </c>
      <c r="O1363" t="s">
        <v>113</v>
      </c>
      <c r="P1363">
        <v>2125551500</v>
      </c>
      <c r="Q1363" t="s">
        <v>114</v>
      </c>
      <c r="R1363" t="s">
        <v>115</v>
      </c>
      <c r="S1363" t="s">
        <v>44</v>
      </c>
      <c r="T1363" t="s">
        <v>45</v>
      </c>
      <c r="U1363">
        <v>10022</v>
      </c>
      <c r="V1363" t="s">
        <v>46</v>
      </c>
      <c r="W1363" t="s">
        <v>47</v>
      </c>
      <c r="X1363" t="s">
        <v>116</v>
      </c>
      <c r="Y1363" t="s">
        <v>117</v>
      </c>
      <c r="Z1363" t="s">
        <v>65</v>
      </c>
    </row>
    <row r="1364" spans="1:26" x14ac:dyDescent="0.3">
      <c r="A1364">
        <v>10333</v>
      </c>
      <c r="B1364">
        <v>24</v>
      </c>
      <c r="C1364">
        <v>79.86</v>
      </c>
      <c r="D1364">
        <v>8</v>
      </c>
      <c r="E1364">
        <v>1916.64</v>
      </c>
      <c r="F1364" s="1">
        <v>38309</v>
      </c>
      <c r="G1364" t="s">
        <v>39</v>
      </c>
      <c r="H1364">
        <v>4</v>
      </c>
      <c r="I1364">
        <v>11</v>
      </c>
      <c r="J1364" t="str">
        <f>TEXT(DATE(2012,Table1[[#This Row],[MONTH_ID]],10),"mmm")</f>
        <v>Nov</v>
      </c>
      <c r="K1364">
        <v>2004</v>
      </c>
      <c r="L1364" t="s">
        <v>564</v>
      </c>
      <c r="M1364">
        <v>50</v>
      </c>
      <c r="N1364" t="s">
        <v>631</v>
      </c>
      <c r="O1364" t="s">
        <v>95</v>
      </c>
      <c r="P1364">
        <v>6505555787</v>
      </c>
      <c r="Q1364" t="s">
        <v>96</v>
      </c>
      <c r="S1364" t="s">
        <v>74</v>
      </c>
      <c r="T1364" t="s">
        <v>69</v>
      </c>
      <c r="V1364" t="s">
        <v>46</v>
      </c>
      <c r="W1364" t="s">
        <v>47</v>
      </c>
      <c r="X1364" t="s">
        <v>97</v>
      </c>
      <c r="Y1364" t="s">
        <v>71</v>
      </c>
      <c r="Z1364" t="s">
        <v>50</v>
      </c>
    </row>
    <row r="1365" spans="1:26" x14ac:dyDescent="0.3">
      <c r="A1365">
        <v>10348</v>
      </c>
      <c r="B1365">
        <v>29</v>
      </c>
      <c r="C1365">
        <v>100</v>
      </c>
      <c r="D1365">
        <v>6</v>
      </c>
      <c r="E1365">
        <v>7110.8</v>
      </c>
      <c r="F1365" s="1">
        <v>38292</v>
      </c>
      <c r="G1365" t="s">
        <v>39</v>
      </c>
      <c r="H1365">
        <v>4</v>
      </c>
      <c r="I1365">
        <v>11</v>
      </c>
      <c r="J1365" t="str">
        <f>TEXT(DATE(2012,Table1[[#This Row],[MONTH_ID]],10),"mmm")</f>
        <v>Nov</v>
      </c>
      <c r="K1365">
        <v>2004</v>
      </c>
      <c r="L1365" t="s">
        <v>564</v>
      </c>
      <c r="M1365">
        <v>50</v>
      </c>
      <c r="N1365" t="s">
        <v>631</v>
      </c>
      <c r="O1365" t="s">
        <v>205</v>
      </c>
      <c r="P1365" t="s">
        <v>206</v>
      </c>
      <c r="Q1365" t="s">
        <v>207</v>
      </c>
      <c r="S1365" t="s">
        <v>191</v>
      </c>
      <c r="U1365">
        <v>28023</v>
      </c>
      <c r="V1365" t="s">
        <v>192</v>
      </c>
      <c r="W1365" t="s">
        <v>56</v>
      </c>
      <c r="X1365" t="s">
        <v>208</v>
      </c>
      <c r="Y1365" t="s">
        <v>209</v>
      </c>
      <c r="Z1365" t="s">
        <v>165</v>
      </c>
    </row>
    <row r="1366" spans="1:26" x14ac:dyDescent="0.3">
      <c r="A1366">
        <v>10358</v>
      </c>
      <c r="B1366">
        <v>30</v>
      </c>
      <c r="C1366">
        <v>100</v>
      </c>
      <c r="D1366">
        <v>8</v>
      </c>
      <c r="E1366">
        <v>5302.8</v>
      </c>
      <c r="F1366" s="1">
        <v>38331</v>
      </c>
      <c r="G1366" t="s">
        <v>39</v>
      </c>
      <c r="H1366">
        <v>4</v>
      </c>
      <c r="I1366">
        <v>12</v>
      </c>
      <c r="J1366" t="str">
        <f>TEXT(DATE(2012,Table1[[#This Row],[MONTH_ID]],10),"mmm")</f>
        <v>Dec</v>
      </c>
      <c r="K1366">
        <v>2004</v>
      </c>
      <c r="L1366" t="s">
        <v>564</v>
      </c>
      <c r="M1366">
        <v>50</v>
      </c>
      <c r="N1366" t="s">
        <v>631</v>
      </c>
      <c r="O1366" t="s">
        <v>188</v>
      </c>
      <c r="P1366" t="s">
        <v>189</v>
      </c>
      <c r="Q1366" t="s">
        <v>190</v>
      </c>
      <c r="S1366" t="s">
        <v>191</v>
      </c>
      <c r="U1366">
        <v>28034</v>
      </c>
      <c r="V1366" t="s">
        <v>192</v>
      </c>
      <c r="W1366" t="s">
        <v>56</v>
      </c>
      <c r="X1366" t="s">
        <v>193</v>
      </c>
      <c r="Y1366" t="s">
        <v>194</v>
      </c>
      <c r="Z1366" t="s">
        <v>65</v>
      </c>
    </row>
    <row r="1367" spans="1:26" x14ac:dyDescent="0.3">
      <c r="A1367">
        <v>10370</v>
      </c>
      <c r="B1367">
        <v>20</v>
      </c>
      <c r="C1367">
        <v>100</v>
      </c>
      <c r="D1367">
        <v>2</v>
      </c>
      <c r="E1367">
        <v>2730</v>
      </c>
      <c r="F1367" s="1">
        <v>38372</v>
      </c>
      <c r="G1367" t="s">
        <v>39</v>
      </c>
      <c r="H1367">
        <v>1</v>
      </c>
      <c r="I1367">
        <v>1</v>
      </c>
      <c r="J1367" t="str">
        <f>TEXT(DATE(2012,Table1[[#This Row],[MONTH_ID]],10),"mmm")</f>
        <v>Jan</v>
      </c>
      <c r="K1367">
        <v>2005</v>
      </c>
      <c r="L1367" t="s">
        <v>564</v>
      </c>
      <c r="M1367">
        <v>50</v>
      </c>
      <c r="N1367" t="s">
        <v>631</v>
      </c>
      <c r="O1367" t="s">
        <v>299</v>
      </c>
      <c r="P1367" t="s">
        <v>300</v>
      </c>
      <c r="Q1367" t="s">
        <v>301</v>
      </c>
      <c r="R1367" t="s">
        <v>302</v>
      </c>
      <c r="S1367" t="s">
        <v>303</v>
      </c>
      <c r="T1367" t="s">
        <v>171</v>
      </c>
      <c r="U1367">
        <v>2060</v>
      </c>
      <c r="V1367" t="s">
        <v>109</v>
      </c>
      <c r="W1367" t="s">
        <v>110</v>
      </c>
      <c r="X1367" t="s">
        <v>304</v>
      </c>
      <c r="Y1367" t="s">
        <v>305</v>
      </c>
      <c r="Z1367" t="s">
        <v>50</v>
      </c>
    </row>
    <row r="1368" spans="1:26" x14ac:dyDescent="0.3">
      <c r="A1368">
        <v>10382</v>
      </c>
      <c r="B1368">
        <v>39</v>
      </c>
      <c r="C1368">
        <v>100</v>
      </c>
      <c r="D1368">
        <v>2</v>
      </c>
      <c r="E1368">
        <v>7827.3</v>
      </c>
      <c r="F1368" s="1">
        <v>38400</v>
      </c>
      <c r="G1368" t="s">
        <v>39</v>
      </c>
      <c r="H1368">
        <v>1</v>
      </c>
      <c r="I1368">
        <v>2</v>
      </c>
      <c r="J1368" t="str">
        <f>TEXT(DATE(2012,Table1[[#This Row],[MONTH_ID]],10),"mmm")</f>
        <v>Feb</v>
      </c>
      <c r="K1368">
        <v>2005</v>
      </c>
      <c r="L1368" t="s">
        <v>564</v>
      </c>
      <c r="M1368">
        <v>50</v>
      </c>
      <c r="N1368" t="s">
        <v>631</v>
      </c>
      <c r="O1368" t="s">
        <v>286</v>
      </c>
      <c r="P1368">
        <v>4155551450</v>
      </c>
      <c r="Q1368" t="s">
        <v>287</v>
      </c>
      <c r="S1368" t="s">
        <v>288</v>
      </c>
      <c r="T1368" t="s">
        <v>69</v>
      </c>
      <c r="U1368">
        <v>97562</v>
      </c>
      <c r="V1368" t="s">
        <v>46</v>
      </c>
      <c r="W1368" t="s">
        <v>47</v>
      </c>
      <c r="X1368" t="s">
        <v>289</v>
      </c>
      <c r="Y1368" t="s">
        <v>290</v>
      </c>
      <c r="Z1368" t="s">
        <v>165</v>
      </c>
    </row>
    <row r="1369" spans="1:26" x14ac:dyDescent="0.3">
      <c r="A1369">
        <v>10411</v>
      </c>
      <c r="B1369">
        <v>35</v>
      </c>
      <c r="C1369">
        <v>59.87</v>
      </c>
      <c r="D1369">
        <v>7</v>
      </c>
      <c r="E1369">
        <v>2095.4499999999998</v>
      </c>
      <c r="F1369" s="1">
        <v>38473</v>
      </c>
      <c r="G1369" t="s">
        <v>39</v>
      </c>
      <c r="H1369">
        <v>2</v>
      </c>
      <c r="I1369">
        <v>5</v>
      </c>
      <c r="J1369" t="str">
        <f>TEXT(DATE(2012,Table1[[#This Row],[MONTH_ID]],10),"mmm")</f>
        <v>May</v>
      </c>
      <c r="K1369">
        <v>2005</v>
      </c>
      <c r="L1369" t="s">
        <v>564</v>
      </c>
      <c r="M1369">
        <v>50</v>
      </c>
      <c r="N1369" t="s">
        <v>631</v>
      </c>
      <c r="O1369" t="s">
        <v>306</v>
      </c>
      <c r="P1369" t="s">
        <v>307</v>
      </c>
      <c r="Q1369" t="s">
        <v>308</v>
      </c>
      <c r="S1369" t="s">
        <v>309</v>
      </c>
      <c r="T1369" t="s">
        <v>310</v>
      </c>
      <c r="U1369" t="s">
        <v>311</v>
      </c>
      <c r="V1369" t="s">
        <v>245</v>
      </c>
      <c r="W1369" t="s">
        <v>47</v>
      </c>
      <c r="X1369" t="s">
        <v>312</v>
      </c>
      <c r="Y1369" t="s">
        <v>313</v>
      </c>
      <c r="Z1369" t="s">
        <v>50</v>
      </c>
    </row>
    <row r="1370" spans="1:26" x14ac:dyDescent="0.3">
      <c r="A1370">
        <v>10424</v>
      </c>
      <c r="B1370">
        <v>26</v>
      </c>
      <c r="C1370">
        <v>59.87</v>
      </c>
      <c r="D1370">
        <v>4</v>
      </c>
      <c r="E1370">
        <v>1556.62</v>
      </c>
      <c r="F1370" s="1">
        <v>38503</v>
      </c>
      <c r="G1370" t="s">
        <v>314</v>
      </c>
      <c r="H1370">
        <v>2</v>
      </c>
      <c r="I1370">
        <v>5</v>
      </c>
      <c r="J1370" t="str">
        <f>TEXT(DATE(2012,Table1[[#This Row],[MONTH_ID]],10),"mmm")</f>
        <v>May</v>
      </c>
      <c r="K1370">
        <v>2005</v>
      </c>
      <c r="L1370" t="s">
        <v>564</v>
      </c>
      <c r="M1370">
        <v>50</v>
      </c>
      <c r="N1370" t="s">
        <v>631</v>
      </c>
      <c r="O1370" t="s">
        <v>188</v>
      </c>
      <c r="P1370" t="s">
        <v>189</v>
      </c>
      <c r="Q1370" t="s">
        <v>190</v>
      </c>
      <c r="S1370" t="s">
        <v>191</v>
      </c>
      <c r="U1370">
        <v>28034</v>
      </c>
      <c r="V1370" t="s">
        <v>192</v>
      </c>
      <c r="W1370" t="s">
        <v>56</v>
      </c>
      <c r="X1370" t="s">
        <v>193</v>
      </c>
      <c r="Y1370" t="s">
        <v>194</v>
      </c>
      <c r="Z1370" t="s">
        <v>50</v>
      </c>
    </row>
    <row r="1371" spans="1:26" x14ac:dyDescent="0.3">
      <c r="A1371">
        <v>10108</v>
      </c>
      <c r="B1371">
        <v>44</v>
      </c>
      <c r="C1371">
        <v>100</v>
      </c>
      <c r="D1371">
        <v>11</v>
      </c>
      <c r="E1371">
        <v>5565.12</v>
      </c>
      <c r="F1371" s="1">
        <v>37683</v>
      </c>
      <c r="G1371" t="s">
        <v>39</v>
      </c>
      <c r="H1371">
        <v>1</v>
      </c>
      <c r="I1371">
        <v>3</v>
      </c>
      <c r="J1371" t="str">
        <f>TEXT(DATE(2012,Table1[[#This Row],[MONTH_ID]],10),"mmm")</f>
        <v>Mar</v>
      </c>
      <c r="K1371">
        <v>2003</v>
      </c>
      <c r="L1371" t="s">
        <v>195</v>
      </c>
      <c r="M1371">
        <v>148</v>
      </c>
      <c r="N1371" t="s">
        <v>632</v>
      </c>
      <c r="O1371" t="s">
        <v>439</v>
      </c>
      <c r="P1371" t="s">
        <v>440</v>
      </c>
      <c r="Q1371" t="s">
        <v>441</v>
      </c>
      <c r="S1371" t="s">
        <v>442</v>
      </c>
      <c r="U1371" t="s">
        <v>443</v>
      </c>
      <c r="V1371" t="s">
        <v>444</v>
      </c>
      <c r="W1371" t="s">
        <v>214</v>
      </c>
      <c r="X1371" t="s">
        <v>445</v>
      </c>
      <c r="Y1371" t="s">
        <v>446</v>
      </c>
      <c r="Z1371" t="s">
        <v>65</v>
      </c>
    </row>
    <row r="1372" spans="1:26" x14ac:dyDescent="0.3">
      <c r="A1372">
        <v>10122</v>
      </c>
      <c r="B1372">
        <v>28</v>
      </c>
      <c r="C1372">
        <v>100</v>
      </c>
      <c r="D1372">
        <v>15</v>
      </c>
      <c r="E1372">
        <v>3583.16</v>
      </c>
      <c r="F1372" s="1">
        <v>37749</v>
      </c>
      <c r="G1372" t="s">
        <v>39</v>
      </c>
      <c r="H1372">
        <v>2</v>
      </c>
      <c r="I1372">
        <v>5</v>
      </c>
      <c r="J1372" t="str">
        <f>TEXT(DATE(2012,Table1[[#This Row],[MONTH_ID]],10),"mmm")</f>
        <v>May</v>
      </c>
      <c r="K1372">
        <v>2003</v>
      </c>
      <c r="L1372" t="s">
        <v>195</v>
      </c>
      <c r="M1372">
        <v>148</v>
      </c>
      <c r="N1372" t="s">
        <v>632</v>
      </c>
      <c r="O1372" t="s">
        <v>447</v>
      </c>
      <c r="P1372" t="s">
        <v>448</v>
      </c>
      <c r="Q1372" t="s">
        <v>449</v>
      </c>
      <c r="S1372" t="s">
        <v>450</v>
      </c>
      <c r="U1372">
        <v>13008</v>
      </c>
      <c r="V1372" t="s">
        <v>55</v>
      </c>
      <c r="W1372" t="s">
        <v>56</v>
      </c>
      <c r="X1372" t="s">
        <v>451</v>
      </c>
      <c r="Y1372" t="s">
        <v>452</v>
      </c>
      <c r="Z1372" t="s">
        <v>65</v>
      </c>
    </row>
    <row r="1373" spans="1:26" x14ac:dyDescent="0.3">
      <c r="A1373">
        <v>10135</v>
      </c>
      <c r="B1373">
        <v>31</v>
      </c>
      <c r="C1373">
        <v>100</v>
      </c>
      <c r="D1373">
        <v>12</v>
      </c>
      <c r="E1373">
        <v>4705.18</v>
      </c>
      <c r="F1373" s="1">
        <v>37804</v>
      </c>
      <c r="G1373" t="s">
        <v>39</v>
      </c>
      <c r="H1373">
        <v>3</v>
      </c>
      <c r="I1373">
        <v>7</v>
      </c>
      <c r="J1373" t="str">
        <f>TEXT(DATE(2012,Table1[[#This Row],[MONTH_ID]],10),"mmm")</f>
        <v>Jul</v>
      </c>
      <c r="K1373">
        <v>2003</v>
      </c>
      <c r="L1373" t="s">
        <v>195</v>
      </c>
      <c r="M1373">
        <v>148</v>
      </c>
      <c r="N1373" t="s">
        <v>632</v>
      </c>
      <c r="O1373" t="s">
        <v>286</v>
      </c>
      <c r="P1373">
        <v>4155551450</v>
      </c>
      <c r="Q1373" t="s">
        <v>287</v>
      </c>
      <c r="S1373" t="s">
        <v>288</v>
      </c>
      <c r="T1373" t="s">
        <v>69</v>
      </c>
      <c r="U1373">
        <v>97562</v>
      </c>
      <c r="V1373" t="s">
        <v>46</v>
      </c>
      <c r="W1373" t="s">
        <v>47</v>
      </c>
      <c r="X1373" t="s">
        <v>289</v>
      </c>
      <c r="Y1373" t="s">
        <v>290</v>
      </c>
      <c r="Z1373" t="s">
        <v>65</v>
      </c>
    </row>
    <row r="1374" spans="1:26" x14ac:dyDescent="0.3">
      <c r="A1374">
        <v>10146</v>
      </c>
      <c r="B1374">
        <v>29</v>
      </c>
      <c r="C1374">
        <v>100</v>
      </c>
      <c r="D1374">
        <v>1</v>
      </c>
      <c r="E1374">
        <v>4444.54</v>
      </c>
      <c r="F1374" s="1">
        <v>37867</v>
      </c>
      <c r="G1374" t="s">
        <v>39</v>
      </c>
      <c r="H1374">
        <v>3</v>
      </c>
      <c r="I1374">
        <v>9</v>
      </c>
      <c r="J1374" t="str">
        <f>TEXT(DATE(2012,Table1[[#This Row],[MONTH_ID]],10),"mmm")</f>
        <v>Sep</v>
      </c>
      <c r="K1374">
        <v>2003</v>
      </c>
      <c r="L1374" t="s">
        <v>195</v>
      </c>
      <c r="M1374">
        <v>148</v>
      </c>
      <c r="N1374" t="s">
        <v>632</v>
      </c>
      <c r="O1374" t="s">
        <v>582</v>
      </c>
      <c r="P1374">
        <v>2035554407</v>
      </c>
      <c r="Q1374" t="s">
        <v>583</v>
      </c>
      <c r="S1374" t="s">
        <v>530</v>
      </c>
      <c r="T1374" t="s">
        <v>126</v>
      </c>
      <c r="U1374">
        <v>97561</v>
      </c>
      <c r="V1374" t="s">
        <v>46</v>
      </c>
      <c r="W1374" t="s">
        <v>47</v>
      </c>
      <c r="X1374" t="s">
        <v>584</v>
      </c>
      <c r="Y1374" t="s">
        <v>585</v>
      </c>
      <c r="Z1374" t="s">
        <v>65</v>
      </c>
    </row>
    <row r="1375" spans="1:26" x14ac:dyDescent="0.3">
      <c r="A1375">
        <v>10159</v>
      </c>
      <c r="B1375">
        <v>32</v>
      </c>
      <c r="C1375">
        <v>100</v>
      </c>
      <c r="D1375">
        <v>7</v>
      </c>
      <c r="E1375">
        <v>4618.88</v>
      </c>
      <c r="F1375" s="1">
        <v>37904</v>
      </c>
      <c r="G1375" t="s">
        <v>39</v>
      </c>
      <c r="H1375">
        <v>4</v>
      </c>
      <c r="I1375">
        <v>10</v>
      </c>
      <c r="J1375" t="str">
        <f>TEXT(DATE(2012,Table1[[#This Row],[MONTH_ID]],10),"mmm")</f>
        <v>Oct</v>
      </c>
      <c r="K1375">
        <v>2003</v>
      </c>
      <c r="L1375" t="s">
        <v>195</v>
      </c>
      <c r="M1375">
        <v>148</v>
      </c>
      <c r="N1375" t="s">
        <v>632</v>
      </c>
      <c r="O1375" t="s">
        <v>72</v>
      </c>
      <c r="P1375">
        <v>6505551386</v>
      </c>
      <c r="Q1375" t="s">
        <v>73</v>
      </c>
      <c r="S1375" t="s">
        <v>74</v>
      </c>
      <c r="T1375" t="s">
        <v>69</v>
      </c>
      <c r="V1375" t="s">
        <v>46</v>
      </c>
      <c r="W1375" t="s">
        <v>47</v>
      </c>
      <c r="X1375" t="s">
        <v>75</v>
      </c>
      <c r="Y1375" t="s">
        <v>71</v>
      </c>
      <c r="Z1375" t="s">
        <v>65</v>
      </c>
    </row>
    <row r="1376" spans="1:26" x14ac:dyDescent="0.3">
      <c r="A1376">
        <v>10169</v>
      </c>
      <c r="B1376">
        <v>33</v>
      </c>
      <c r="C1376">
        <v>100</v>
      </c>
      <c r="D1376">
        <v>7</v>
      </c>
      <c r="E1376">
        <v>4910.3999999999996</v>
      </c>
      <c r="F1376" s="1">
        <v>37929</v>
      </c>
      <c r="G1376" t="s">
        <v>39</v>
      </c>
      <c r="H1376">
        <v>4</v>
      </c>
      <c r="I1376">
        <v>11</v>
      </c>
      <c r="J1376" t="str">
        <f>TEXT(DATE(2012,Table1[[#This Row],[MONTH_ID]],10),"mmm")</f>
        <v>Nov</v>
      </c>
      <c r="K1376">
        <v>2003</v>
      </c>
      <c r="L1376" t="s">
        <v>195</v>
      </c>
      <c r="M1376">
        <v>148</v>
      </c>
      <c r="N1376" t="s">
        <v>632</v>
      </c>
      <c r="O1376" t="s">
        <v>299</v>
      </c>
      <c r="P1376" t="s">
        <v>300</v>
      </c>
      <c r="Q1376" t="s">
        <v>301</v>
      </c>
      <c r="R1376" t="s">
        <v>302</v>
      </c>
      <c r="S1376" t="s">
        <v>303</v>
      </c>
      <c r="T1376" t="s">
        <v>171</v>
      </c>
      <c r="U1376">
        <v>2060</v>
      </c>
      <c r="V1376" t="s">
        <v>109</v>
      </c>
      <c r="W1376" t="s">
        <v>110</v>
      </c>
      <c r="X1376" t="s">
        <v>304</v>
      </c>
      <c r="Y1376" t="s">
        <v>305</v>
      </c>
      <c r="Z1376" t="s">
        <v>65</v>
      </c>
    </row>
    <row r="1377" spans="1:26" x14ac:dyDescent="0.3">
      <c r="A1377">
        <v>10180</v>
      </c>
      <c r="B1377">
        <v>44</v>
      </c>
      <c r="C1377">
        <v>100</v>
      </c>
      <c r="D1377">
        <v>2</v>
      </c>
      <c r="E1377">
        <v>5565.12</v>
      </c>
      <c r="F1377" s="1">
        <v>37936</v>
      </c>
      <c r="G1377" t="s">
        <v>39</v>
      </c>
      <c r="H1377">
        <v>4</v>
      </c>
      <c r="I1377">
        <v>11</v>
      </c>
      <c r="J1377" t="str">
        <f>TEXT(DATE(2012,Table1[[#This Row],[MONTH_ID]],10),"mmm")</f>
        <v>Nov</v>
      </c>
      <c r="K1377">
        <v>2003</v>
      </c>
      <c r="L1377" t="s">
        <v>195</v>
      </c>
      <c r="M1377">
        <v>148</v>
      </c>
      <c r="N1377" t="s">
        <v>632</v>
      </c>
      <c r="O1377" t="s">
        <v>81</v>
      </c>
      <c r="P1377" t="s">
        <v>82</v>
      </c>
      <c r="Q1377" t="s">
        <v>83</v>
      </c>
      <c r="S1377" t="s">
        <v>84</v>
      </c>
      <c r="U1377">
        <v>59000</v>
      </c>
      <c r="V1377" t="s">
        <v>55</v>
      </c>
      <c r="W1377" t="s">
        <v>56</v>
      </c>
      <c r="X1377" t="s">
        <v>85</v>
      </c>
      <c r="Y1377" t="s">
        <v>86</v>
      </c>
      <c r="Z1377" t="s">
        <v>65</v>
      </c>
    </row>
    <row r="1378" spans="1:26" x14ac:dyDescent="0.3">
      <c r="A1378">
        <v>10191</v>
      </c>
      <c r="B1378">
        <v>32</v>
      </c>
      <c r="C1378">
        <v>100</v>
      </c>
      <c r="D1378">
        <v>8</v>
      </c>
      <c r="E1378">
        <v>4237.76</v>
      </c>
      <c r="F1378" s="1">
        <v>37945</v>
      </c>
      <c r="G1378" t="s">
        <v>39</v>
      </c>
      <c r="H1378">
        <v>4</v>
      </c>
      <c r="I1378">
        <v>11</v>
      </c>
      <c r="J1378" t="str">
        <f>TEXT(DATE(2012,Table1[[#This Row],[MONTH_ID]],10),"mmm")</f>
        <v>Nov</v>
      </c>
      <c r="K1378">
        <v>2003</v>
      </c>
      <c r="L1378" t="s">
        <v>195</v>
      </c>
      <c r="M1378">
        <v>148</v>
      </c>
      <c r="N1378" t="s">
        <v>632</v>
      </c>
      <c r="O1378" t="s">
        <v>453</v>
      </c>
      <c r="P1378" t="s">
        <v>454</v>
      </c>
      <c r="Q1378" t="s">
        <v>455</v>
      </c>
      <c r="S1378" t="s">
        <v>456</v>
      </c>
      <c r="U1378">
        <v>50739</v>
      </c>
      <c r="V1378" t="s">
        <v>457</v>
      </c>
      <c r="W1378" t="s">
        <v>56</v>
      </c>
      <c r="X1378" t="s">
        <v>458</v>
      </c>
      <c r="Y1378" t="s">
        <v>459</v>
      </c>
      <c r="Z1378" t="s">
        <v>65</v>
      </c>
    </row>
    <row r="1379" spans="1:26" x14ac:dyDescent="0.3">
      <c r="A1379">
        <v>10211</v>
      </c>
      <c r="B1379">
        <v>41</v>
      </c>
      <c r="C1379">
        <v>100</v>
      </c>
      <c r="D1379">
        <v>7</v>
      </c>
      <c r="E1379">
        <v>5673.58</v>
      </c>
      <c r="F1379" s="1">
        <v>38001</v>
      </c>
      <c r="G1379" t="s">
        <v>39</v>
      </c>
      <c r="H1379">
        <v>1</v>
      </c>
      <c r="I1379">
        <v>1</v>
      </c>
      <c r="J1379" t="str">
        <f>TEXT(DATE(2012,Table1[[#This Row],[MONTH_ID]],10),"mmm")</f>
        <v>Jan</v>
      </c>
      <c r="K1379">
        <v>2004</v>
      </c>
      <c r="L1379" t="s">
        <v>195</v>
      </c>
      <c r="M1379">
        <v>148</v>
      </c>
      <c r="N1379" t="s">
        <v>632</v>
      </c>
      <c r="O1379" t="s">
        <v>98</v>
      </c>
      <c r="P1379" t="s">
        <v>99</v>
      </c>
      <c r="Q1379" t="s">
        <v>100</v>
      </c>
      <c r="S1379" t="s">
        <v>62</v>
      </c>
      <c r="U1379">
        <v>75016</v>
      </c>
      <c r="V1379" t="s">
        <v>55</v>
      </c>
      <c r="W1379" t="s">
        <v>56</v>
      </c>
      <c r="X1379" t="s">
        <v>101</v>
      </c>
      <c r="Y1379" t="s">
        <v>102</v>
      </c>
      <c r="Z1379" t="s">
        <v>65</v>
      </c>
    </row>
    <row r="1380" spans="1:26" x14ac:dyDescent="0.3">
      <c r="A1380">
        <v>10225</v>
      </c>
      <c r="B1380">
        <v>35</v>
      </c>
      <c r="C1380">
        <v>100</v>
      </c>
      <c r="D1380">
        <v>14</v>
      </c>
      <c r="E1380">
        <v>5260.15</v>
      </c>
      <c r="F1380" s="1">
        <v>38039</v>
      </c>
      <c r="G1380" t="s">
        <v>39</v>
      </c>
      <c r="H1380">
        <v>1</v>
      </c>
      <c r="I1380">
        <v>2</v>
      </c>
      <c r="J1380" t="str">
        <f>TEXT(DATE(2012,Table1[[#This Row],[MONTH_ID]],10),"mmm")</f>
        <v>Feb</v>
      </c>
      <c r="K1380">
        <v>2004</v>
      </c>
      <c r="L1380" t="s">
        <v>195</v>
      </c>
      <c r="M1380">
        <v>148</v>
      </c>
      <c r="N1380" t="s">
        <v>632</v>
      </c>
      <c r="O1380" t="s">
        <v>460</v>
      </c>
      <c r="P1380" t="s">
        <v>461</v>
      </c>
      <c r="Q1380" t="s">
        <v>462</v>
      </c>
      <c r="S1380" t="s">
        <v>463</v>
      </c>
      <c r="U1380">
        <v>1203</v>
      </c>
      <c r="V1380" t="s">
        <v>464</v>
      </c>
      <c r="W1380" t="s">
        <v>56</v>
      </c>
      <c r="X1380" t="s">
        <v>465</v>
      </c>
      <c r="Y1380" t="s">
        <v>117</v>
      </c>
      <c r="Z1380" t="s">
        <v>65</v>
      </c>
    </row>
    <row r="1381" spans="1:26" x14ac:dyDescent="0.3">
      <c r="A1381">
        <v>10238</v>
      </c>
      <c r="B1381">
        <v>44</v>
      </c>
      <c r="C1381">
        <v>100</v>
      </c>
      <c r="D1381">
        <v>8</v>
      </c>
      <c r="E1381">
        <v>6350.96</v>
      </c>
      <c r="F1381" s="1">
        <v>38086</v>
      </c>
      <c r="G1381" t="s">
        <v>39</v>
      </c>
      <c r="H1381">
        <v>2</v>
      </c>
      <c r="I1381">
        <v>4</v>
      </c>
      <c r="J1381" t="str">
        <f>TEXT(DATE(2012,Table1[[#This Row],[MONTH_ID]],10),"mmm")</f>
        <v>Apr</v>
      </c>
      <c r="K1381">
        <v>2004</v>
      </c>
      <c r="L1381" t="s">
        <v>195</v>
      </c>
      <c r="M1381">
        <v>148</v>
      </c>
      <c r="N1381" t="s">
        <v>632</v>
      </c>
      <c r="O1381" t="s">
        <v>336</v>
      </c>
      <c r="P1381" t="s">
        <v>337</v>
      </c>
      <c r="Q1381" t="s">
        <v>338</v>
      </c>
      <c r="S1381" t="s">
        <v>339</v>
      </c>
      <c r="U1381">
        <v>1734</v>
      </c>
      <c r="V1381" t="s">
        <v>340</v>
      </c>
      <c r="W1381" t="s">
        <v>56</v>
      </c>
      <c r="X1381" t="s">
        <v>341</v>
      </c>
      <c r="Y1381" t="s">
        <v>342</v>
      </c>
      <c r="Z1381" t="s">
        <v>65</v>
      </c>
    </row>
    <row r="1382" spans="1:26" x14ac:dyDescent="0.3">
      <c r="A1382">
        <v>10252</v>
      </c>
      <c r="B1382">
        <v>26</v>
      </c>
      <c r="C1382">
        <v>100</v>
      </c>
      <c r="D1382">
        <v>4</v>
      </c>
      <c r="E1382">
        <v>3559.4</v>
      </c>
      <c r="F1382" s="1">
        <v>38133</v>
      </c>
      <c r="G1382" t="s">
        <v>39</v>
      </c>
      <c r="H1382">
        <v>2</v>
      </c>
      <c r="I1382">
        <v>5</v>
      </c>
      <c r="J1382" t="str">
        <f>TEXT(DATE(2012,Table1[[#This Row],[MONTH_ID]],10),"mmm")</f>
        <v>May</v>
      </c>
      <c r="K1382">
        <v>2004</v>
      </c>
      <c r="L1382" t="s">
        <v>195</v>
      </c>
      <c r="M1382">
        <v>148</v>
      </c>
      <c r="N1382" t="s">
        <v>632</v>
      </c>
      <c r="O1382" t="s">
        <v>98</v>
      </c>
      <c r="P1382" t="s">
        <v>99</v>
      </c>
      <c r="Q1382" t="s">
        <v>100</v>
      </c>
      <c r="S1382" t="s">
        <v>62</v>
      </c>
      <c r="U1382">
        <v>75016</v>
      </c>
      <c r="V1382" t="s">
        <v>55</v>
      </c>
      <c r="W1382" t="s">
        <v>56</v>
      </c>
      <c r="X1382" t="s">
        <v>101</v>
      </c>
      <c r="Y1382" t="s">
        <v>102</v>
      </c>
      <c r="Z1382" t="s">
        <v>65</v>
      </c>
    </row>
    <row r="1383" spans="1:26" x14ac:dyDescent="0.3">
      <c r="A1383">
        <v>10264</v>
      </c>
      <c r="B1383">
        <v>20</v>
      </c>
      <c r="C1383">
        <v>100</v>
      </c>
      <c r="D1383">
        <v>2</v>
      </c>
      <c r="E1383">
        <v>2410.6</v>
      </c>
      <c r="F1383" s="1">
        <v>38168</v>
      </c>
      <c r="G1383" t="s">
        <v>39</v>
      </c>
      <c r="H1383">
        <v>2</v>
      </c>
      <c r="I1383">
        <v>6</v>
      </c>
      <c r="J1383" t="str">
        <f>TEXT(DATE(2012,Table1[[#This Row],[MONTH_ID]],10),"mmm")</f>
        <v>Jun</v>
      </c>
      <c r="K1383">
        <v>2004</v>
      </c>
      <c r="L1383" t="s">
        <v>195</v>
      </c>
      <c r="M1383">
        <v>148</v>
      </c>
      <c r="N1383" t="s">
        <v>632</v>
      </c>
      <c r="O1383" t="s">
        <v>393</v>
      </c>
      <c r="P1383">
        <v>6175559555</v>
      </c>
      <c r="Q1383" t="s">
        <v>394</v>
      </c>
      <c r="S1383" t="s">
        <v>395</v>
      </c>
      <c r="T1383" t="s">
        <v>137</v>
      </c>
      <c r="U1383">
        <v>51003</v>
      </c>
      <c r="V1383" t="s">
        <v>46</v>
      </c>
      <c r="W1383" t="s">
        <v>47</v>
      </c>
      <c r="X1383" t="s">
        <v>396</v>
      </c>
      <c r="Y1383" t="s">
        <v>80</v>
      </c>
      <c r="Z1383" t="s">
        <v>50</v>
      </c>
    </row>
    <row r="1384" spans="1:26" x14ac:dyDescent="0.3">
      <c r="A1384">
        <v>10276</v>
      </c>
      <c r="B1384">
        <v>48</v>
      </c>
      <c r="C1384">
        <v>100</v>
      </c>
      <c r="D1384">
        <v>8</v>
      </c>
      <c r="E1384">
        <v>5713.92</v>
      </c>
      <c r="F1384" s="1">
        <v>38201</v>
      </c>
      <c r="G1384" t="s">
        <v>39</v>
      </c>
      <c r="H1384">
        <v>3</v>
      </c>
      <c r="I1384">
        <v>8</v>
      </c>
      <c r="J1384" t="str">
        <f>TEXT(DATE(2012,Table1[[#This Row],[MONTH_ID]],10),"mmm")</f>
        <v>Aug</v>
      </c>
      <c r="K1384">
        <v>2004</v>
      </c>
      <c r="L1384" t="s">
        <v>195</v>
      </c>
      <c r="M1384">
        <v>148</v>
      </c>
      <c r="N1384" t="s">
        <v>632</v>
      </c>
      <c r="O1384" t="s">
        <v>472</v>
      </c>
      <c r="P1384">
        <v>6175557555</v>
      </c>
      <c r="Q1384" t="s">
        <v>473</v>
      </c>
      <c r="S1384" t="s">
        <v>297</v>
      </c>
      <c r="T1384" t="s">
        <v>137</v>
      </c>
      <c r="U1384">
        <v>58339</v>
      </c>
      <c r="V1384" t="s">
        <v>46</v>
      </c>
      <c r="W1384" t="s">
        <v>47</v>
      </c>
      <c r="X1384" t="s">
        <v>474</v>
      </c>
      <c r="Y1384" t="s">
        <v>475</v>
      </c>
      <c r="Z1384" t="s">
        <v>65</v>
      </c>
    </row>
    <row r="1385" spans="1:26" x14ac:dyDescent="0.3">
      <c r="A1385">
        <v>10287</v>
      </c>
      <c r="B1385">
        <v>34</v>
      </c>
      <c r="C1385">
        <v>100</v>
      </c>
      <c r="D1385">
        <v>17</v>
      </c>
      <c r="E1385">
        <v>4300.32</v>
      </c>
      <c r="F1385" s="1">
        <v>38229</v>
      </c>
      <c r="G1385" t="s">
        <v>39</v>
      </c>
      <c r="H1385">
        <v>3</v>
      </c>
      <c r="I1385">
        <v>8</v>
      </c>
      <c r="J1385" t="str">
        <f>TEXT(DATE(2012,Table1[[#This Row],[MONTH_ID]],10),"mmm")</f>
        <v>Aug</v>
      </c>
      <c r="K1385">
        <v>2004</v>
      </c>
      <c r="L1385" t="s">
        <v>195</v>
      </c>
      <c r="M1385">
        <v>148</v>
      </c>
      <c r="N1385" t="s">
        <v>632</v>
      </c>
      <c r="O1385" t="s">
        <v>460</v>
      </c>
      <c r="P1385" t="s">
        <v>461</v>
      </c>
      <c r="Q1385" t="s">
        <v>462</v>
      </c>
      <c r="S1385" t="s">
        <v>463</v>
      </c>
      <c r="U1385">
        <v>1203</v>
      </c>
      <c r="V1385" t="s">
        <v>464</v>
      </c>
      <c r="W1385" t="s">
        <v>56</v>
      </c>
      <c r="X1385" t="s">
        <v>465</v>
      </c>
      <c r="Y1385" t="s">
        <v>117</v>
      </c>
      <c r="Z1385" t="s">
        <v>65</v>
      </c>
    </row>
    <row r="1386" spans="1:26" x14ac:dyDescent="0.3">
      <c r="A1386">
        <v>10299</v>
      </c>
      <c r="B1386">
        <v>49</v>
      </c>
      <c r="C1386">
        <v>100</v>
      </c>
      <c r="D1386">
        <v>2</v>
      </c>
      <c r="E1386">
        <v>7947.31</v>
      </c>
      <c r="F1386" s="1">
        <v>38260</v>
      </c>
      <c r="G1386" t="s">
        <v>39</v>
      </c>
      <c r="H1386">
        <v>3</v>
      </c>
      <c r="I1386">
        <v>9</v>
      </c>
      <c r="J1386" t="str">
        <f>TEXT(DATE(2012,Table1[[#This Row],[MONTH_ID]],10),"mmm")</f>
        <v>Sep</v>
      </c>
      <c r="K1386">
        <v>2004</v>
      </c>
      <c r="L1386" t="s">
        <v>195</v>
      </c>
      <c r="M1386">
        <v>148</v>
      </c>
      <c r="N1386" t="s">
        <v>632</v>
      </c>
      <c r="O1386" t="s">
        <v>140</v>
      </c>
      <c r="P1386" t="s">
        <v>141</v>
      </c>
      <c r="Q1386" t="s">
        <v>142</v>
      </c>
      <c r="S1386" t="s">
        <v>143</v>
      </c>
      <c r="U1386">
        <v>21240</v>
      </c>
      <c r="V1386" t="s">
        <v>144</v>
      </c>
      <c r="W1386" t="s">
        <v>56</v>
      </c>
      <c r="X1386" t="s">
        <v>145</v>
      </c>
      <c r="Y1386" t="s">
        <v>146</v>
      </c>
      <c r="Z1386" t="s">
        <v>165</v>
      </c>
    </row>
    <row r="1387" spans="1:26" x14ac:dyDescent="0.3">
      <c r="A1387">
        <v>10310</v>
      </c>
      <c r="B1387">
        <v>40</v>
      </c>
      <c r="C1387">
        <v>100</v>
      </c>
      <c r="D1387">
        <v>15</v>
      </c>
      <c r="E1387">
        <v>5356.8</v>
      </c>
      <c r="F1387" s="1">
        <v>38276</v>
      </c>
      <c r="G1387" t="s">
        <v>39</v>
      </c>
      <c r="H1387">
        <v>4</v>
      </c>
      <c r="I1387">
        <v>10</v>
      </c>
      <c r="J1387" t="str">
        <f>TEXT(DATE(2012,Table1[[#This Row],[MONTH_ID]],10),"mmm")</f>
        <v>Oct</v>
      </c>
      <c r="K1387">
        <v>2004</v>
      </c>
      <c r="L1387" t="s">
        <v>195</v>
      </c>
      <c r="M1387">
        <v>148</v>
      </c>
      <c r="N1387" t="s">
        <v>632</v>
      </c>
      <c r="O1387" t="s">
        <v>453</v>
      </c>
      <c r="P1387" t="s">
        <v>454</v>
      </c>
      <c r="Q1387" t="s">
        <v>455</v>
      </c>
      <c r="S1387" t="s">
        <v>456</v>
      </c>
      <c r="U1387">
        <v>50739</v>
      </c>
      <c r="V1387" t="s">
        <v>457</v>
      </c>
      <c r="W1387" t="s">
        <v>56</v>
      </c>
      <c r="X1387" t="s">
        <v>458</v>
      </c>
      <c r="Y1387" t="s">
        <v>459</v>
      </c>
      <c r="Z1387" t="s">
        <v>65</v>
      </c>
    </row>
    <row r="1388" spans="1:26" x14ac:dyDescent="0.3">
      <c r="A1388">
        <v>10319</v>
      </c>
      <c r="B1388">
        <v>45</v>
      </c>
      <c r="C1388">
        <v>100</v>
      </c>
      <c r="D1388">
        <v>3</v>
      </c>
      <c r="E1388">
        <v>7901.1</v>
      </c>
      <c r="F1388" s="1">
        <v>38294</v>
      </c>
      <c r="G1388" t="s">
        <v>39</v>
      </c>
      <c r="H1388">
        <v>4</v>
      </c>
      <c r="I1388">
        <v>11</v>
      </c>
      <c r="J1388" t="str">
        <f>TEXT(DATE(2012,Table1[[#This Row],[MONTH_ID]],10),"mmm")</f>
        <v>Nov</v>
      </c>
      <c r="K1388">
        <v>2004</v>
      </c>
      <c r="L1388" t="s">
        <v>195</v>
      </c>
      <c r="M1388">
        <v>148</v>
      </c>
      <c r="N1388" t="s">
        <v>632</v>
      </c>
      <c r="O1388" t="s">
        <v>521</v>
      </c>
      <c r="P1388">
        <v>2125551957</v>
      </c>
      <c r="Q1388" t="s">
        <v>522</v>
      </c>
      <c r="R1388" t="s">
        <v>523</v>
      </c>
      <c r="S1388" t="s">
        <v>44</v>
      </c>
      <c r="T1388" t="s">
        <v>45</v>
      </c>
      <c r="U1388">
        <v>10022</v>
      </c>
      <c r="V1388" t="s">
        <v>46</v>
      </c>
      <c r="W1388" t="s">
        <v>47</v>
      </c>
      <c r="X1388" t="s">
        <v>524</v>
      </c>
      <c r="Y1388" t="s">
        <v>525</v>
      </c>
      <c r="Z1388" t="s">
        <v>165</v>
      </c>
    </row>
    <row r="1389" spans="1:26" x14ac:dyDescent="0.3">
      <c r="A1389">
        <v>10330</v>
      </c>
      <c r="B1389">
        <v>50</v>
      </c>
      <c r="C1389">
        <v>100</v>
      </c>
      <c r="D1389">
        <v>4</v>
      </c>
      <c r="E1389">
        <v>6101</v>
      </c>
      <c r="F1389" s="1">
        <v>38307</v>
      </c>
      <c r="G1389" t="s">
        <v>39</v>
      </c>
      <c r="H1389">
        <v>4</v>
      </c>
      <c r="I1389">
        <v>11</v>
      </c>
      <c r="J1389" t="str">
        <f>TEXT(DATE(2012,Table1[[#This Row],[MONTH_ID]],10),"mmm")</f>
        <v>Nov</v>
      </c>
      <c r="K1389">
        <v>2004</v>
      </c>
      <c r="L1389" t="s">
        <v>195</v>
      </c>
      <c r="M1389">
        <v>148</v>
      </c>
      <c r="N1389" t="s">
        <v>632</v>
      </c>
      <c r="O1389" t="s">
        <v>439</v>
      </c>
      <c r="P1389" t="s">
        <v>440</v>
      </c>
      <c r="Q1389" t="s">
        <v>441</v>
      </c>
      <c r="S1389" t="s">
        <v>442</v>
      </c>
      <c r="U1389" t="s">
        <v>443</v>
      </c>
      <c r="V1389" t="s">
        <v>444</v>
      </c>
      <c r="W1389" t="s">
        <v>214</v>
      </c>
      <c r="X1389" t="s">
        <v>445</v>
      </c>
      <c r="Y1389" t="s">
        <v>446</v>
      </c>
      <c r="Z1389" t="s">
        <v>65</v>
      </c>
    </row>
    <row r="1390" spans="1:26" x14ac:dyDescent="0.3">
      <c r="A1390">
        <v>10342</v>
      </c>
      <c r="B1390">
        <v>38</v>
      </c>
      <c r="C1390">
        <v>100</v>
      </c>
      <c r="D1390">
        <v>11</v>
      </c>
      <c r="E1390">
        <v>6276.46</v>
      </c>
      <c r="F1390" s="1">
        <v>38315</v>
      </c>
      <c r="G1390" t="s">
        <v>39</v>
      </c>
      <c r="H1390">
        <v>4</v>
      </c>
      <c r="I1390">
        <v>11</v>
      </c>
      <c r="J1390" t="str">
        <f>TEXT(DATE(2012,Table1[[#This Row],[MONTH_ID]],10),"mmm")</f>
        <v>Nov</v>
      </c>
      <c r="K1390">
        <v>2004</v>
      </c>
      <c r="L1390" t="s">
        <v>195</v>
      </c>
      <c r="M1390">
        <v>148</v>
      </c>
      <c r="N1390" t="s">
        <v>632</v>
      </c>
      <c r="O1390" t="s">
        <v>103</v>
      </c>
      <c r="P1390" t="s">
        <v>104</v>
      </c>
      <c r="Q1390" t="s">
        <v>105</v>
      </c>
      <c r="R1390" t="s">
        <v>106</v>
      </c>
      <c r="S1390" t="s">
        <v>107</v>
      </c>
      <c r="T1390" t="s">
        <v>108</v>
      </c>
      <c r="U1390">
        <v>3004</v>
      </c>
      <c r="V1390" t="s">
        <v>109</v>
      </c>
      <c r="W1390" t="s">
        <v>110</v>
      </c>
      <c r="X1390" t="s">
        <v>111</v>
      </c>
      <c r="Y1390" t="s">
        <v>112</v>
      </c>
      <c r="Z1390" t="s">
        <v>65</v>
      </c>
    </row>
    <row r="1391" spans="1:26" x14ac:dyDescent="0.3">
      <c r="A1391">
        <v>10355</v>
      </c>
      <c r="B1391">
        <v>25</v>
      </c>
      <c r="C1391">
        <v>100</v>
      </c>
      <c r="D1391">
        <v>2</v>
      </c>
      <c r="E1391">
        <v>4203.5</v>
      </c>
      <c r="F1391" s="1">
        <v>38328</v>
      </c>
      <c r="G1391" t="s">
        <v>39</v>
      </c>
      <c r="H1391">
        <v>4</v>
      </c>
      <c r="I1391">
        <v>12</v>
      </c>
      <c r="J1391" t="str">
        <f>TEXT(DATE(2012,Table1[[#This Row],[MONTH_ID]],10),"mmm")</f>
        <v>Dec</v>
      </c>
      <c r="K1391">
        <v>2004</v>
      </c>
      <c r="L1391" t="s">
        <v>195</v>
      </c>
      <c r="M1391">
        <v>148</v>
      </c>
      <c r="N1391" t="s">
        <v>632</v>
      </c>
      <c r="O1391" t="s">
        <v>188</v>
      </c>
      <c r="P1391" t="s">
        <v>189</v>
      </c>
      <c r="Q1391" t="s">
        <v>190</v>
      </c>
      <c r="S1391" t="s">
        <v>191</v>
      </c>
      <c r="U1391">
        <v>28034</v>
      </c>
      <c r="V1391" t="s">
        <v>192</v>
      </c>
      <c r="W1391" t="s">
        <v>56</v>
      </c>
      <c r="X1391" t="s">
        <v>193</v>
      </c>
      <c r="Y1391" t="s">
        <v>194</v>
      </c>
      <c r="Z1391" t="s">
        <v>65</v>
      </c>
    </row>
    <row r="1392" spans="1:26" x14ac:dyDescent="0.3">
      <c r="A1392">
        <v>10363</v>
      </c>
      <c r="B1392">
        <v>28</v>
      </c>
      <c r="C1392">
        <v>58.18</v>
      </c>
      <c r="D1392">
        <v>13</v>
      </c>
      <c r="E1392">
        <v>1629.04</v>
      </c>
      <c r="F1392" s="1">
        <v>38358</v>
      </c>
      <c r="G1392" t="s">
        <v>39</v>
      </c>
      <c r="H1392">
        <v>1</v>
      </c>
      <c r="I1392">
        <v>1</v>
      </c>
      <c r="J1392" t="str">
        <f>TEXT(DATE(2012,Table1[[#This Row],[MONTH_ID]],10),"mmm")</f>
        <v>Jan</v>
      </c>
      <c r="K1392">
        <v>2005</v>
      </c>
      <c r="L1392" t="s">
        <v>195</v>
      </c>
      <c r="M1392">
        <v>148</v>
      </c>
      <c r="N1392" t="s">
        <v>632</v>
      </c>
      <c r="O1392" t="s">
        <v>481</v>
      </c>
      <c r="P1392" t="s">
        <v>482</v>
      </c>
      <c r="Q1392" t="s">
        <v>483</v>
      </c>
      <c r="S1392" t="s">
        <v>484</v>
      </c>
      <c r="U1392" t="s">
        <v>485</v>
      </c>
      <c r="V1392" t="s">
        <v>144</v>
      </c>
      <c r="W1392" t="s">
        <v>56</v>
      </c>
      <c r="X1392" t="s">
        <v>486</v>
      </c>
      <c r="Y1392" t="s">
        <v>487</v>
      </c>
      <c r="Z1392" t="s">
        <v>50</v>
      </c>
    </row>
    <row r="1393" spans="1:26" x14ac:dyDescent="0.3">
      <c r="A1393">
        <v>10378</v>
      </c>
      <c r="B1393">
        <v>49</v>
      </c>
      <c r="C1393">
        <v>67.14</v>
      </c>
      <c r="D1393">
        <v>8</v>
      </c>
      <c r="E1393">
        <v>3289.86</v>
      </c>
      <c r="F1393" s="1">
        <v>38393</v>
      </c>
      <c r="G1393" t="s">
        <v>39</v>
      </c>
      <c r="H1393">
        <v>1</v>
      </c>
      <c r="I1393">
        <v>2</v>
      </c>
      <c r="J1393" t="str">
        <f>TEXT(DATE(2012,Table1[[#This Row],[MONTH_ID]],10),"mmm")</f>
        <v>Feb</v>
      </c>
      <c r="K1393">
        <v>2005</v>
      </c>
      <c r="L1393" t="s">
        <v>195</v>
      </c>
      <c r="M1393">
        <v>148</v>
      </c>
      <c r="N1393" t="s">
        <v>632</v>
      </c>
      <c r="O1393" t="s">
        <v>188</v>
      </c>
      <c r="P1393" t="s">
        <v>189</v>
      </c>
      <c r="Q1393" t="s">
        <v>190</v>
      </c>
      <c r="S1393" t="s">
        <v>191</v>
      </c>
      <c r="U1393">
        <v>28034</v>
      </c>
      <c r="V1393" t="s">
        <v>192</v>
      </c>
      <c r="W1393" t="s">
        <v>56</v>
      </c>
      <c r="X1393" t="s">
        <v>193</v>
      </c>
      <c r="Y1393" t="s">
        <v>194</v>
      </c>
      <c r="Z1393" t="s">
        <v>65</v>
      </c>
    </row>
    <row r="1394" spans="1:26" x14ac:dyDescent="0.3">
      <c r="A1394">
        <v>10390</v>
      </c>
      <c r="B1394">
        <v>49</v>
      </c>
      <c r="C1394">
        <v>100</v>
      </c>
      <c r="D1394">
        <v>3</v>
      </c>
      <c r="E1394">
        <v>6862.94</v>
      </c>
      <c r="F1394" s="1">
        <v>38415</v>
      </c>
      <c r="G1394" t="s">
        <v>39</v>
      </c>
      <c r="H1394">
        <v>1</v>
      </c>
      <c r="I1394">
        <v>3</v>
      </c>
      <c r="J1394" t="str">
        <f>TEXT(DATE(2012,Table1[[#This Row],[MONTH_ID]],10),"mmm")</f>
        <v>Mar</v>
      </c>
      <c r="K1394">
        <v>2005</v>
      </c>
      <c r="L1394" t="s">
        <v>195</v>
      </c>
      <c r="M1394">
        <v>148</v>
      </c>
      <c r="N1394" t="s">
        <v>632</v>
      </c>
      <c r="O1394" t="s">
        <v>286</v>
      </c>
      <c r="P1394">
        <v>4155551450</v>
      </c>
      <c r="Q1394" t="s">
        <v>287</v>
      </c>
      <c r="S1394" t="s">
        <v>288</v>
      </c>
      <c r="T1394" t="s">
        <v>69</v>
      </c>
      <c r="U1394">
        <v>97562</v>
      </c>
      <c r="V1394" t="s">
        <v>46</v>
      </c>
      <c r="W1394" t="s">
        <v>47</v>
      </c>
      <c r="X1394" t="s">
        <v>289</v>
      </c>
      <c r="Y1394" t="s">
        <v>290</v>
      </c>
      <c r="Z1394" t="s">
        <v>65</v>
      </c>
    </row>
    <row r="1395" spans="1:26" x14ac:dyDescent="0.3">
      <c r="A1395">
        <v>10110</v>
      </c>
      <c r="B1395">
        <v>42</v>
      </c>
      <c r="C1395">
        <v>61.29</v>
      </c>
      <c r="D1395">
        <v>9</v>
      </c>
      <c r="E1395">
        <v>2574.1799999999998</v>
      </c>
      <c r="F1395" s="1">
        <v>37698</v>
      </c>
      <c r="G1395" t="s">
        <v>39</v>
      </c>
      <c r="H1395">
        <v>1</v>
      </c>
      <c r="I1395">
        <v>3</v>
      </c>
      <c r="J1395" t="str">
        <f>TEXT(DATE(2012,Table1[[#This Row],[MONTH_ID]],10),"mmm")</f>
        <v>Mar</v>
      </c>
      <c r="K1395">
        <v>2003</v>
      </c>
      <c r="L1395" t="s">
        <v>195</v>
      </c>
      <c r="M1395">
        <v>71</v>
      </c>
      <c r="N1395" t="s">
        <v>633</v>
      </c>
      <c r="O1395" t="s">
        <v>506</v>
      </c>
      <c r="P1395" t="s">
        <v>507</v>
      </c>
      <c r="Q1395" t="s">
        <v>508</v>
      </c>
      <c r="S1395" t="s">
        <v>509</v>
      </c>
      <c r="U1395" t="s">
        <v>510</v>
      </c>
      <c r="V1395" t="s">
        <v>184</v>
      </c>
      <c r="W1395" t="s">
        <v>56</v>
      </c>
      <c r="X1395" t="s">
        <v>511</v>
      </c>
      <c r="Y1395" t="s">
        <v>108</v>
      </c>
      <c r="Z1395" t="s">
        <v>50</v>
      </c>
    </row>
    <row r="1396" spans="1:26" x14ac:dyDescent="0.3">
      <c r="A1396">
        <v>10124</v>
      </c>
      <c r="B1396">
        <v>23</v>
      </c>
      <c r="C1396">
        <v>57.73</v>
      </c>
      <c r="D1396">
        <v>8</v>
      </c>
      <c r="E1396">
        <v>1327.79</v>
      </c>
      <c r="F1396" s="1">
        <v>37762</v>
      </c>
      <c r="G1396" t="s">
        <v>39</v>
      </c>
      <c r="H1396">
        <v>2</v>
      </c>
      <c r="I1396">
        <v>5</v>
      </c>
      <c r="J1396" t="str">
        <f>TEXT(DATE(2012,Table1[[#This Row],[MONTH_ID]],10),"mmm")</f>
        <v>May</v>
      </c>
      <c r="K1396">
        <v>2003</v>
      </c>
      <c r="L1396" t="s">
        <v>195</v>
      </c>
      <c r="M1396">
        <v>71</v>
      </c>
      <c r="N1396" t="s">
        <v>633</v>
      </c>
      <c r="O1396" t="s">
        <v>553</v>
      </c>
      <c r="P1396">
        <v>7025551838</v>
      </c>
      <c r="Q1396" t="s">
        <v>554</v>
      </c>
      <c r="S1396" t="s">
        <v>555</v>
      </c>
      <c r="T1396" t="s">
        <v>556</v>
      </c>
      <c r="U1396">
        <v>83030</v>
      </c>
      <c r="V1396" t="s">
        <v>46</v>
      </c>
      <c r="W1396" t="s">
        <v>47</v>
      </c>
      <c r="X1396" t="s">
        <v>127</v>
      </c>
      <c r="Y1396" t="s">
        <v>414</v>
      </c>
      <c r="Z1396" t="s">
        <v>50</v>
      </c>
    </row>
    <row r="1397" spans="1:26" x14ac:dyDescent="0.3">
      <c r="A1397">
        <v>10148</v>
      </c>
      <c r="B1397">
        <v>29</v>
      </c>
      <c r="C1397">
        <v>81.25</v>
      </c>
      <c r="D1397">
        <v>2</v>
      </c>
      <c r="E1397">
        <v>2356.25</v>
      </c>
      <c r="F1397" s="1">
        <v>37875</v>
      </c>
      <c r="G1397" t="s">
        <v>39</v>
      </c>
      <c r="H1397">
        <v>3</v>
      </c>
      <c r="I1397">
        <v>9</v>
      </c>
      <c r="J1397" t="str">
        <f>TEXT(DATE(2012,Table1[[#This Row],[MONTH_ID]],10),"mmm")</f>
        <v>Sep</v>
      </c>
      <c r="K1397">
        <v>2003</v>
      </c>
      <c r="L1397" t="s">
        <v>195</v>
      </c>
      <c r="M1397">
        <v>71</v>
      </c>
      <c r="N1397" t="s">
        <v>633</v>
      </c>
      <c r="O1397" t="s">
        <v>299</v>
      </c>
      <c r="P1397" t="s">
        <v>300</v>
      </c>
      <c r="Q1397" t="s">
        <v>301</v>
      </c>
      <c r="R1397" t="s">
        <v>302</v>
      </c>
      <c r="S1397" t="s">
        <v>303</v>
      </c>
      <c r="T1397" t="s">
        <v>171</v>
      </c>
      <c r="U1397">
        <v>2060</v>
      </c>
      <c r="V1397" t="s">
        <v>109</v>
      </c>
      <c r="W1397" t="s">
        <v>110</v>
      </c>
      <c r="X1397" t="s">
        <v>304</v>
      </c>
      <c r="Y1397" t="s">
        <v>305</v>
      </c>
      <c r="Z1397" t="s">
        <v>50</v>
      </c>
    </row>
    <row r="1398" spans="1:26" x14ac:dyDescent="0.3">
      <c r="A1398">
        <v>10161</v>
      </c>
      <c r="B1398">
        <v>25</v>
      </c>
      <c r="C1398">
        <v>80.540000000000006</v>
      </c>
      <c r="D1398">
        <v>1</v>
      </c>
      <c r="E1398">
        <v>2013.5</v>
      </c>
      <c r="F1398" s="1">
        <v>37911</v>
      </c>
      <c r="G1398" t="s">
        <v>39</v>
      </c>
      <c r="H1398">
        <v>4</v>
      </c>
      <c r="I1398">
        <v>10</v>
      </c>
      <c r="J1398" t="str">
        <f>TEXT(DATE(2012,Table1[[#This Row],[MONTH_ID]],10),"mmm")</f>
        <v>Oct</v>
      </c>
      <c r="K1398">
        <v>2003</v>
      </c>
      <c r="L1398" t="s">
        <v>195</v>
      </c>
      <c r="M1398">
        <v>71</v>
      </c>
      <c r="N1398" t="s">
        <v>633</v>
      </c>
      <c r="O1398" t="s">
        <v>512</v>
      </c>
      <c r="P1398" t="s">
        <v>513</v>
      </c>
      <c r="Q1398" t="s">
        <v>514</v>
      </c>
      <c r="S1398" t="s">
        <v>515</v>
      </c>
      <c r="U1398">
        <v>8200</v>
      </c>
      <c r="V1398" t="s">
        <v>340</v>
      </c>
      <c r="W1398" t="s">
        <v>56</v>
      </c>
      <c r="X1398" t="s">
        <v>516</v>
      </c>
      <c r="Y1398" t="s">
        <v>517</v>
      </c>
      <c r="Z1398" t="s">
        <v>50</v>
      </c>
    </row>
    <row r="1399" spans="1:26" x14ac:dyDescent="0.3">
      <c r="A1399">
        <v>10173</v>
      </c>
      <c r="B1399">
        <v>39</v>
      </c>
      <c r="C1399">
        <v>71.98</v>
      </c>
      <c r="D1399">
        <v>15</v>
      </c>
      <c r="E1399">
        <v>2807.22</v>
      </c>
      <c r="F1399" s="1">
        <v>37930</v>
      </c>
      <c r="G1399" t="s">
        <v>39</v>
      </c>
      <c r="H1399">
        <v>4</v>
      </c>
      <c r="I1399">
        <v>11</v>
      </c>
      <c r="J1399" t="str">
        <f>TEXT(DATE(2012,Table1[[#This Row],[MONTH_ID]],10),"mmm")</f>
        <v>Nov</v>
      </c>
      <c r="K1399">
        <v>2003</v>
      </c>
      <c r="L1399" t="s">
        <v>195</v>
      </c>
      <c r="M1399">
        <v>71</v>
      </c>
      <c r="N1399" t="s">
        <v>633</v>
      </c>
      <c r="O1399" t="s">
        <v>566</v>
      </c>
      <c r="P1399" t="s">
        <v>567</v>
      </c>
      <c r="Q1399" t="s">
        <v>568</v>
      </c>
      <c r="S1399" t="s">
        <v>569</v>
      </c>
      <c r="U1399">
        <v>24100</v>
      </c>
      <c r="V1399" t="s">
        <v>272</v>
      </c>
      <c r="W1399" t="s">
        <v>56</v>
      </c>
      <c r="X1399" t="s">
        <v>570</v>
      </c>
      <c r="Y1399" t="s">
        <v>571</v>
      </c>
      <c r="Z1399" t="s">
        <v>50</v>
      </c>
    </row>
    <row r="1400" spans="1:26" x14ac:dyDescent="0.3">
      <c r="A1400">
        <v>10182</v>
      </c>
      <c r="B1400">
        <v>44</v>
      </c>
      <c r="C1400">
        <v>69.84</v>
      </c>
      <c r="D1400">
        <v>12</v>
      </c>
      <c r="E1400">
        <v>3072.96</v>
      </c>
      <c r="F1400" s="1">
        <v>37937</v>
      </c>
      <c r="G1400" t="s">
        <v>39</v>
      </c>
      <c r="H1400">
        <v>4</v>
      </c>
      <c r="I1400">
        <v>11</v>
      </c>
      <c r="J1400" t="str">
        <f>TEXT(DATE(2012,Table1[[#This Row],[MONTH_ID]],10),"mmm")</f>
        <v>Nov</v>
      </c>
      <c r="K1400">
        <v>2003</v>
      </c>
      <c r="L1400" t="s">
        <v>195</v>
      </c>
      <c r="M1400">
        <v>71</v>
      </c>
      <c r="N1400" t="s">
        <v>633</v>
      </c>
      <c r="O1400" t="s">
        <v>286</v>
      </c>
      <c r="P1400">
        <v>4155551450</v>
      </c>
      <c r="Q1400" t="s">
        <v>287</v>
      </c>
      <c r="S1400" t="s">
        <v>288</v>
      </c>
      <c r="T1400" t="s">
        <v>69</v>
      </c>
      <c r="U1400">
        <v>97562</v>
      </c>
      <c r="V1400" t="s">
        <v>46</v>
      </c>
      <c r="W1400" t="s">
        <v>47</v>
      </c>
      <c r="X1400" t="s">
        <v>289</v>
      </c>
      <c r="Y1400" t="s">
        <v>290</v>
      </c>
      <c r="Z1400" t="s">
        <v>65</v>
      </c>
    </row>
    <row r="1401" spans="1:26" x14ac:dyDescent="0.3">
      <c r="A1401">
        <v>10193</v>
      </c>
      <c r="B1401">
        <v>25</v>
      </c>
      <c r="C1401">
        <v>76.260000000000005</v>
      </c>
      <c r="D1401">
        <v>16</v>
      </c>
      <c r="E1401">
        <v>1906.5</v>
      </c>
      <c r="F1401" s="1">
        <v>37946</v>
      </c>
      <c r="G1401" t="s">
        <v>39</v>
      </c>
      <c r="H1401">
        <v>4</v>
      </c>
      <c r="I1401">
        <v>11</v>
      </c>
      <c r="J1401" t="str">
        <f>TEXT(DATE(2012,Table1[[#This Row],[MONTH_ID]],10),"mmm")</f>
        <v>Nov</v>
      </c>
      <c r="K1401">
        <v>2003</v>
      </c>
      <c r="L1401" t="s">
        <v>195</v>
      </c>
      <c r="M1401">
        <v>71</v>
      </c>
      <c r="N1401" t="s">
        <v>633</v>
      </c>
      <c r="O1401" t="s">
        <v>572</v>
      </c>
      <c r="P1401" t="s">
        <v>573</v>
      </c>
      <c r="Q1401" t="s">
        <v>574</v>
      </c>
      <c r="S1401" t="s">
        <v>575</v>
      </c>
      <c r="T1401" t="s">
        <v>108</v>
      </c>
      <c r="U1401">
        <v>3150</v>
      </c>
      <c r="V1401" t="s">
        <v>109</v>
      </c>
      <c r="W1401" t="s">
        <v>110</v>
      </c>
      <c r="X1401" t="s">
        <v>576</v>
      </c>
      <c r="Y1401" t="s">
        <v>577</v>
      </c>
      <c r="Z1401" t="s">
        <v>50</v>
      </c>
    </row>
    <row r="1402" spans="1:26" x14ac:dyDescent="0.3">
      <c r="A1402">
        <v>10204</v>
      </c>
      <c r="B1402">
        <v>45</v>
      </c>
      <c r="C1402">
        <v>76.260000000000005</v>
      </c>
      <c r="D1402">
        <v>6</v>
      </c>
      <c r="E1402">
        <v>3431.7</v>
      </c>
      <c r="F1402" s="1">
        <v>37957</v>
      </c>
      <c r="G1402" t="s">
        <v>39</v>
      </c>
      <c r="H1402">
        <v>4</v>
      </c>
      <c r="I1402">
        <v>12</v>
      </c>
      <c r="J1402" t="str">
        <f>TEXT(DATE(2012,Table1[[#This Row],[MONTH_ID]],10),"mmm")</f>
        <v>Dec</v>
      </c>
      <c r="K1402">
        <v>2003</v>
      </c>
      <c r="L1402" t="s">
        <v>195</v>
      </c>
      <c r="M1402">
        <v>71</v>
      </c>
      <c r="N1402" t="s">
        <v>633</v>
      </c>
      <c r="O1402" t="s">
        <v>489</v>
      </c>
      <c r="P1402">
        <v>2125557413</v>
      </c>
      <c r="Q1402" t="s">
        <v>490</v>
      </c>
      <c r="R1402" t="s">
        <v>491</v>
      </c>
      <c r="S1402" t="s">
        <v>44</v>
      </c>
      <c r="T1402" t="s">
        <v>45</v>
      </c>
      <c r="U1402">
        <v>10022</v>
      </c>
      <c r="V1402" t="s">
        <v>46</v>
      </c>
      <c r="W1402" t="s">
        <v>47</v>
      </c>
      <c r="X1402" t="s">
        <v>70</v>
      </c>
      <c r="Y1402" t="s">
        <v>492</v>
      </c>
      <c r="Z1402" t="s">
        <v>65</v>
      </c>
    </row>
    <row r="1403" spans="1:26" x14ac:dyDescent="0.3">
      <c r="A1403">
        <v>10213</v>
      </c>
      <c r="B1403">
        <v>25</v>
      </c>
      <c r="C1403">
        <v>83.39</v>
      </c>
      <c r="D1403">
        <v>2</v>
      </c>
      <c r="E1403">
        <v>2084.75</v>
      </c>
      <c r="F1403" s="1">
        <v>38008</v>
      </c>
      <c r="G1403" t="s">
        <v>39</v>
      </c>
      <c r="H1403">
        <v>1</v>
      </c>
      <c r="I1403">
        <v>1</v>
      </c>
      <c r="J1403" t="str">
        <f>TEXT(DATE(2012,Table1[[#This Row],[MONTH_ID]],10),"mmm")</f>
        <v>Jan</v>
      </c>
      <c r="K1403">
        <v>2004</v>
      </c>
      <c r="L1403" t="s">
        <v>195</v>
      </c>
      <c r="M1403">
        <v>71</v>
      </c>
      <c r="N1403" t="s">
        <v>633</v>
      </c>
      <c r="O1403" t="s">
        <v>360</v>
      </c>
      <c r="P1403" t="s">
        <v>361</v>
      </c>
      <c r="Q1403" t="s">
        <v>362</v>
      </c>
      <c r="S1403" t="s">
        <v>346</v>
      </c>
      <c r="U1403" t="s">
        <v>363</v>
      </c>
      <c r="V1403" t="s">
        <v>184</v>
      </c>
      <c r="W1403" t="s">
        <v>56</v>
      </c>
      <c r="X1403" t="s">
        <v>364</v>
      </c>
      <c r="Y1403" t="s">
        <v>365</v>
      </c>
      <c r="Z1403" t="s">
        <v>50</v>
      </c>
    </row>
    <row r="1404" spans="1:26" x14ac:dyDescent="0.3">
      <c r="A1404">
        <v>10227</v>
      </c>
      <c r="B1404">
        <v>37</v>
      </c>
      <c r="C1404">
        <v>57.73</v>
      </c>
      <c r="D1404">
        <v>12</v>
      </c>
      <c r="E1404">
        <v>2136.0100000000002</v>
      </c>
      <c r="F1404" s="1">
        <v>38048</v>
      </c>
      <c r="G1404" t="s">
        <v>39</v>
      </c>
      <c r="H1404">
        <v>1</v>
      </c>
      <c r="I1404">
        <v>3</v>
      </c>
      <c r="J1404" t="str">
        <f>TEXT(DATE(2012,Table1[[#This Row],[MONTH_ID]],10),"mmm")</f>
        <v>Mar</v>
      </c>
      <c r="K1404">
        <v>2004</v>
      </c>
      <c r="L1404" t="s">
        <v>195</v>
      </c>
      <c r="M1404">
        <v>71</v>
      </c>
      <c r="N1404" t="s">
        <v>633</v>
      </c>
      <c r="O1404" t="s">
        <v>233</v>
      </c>
      <c r="P1404" t="s">
        <v>234</v>
      </c>
      <c r="Q1404" t="s">
        <v>235</v>
      </c>
      <c r="S1404" t="s">
        <v>236</v>
      </c>
      <c r="U1404">
        <v>69004</v>
      </c>
      <c r="V1404" t="s">
        <v>55</v>
      </c>
      <c r="W1404" t="s">
        <v>56</v>
      </c>
      <c r="X1404" t="s">
        <v>237</v>
      </c>
      <c r="Y1404" t="s">
        <v>238</v>
      </c>
      <c r="Z1404" t="s">
        <v>50</v>
      </c>
    </row>
    <row r="1405" spans="1:26" x14ac:dyDescent="0.3">
      <c r="A1405">
        <v>10241</v>
      </c>
      <c r="B1405">
        <v>30</v>
      </c>
      <c r="C1405">
        <v>66.989999999999995</v>
      </c>
      <c r="D1405">
        <v>4</v>
      </c>
      <c r="E1405">
        <v>2009.7</v>
      </c>
      <c r="F1405" s="1">
        <v>38090</v>
      </c>
      <c r="G1405" t="s">
        <v>39</v>
      </c>
      <c r="H1405">
        <v>2</v>
      </c>
      <c r="I1405">
        <v>4</v>
      </c>
      <c r="J1405" t="str">
        <f>TEXT(DATE(2012,Table1[[#This Row],[MONTH_ID]],10),"mmm")</f>
        <v>Apr</v>
      </c>
      <c r="K1405">
        <v>2004</v>
      </c>
      <c r="L1405" t="s">
        <v>195</v>
      </c>
      <c r="M1405">
        <v>71</v>
      </c>
      <c r="N1405" t="s">
        <v>633</v>
      </c>
      <c r="O1405" t="s">
        <v>545</v>
      </c>
      <c r="P1405" t="s">
        <v>546</v>
      </c>
      <c r="Q1405" t="s">
        <v>547</v>
      </c>
      <c r="S1405" t="s">
        <v>548</v>
      </c>
      <c r="U1405">
        <v>67000</v>
      </c>
      <c r="V1405" t="s">
        <v>55</v>
      </c>
      <c r="W1405" t="s">
        <v>56</v>
      </c>
      <c r="X1405" t="s">
        <v>549</v>
      </c>
      <c r="Y1405" t="s">
        <v>550</v>
      </c>
      <c r="Z1405" t="s">
        <v>50</v>
      </c>
    </row>
    <row r="1406" spans="1:26" x14ac:dyDescent="0.3">
      <c r="A1406">
        <v>10267</v>
      </c>
      <c r="B1406">
        <v>36</v>
      </c>
      <c r="C1406">
        <v>75.55</v>
      </c>
      <c r="D1406">
        <v>1</v>
      </c>
      <c r="E1406">
        <v>2719.8</v>
      </c>
      <c r="F1406" s="1">
        <v>38175</v>
      </c>
      <c r="G1406" t="s">
        <v>39</v>
      </c>
      <c r="H1406">
        <v>3</v>
      </c>
      <c r="I1406">
        <v>7</v>
      </c>
      <c r="J1406" t="str">
        <f>TEXT(DATE(2012,Table1[[#This Row],[MONTH_ID]],10),"mmm")</f>
        <v>Jul</v>
      </c>
      <c r="K1406">
        <v>2004</v>
      </c>
      <c r="L1406" t="s">
        <v>195</v>
      </c>
      <c r="M1406">
        <v>71</v>
      </c>
      <c r="N1406" t="s">
        <v>633</v>
      </c>
      <c r="O1406" t="s">
        <v>489</v>
      </c>
      <c r="P1406">
        <v>2125557413</v>
      </c>
      <c r="Q1406" t="s">
        <v>490</v>
      </c>
      <c r="R1406" t="s">
        <v>491</v>
      </c>
      <c r="S1406" t="s">
        <v>44</v>
      </c>
      <c r="T1406" t="s">
        <v>45</v>
      </c>
      <c r="U1406">
        <v>10022</v>
      </c>
      <c r="V1406" t="s">
        <v>46</v>
      </c>
      <c r="W1406" t="s">
        <v>47</v>
      </c>
      <c r="X1406" t="s">
        <v>70</v>
      </c>
      <c r="Y1406" t="s">
        <v>492</v>
      </c>
      <c r="Z1406" t="s">
        <v>50</v>
      </c>
    </row>
    <row r="1407" spans="1:26" x14ac:dyDescent="0.3">
      <c r="A1407">
        <v>10279</v>
      </c>
      <c r="B1407">
        <v>26</v>
      </c>
      <c r="C1407">
        <v>60.58</v>
      </c>
      <c r="D1407">
        <v>1</v>
      </c>
      <c r="E1407">
        <v>1575.08</v>
      </c>
      <c r="F1407" s="1">
        <v>38208</v>
      </c>
      <c r="G1407" t="s">
        <v>39</v>
      </c>
      <c r="H1407">
        <v>3</v>
      </c>
      <c r="I1407">
        <v>8</v>
      </c>
      <c r="J1407" t="str">
        <f>TEXT(DATE(2012,Table1[[#This Row],[MONTH_ID]],10),"mmm")</f>
        <v>Aug</v>
      </c>
      <c r="K1407">
        <v>2004</v>
      </c>
      <c r="L1407" t="s">
        <v>195</v>
      </c>
      <c r="M1407">
        <v>71</v>
      </c>
      <c r="N1407" t="s">
        <v>633</v>
      </c>
      <c r="O1407" t="s">
        <v>188</v>
      </c>
      <c r="P1407" t="s">
        <v>189</v>
      </c>
      <c r="Q1407" t="s">
        <v>190</v>
      </c>
      <c r="S1407" t="s">
        <v>191</v>
      </c>
      <c r="U1407">
        <v>28034</v>
      </c>
      <c r="V1407" t="s">
        <v>192</v>
      </c>
      <c r="W1407" t="s">
        <v>56</v>
      </c>
      <c r="X1407" t="s">
        <v>193</v>
      </c>
      <c r="Y1407" t="s">
        <v>194</v>
      </c>
      <c r="Z1407" t="s">
        <v>50</v>
      </c>
    </row>
    <row r="1408" spans="1:26" x14ac:dyDescent="0.3">
      <c r="A1408">
        <v>10288</v>
      </c>
      <c r="B1408">
        <v>23</v>
      </c>
      <c r="C1408">
        <v>73.41</v>
      </c>
      <c r="D1408">
        <v>7</v>
      </c>
      <c r="E1408">
        <v>1688.43</v>
      </c>
      <c r="F1408" s="1">
        <v>38231</v>
      </c>
      <c r="G1408" t="s">
        <v>39</v>
      </c>
      <c r="H1408">
        <v>3</v>
      </c>
      <c r="I1408">
        <v>9</v>
      </c>
      <c r="J1408" t="str">
        <f>TEXT(DATE(2012,Table1[[#This Row],[MONTH_ID]],10),"mmm")</f>
        <v>Sep</v>
      </c>
      <c r="K1408">
        <v>2004</v>
      </c>
      <c r="L1408" t="s">
        <v>195</v>
      </c>
      <c r="M1408">
        <v>71</v>
      </c>
      <c r="N1408" t="s">
        <v>633</v>
      </c>
      <c r="O1408" t="s">
        <v>432</v>
      </c>
      <c r="P1408" t="s">
        <v>433</v>
      </c>
      <c r="Q1408" t="s">
        <v>434</v>
      </c>
      <c r="R1408" t="s">
        <v>435</v>
      </c>
      <c r="S1408" t="s">
        <v>213</v>
      </c>
      <c r="U1408">
        <v>69045</v>
      </c>
      <c r="V1408" t="s">
        <v>213</v>
      </c>
      <c r="W1408" t="s">
        <v>110</v>
      </c>
      <c r="X1408" t="s">
        <v>436</v>
      </c>
      <c r="Y1408" t="s">
        <v>437</v>
      </c>
      <c r="Z1408" t="s">
        <v>50</v>
      </c>
    </row>
    <row r="1409" spans="1:26" x14ac:dyDescent="0.3">
      <c r="A1409">
        <v>10302</v>
      </c>
      <c r="B1409">
        <v>23</v>
      </c>
      <c r="C1409">
        <v>72.7</v>
      </c>
      <c r="D1409">
        <v>3</v>
      </c>
      <c r="E1409">
        <v>1672.1</v>
      </c>
      <c r="F1409" s="1">
        <v>37900</v>
      </c>
      <c r="G1409" t="s">
        <v>39</v>
      </c>
      <c r="H1409">
        <v>4</v>
      </c>
      <c r="I1409">
        <v>10</v>
      </c>
      <c r="J1409" t="str">
        <f>TEXT(DATE(2012,Table1[[#This Row],[MONTH_ID]],10),"mmm")</f>
        <v>Oct</v>
      </c>
      <c r="K1409">
        <v>2003</v>
      </c>
      <c r="L1409" t="s">
        <v>195</v>
      </c>
      <c r="M1409">
        <v>71</v>
      </c>
      <c r="N1409" t="s">
        <v>633</v>
      </c>
      <c r="O1409" t="s">
        <v>179</v>
      </c>
      <c r="P1409" t="s">
        <v>180</v>
      </c>
      <c r="Q1409" t="s">
        <v>181</v>
      </c>
      <c r="S1409" t="s">
        <v>182</v>
      </c>
      <c r="U1409" t="s">
        <v>183</v>
      </c>
      <c r="V1409" t="s">
        <v>184</v>
      </c>
      <c r="W1409" t="s">
        <v>56</v>
      </c>
      <c r="X1409" t="s">
        <v>185</v>
      </c>
      <c r="Y1409" t="s">
        <v>186</v>
      </c>
      <c r="Z1409" t="s">
        <v>50</v>
      </c>
    </row>
    <row r="1410" spans="1:26" x14ac:dyDescent="0.3">
      <c r="A1410">
        <v>10311</v>
      </c>
      <c r="B1410">
        <v>25</v>
      </c>
      <c r="C1410">
        <v>66.989999999999995</v>
      </c>
      <c r="D1410">
        <v>2</v>
      </c>
      <c r="E1410">
        <v>1674.75</v>
      </c>
      <c r="F1410" s="1">
        <v>38276</v>
      </c>
      <c r="G1410" t="s">
        <v>39</v>
      </c>
      <c r="H1410">
        <v>4</v>
      </c>
      <c r="I1410">
        <v>10</v>
      </c>
      <c r="J1410" t="str">
        <f>TEXT(DATE(2012,Table1[[#This Row],[MONTH_ID]],10),"mmm")</f>
        <v>Oct</v>
      </c>
      <c r="K1410">
        <v>2004</v>
      </c>
      <c r="L1410" t="s">
        <v>195</v>
      </c>
      <c r="M1410">
        <v>71</v>
      </c>
      <c r="N1410" t="s">
        <v>633</v>
      </c>
      <c r="O1410" t="s">
        <v>188</v>
      </c>
      <c r="P1410" t="s">
        <v>189</v>
      </c>
      <c r="Q1410" t="s">
        <v>190</v>
      </c>
      <c r="S1410" t="s">
        <v>191</v>
      </c>
      <c r="U1410">
        <v>28034</v>
      </c>
      <c r="V1410" t="s">
        <v>192</v>
      </c>
      <c r="W1410" t="s">
        <v>56</v>
      </c>
      <c r="X1410" t="s">
        <v>193</v>
      </c>
      <c r="Y1410" t="s">
        <v>194</v>
      </c>
      <c r="Z1410" t="s">
        <v>50</v>
      </c>
    </row>
    <row r="1411" spans="1:26" x14ac:dyDescent="0.3">
      <c r="A1411">
        <v>10332</v>
      </c>
      <c r="B1411">
        <v>21</v>
      </c>
      <c r="C1411">
        <v>100</v>
      </c>
      <c r="D1411">
        <v>3</v>
      </c>
      <c r="E1411">
        <v>3472.98</v>
      </c>
      <c r="F1411" s="1">
        <v>38308</v>
      </c>
      <c r="G1411" t="s">
        <v>39</v>
      </c>
      <c r="H1411">
        <v>4</v>
      </c>
      <c r="I1411">
        <v>11</v>
      </c>
      <c r="J1411" t="str">
        <f>TEXT(DATE(2012,Table1[[#This Row],[MONTH_ID]],10),"mmm")</f>
        <v>Nov</v>
      </c>
      <c r="K1411">
        <v>2004</v>
      </c>
      <c r="L1411" t="s">
        <v>195</v>
      </c>
      <c r="M1411">
        <v>71</v>
      </c>
      <c r="N1411" t="s">
        <v>633</v>
      </c>
      <c r="O1411" t="s">
        <v>506</v>
      </c>
      <c r="P1411" t="s">
        <v>507</v>
      </c>
      <c r="Q1411" t="s">
        <v>508</v>
      </c>
      <c r="S1411" t="s">
        <v>509</v>
      </c>
      <c r="U1411" t="s">
        <v>510</v>
      </c>
      <c r="V1411" t="s">
        <v>184</v>
      </c>
      <c r="W1411" t="s">
        <v>56</v>
      </c>
      <c r="X1411" t="s">
        <v>511</v>
      </c>
      <c r="Y1411" t="s">
        <v>108</v>
      </c>
      <c r="Z1411" t="s">
        <v>65</v>
      </c>
    </row>
    <row r="1412" spans="1:26" x14ac:dyDescent="0.3">
      <c r="A1412">
        <v>10344</v>
      </c>
      <c r="B1412">
        <v>26</v>
      </c>
      <c r="C1412">
        <v>63.43</v>
      </c>
      <c r="D1412">
        <v>5</v>
      </c>
      <c r="E1412">
        <v>1649.18</v>
      </c>
      <c r="F1412" s="1">
        <v>38316</v>
      </c>
      <c r="G1412" t="s">
        <v>39</v>
      </c>
      <c r="H1412">
        <v>4</v>
      </c>
      <c r="I1412">
        <v>11</v>
      </c>
      <c r="J1412" t="str">
        <f>TEXT(DATE(2012,Table1[[#This Row],[MONTH_ID]],10),"mmm")</f>
        <v>Nov</v>
      </c>
      <c r="K1412">
        <v>2004</v>
      </c>
      <c r="L1412" t="s">
        <v>195</v>
      </c>
      <c r="M1412">
        <v>71</v>
      </c>
      <c r="N1412" t="s">
        <v>633</v>
      </c>
      <c r="O1412" t="s">
        <v>447</v>
      </c>
      <c r="P1412" t="s">
        <v>448</v>
      </c>
      <c r="Q1412" t="s">
        <v>449</v>
      </c>
      <c r="S1412" t="s">
        <v>450</v>
      </c>
      <c r="U1412">
        <v>13008</v>
      </c>
      <c r="V1412" t="s">
        <v>55</v>
      </c>
      <c r="W1412" t="s">
        <v>56</v>
      </c>
      <c r="X1412" t="s">
        <v>451</v>
      </c>
      <c r="Y1412" t="s">
        <v>452</v>
      </c>
      <c r="Z1412" t="s">
        <v>50</v>
      </c>
    </row>
    <row r="1413" spans="1:26" x14ac:dyDescent="0.3">
      <c r="A1413">
        <v>10367</v>
      </c>
      <c r="B1413">
        <v>44</v>
      </c>
      <c r="C1413">
        <v>85.25</v>
      </c>
      <c r="D1413">
        <v>9</v>
      </c>
      <c r="E1413">
        <v>3751</v>
      </c>
      <c r="F1413" s="1">
        <v>38364</v>
      </c>
      <c r="G1413" t="s">
        <v>422</v>
      </c>
      <c r="H1413">
        <v>1</v>
      </c>
      <c r="I1413">
        <v>1</v>
      </c>
      <c r="J1413" t="str">
        <f>TEXT(DATE(2012,Table1[[#This Row],[MONTH_ID]],10),"mmm")</f>
        <v>Jan</v>
      </c>
      <c r="K1413">
        <v>2005</v>
      </c>
      <c r="L1413" t="s">
        <v>195</v>
      </c>
      <c r="M1413">
        <v>71</v>
      </c>
      <c r="N1413" t="s">
        <v>633</v>
      </c>
      <c r="O1413" t="s">
        <v>66</v>
      </c>
      <c r="P1413">
        <v>6265557265</v>
      </c>
      <c r="Q1413" t="s">
        <v>67</v>
      </c>
      <c r="S1413" t="s">
        <v>68</v>
      </c>
      <c r="T1413" t="s">
        <v>69</v>
      </c>
      <c r="U1413">
        <v>90003</v>
      </c>
      <c r="V1413" t="s">
        <v>46</v>
      </c>
      <c r="W1413" t="s">
        <v>47</v>
      </c>
      <c r="X1413" t="s">
        <v>70</v>
      </c>
      <c r="Y1413" t="s">
        <v>71</v>
      </c>
      <c r="Z1413" t="s">
        <v>65</v>
      </c>
    </row>
    <row r="1414" spans="1:26" x14ac:dyDescent="0.3">
      <c r="A1414">
        <v>10380</v>
      </c>
      <c r="B1414">
        <v>24</v>
      </c>
      <c r="C1414">
        <v>100</v>
      </c>
      <c r="D1414">
        <v>2</v>
      </c>
      <c r="E1414">
        <v>4536</v>
      </c>
      <c r="F1414" s="1">
        <v>38399</v>
      </c>
      <c r="G1414" t="s">
        <v>39</v>
      </c>
      <c r="H1414">
        <v>1</v>
      </c>
      <c r="I1414">
        <v>2</v>
      </c>
      <c r="J1414" t="str">
        <f>TEXT(DATE(2012,Table1[[#This Row],[MONTH_ID]],10),"mmm")</f>
        <v>Feb</v>
      </c>
      <c r="K1414">
        <v>2005</v>
      </c>
      <c r="L1414" t="s">
        <v>195</v>
      </c>
      <c r="M1414">
        <v>71</v>
      </c>
      <c r="N1414" t="s">
        <v>633</v>
      </c>
      <c r="O1414" t="s">
        <v>188</v>
      </c>
      <c r="P1414" t="s">
        <v>189</v>
      </c>
      <c r="Q1414" t="s">
        <v>190</v>
      </c>
      <c r="S1414" t="s">
        <v>191</v>
      </c>
      <c r="U1414">
        <v>28034</v>
      </c>
      <c r="V1414" t="s">
        <v>192</v>
      </c>
      <c r="W1414" t="s">
        <v>56</v>
      </c>
      <c r="X1414" t="s">
        <v>193</v>
      </c>
      <c r="Y1414" t="s">
        <v>194</v>
      </c>
      <c r="Z1414" t="s">
        <v>65</v>
      </c>
    </row>
    <row r="1415" spans="1:26" x14ac:dyDescent="0.3">
      <c r="A1415">
        <v>10407</v>
      </c>
      <c r="B1415">
        <v>66</v>
      </c>
      <c r="C1415">
        <v>66.989999999999995</v>
      </c>
      <c r="D1415">
        <v>4</v>
      </c>
      <c r="E1415">
        <v>4421.34</v>
      </c>
      <c r="F1415" s="1">
        <v>38464</v>
      </c>
      <c r="G1415" t="s">
        <v>415</v>
      </c>
      <c r="H1415">
        <v>2</v>
      </c>
      <c r="I1415">
        <v>4</v>
      </c>
      <c r="J1415" t="str">
        <f>TEXT(DATE(2012,Table1[[#This Row],[MONTH_ID]],10),"mmm")</f>
        <v>Apr</v>
      </c>
      <c r="K1415">
        <v>2005</v>
      </c>
      <c r="L1415" t="s">
        <v>195</v>
      </c>
      <c r="M1415">
        <v>71</v>
      </c>
      <c r="N1415" t="s">
        <v>633</v>
      </c>
      <c r="O1415" t="s">
        <v>411</v>
      </c>
      <c r="P1415">
        <v>4085553659</v>
      </c>
      <c r="Q1415" t="s">
        <v>412</v>
      </c>
      <c r="S1415" t="s">
        <v>413</v>
      </c>
      <c r="T1415" t="s">
        <v>69</v>
      </c>
      <c r="U1415">
        <v>94217</v>
      </c>
      <c r="V1415" t="s">
        <v>46</v>
      </c>
      <c r="W1415" t="s">
        <v>47</v>
      </c>
      <c r="X1415" t="s">
        <v>116</v>
      </c>
      <c r="Y1415" t="s">
        <v>414</v>
      </c>
      <c r="Z1415" t="s">
        <v>65</v>
      </c>
    </row>
    <row r="1416" spans="1:26" x14ac:dyDescent="0.3">
      <c r="A1416">
        <v>10420</v>
      </c>
      <c r="B1416">
        <v>36</v>
      </c>
      <c r="C1416">
        <v>57.73</v>
      </c>
      <c r="D1416">
        <v>7</v>
      </c>
      <c r="E1416">
        <v>2078.2800000000002</v>
      </c>
      <c r="F1416" s="1">
        <v>38501</v>
      </c>
      <c r="G1416" t="s">
        <v>314</v>
      </c>
      <c r="H1416">
        <v>2</v>
      </c>
      <c r="I1416">
        <v>5</v>
      </c>
      <c r="J1416" t="str">
        <f>TEXT(DATE(2012,Table1[[#This Row],[MONTH_ID]],10),"mmm")</f>
        <v>May</v>
      </c>
      <c r="K1416">
        <v>2005</v>
      </c>
      <c r="L1416" t="s">
        <v>195</v>
      </c>
      <c r="M1416">
        <v>71</v>
      </c>
      <c r="N1416" t="s">
        <v>633</v>
      </c>
      <c r="O1416" t="s">
        <v>166</v>
      </c>
      <c r="P1416" t="s">
        <v>167</v>
      </c>
      <c r="Q1416" t="s">
        <v>168</v>
      </c>
      <c r="R1416" t="s">
        <v>169</v>
      </c>
      <c r="S1416" t="s">
        <v>170</v>
      </c>
      <c r="T1416" t="s">
        <v>171</v>
      </c>
      <c r="U1416">
        <v>2067</v>
      </c>
      <c r="V1416" t="s">
        <v>109</v>
      </c>
      <c r="W1416" t="s">
        <v>110</v>
      </c>
      <c r="X1416" t="s">
        <v>172</v>
      </c>
      <c r="Y1416" t="s">
        <v>173</v>
      </c>
      <c r="Z1416" t="s">
        <v>50</v>
      </c>
    </row>
    <row r="1417" spans="1:26" x14ac:dyDescent="0.3">
      <c r="A1417">
        <v>10110</v>
      </c>
      <c r="B1417">
        <v>36</v>
      </c>
      <c r="C1417">
        <v>85.25</v>
      </c>
      <c r="D1417">
        <v>13</v>
      </c>
      <c r="E1417">
        <v>3069</v>
      </c>
      <c r="F1417" s="1">
        <v>37698</v>
      </c>
      <c r="G1417" t="s">
        <v>39</v>
      </c>
      <c r="H1417">
        <v>1</v>
      </c>
      <c r="I1417">
        <v>3</v>
      </c>
      <c r="J1417" t="str">
        <f>TEXT(DATE(2012,Table1[[#This Row],[MONTH_ID]],10),"mmm")</f>
        <v>Mar</v>
      </c>
      <c r="K1417">
        <v>2003</v>
      </c>
      <c r="L1417" t="s">
        <v>195</v>
      </c>
      <c r="M1417">
        <v>73</v>
      </c>
      <c r="N1417" t="s">
        <v>634</v>
      </c>
      <c r="O1417" t="s">
        <v>506</v>
      </c>
      <c r="P1417" t="s">
        <v>507</v>
      </c>
      <c r="Q1417" t="s">
        <v>508</v>
      </c>
      <c r="S1417" t="s">
        <v>509</v>
      </c>
      <c r="U1417" t="s">
        <v>510</v>
      </c>
      <c r="V1417" t="s">
        <v>184</v>
      </c>
      <c r="W1417" t="s">
        <v>56</v>
      </c>
      <c r="X1417" t="s">
        <v>511</v>
      </c>
      <c r="Y1417" t="s">
        <v>108</v>
      </c>
      <c r="Z1417" t="s">
        <v>65</v>
      </c>
    </row>
    <row r="1418" spans="1:26" x14ac:dyDescent="0.3">
      <c r="A1418">
        <v>10124</v>
      </c>
      <c r="B1418">
        <v>22</v>
      </c>
      <c r="C1418">
        <v>77.900000000000006</v>
      </c>
      <c r="D1418">
        <v>12</v>
      </c>
      <c r="E1418">
        <v>1713.8</v>
      </c>
      <c r="F1418" s="1">
        <v>37762</v>
      </c>
      <c r="G1418" t="s">
        <v>39</v>
      </c>
      <c r="H1418">
        <v>2</v>
      </c>
      <c r="I1418">
        <v>5</v>
      </c>
      <c r="J1418" t="str">
        <f>TEXT(DATE(2012,Table1[[#This Row],[MONTH_ID]],10),"mmm")</f>
        <v>May</v>
      </c>
      <c r="K1418">
        <v>2003</v>
      </c>
      <c r="L1418" t="s">
        <v>195</v>
      </c>
      <c r="M1418">
        <v>73</v>
      </c>
      <c r="N1418" t="s">
        <v>634</v>
      </c>
      <c r="O1418" t="s">
        <v>553</v>
      </c>
      <c r="P1418">
        <v>7025551838</v>
      </c>
      <c r="Q1418" t="s">
        <v>554</v>
      </c>
      <c r="S1418" t="s">
        <v>555</v>
      </c>
      <c r="T1418" t="s">
        <v>556</v>
      </c>
      <c r="U1418">
        <v>83030</v>
      </c>
      <c r="V1418" t="s">
        <v>46</v>
      </c>
      <c r="W1418" t="s">
        <v>47</v>
      </c>
      <c r="X1418" t="s">
        <v>127</v>
      </c>
      <c r="Y1418" t="s">
        <v>414</v>
      </c>
      <c r="Z1418" t="s">
        <v>50</v>
      </c>
    </row>
    <row r="1419" spans="1:26" x14ac:dyDescent="0.3">
      <c r="A1419">
        <v>10148</v>
      </c>
      <c r="B1419">
        <v>25</v>
      </c>
      <c r="C1419">
        <v>60.26</v>
      </c>
      <c r="D1419">
        <v>6</v>
      </c>
      <c r="E1419">
        <v>1506.5</v>
      </c>
      <c r="F1419" s="1">
        <v>37875</v>
      </c>
      <c r="G1419" t="s">
        <v>39</v>
      </c>
      <c r="H1419">
        <v>3</v>
      </c>
      <c r="I1419">
        <v>9</v>
      </c>
      <c r="J1419" t="str">
        <f>TEXT(DATE(2012,Table1[[#This Row],[MONTH_ID]],10),"mmm")</f>
        <v>Sep</v>
      </c>
      <c r="K1419">
        <v>2003</v>
      </c>
      <c r="L1419" t="s">
        <v>195</v>
      </c>
      <c r="M1419">
        <v>73</v>
      </c>
      <c r="N1419" t="s">
        <v>634</v>
      </c>
      <c r="O1419" t="s">
        <v>299</v>
      </c>
      <c r="P1419" t="s">
        <v>300</v>
      </c>
      <c r="Q1419" t="s">
        <v>301</v>
      </c>
      <c r="R1419" t="s">
        <v>302</v>
      </c>
      <c r="S1419" t="s">
        <v>303</v>
      </c>
      <c r="T1419" t="s">
        <v>171</v>
      </c>
      <c r="U1419">
        <v>2060</v>
      </c>
      <c r="V1419" t="s">
        <v>109</v>
      </c>
      <c r="W1419" t="s">
        <v>110</v>
      </c>
      <c r="X1419" t="s">
        <v>304</v>
      </c>
      <c r="Y1419" t="s">
        <v>305</v>
      </c>
      <c r="Z1419" t="s">
        <v>50</v>
      </c>
    </row>
    <row r="1420" spans="1:26" x14ac:dyDescent="0.3">
      <c r="A1420">
        <v>10161</v>
      </c>
      <c r="B1420">
        <v>37</v>
      </c>
      <c r="C1420">
        <v>72.760000000000005</v>
      </c>
      <c r="D1420">
        <v>5</v>
      </c>
      <c r="E1420">
        <v>2692.12</v>
      </c>
      <c r="F1420" s="1">
        <v>37911</v>
      </c>
      <c r="G1420" t="s">
        <v>39</v>
      </c>
      <c r="H1420">
        <v>4</v>
      </c>
      <c r="I1420">
        <v>10</v>
      </c>
      <c r="J1420" t="str">
        <f>TEXT(DATE(2012,Table1[[#This Row],[MONTH_ID]],10),"mmm")</f>
        <v>Oct</v>
      </c>
      <c r="K1420">
        <v>2003</v>
      </c>
      <c r="L1420" t="s">
        <v>195</v>
      </c>
      <c r="M1420">
        <v>73</v>
      </c>
      <c r="N1420" t="s">
        <v>634</v>
      </c>
      <c r="O1420" t="s">
        <v>512</v>
      </c>
      <c r="P1420" t="s">
        <v>513</v>
      </c>
      <c r="Q1420" t="s">
        <v>514</v>
      </c>
      <c r="S1420" t="s">
        <v>515</v>
      </c>
      <c r="U1420">
        <v>8200</v>
      </c>
      <c r="V1420" t="s">
        <v>340</v>
      </c>
      <c r="W1420" t="s">
        <v>56</v>
      </c>
      <c r="X1420" t="s">
        <v>516</v>
      </c>
      <c r="Y1420" t="s">
        <v>517</v>
      </c>
      <c r="Z1420" t="s">
        <v>50</v>
      </c>
    </row>
    <row r="1421" spans="1:26" x14ac:dyDescent="0.3">
      <c r="A1421">
        <v>10172</v>
      </c>
      <c r="B1421">
        <v>32</v>
      </c>
      <c r="C1421">
        <v>75.69</v>
      </c>
      <c r="D1421">
        <v>3</v>
      </c>
      <c r="E1421">
        <v>2422.08</v>
      </c>
      <c r="F1421" s="1">
        <v>37930</v>
      </c>
      <c r="G1421" t="s">
        <v>39</v>
      </c>
      <c r="H1421">
        <v>4</v>
      </c>
      <c r="I1421">
        <v>11</v>
      </c>
      <c r="J1421" t="str">
        <f>TEXT(DATE(2012,Table1[[#This Row],[MONTH_ID]],10),"mmm")</f>
        <v>Nov</v>
      </c>
      <c r="K1421">
        <v>2003</v>
      </c>
      <c r="L1421" t="s">
        <v>195</v>
      </c>
      <c r="M1421">
        <v>73</v>
      </c>
      <c r="N1421" t="s">
        <v>634</v>
      </c>
      <c r="O1421" t="s">
        <v>123</v>
      </c>
      <c r="P1421">
        <v>2035552570</v>
      </c>
      <c r="Q1421" t="s">
        <v>124</v>
      </c>
      <c r="S1421" t="s">
        <v>125</v>
      </c>
      <c r="T1421" t="s">
        <v>126</v>
      </c>
      <c r="U1421">
        <v>97562</v>
      </c>
      <c r="V1421" t="s">
        <v>46</v>
      </c>
      <c r="W1421" t="s">
        <v>47</v>
      </c>
      <c r="X1421" t="s">
        <v>127</v>
      </c>
      <c r="Y1421" t="s">
        <v>71</v>
      </c>
      <c r="Z1421" t="s">
        <v>50</v>
      </c>
    </row>
    <row r="1422" spans="1:26" x14ac:dyDescent="0.3">
      <c r="A1422">
        <v>10182</v>
      </c>
      <c r="B1422">
        <v>47</v>
      </c>
      <c r="C1422">
        <v>74.22</v>
      </c>
      <c r="D1422">
        <v>16</v>
      </c>
      <c r="E1422">
        <v>3488.34</v>
      </c>
      <c r="F1422" s="1">
        <v>37937</v>
      </c>
      <c r="G1422" t="s">
        <v>39</v>
      </c>
      <c r="H1422">
        <v>4</v>
      </c>
      <c r="I1422">
        <v>11</v>
      </c>
      <c r="J1422" t="str">
        <f>TEXT(DATE(2012,Table1[[#This Row],[MONTH_ID]],10),"mmm")</f>
        <v>Nov</v>
      </c>
      <c r="K1422">
        <v>2003</v>
      </c>
      <c r="L1422" t="s">
        <v>195</v>
      </c>
      <c r="M1422">
        <v>73</v>
      </c>
      <c r="N1422" t="s">
        <v>634</v>
      </c>
      <c r="O1422" t="s">
        <v>286</v>
      </c>
      <c r="P1422">
        <v>4155551450</v>
      </c>
      <c r="Q1422" t="s">
        <v>287</v>
      </c>
      <c r="S1422" t="s">
        <v>288</v>
      </c>
      <c r="T1422" t="s">
        <v>69</v>
      </c>
      <c r="U1422">
        <v>97562</v>
      </c>
      <c r="V1422" t="s">
        <v>46</v>
      </c>
      <c r="W1422" t="s">
        <v>47</v>
      </c>
      <c r="X1422" t="s">
        <v>289</v>
      </c>
      <c r="Y1422" t="s">
        <v>290</v>
      </c>
      <c r="Z1422" t="s">
        <v>65</v>
      </c>
    </row>
    <row r="1423" spans="1:26" x14ac:dyDescent="0.3">
      <c r="A1423">
        <v>10192</v>
      </c>
      <c r="B1423">
        <v>37</v>
      </c>
      <c r="C1423">
        <v>69.819999999999993</v>
      </c>
      <c r="D1423">
        <v>4</v>
      </c>
      <c r="E1423">
        <v>2583.34</v>
      </c>
      <c r="F1423" s="1">
        <v>37945</v>
      </c>
      <c r="G1423" t="s">
        <v>39</v>
      </c>
      <c r="H1423">
        <v>4</v>
      </c>
      <c r="I1423">
        <v>11</v>
      </c>
      <c r="J1423" t="str">
        <f>TEXT(DATE(2012,Table1[[#This Row],[MONTH_ID]],10),"mmm")</f>
        <v>Nov</v>
      </c>
      <c r="K1423">
        <v>2003</v>
      </c>
      <c r="L1423" t="s">
        <v>195</v>
      </c>
      <c r="M1423">
        <v>73</v>
      </c>
      <c r="N1423" t="s">
        <v>634</v>
      </c>
      <c r="O1423" t="s">
        <v>291</v>
      </c>
      <c r="P1423">
        <v>6035558647</v>
      </c>
      <c r="Q1423" t="s">
        <v>292</v>
      </c>
      <c r="S1423" t="s">
        <v>293</v>
      </c>
      <c r="T1423" t="s">
        <v>294</v>
      </c>
      <c r="U1423">
        <v>62005</v>
      </c>
      <c r="V1423" t="s">
        <v>46</v>
      </c>
      <c r="W1423" t="s">
        <v>47</v>
      </c>
      <c r="X1423" t="s">
        <v>70</v>
      </c>
      <c r="Y1423" t="s">
        <v>290</v>
      </c>
      <c r="Z1423" t="s">
        <v>50</v>
      </c>
    </row>
    <row r="1424" spans="1:26" x14ac:dyDescent="0.3">
      <c r="A1424">
        <v>10204</v>
      </c>
      <c r="B1424">
        <v>20</v>
      </c>
      <c r="C1424">
        <v>62.47</v>
      </c>
      <c r="D1424">
        <v>10</v>
      </c>
      <c r="E1424">
        <v>1249.4000000000001</v>
      </c>
      <c r="F1424" s="1">
        <v>37957</v>
      </c>
      <c r="G1424" t="s">
        <v>39</v>
      </c>
      <c r="H1424">
        <v>4</v>
      </c>
      <c r="I1424">
        <v>12</v>
      </c>
      <c r="J1424" t="str">
        <f>TEXT(DATE(2012,Table1[[#This Row],[MONTH_ID]],10),"mmm")</f>
        <v>Dec</v>
      </c>
      <c r="K1424">
        <v>2003</v>
      </c>
      <c r="L1424" t="s">
        <v>195</v>
      </c>
      <c r="M1424">
        <v>73</v>
      </c>
      <c r="N1424" t="s">
        <v>634</v>
      </c>
      <c r="O1424" t="s">
        <v>489</v>
      </c>
      <c r="P1424">
        <v>2125557413</v>
      </c>
      <c r="Q1424" t="s">
        <v>490</v>
      </c>
      <c r="R1424" t="s">
        <v>491</v>
      </c>
      <c r="S1424" t="s">
        <v>44</v>
      </c>
      <c r="T1424" t="s">
        <v>45</v>
      </c>
      <c r="U1424">
        <v>10022</v>
      </c>
      <c r="V1424" t="s">
        <v>46</v>
      </c>
      <c r="W1424" t="s">
        <v>47</v>
      </c>
      <c r="X1424" t="s">
        <v>70</v>
      </c>
      <c r="Y1424" t="s">
        <v>492</v>
      </c>
      <c r="Z1424" t="s">
        <v>50</v>
      </c>
    </row>
    <row r="1425" spans="1:26" x14ac:dyDescent="0.3">
      <c r="A1425">
        <v>10212</v>
      </c>
      <c r="B1425">
        <v>41</v>
      </c>
      <c r="C1425">
        <v>82.31</v>
      </c>
      <c r="D1425">
        <v>3</v>
      </c>
      <c r="E1425">
        <v>3374.71</v>
      </c>
      <c r="F1425" s="1">
        <v>38002</v>
      </c>
      <c r="G1425" t="s">
        <v>39</v>
      </c>
      <c r="H1425">
        <v>1</v>
      </c>
      <c r="I1425">
        <v>1</v>
      </c>
      <c r="J1425" t="str">
        <f>TEXT(DATE(2012,Table1[[#This Row],[MONTH_ID]],10),"mmm")</f>
        <v>Jan</v>
      </c>
      <c r="K1425">
        <v>2004</v>
      </c>
      <c r="L1425" t="s">
        <v>195</v>
      </c>
      <c r="M1425">
        <v>73</v>
      </c>
      <c r="N1425" t="s">
        <v>634</v>
      </c>
      <c r="O1425" t="s">
        <v>188</v>
      </c>
      <c r="P1425" t="s">
        <v>189</v>
      </c>
      <c r="Q1425" t="s">
        <v>190</v>
      </c>
      <c r="S1425" t="s">
        <v>191</v>
      </c>
      <c r="U1425">
        <v>28034</v>
      </c>
      <c r="V1425" t="s">
        <v>192</v>
      </c>
      <c r="W1425" t="s">
        <v>56</v>
      </c>
      <c r="X1425" t="s">
        <v>193</v>
      </c>
      <c r="Y1425" t="s">
        <v>194</v>
      </c>
      <c r="Z1425" t="s">
        <v>65</v>
      </c>
    </row>
    <row r="1426" spans="1:26" x14ac:dyDescent="0.3">
      <c r="A1426">
        <v>10226</v>
      </c>
      <c r="B1426">
        <v>21</v>
      </c>
      <c r="C1426">
        <v>60.26</v>
      </c>
      <c r="D1426">
        <v>1</v>
      </c>
      <c r="E1426">
        <v>1265.46</v>
      </c>
      <c r="F1426" s="1">
        <v>38043</v>
      </c>
      <c r="G1426" t="s">
        <v>39</v>
      </c>
      <c r="H1426">
        <v>1</v>
      </c>
      <c r="I1426">
        <v>2</v>
      </c>
      <c r="J1426" t="str">
        <f>TEXT(DATE(2012,Table1[[#This Row],[MONTH_ID]],10),"mmm")</f>
        <v>Feb</v>
      </c>
      <c r="K1426">
        <v>2004</v>
      </c>
      <c r="L1426" t="s">
        <v>195</v>
      </c>
      <c r="M1426">
        <v>73</v>
      </c>
      <c r="N1426" t="s">
        <v>634</v>
      </c>
      <c r="O1426" t="s">
        <v>376</v>
      </c>
      <c r="P1426">
        <v>7605558146</v>
      </c>
      <c r="Q1426" t="s">
        <v>377</v>
      </c>
      <c r="S1426" t="s">
        <v>378</v>
      </c>
      <c r="T1426" t="s">
        <v>69</v>
      </c>
      <c r="U1426">
        <v>91217</v>
      </c>
      <c r="V1426" t="s">
        <v>46</v>
      </c>
      <c r="W1426" t="s">
        <v>47</v>
      </c>
      <c r="X1426" t="s">
        <v>251</v>
      </c>
      <c r="Y1426" t="s">
        <v>290</v>
      </c>
      <c r="Z1426" t="s">
        <v>50</v>
      </c>
    </row>
    <row r="1427" spans="1:26" x14ac:dyDescent="0.3">
      <c r="A1427">
        <v>10241</v>
      </c>
      <c r="B1427">
        <v>22</v>
      </c>
      <c r="C1427">
        <v>76.430000000000007</v>
      </c>
      <c r="D1427">
        <v>8</v>
      </c>
      <c r="E1427">
        <v>1681.46</v>
      </c>
      <c r="F1427" s="1">
        <v>38090</v>
      </c>
      <c r="G1427" t="s">
        <v>39</v>
      </c>
      <c r="H1427">
        <v>2</v>
      </c>
      <c r="I1427">
        <v>4</v>
      </c>
      <c r="J1427" t="str">
        <f>TEXT(DATE(2012,Table1[[#This Row],[MONTH_ID]],10),"mmm")</f>
        <v>Apr</v>
      </c>
      <c r="K1427">
        <v>2004</v>
      </c>
      <c r="L1427" t="s">
        <v>195</v>
      </c>
      <c r="M1427">
        <v>73</v>
      </c>
      <c r="N1427" t="s">
        <v>634</v>
      </c>
      <c r="O1427" t="s">
        <v>545</v>
      </c>
      <c r="P1427" t="s">
        <v>546</v>
      </c>
      <c r="Q1427" t="s">
        <v>547</v>
      </c>
      <c r="S1427" t="s">
        <v>548</v>
      </c>
      <c r="U1427">
        <v>67000</v>
      </c>
      <c r="V1427" t="s">
        <v>55</v>
      </c>
      <c r="W1427" t="s">
        <v>56</v>
      </c>
      <c r="X1427" t="s">
        <v>549</v>
      </c>
      <c r="Y1427" t="s">
        <v>550</v>
      </c>
      <c r="Z1427" t="s">
        <v>50</v>
      </c>
    </row>
    <row r="1428" spans="1:26" x14ac:dyDescent="0.3">
      <c r="A1428">
        <v>10267</v>
      </c>
      <c r="B1428">
        <v>40</v>
      </c>
      <c r="C1428">
        <v>80.099999999999994</v>
      </c>
      <c r="D1428">
        <v>5</v>
      </c>
      <c r="E1428">
        <v>3204</v>
      </c>
      <c r="F1428" s="1">
        <v>38175</v>
      </c>
      <c r="G1428" t="s">
        <v>39</v>
      </c>
      <c r="H1428">
        <v>3</v>
      </c>
      <c r="I1428">
        <v>7</v>
      </c>
      <c r="J1428" t="str">
        <f>TEXT(DATE(2012,Table1[[#This Row],[MONTH_ID]],10),"mmm")</f>
        <v>Jul</v>
      </c>
      <c r="K1428">
        <v>2004</v>
      </c>
      <c r="L1428" t="s">
        <v>195</v>
      </c>
      <c r="M1428">
        <v>73</v>
      </c>
      <c r="N1428" t="s">
        <v>634</v>
      </c>
      <c r="O1428" t="s">
        <v>489</v>
      </c>
      <c r="P1428">
        <v>2125557413</v>
      </c>
      <c r="Q1428" t="s">
        <v>490</v>
      </c>
      <c r="R1428" t="s">
        <v>491</v>
      </c>
      <c r="S1428" t="s">
        <v>44</v>
      </c>
      <c r="T1428" t="s">
        <v>45</v>
      </c>
      <c r="U1428">
        <v>10022</v>
      </c>
      <c r="V1428" t="s">
        <v>46</v>
      </c>
      <c r="W1428" t="s">
        <v>47</v>
      </c>
      <c r="X1428" t="s">
        <v>70</v>
      </c>
      <c r="Y1428" t="s">
        <v>492</v>
      </c>
      <c r="Z1428" t="s">
        <v>65</v>
      </c>
    </row>
    <row r="1429" spans="1:26" x14ac:dyDescent="0.3">
      <c r="A1429">
        <v>10279</v>
      </c>
      <c r="B1429">
        <v>32</v>
      </c>
      <c r="C1429">
        <v>74.959999999999994</v>
      </c>
      <c r="D1429">
        <v>5</v>
      </c>
      <c r="E1429">
        <v>2398.7199999999998</v>
      </c>
      <c r="F1429" s="1">
        <v>38208</v>
      </c>
      <c r="G1429" t="s">
        <v>39</v>
      </c>
      <c r="H1429">
        <v>3</v>
      </c>
      <c r="I1429">
        <v>8</v>
      </c>
      <c r="J1429" t="str">
        <f>TEXT(DATE(2012,Table1[[#This Row],[MONTH_ID]],10),"mmm")</f>
        <v>Aug</v>
      </c>
      <c r="K1429">
        <v>2004</v>
      </c>
      <c r="L1429" t="s">
        <v>195</v>
      </c>
      <c r="M1429">
        <v>73</v>
      </c>
      <c r="N1429" t="s">
        <v>634</v>
      </c>
      <c r="O1429" t="s">
        <v>188</v>
      </c>
      <c r="P1429" t="s">
        <v>189</v>
      </c>
      <c r="Q1429" t="s">
        <v>190</v>
      </c>
      <c r="S1429" t="s">
        <v>191</v>
      </c>
      <c r="U1429">
        <v>28034</v>
      </c>
      <c r="V1429" t="s">
        <v>192</v>
      </c>
      <c r="W1429" t="s">
        <v>56</v>
      </c>
      <c r="X1429" t="s">
        <v>193</v>
      </c>
      <c r="Y1429" t="s">
        <v>194</v>
      </c>
      <c r="Z1429" t="s">
        <v>50</v>
      </c>
    </row>
    <row r="1430" spans="1:26" x14ac:dyDescent="0.3">
      <c r="A1430">
        <v>10288</v>
      </c>
      <c r="B1430">
        <v>36</v>
      </c>
      <c r="C1430">
        <v>66.14</v>
      </c>
      <c r="D1430">
        <v>11</v>
      </c>
      <c r="E1430">
        <v>2381.04</v>
      </c>
      <c r="F1430" s="1">
        <v>38231</v>
      </c>
      <c r="G1430" t="s">
        <v>39</v>
      </c>
      <c r="H1430">
        <v>3</v>
      </c>
      <c r="I1430">
        <v>9</v>
      </c>
      <c r="J1430" t="str">
        <f>TEXT(DATE(2012,Table1[[#This Row],[MONTH_ID]],10),"mmm")</f>
        <v>Sep</v>
      </c>
      <c r="K1430">
        <v>2004</v>
      </c>
      <c r="L1430" t="s">
        <v>195</v>
      </c>
      <c r="M1430">
        <v>73</v>
      </c>
      <c r="N1430" t="s">
        <v>634</v>
      </c>
      <c r="O1430" t="s">
        <v>432</v>
      </c>
      <c r="P1430" t="s">
        <v>433</v>
      </c>
      <c r="Q1430" t="s">
        <v>434</v>
      </c>
      <c r="R1430" t="s">
        <v>435</v>
      </c>
      <c r="S1430" t="s">
        <v>213</v>
      </c>
      <c r="U1430">
        <v>69045</v>
      </c>
      <c r="V1430" t="s">
        <v>213</v>
      </c>
      <c r="W1430" t="s">
        <v>110</v>
      </c>
      <c r="X1430" t="s">
        <v>436</v>
      </c>
      <c r="Y1430" t="s">
        <v>437</v>
      </c>
      <c r="Z1430" t="s">
        <v>50</v>
      </c>
    </row>
    <row r="1431" spans="1:26" x14ac:dyDescent="0.3">
      <c r="A1431">
        <v>10301</v>
      </c>
      <c r="B1431">
        <v>27</v>
      </c>
      <c r="C1431">
        <v>72.02</v>
      </c>
      <c r="D1431">
        <v>1</v>
      </c>
      <c r="E1431">
        <v>1944.54</v>
      </c>
      <c r="F1431" s="1">
        <v>37899</v>
      </c>
      <c r="G1431" t="s">
        <v>39</v>
      </c>
      <c r="H1431">
        <v>4</v>
      </c>
      <c r="I1431">
        <v>10</v>
      </c>
      <c r="J1431" t="str">
        <f>TEXT(DATE(2012,Table1[[#This Row],[MONTH_ID]],10),"mmm")</f>
        <v>Oct</v>
      </c>
      <c r="K1431">
        <v>2003</v>
      </c>
      <c r="L1431" t="s">
        <v>195</v>
      </c>
      <c r="M1431">
        <v>73</v>
      </c>
      <c r="N1431" t="s">
        <v>634</v>
      </c>
      <c r="O1431" t="s">
        <v>557</v>
      </c>
      <c r="P1431" t="s">
        <v>558</v>
      </c>
      <c r="Q1431" t="s">
        <v>559</v>
      </c>
      <c r="S1431" t="s">
        <v>560</v>
      </c>
      <c r="U1431" t="s">
        <v>561</v>
      </c>
      <c r="V1431" t="s">
        <v>92</v>
      </c>
      <c r="W1431" t="s">
        <v>56</v>
      </c>
      <c r="X1431" t="s">
        <v>562</v>
      </c>
      <c r="Y1431" t="s">
        <v>563</v>
      </c>
      <c r="Z1431" t="s">
        <v>50</v>
      </c>
    </row>
    <row r="1432" spans="1:26" x14ac:dyDescent="0.3">
      <c r="A1432">
        <v>10311</v>
      </c>
      <c r="B1432">
        <v>26</v>
      </c>
      <c r="C1432">
        <v>87.45</v>
      </c>
      <c r="D1432">
        <v>6</v>
      </c>
      <c r="E1432">
        <v>2273.6999999999998</v>
      </c>
      <c r="F1432" s="1">
        <v>38276</v>
      </c>
      <c r="G1432" t="s">
        <v>39</v>
      </c>
      <c r="H1432">
        <v>4</v>
      </c>
      <c r="I1432">
        <v>10</v>
      </c>
      <c r="J1432" t="str">
        <f>TEXT(DATE(2012,Table1[[#This Row],[MONTH_ID]],10),"mmm")</f>
        <v>Oct</v>
      </c>
      <c r="K1432">
        <v>2004</v>
      </c>
      <c r="L1432" t="s">
        <v>195</v>
      </c>
      <c r="M1432">
        <v>73</v>
      </c>
      <c r="N1432" t="s">
        <v>634</v>
      </c>
      <c r="O1432" t="s">
        <v>188</v>
      </c>
      <c r="P1432" t="s">
        <v>189</v>
      </c>
      <c r="Q1432" t="s">
        <v>190</v>
      </c>
      <c r="S1432" t="s">
        <v>191</v>
      </c>
      <c r="U1432">
        <v>28034</v>
      </c>
      <c r="V1432" t="s">
        <v>192</v>
      </c>
      <c r="W1432" t="s">
        <v>56</v>
      </c>
      <c r="X1432" t="s">
        <v>193</v>
      </c>
      <c r="Y1432" t="s">
        <v>194</v>
      </c>
      <c r="Z1432" t="s">
        <v>50</v>
      </c>
    </row>
    <row r="1433" spans="1:26" x14ac:dyDescent="0.3">
      <c r="A1433">
        <v>10321</v>
      </c>
      <c r="B1433">
        <v>30</v>
      </c>
      <c r="C1433">
        <v>70.55</v>
      </c>
      <c r="D1433">
        <v>3</v>
      </c>
      <c r="E1433">
        <v>2116.5</v>
      </c>
      <c r="F1433" s="1">
        <v>38295</v>
      </c>
      <c r="G1433" t="s">
        <v>39</v>
      </c>
      <c r="H1433">
        <v>4</v>
      </c>
      <c r="I1433">
        <v>11</v>
      </c>
      <c r="J1433" t="str">
        <f>TEXT(DATE(2012,Table1[[#This Row],[MONTH_ID]],10),"mmm")</f>
        <v>Nov</v>
      </c>
      <c r="K1433">
        <v>2004</v>
      </c>
      <c r="L1433" t="s">
        <v>195</v>
      </c>
      <c r="M1433">
        <v>73</v>
      </c>
      <c r="N1433" t="s">
        <v>634</v>
      </c>
      <c r="O1433" t="s">
        <v>174</v>
      </c>
      <c r="P1433">
        <v>5085552555</v>
      </c>
      <c r="Q1433" t="s">
        <v>175</v>
      </c>
      <c r="S1433" t="s">
        <v>176</v>
      </c>
      <c r="T1433" t="s">
        <v>137</v>
      </c>
      <c r="U1433">
        <v>50553</v>
      </c>
      <c r="V1433" t="s">
        <v>46</v>
      </c>
      <c r="W1433" t="s">
        <v>47</v>
      </c>
      <c r="X1433" t="s">
        <v>177</v>
      </c>
      <c r="Y1433" t="s">
        <v>178</v>
      </c>
      <c r="Z1433" t="s">
        <v>50</v>
      </c>
    </row>
    <row r="1434" spans="1:26" x14ac:dyDescent="0.3">
      <c r="A1434">
        <v>10332</v>
      </c>
      <c r="B1434">
        <v>23</v>
      </c>
      <c r="C1434">
        <v>56.84</v>
      </c>
      <c r="D1434">
        <v>4</v>
      </c>
      <c r="E1434">
        <v>1307.32</v>
      </c>
      <c r="F1434" s="1">
        <v>38308</v>
      </c>
      <c r="G1434" t="s">
        <v>39</v>
      </c>
      <c r="H1434">
        <v>4</v>
      </c>
      <c r="I1434">
        <v>11</v>
      </c>
      <c r="J1434" t="str">
        <f>TEXT(DATE(2012,Table1[[#This Row],[MONTH_ID]],10),"mmm")</f>
        <v>Nov</v>
      </c>
      <c r="K1434">
        <v>2004</v>
      </c>
      <c r="L1434" t="s">
        <v>195</v>
      </c>
      <c r="M1434">
        <v>73</v>
      </c>
      <c r="N1434" t="s">
        <v>634</v>
      </c>
      <c r="O1434" t="s">
        <v>506</v>
      </c>
      <c r="P1434" t="s">
        <v>507</v>
      </c>
      <c r="Q1434" t="s">
        <v>508</v>
      </c>
      <c r="S1434" t="s">
        <v>509</v>
      </c>
      <c r="U1434" t="s">
        <v>510</v>
      </c>
      <c r="V1434" t="s">
        <v>184</v>
      </c>
      <c r="W1434" t="s">
        <v>56</v>
      </c>
      <c r="X1434" t="s">
        <v>511</v>
      </c>
      <c r="Y1434" t="s">
        <v>108</v>
      </c>
      <c r="Z1434" t="s">
        <v>50</v>
      </c>
    </row>
    <row r="1435" spans="1:26" x14ac:dyDescent="0.3">
      <c r="A1435">
        <v>10344</v>
      </c>
      <c r="B1435">
        <v>29</v>
      </c>
      <c r="C1435">
        <v>59.53</v>
      </c>
      <c r="D1435">
        <v>7</v>
      </c>
      <c r="E1435">
        <v>1726.37</v>
      </c>
      <c r="F1435" s="1">
        <v>38316</v>
      </c>
      <c r="G1435" t="s">
        <v>39</v>
      </c>
      <c r="H1435">
        <v>4</v>
      </c>
      <c r="I1435">
        <v>11</v>
      </c>
      <c r="J1435" t="str">
        <f>TEXT(DATE(2012,Table1[[#This Row],[MONTH_ID]],10),"mmm")</f>
        <v>Nov</v>
      </c>
      <c r="K1435">
        <v>2004</v>
      </c>
      <c r="L1435" t="s">
        <v>195</v>
      </c>
      <c r="M1435">
        <v>73</v>
      </c>
      <c r="N1435" t="s">
        <v>634</v>
      </c>
      <c r="O1435" t="s">
        <v>447</v>
      </c>
      <c r="P1435" t="s">
        <v>448</v>
      </c>
      <c r="Q1435" t="s">
        <v>449</v>
      </c>
      <c r="S1435" t="s">
        <v>450</v>
      </c>
      <c r="U1435">
        <v>13008</v>
      </c>
      <c r="V1435" t="s">
        <v>55</v>
      </c>
      <c r="W1435" t="s">
        <v>56</v>
      </c>
      <c r="X1435" t="s">
        <v>451</v>
      </c>
      <c r="Y1435" t="s">
        <v>452</v>
      </c>
      <c r="Z1435" t="s">
        <v>50</v>
      </c>
    </row>
    <row r="1436" spans="1:26" x14ac:dyDescent="0.3">
      <c r="A1436">
        <v>10367</v>
      </c>
      <c r="B1436">
        <v>21</v>
      </c>
      <c r="C1436">
        <v>60.37</v>
      </c>
      <c r="D1436">
        <v>10</v>
      </c>
      <c r="E1436">
        <v>1267.77</v>
      </c>
      <c r="F1436" s="1">
        <v>38364</v>
      </c>
      <c r="G1436" t="s">
        <v>422</v>
      </c>
      <c r="H1436">
        <v>1</v>
      </c>
      <c r="I1436">
        <v>1</v>
      </c>
      <c r="J1436" t="str">
        <f>TEXT(DATE(2012,Table1[[#This Row],[MONTH_ID]],10),"mmm")</f>
        <v>Jan</v>
      </c>
      <c r="K1436">
        <v>2005</v>
      </c>
      <c r="L1436" t="s">
        <v>195</v>
      </c>
      <c r="M1436">
        <v>73</v>
      </c>
      <c r="N1436" t="s">
        <v>634</v>
      </c>
      <c r="O1436" t="s">
        <v>66</v>
      </c>
      <c r="P1436">
        <v>6265557265</v>
      </c>
      <c r="Q1436" t="s">
        <v>67</v>
      </c>
      <c r="S1436" t="s">
        <v>68</v>
      </c>
      <c r="T1436" t="s">
        <v>69</v>
      </c>
      <c r="U1436">
        <v>90003</v>
      </c>
      <c r="V1436" t="s">
        <v>46</v>
      </c>
      <c r="W1436" t="s">
        <v>47</v>
      </c>
      <c r="X1436" t="s">
        <v>70</v>
      </c>
      <c r="Y1436" t="s">
        <v>71</v>
      </c>
      <c r="Z1436" t="s">
        <v>50</v>
      </c>
    </row>
    <row r="1437" spans="1:26" x14ac:dyDescent="0.3">
      <c r="A1437">
        <v>10380</v>
      </c>
      <c r="B1437">
        <v>34</v>
      </c>
      <c r="C1437">
        <v>100</v>
      </c>
      <c r="D1437">
        <v>3</v>
      </c>
      <c r="E1437">
        <v>3441.82</v>
      </c>
      <c r="F1437" s="1">
        <v>38399</v>
      </c>
      <c r="G1437" t="s">
        <v>39</v>
      </c>
      <c r="H1437">
        <v>1</v>
      </c>
      <c r="I1437">
        <v>2</v>
      </c>
      <c r="J1437" t="str">
        <f>TEXT(DATE(2012,Table1[[#This Row],[MONTH_ID]],10),"mmm")</f>
        <v>Feb</v>
      </c>
      <c r="K1437">
        <v>2005</v>
      </c>
      <c r="L1437" t="s">
        <v>195</v>
      </c>
      <c r="M1437">
        <v>73</v>
      </c>
      <c r="N1437" t="s">
        <v>634</v>
      </c>
      <c r="O1437" t="s">
        <v>188</v>
      </c>
      <c r="P1437" t="s">
        <v>189</v>
      </c>
      <c r="Q1437" t="s">
        <v>190</v>
      </c>
      <c r="S1437" t="s">
        <v>191</v>
      </c>
      <c r="U1437">
        <v>28034</v>
      </c>
      <c r="V1437" t="s">
        <v>192</v>
      </c>
      <c r="W1437" t="s">
        <v>56</v>
      </c>
      <c r="X1437" t="s">
        <v>193</v>
      </c>
      <c r="Y1437" t="s">
        <v>194</v>
      </c>
      <c r="Z1437" t="s">
        <v>65</v>
      </c>
    </row>
    <row r="1438" spans="1:26" x14ac:dyDescent="0.3">
      <c r="A1438">
        <v>10407</v>
      </c>
      <c r="B1438">
        <v>26</v>
      </c>
      <c r="C1438">
        <v>76.430000000000007</v>
      </c>
      <c r="D1438">
        <v>8</v>
      </c>
      <c r="E1438">
        <v>1987.18</v>
      </c>
      <c r="F1438" s="1">
        <v>38464</v>
      </c>
      <c r="G1438" t="s">
        <v>415</v>
      </c>
      <c r="H1438">
        <v>2</v>
      </c>
      <c r="I1438">
        <v>4</v>
      </c>
      <c r="J1438" t="str">
        <f>TEXT(DATE(2012,Table1[[#This Row],[MONTH_ID]],10),"mmm")</f>
        <v>Apr</v>
      </c>
      <c r="K1438">
        <v>2005</v>
      </c>
      <c r="L1438" t="s">
        <v>195</v>
      </c>
      <c r="M1438">
        <v>73</v>
      </c>
      <c r="N1438" t="s">
        <v>634</v>
      </c>
      <c r="O1438" t="s">
        <v>411</v>
      </c>
      <c r="P1438">
        <v>4085553659</v>
      </c>
      <c r="Q1438" t="s">
        <v>412</v>
      </c>
      <c r="S1438" t="s">
        <v>413</v>
      </c>
      <c r="T1438" t="s">
        <v>69</v>
      </c>
      <c r="U1438">
        <v>94217</v>
      </c>
      <c r="V1438" t="s">
        <v>46</v>
      </c>
      <c r="W1438" t="s">
        <v>47</v>
      </c>
      <c r="X1438" t="s">
        <v>116</v>
      </c>
      <c r="Y1438" t="s">
        <v>414</v>
      </c>
      <c r="Z1438" t="s">
        <v>50</v>
      </c>
    </row>
    <row r="1439" spans="1:26" x14ac:dyDescent="0.3">
      <c r="A1439">
        <v>10420</v>
      </c>
      <c r="B1439">
        <v>60</v>
      </c>
      <c r="C1439">
        <v>64.67</v>
      </c>
      <c r="D1439">
        <v>11</v>
      </c>
      <c r="E1439">
        <v>3880.2</v>
      </c>
      <c r="F1439" s="1">
        <v>38501</v>
      </c>
      <c r="G1439" t="s">
        <v>314</v>
      </c>
      <c r="H1439">
        <v>2</v>
      </c>
      <c r="I1439">
        <v>5</v>
      </c>
      <c r="J1439" t="str">
        <f>TEXT(DATE(2012,Table1[[#This Row],[MONTH_ID]],10),"mmm")</f>
        <v>May</v>
      </c>
      <c r="K1439">
        <v>2005</v>
      </c>
      <c r="L1439" t="s">
        <v>195</v>
      </c>
      <c r="M1439">
        <v>73</v>
      </c>
      <c r="N1439" t="s">
        <v>634</v>
      </c>
      <c r="O1439" t="s">
        <v>166</v>
      </c>
      <c r="P1439" t="s">
        <v>167</v>
      </c>
      <c r="Q1439" t="s">
        <v>168</v>
      </c>
      <c r="R1439" t="s">
        <v>169</v>
      </c>
      <c r="S1439" t="s">
        <v>170</v>
      </c>
      <c r="T1439" t="s">
        <v>171</v>
      </c>
      <c r="U1439">
        <v>2067</v>
      </c>
      <c r="V1439" t="s">
        <v>109</v>
      </c>
      <c r="W1439" t="s">
        <v>110</v>
      </c>
      <c r="X1439" t="s">
        <v>172</v>
      </c>
      <c r="Y1439" t="s">
        <v>173</v>
      </c>
      <c r="Z1439" t="s">
        <v>65</v>
      </c>
    </row>
    <row r="1440" spans="1:26" x14ac:dyDescent="0.3">
      <c r="A1440">
        <v>10104</v>
      </c>
      <c r="B1440">
        <v>35</v>
      </c>
      <c r="C1440">
        <v>55.49</v>
      </c>
      <c r="D1440">
        <v>6</v>
      </c>
      <c r="E1440">
        <v>1942.15</v>
      </c>
      <c r="F1440" s="1">
        <v>37652</v>
      </c>
      <c r="G1440" t="s">
        <v>39</v>
      </c>
      <c r="H1440">
        <v>1</v>
      </c>
      <c r="I1440">
        <v>1</v>
      </c>
      <c r="J1440" t="str">
        <f>TEXT(DATE(2012,Table1[[#This Row],[MONTH_ID]],10),"mmm")</f>
        <v>Jan</v>
      </c>
      <c r="K1440">
        <v>2003</v>
      </c>
      <c r="L1440" t="s">
        <v>195</v>
      </c>
      <c r="M1440">
        <v>57</v>
      </c>
      <c r="N1440" t="s">
        <v>635</v>
      </c>
      <c r="O1440" t="s">
        <v>188</v>
      </c>
      <c r="P1440" t="s">
        <v>189</v>
      </c>
      <c r="Q1440" t="s">
        <v>190</v>
      </c>
      <c r="S1440" t="s">
        <v>191</v>
      </c>
      <c r="U1440">
        <v>28034</v>
      </c>
      <c r="V1440" t="s">
        <v>192</v>
      </c>
      <c r="W1440" t="s">
        <v>56</v>
      </c>
      <c r="X1440" t="s">
        <v>193</v>
      </c>
      <c r="Y1440" t="s">
        <v>194</v>
      </c>
      <c r="Z1440" t="s">
        <v>50</v>
      </c>
    </row>
    <row r="1441" spans="1:26" x14ac:dyDescent="0.3">
      <c r="A1441">
        <v>10115</v>
      </c>
      <c r="B1441">
        <v>47</v>
      </c>
      <c r="C1441">
        <v>69.36</v>
      </c>
      <c r="D1441">
        <v>2</v>
      </c>
      <c r="E1441">
        <v>3259.92</v>
      </c>
      <c r="F1441" s="1">
        <v>37715</v>
      </c>
      <c r="G1441" t="s">
        <v>39</v>
      </c>
      <c r="H1441">
        <v>2</v>
      </c>
      <c r="I1441">
        <v>4</v>
      </c>
      <c r="J1441" t="str">
        <f>TEXT(DATE(2012,Table1[[#This Row],[MONTH_ID]],10),"mmm")</f>
        <v>Apr</v>
      </c>
      <c r="K1441">
        <v>2003</v>
      </c>
      <c r="L1441" t="s">
        <v>195</v>
      </c>
      <c r="M1441">
        <v>57</v>
      </c>
      <c r="N1441" t="s">
        <v>635</v>
      </c>
      <c r="O1441" t="s">
        <v>217</v>
      </c>
      <c r="P1441">
        <v>2125558493</v>
      </c>
      <c r="Q1441" t="s">
        <v>218</v>
      </c>
      <c r="R1441" t="s">
        <v>219</v>
      </c>
      <c r="S1441" t="s">
        <v>44</v>
      </c>
      <c r="T1441" t="s">
        <v>45</v>
      </c>
      <c r="U1441">
        <v>10022</v>
      </c>
      <c r="V1441" t="s">
        <v>46</v>
      </c>
      <c r="W1441" t="s">
        <v>47</v>
      </c>
      <c r="X1441" t="s">
        <v>138</v>
      </c>
      <c r="Y1441" t="s">
        <v>220</v>
      </c>
      <c r="Z1441" t="s">
        <v>65</v>
      </c>
    </row>
    <row r="1442" spans="1:26" x14ac:dyDescent="0.3">
      <c r="A1442">
        <v>10127</v>
      </c>
      <c r="B1442">
        <v>20</v>
      </c>
      <c r="C1442">
        <v>60.69</v>
      </c>
      <c r="D1442">
        <v>8</v>
      </c>
      <c r="E1442">
        <v>1213.8</v>
      </c>
      <c r="F1442" s="1">
        <v>37775</v>
      </c>
      <c r="G1442" t="s">
        <v>39</v>
      </c>
      <c r="H1442">
        <v>2</v>
      </c>
      <c r="I1442">
        <v>6</v>
      </c>
      <c r="J1442" t="str">
        <f>TEXT(DATE(2012,Table1[[#This Row],[MONTH_ID]],10),"mmm")</f>
        <v>Jun</v>
      </c>
      <c r="K1442">
        <v>2003</v>
      </c>
      <c r="L1442" t="s">
        <v>195</v>
      </c>
      <c r="M1442">
        <v>57</v>
      </c>
      <c r="N1442" t="s">
        <v>635</v>
      </c>
      <c r="O1442" t="s">
        <v>489</v>
      </c>
      <c r="P1442">
        <v>2125557413</v>
      </c>
      <c r="Q1442" t="s">
        <v>490</v>
      </c>
      <c r="R1442" t="s">
        <v>491</v>
      </c>
      <c r="S1442" t="s">
        <v>44</v>
      </c>
      <c r="T1442" t="s">
        <v>45</v>
      </c>
      <c r="U1442">
        <v>10022</v>
      </c>
      <c r="V1442" t="s">
        <v>46</v>
      </c>
      <c r="W1442" t="s">
        <v>47</v>
      </c>
      <c r="X1442" t="s">
        <v>70</v>
      </c>
      <c r="Y1442" t="s">
        <v>492</v>
      </c>
      <c r="Z1442" t="s">
        <v>50</v>
      </c>
    </row>
    <row r="1443" spans="1:26" x14ac:dyDescent="0.3">
      <c r="A1443">
        <v>10141</v>
      </c>
      <c r="B1443">
        <v>20</v>
      </c>
      <c r="C1443">
        <v>54.33</v>
      </c>
      <c r="D1443">
        <v>2</v>
      </c>
      <c r="E1443">
        <v>1086.5999999999999</v>
      </c>
      <c r="F1443" s="1">
        <v>37834</v>
      </c>
      <c r="G1443" t="s">
        <v>39</v>
      </c>
      <c r="H1443">
        <v>3</v>
      </c>
      <c r="I1443">
        <v>8</v>
      </c>
      <c r="J1443" t="str">
        <f>TEXT(DATE(2012,Table1[[#This Row],[MONTH_ID]],10),"mmm")</f>
        <v>Aug</v>
      </c>
      <c r="K1443">
        <v>2003</v>
      </c>
      <c r="L1443" t="s">
        <v>195</v>
      </c>
      <c r="M1443">
        <v>57</v>
      </c>
      <c r="N1443" t="s">
        <v>635</v>
      </c>
      <c r="O1443" t="s">
        <v>481</v>
      </c>
      <c r="P1443" t="s">
        <v>482</v>
      </c>
      <c r="Q1443" t="s">
        <v>483</v>
      </c>
      <c r="S1443" t="s">
        <v>484</v>
      </c>
      <c r="U1443" t="s">
        <v>485</v>
      </c>
      <c r="V1443" t="s">
        <v>144</v>
      </c>
      <c r="W1443" t="s">
        <v>56</v>
      </c>
      <c r="X1443" t="s">
        <v>486</v>
      </c>
      <c r="Y1443" t="s">
        <v>487</v>
      </c>
      <c r="Z1443" t="s">
        <v>50</v>
      </c>
    </row>
    <row r="1444" spans="1:26" x14ac:dyDescent="0.3">
      <c r="A1444">
        <v>10152</v>
      </c>
      <c r="B1444">
        <v>25</v>
      </c>
      <c r="C1444">
        <v>65.31</v>
      </c>
      <c r="D1444">
        <v>4</v>
      </c>
      <c r="E1444">
        <v>1632.75</v>
      </c>
      <c r="F1444" s="1">
        <v>37889</v>
      </c>
      <c r="G1444" t="s">
        <v>39</v>
      </c>
      <c r="H1444">
        <v>3</v>
      </c>
      <c r="I1444">
        <v>9</v>
      </c>
      <c r="J1444" t="str">
        <f>TEXT(DATE(2012,Table1[[#This Row],[MONTH_ID]],10),"mmm")</f>
        <v>Sep</v>
      </c>
      <c r="K1444">
        <v>2003</v>
      </c>
      <c r="L1444" t="s">
        <v>195</v>
      </c>
      <c r="M1444">
        <v>57</v>
      </c>
      <c r="N1444" t="s">
        <v>635</v>
      </c>
      <c r="O1444" t="s">
        <v>221</v>
      </c>
      <c r="P1444" t="s">
        <v>222</v>
      </c>
      <c r="Q1444" t="s">
        <v>223</v>
      </c>
      <c r="S1444" t="s">
        <v>224</v>
      </c>
      <c r="T1444" t="s">
        <v>225</v>
      </c>
      <c r="U1444">
        <v>4101</v>
      </c>
      <c r="V1444" t="s">
        <v>109</v>
      </c>
      <c r="W1444" t="s">
        <v>110</v>
      </c>
      <c r="X1444" t="s">
        <v>226</v>
      </c>
      <c r="Y1444" t="s">
        <v>227</v>
      </c>
      <c r="Z1444" t="s">
        <v>50</v>
      </c>
    </row>
    <row r="1445" spans="1:26" x14ac:dyDescent="0.3">
      <c r="A1445">
        <v>10165</v>
      </c>
      <c r="B1445">
        <v>25</v>
      </c>
      <c r="C1445">
        <v>69.36</v>
      </c>
      <c r="D1445">
        <v>9</v>
      </c>
      <c r="E1445">
        <v>1734</v>
      </c>
      <c r="F1445" s="1">
        <v>37916</v>
      </c>
      <c r="G1445" t="s">
        <v>39</v>
      </c>
      <c r="H1445">
        <v>4</v>
      </c>
      <c r="I1445">
        <v>10</v>
      </c>
      <c r="J1445" t="str">
        <f>TEXT(DATE(2012,Table1[[#This Row],[MONTH_ID]],10),"mmm")</f>
        <v>Oct</v>
      </c>
      <c r="K1445">
        <v>2003</v>
      </c>
      <c r="L1445" t="s">
        <v>195</v>
      </c>
      <c r="M1445">
        <v>57</v>
      </c>
      <c r="N1445" t="s">
        <v>635</v>
      </c>
      <c r="O1445" t="s">
        <v>210</v>
      </c>
      <c r="P1445" t="s">
        <v>211</v>
      </c>
      <c r="Q1445" t="s">
        <v>212</v>
      </c>
      <c r="S1445" t="s">
        <v>213</v>
      </c>
      <c r="U1445">
        <v>79903</v>
      </c>
      <c r="V1445" t="s">
        <v>213</v>
      </c>
      <c r="W1445" t="s">
        <v>214</v>
      </c>
      <c r="X1445" t="s">
        <v>215</v>
      </c>
      <c r="Y1445" t="s">
        <v>216</v>
      </c>
      <c r="Z1445" t="s">
        <v>50</v>
      </c>
    </row>
    <row r="1446" spans="1:26" x14ac:dyDescent="0.3">
      <c r="A1446">
        <v>10176</v>
      </c>
      <c r="B1446">
        <v>27</v>
      </c>
      <c r="C1446">
        <v>68.78</v>
      </c>
      <c r="D1446">
        <v>8</v>
      </c>
      <c r="E1446">
        <v>1857.06</v>
      </c>
      <c r="F1446" s="1">
        <v>37931</v>
      </c>
      <c r="G1446" t="s">
        <v>39</v>
      </c>
      <c r="H1446">
        <v>4</v>
      </c>
      <c r="I1446">
        <v>11</v>
      </c>
      <c r="J1446" t="str">
        <f>TEXT(DATE(2012,Table1[[#This Row],[MONTH_ID]],10),"mmm")</f>
        <v>Nov</v>
      </c>
      <c r="K1446">
        <v>2003</v>
      </c>
      <c r="L1446" t="s">
        <v>195</v>
      </c>
      <c r="M1446">
        <v>57</v>
      </c>
      <c r="N1446" t="s">
        <v>635</v>
      </c>
      <c r="O1446" t="s">
        <v>466</v>
      </c>
      <c r="P1446" t="s">
        <v>467</v>
      </c>
      <c r="Q1446" t="s">
        <v>468</v>
      </c>
      <c r="S1446" t="s">
        <v>469</v>
      </c>
      <c r="U1446">
        <v>42100</v>
      </c>
      <c r="V1446" t="s">
        <v>272</v>
      </c>
      <c r="W1446" t="s">
        <v>56</v>
      </c>
      <c r="X1446" t="s">
        <v>470</v>
      </c>
      <c r="Y1446" t="s">
        <v>471</v>
      </c>
      <c r="Z1446" t="s">
        <v>50</v>
      </c>
    </row>
    <row r="1447" spans="1:26" x14ac:dyDescent="0.3">
      <c r="A1447">
        <v>10184</v>
      </c>
      <c r="B1447">
        <v>31</v>
      </c>
      <c r="C1447">
        <v>60.11</v>
      </c>
      <c r="D1447">
        <v>3</v>
      </c>
      <c r="E1447">
        <v>1863.41</v>
      </c>
      <c r="F1447" s="1">
        <v>37939</v>
      </c>
      <c r="G1447" t="s">
        <v>39</v>
      </c>
      <c r="H1447">
        <v>4</v>
      </c>
      <c r="I1447">
        <v>11</v>
      </c>
      <c r="J1447" t="str">
        <f>TEXT(DATE(2012,Table1[[#This Row],[MONTH_ID]],10),"mmm")</f>
        <v>Nov</v>
      </c>
      <c r="K1447">
        <v>2003</v>
      </c>
      <c r="L1447" t="s">
        <v>195</v>
      </c>
      <c r="M1447">
        <v>57</v>
      </c>
      <c r="N1447" t="s">
        <v>635</v>
      </c>
      <c r="O1447" t="s">
        <v>534</v>
      </c>
      <c r="P1447" t="s">
        <v>535</v>
      </c>
      <c r="Q1447" t="s">
        <v>536</v>
      </c>
      <c r="S1447" t="s">
        <v>537</v>
      </c>
      <c r="U1447">
        <v>41101</v>
      </c>
      <c r="V1447" t="s">
        <v>192</v>
      </c>
      <c r="W1447" t="s">
        <v>56</v>
      </c>
      <c r="X1447" t="s">
        <v>538</v>
      </c>
      <c r="Y1447" t="s">
        <v>539</v>
      </c>
      <c r="Z1447" t="s">
        <v>50</v>
      </c>
    </row>
    <row r="1448" spans="1:26" x14ac:dyDescent="0.3">
      <c r="A1448">
        <v>10195</v>
      </c>
      <c r="B1448">
        <v>44</v>
      </c>
      <c r="C1448">
        <v>66.47</v>
      </c>
      <c r="D1448">
        <v>3</v>
      </c>
      <c r="E1448">
        <v>2924.68</v>
      </c>
      <c r="F1448" s="1">
        <v>37950</v>
      </c>
      <c r="G1448" t="s">
        <v>39</v>
      </c>
      <c r="H1448">
        <v>4</v>
      </c>
      <c r="I1448">
        <v>11</v>
      </c>
      <c r="J1448" t="str">
        <f>TEXT(DATE(2012,Table1[[#This Row],[MONTH_ID]],10),"mmm")</f>
        <v>Nov</v>
      </c>
      <c r="K1448">
        <v>2003</v>
      </c>
      <c r="L1448" t="s">
        <v>195</v>
      </c>
      <c r="M1448">
        <v>57</v>
      </c>
      <c r="N1448" t="s">
        <v>635</v>
      </c>
      <c r="O1448" t="s">
        <v>331</v>
      </c>
      <c r="P1448">
        <v>9145554562</v>
      </c>
      <c r="Q1448" t="s">
        <v>332</v>
      </c>
      <c r="S1448" t="s">
        <v>333</v>
      </c>
      <c r="T1448" t="s">
        <v>45</v>
      </c>
      <c r="U1448">
        <v>24067</v>
      </c>
      <c r="V1448" t="s">
        <v>46</v>
      </c>
      <c r="W1448" t="s">
        <v>47</v>
      </c>
      <c r="X1448" t="s">
        <v>116</v>
      </c>
      <c r="Y1448" t="s">
        <v>252</v>
      </c>
      <c r="Z1448" t="s">
        <v>50</v>
      </c>
    </row>
    <row r="1449" spans="1:26" x14ac:dyDescent="0.3">
      <c r="A1449">
        <v>10207</v>
      </c>
      <c r="B1449">
        <v>49</v>
      </c>
      <c r="C1449">
        <v>46.82</v>
      </c>
      <c r="D1449">
        <v>4</v>
      </c>
      <c r="E1449">
        <v>2294.1799999999998</v>
      </c>
      <c r="F1449" s="1">
        <v>37964</v>
      </c>
      <c r="G1449" t="s">
        <v>39</v>
      </c>
      <c r="H1449">
        <v>4</v>
      </c>
      <c r="I1449">
        <v>12</v>
      </c>
      <c r="J1449" t="str">
        <f>TEXT(DATE(2012,Table1[[#This Row],[MONTH_ID]],10),"mmm")</f>
        <v>Dec</v>
      </c>
      <c r="K1449">
        <v>2003</v>
      </c>
      <c r="L1449" t="s">
        <v>195</v>
      </c>
      <c r="M1449">
        <v>57</v>
      </c>
      <c r="N1449" t="s">
        <v>635</v>
      </c>
      <c r="O1449" t="s">
        <v>429</v>
      </c>
      <c r="P1449">
        <v>6175552555</v>
      </c>
      <c r="Q1449" t="s">
        <v>430</v>
      </c>
      <c r="S1449" t="s">
        <v>395</v>
      </c>
      <c r="T1449" t="s">
        <v>137</v>
      </c>
      <c r="U1449">
        <v>51003</v>
      </c>
      <c r="V1449" t="s">
        <v>46</v>
      </c>
      <c r="W1449" t="s">
        <v>47</v>
      </c>
      <c r="X1449" t="s">
        <v>431</v>
      </c>
      <c r="Y1449" t="s">
        <v>290</v>
      </c>
      <c r="Z1449" t="s">
        <v>50</v>
      </c>
    </row>
    <row r="1450" spans="1:26" x14ac:dyDescent="0.3">
      <c r="A1450">
        <v>10220</v>
      </c>
      <c r="B1450">
        <v>26</v>
      </c>
      <c r="C1450">
        <v>56.07</v>
      </c>
      <c r="D1450">
        <v>8</v>
      </c>
      <c r="E1450">
        <v>1457.82</v>
      </c>
      <c r="F1450" s="1">
        <v>38029</v>
      </c>
      <c r="G1450" t="s">
        <v>39</v>
      </c>
      <c r="H1450">
        <v>1</v>
      </c>
      <c r="I1450">
        <v>2</v>
      </c>
      <c r="J1450" t="str">
        <f>TEXT(DATE(2012,Table1[[#This Row],[MONTH_ID]],10),"mmm")</f>
        <v>Feb</v>
      </c>
      <c r="K1450">
        <v>2004</v>
      </c>
      <c r="L1450" t="s">
        <v>195</v>
      </c>
      <c r="M1450">
        <v>57</v>
      </c>
      <c r="N1450" t="s">
        <v>635</v>
      </c>
      <c r="O1450" t="s">
        <v>493</v>
      </c>
      <c r="P1450" t="s">
        <v>494</v>
      </c>
      <c r="Q1450" t="s">
        <v>495</v>
      </c>
      <c r="R1450" t="s">
        <v>496</v>
      </c>
      <c r="S1450" t="s">
        <v>497</v>
      </c>
      <c r="U1450">
        <v>2</v>
      </c>
      <c r="V1450" t="s">
        <v>498</v>
      </c>
      <c r="W1450" t="s">
        <v>56</v>
      </c>
      <c r="X1450" t="s">
        <v>499</v>
      </c>
      <c r="Y1450" t="s">
        <v>500</v>
      </c>
      <c r="Z1450" t="s">
        <v>50</v>
      </c>
    </row>
    <row r="1451" spans="1:26" x14ac:dyDescent="0.3">
      <c r="A1451">
        <v>10230</v>
      </c>
      <c r="B1451">
        <v>36</v>
      </c>
      <c r="C1451">
        <v>54.33</v>
      </c>
      <c r="D1451">
        <v>6</v>
      </c>
      <c r="E1451">
        <v>1955.88</v>
      </c>
      <c r="F1451" s="1">
        <v>38061</v>
      </c>
      <c r="G1451" t="s">
        <v>39</v>
      </c>
      <c r="H1451">
        <v>1</v>
      </c>
      <c r="I1451">
        <v>3</v>
      </c>
      <c r="J1451" t="str">
        <f>TEXT(DATE(2012,Table1[[#This Row],[MONTH_ID]],10),"mmm")</f>
        <v>Mar</v>
      </c>
      <c r="K1451">
        <v>2004</v>
      </c>
      <c r="L1451" t="s">
        <v>195</v>
      </c>
      <c r="M1451">
        <v>57</v>
      </c>
      <c r="N1451" t="s">
        <v>635</v>
      </c>
      <c r="O1451" t="s">
        <v>476</v>
      </c>
      <c r="P1451" t="s">
        <v>477</v>
      </c>
      <c r="Q1451" t="s">
        <v>478</v>
      </c>
      <c r="S1451" t="s">
        <v>479</v>
      </c>
      <c r="U1451">
        <v>60528</v>
      </c>
      <c r="V1451" t="s">
        <v>457</v>
      </c>
      <c r="W1451" t="s">
        <v>56</v>
      </c>
      <c r="X1451" t="s">
        <v>480</v>
      </c>
      <c r="Y1451" t="s">
        <v>428</v>
      </c>
      <c r="Z1451" t="s">
        <v>50</v>
      </c>
    </row>
    <row r="1452" spans="1:26" x14ac:dyDescent="0.3">
      <c r="A1452">
        <v>10246</v>
      </c>
      <c r="B1452">
        <v>44</v>
      </c>
      <c r="C1452">
        <v>52.6</v>
      </c>
      <c r="D1452">
        <v>2</v>
      </c>
      <c r="E1452">
        <v>2314.4</v>
      </c>
      <c r="F1452" s="1">
        <v>38112</v>
      </c>
      <c r="G1452" t="s">
        <v>39</v>
      </c>
      <c r="H1452">
        <v>2</v>
      </c>
      <c r="I1452">
        <v>5</v>
      </c>
      <c r="J1452" t="str">
        <f>TEXT(DATE(2012,Table1[[#This Row],[MONTH_ID]],10),"mmm")</f>
        <v>May</v>
      </c>
      <c r="K1452">
        <v>2004</v>
      </c>
      <c r="L1452" t="s">
        <v>195</v>
      </c>
      <c r="M1452">
        <v>57</v>
      </c>
      <c r="N1452" t="s">
        <v>635</v>
      </c>
      <c r="O1452" t="s">
        <v>188</v>
      </c>
      <c r="P1452" t="s">
        <v>189</v>
      </c>
      <c r="Q1452" t="s">
        <v>190</v>
      </c>
      <c r="S1452" t="s">
        <v>191</v>
      </c>
      <c r="U1452">
        <v>28034</v>
      </c>
      <c r="V1452" t="s">
        <v>192</v>
      </c>
      <c r="W1452" t="s">
        <v>56</v>
      </c>
      <c r="X1452" t="s">
        <v>193</v>
      </c>
      <c r="Y1452" t="s">
        <v>194</v>
      </c>
      <c r="Z1452" t="s">
        <v>50</v>
      </c>
    </row>
    <row r="1453" spans="1:26" x14ac:dyDescent="0.3">
      <c r="A1453">
        <v>10259</v>
      </c>
      <c r="B1453">
        <v>28</v>
      </c>
      <c r="C1453">
        <v>46.82</v>
      </c>
      <c r="D1453">
        <v>1</v>
      </c>
      <c r="E1453">
        <v>1310.96</v>
      </c>
      <c r="F1453" s="1">
        <v>38153</v>
      </c>
      <c r="G1453" t="s">
        <v>39</v>
      </c>
      <c r="H1453">
        <v>2</v>
      </c>
      <c r="I1453">
        <v>6</v>
      </c>
      <c r="J1453" t="str">
        <f>TEXT(DATE(2012,Table1[[#This Row],[MONTH_ID]],10),"mmm")</f>
        <v>Jun</v>
      </c>
      <c r="K1453">
        <v>2004</v>
      </c>
      <c r="L1453" t="s">
        <v>195</v>
      </c>
      <c r="M1453">
        <v>57</v>
      </c>
      <c r="N1453" t="s">
        <v>635</v>
      </c>
      <c r="O1453" t="s">
        <v>432</v>
      </c>
      <c r="P1453" t="s">
        <v>433</v>
      </c>
      <c r="Q1453" t="s">
        <v>434</v>
      </c>
      <c r="R1453" t="s">
        <v>435</v>
      </c>
      <c r="S1453" t="s">
        <v>213</v>
      </c>
      <c r="U1453">
        <v>69045</v>
      </c>
      <c r="V1453" t="s">
        <v>213</v>
      </c>
      <c r="W1453" t="s">
        <v>110</v>
      </c>
      <c r="X1453" t="s">
        <v>436</v>
      </c>
      <c r="Y1453" t="s">
        <v>437</v>
      </c>
      <c r="Z1453" t="s">
        <v>50</v>
      </c>
    </row>
    <row r="1454" spans="1:26" x14ac:dyDescent="0.3">
      <c r="A1454">
        <v>10271</v>
      </c>
      <c r="B1454">
        <v>45</v>
      </c>
      <c r="C1454">
        <v>64.739999999999995</v>
      </c>
      <c r="D1454">
        <v>2</v>
      </c>
      <c r="E1454">
        <v>2913.3</v>
      </c>
      <c r="F1454" s="1">
        <v>38188</v>
      </c>
      <c r="G1454" t="s">
        <v>39</v>
      </c>
      <c r="H1454">
        <v>3</v>
      </c>
      <c r="I1454">
        <v>7</v>
      </c>
      <c r="J1454" t="str">
        <f>TEXT(DATE(2012,Table1[[#This Row],[MONTH_ID]],10),"mmm")</f>
        <v>Jul</v>
      </c>
      <c r="K1454">
        <v>2004</v>
      </c>
      <c r="L1454" t="s">
        <v>195</v>
      </c>
      <c r="M1454">
        <v>57</v>
      </c>
      <c r="N1454" t="s">
        <v>635</v>
      </c>
      <c r="O1454" t="s">
        <v>286</v>
      </c>
      <c r="P1454">
        <v>4155551450</v>
      </c>
      <c r="Q1454" t="s">
        <v>287</v>
      </c>
      <c r="S1454" t="s">
        <v>288</v>
      </c>
      <c r="T1454" t="s">
        <v>69</v>
      </c>
      <c r="U1454">
        <v>97562</v>
      </c>
      <c r="V1454" t="s">
        <v>46</v>
      </c>
      <c r="W1454" t="s">
        <v>47</v>
      </c>
      <c r="X1454" t="s">
        <v>289</v>
      </c>
      <c r="Y1454" t="s">
        <v>290</v>
      </c>
      <c r="Z1454" t="s">
        <v>50</v>
      </c>
    </row>
    <row r="1455" spans="1:26" x14ac:dyDescent="0.3">
      <c r="A1455">
        <v>10282</v>
      </c>
      <c r="B1455">
        <v>29</v>
      </c>
      <c r="C1455">
        <v>46.82</v>
      </c>
      <c r="D1455">
        <v>11</v>
      </c>
      <c r="E1455">
        <v>1357.78</v>
      </c>
      <c r="F1455" s="1">
        <v>38219</v>
      </c>
      <c r="G1455" t="s">
        <v>39</v>
      </c>
      <c r="H1455">
        <v>3</v>
      </c>
      <c r="I1455">
        <v>8</v>
      </c>
      <c r="J1455" t="str">
        <f>TEXT(DATE(2012,Table1[[#This Row],[MONTH_ID]],10),"mmm")</f>
        <v>Aug</v>
      </c>
      <c r="K1455">
        <v>2004</v>
      </c>
      <c r="L1455" t="s">
        <v>195</v>
      </c>
      <c r="M1455">
        <v>57</v>
      </c>
      <c r="N1455" t="s">
        <v>635</v>
      </c>
      <c r="O1455" t="s">
        <v>286</v>
      </c>
      <c r="P1455">
        <v>4155551450</v>
      </c>
      <c r="Q1455" t="s">
        <v>287</v>
      </c>
      <c r="S1455" t="s">
        <v>288</v>
      </c>
      <c r="T1455" t="s">
        <v>69</v>
      </c>
      <c r="U1455">
        <v>97562</v>
      </c>
      <c r="V1455" t="s">
        <v>46</v>
      </c>
      <c r="W1455" t="s">
        <v>47</v>
      </c>
      <c r="X1455" t="s">
        <v>289</v>
      </c>
      <c r="Y1455" t="s">
        <v>290</v>
      </c>
      <c r="Z1455" t="s">
        <v>50</v>
      </c>
    </row>
    <row r="1456" spans="1:26" x14ac:dyDescent="0.3">
      <c r="A1456">
        <v>10292</v>
      </c>
      <c r="B1456">
        <v>40</v>
      </c>
      <c r="C1456">
        <v>53.75</v>
      </c>
      <c r="D1456">
        <v>5</v>
      </c>
      <c r="E1456">
        <v>2150</v>
      </c>
      <c r="F1456" s="1">
        <v>38238</v>
      </c>
      <c r="G1456" t="s">
        <v>39</v>
      </c>
      <c r="H1456">
        <v>3</v>
      </c>
      <c r="I1456">
        <v>9</v>
      </c>
      <c r="J1456" t="str">
        <f>TEXT(DATE(2012,Table1[[#This Row],[MONTH_ID]],10),"mmm")</f>
        <v>Sep</v>
      </c>
      <c r="K1456">
        <v>2004</v>
      </c>
      <c r="L1456" t="s">
        <v>195</v>
      </c>
      <c r="M1456">
        <v>57</v>
      </c>
      <c r="N1456" t="s">
        <v>635</v>
      </c>
      <c r="O1456" t="s">
        <v>42</v>
      </c>
      <c r="P1456">
        <v>2125557818</v>
      </c>
      <c r="Q1456" t="s">
        <v>43</v>
      </c>
      <c r="S1456" t="s">
        <v>44</v>
      </c>
      <c r="T1456" t="s">
        <v>45</v>
      </c>
      <c r="U1456">
        <v>10022</v>
      </c>
      <c r="V1456" t="s">
        <v>46</v>
      </c>
      <c r="W1456" t="s">
        <v>47</v>
      </c>
      <c r="X1456" t="s">
        <v>48</v>
      </c>
      <c r="Y1456" t="s">
        <v>49</v>
      </c>
      <c r="Z1456" t="s">
        <v>50</v>
      </c>
    </row>
    <row r="1457" spans="1:26" x14ac:dyDescent="0.3">
      <c r="A1457">
        <v>10305</v>
      </c>
      <c r="B1457">
        <v>45</v>
      </c>
      <c r="C1457">
        <v>61.85</v>
      </c>
      <c r="D1457">
        <v>2</v>
      </c>
      <c r="E1457">
        <v>2783.25</v>
      </c>
      <c r="F1457" s="1">
        <v>38273</v>
      </c>
      <c r="G1457" t="s">
        <v>39</v>
      </c>
      <c r="H1457">
        <v>4</v>
      </c>
      <c r="I1457">
        <v>10</v>
      </c>
      <c r="J1457" t="str">
        <f>TEXT(DATE(2012,Table1[[#This Row],[MONTH_ID]],10),"mmm")</f>
        <v>Oct</v>
      </c>
      <c r="K1457">
        <v>2004</v>
      </c>
      <c r="L1457" t="s">
        <v>195</v>
      </c>
      <c r="M1457">
        <v>57</v>
      </c>
      <c r="N1457" t="s">
        <v>635</v>
      </c>
      <c r="O1457" t="s">
        <v>134</v>
      </c>
      <c r="P1457">
        <v>6175558555</v>
      </c>
      <c r="Q1457" t="s">
        <v>135</v>
      </c>
      <c r="S1457" t="s">
        <v>136</v>
      </c>
      <c r="T1457" t="s">
        <v>137</v>
      </c>
      <c r="U1457">
        <v>51247</v>
      </c>
      <c r="V1457" t="s">
        <v>46</v>
      </c>
      <c r="W1457" t="s">
        <v>47</v>
      </c>
      <c r="X1457" t="s">
        <v>138</v>
      </c>
      <c r="Y1457" t="s">
        <v>139</v>
      </c>
      <c r="Z1457" t="s">
        <v>50</v>
      </c>
    </row>
    <row r="1458" spans="1:26" x14ac:dyDescent="0.3">
      <c r="A1458">
        <v>10314</v>
      </c>
      <c r="B1458">
        <v>44</v>
      </c>
      <c r="C1458">
        <v>53.18</v>
      </c>
      <c r="D1458">
        <v>11</v>
      </c>
      <c r="E1458">
        <v>2339.92</v>
      </c>
      <c r="F1458" s="1">
        <v>38282</v>
      </c>
      <c r="G1458" t="s">
        <v>39</v>
      </c>
      <c r="H1458">
        <v>4</v>
      </c>
      <c r="I1458">
        <v>10</v>
      </c>
      <c r="J1458" t="str">
        <f>TEXT(DATE(2012,Table1[[#This Row],[MONTH_ID]],10),"mmm")</f>
        <v>Oct</v>
      </c>
      <c r="K1458">
        <v>2004</v>
      </c>
      <c r="L1458" t="s">
        <v>195</v>
      </c>
      <c r="M1458">
        <v>57</v>
      </c>
      <c r="N1458" t="s">
        <v>635</v>
      </c>
      <c r="O1458" t="s">
        <v>512</v>
      </c>
      <c r="P1458" t="s">
        <v>513</v>
      </c>
      <c r="Q1458" t="s">
        <v>514</v>
      </c>
      <c r="S1458" t="s">
        <v>515</v>
      </c>
      <c r="U1458">
        <v>8200</v>
      </c>
      <c r="V1458" t="s">
        <v>340</v>
      </c>
      <c r="W1458" t="s">
        <v>56</v>
      </c>
      <c r="X1458" t="s">
        <v>516</v>
      </c>
      <c r="Y1458" t="s">
        <v>517</v>
      </c>
      <c r="Z1458" t="s">
        <v>50</v>
      </c>
    </row>
    <row r="1459" spans="1:26" x14ac:dyDescent="0.3">
      <c r="A1459">
        <v>10324</v>
      </c>
      <c r="B1459">
        <v>25</v>
      </c>
      <c r="C1459">
        <v>69.16</v>
      </c>
      <c r="D1459">
        <v>14</v>
      </c>
      <c r="E1459">
        <v>1729</v>
      </c>
      <c r="F1459" s="1">
        <v>38296</v>
      </c>
      <c r="G1459" t="s">
        <v>39</v>
      </c>
      <c r="H1459">
        <v>4</v>
      </c>
      <c r="I1459">
        <v>11</v>
      </c>
      <c r="J1459" t="str">
        <f>TEXT(DATE(2012,Table1[[#This Row],[MONTH_ID]],10),"mmm")</f>
        <v>Nov</v>
      </c>
      <c r="K1459">
        <v>2004</v>
      </c>
      <c r="L1459" t="s">
        <v>195</v>
      </c>
      <c r="M1459">
        <v>57</v>
      </c>
      <c r="N1459" t="s">
        <v>635</v>
      </c>
      <c r="O1459" t="s">
        <v>113</v>
      </c>
      <c r="P1459">
        <v>2125551500</v>
      </c>
      <c r="Q1459" t="s">
        <v>114</v>
      </c>
      <c r="R1459" t="s">
        <v>115</v>
      </c>
      <c r="S1459" t="s">
        <v>44</v>
      </c>
      <c r="T1459" t="s">
        <v>45</v>
      </c>
      <c r="U1459">
        <v>10022</v>
      </c>
      <c r="V1459" t="s">
        <v>46</v>
      </c>
      <c r="W1459" t="s">
        <v>47</v>
      </c>
      <c r="X1459" t="s">
        <v>116</v>
      </c>
      <c r="Y1459" t="s">
        <v>117</v>
      </c>
      <c r="Z1459" t="s">
        <v>50</v>
      </c>
    </row>
    <row r="1460" spans="1:26" x14ac:dyDescent="0.3">
      <c r="A1460">
        <v>10336</v>
      </c>
      <c r="B1460">
        <v>45</v>
      </c>
      <c r="C1460">
        <v>100</v>
      </c>
      <c r="D1460">
        <v>4</v>
      </c>
      <c r="E1460">
        <v>5972.4</v>
      </c>
      <c r="F1460" s="1">
        <v>38311</v>
      </c>
      <c r="G1460" t="s">
        <v>39</v>
      </c>
      <c r="H1460">
        <v>4</v>
      </c>
      <c r="I1460">
        <v>11</v>
      </c>
      <c r="J1460" t="str">
        <f>TEXT(DATE(2012,Table1[[#This Row],[MONTH_ID]],10),"mmm")</f>
        <v>Nov</v>
      </c>
      <c r="K1460">
        <v>2004</v>
      </c>
      <c r="L1460" t="s">
        <v>195</v>
      </c>
      <c r="M1460">
        <v>57</v>
      </c>
      <c r="N1460" t="s">
        <v>635</v>
      </c>
      <c r="O1460" t="s">
        <v>417</v>
      </c>
      <c r="P1460" t="s">
        <v>418</v>
      </c>
      <c r="Q1460" t="s">
        <v>419</v>
      </c>
      <c r="S1460" t="s">
        <v>62</v>
      </c>
      <c r="U1460">
        <v>75012</v>
      </c>
      <c r="V1460" t="s">
        <v>55</v>
      </c>
      <c r="W1460" t="s">
        <v>56</v>
      </c>
      <c r="X1460" t="s">
        <v>420</v>
      </c>
      <c r="Y1460" t="s">
        <v>421</v>
      </c>
      <c r="Z1460" t="s">
        <v>65</v>
      </c>
    </row>
    <row r="1461" spans="1:26" x14ac:dyDescent="0.3">
      <c r="A1461">
        <v>10349</v>
      </c>
      <c r="B1461">
        <v>48</v>
      </c>
      <c r="C1461">
        <v>47.4</v>
      </c>
      <c r="D1461">
        <v>4</v>
      </c>
      <c r="E1461">
        <v>2275.1999999999998</v>
      </c>
      <c r="F1461" s="1">
        <v>38322</v>
      </c>
      <c r="G1461" t="s">
        <v>39</v>
      </c>
      <c r="H1461">
        <v>4</v>
      </c>
      <c r="I1461">
        <v>12</v>
      </c>
      <c r="J1461" t="str">
        <f>TEXT(DATE(2012,Table1[[#This Row],[MONTH_ID]],10),"mmm")</f>
        <v>Dec</v>
      </c>
      <c r="K1461">
        <v>2004</v>
      </c>
      <c r="L1461" t="s">
        <v>195</v>
      </c>
      <c r="M1461">
        <v>57</v>
      </c>
      <c r="N1461" t="s">
        <v>635</v>
      </c>
      <c r="O1461" t="s">
        <v>489</v>
      </c>
      <c r="P1461">
        <v>2125557413</v>
      </c>
      <c r="Q1461" t="s">
        <v>490</v>
      </c>
      <c r="R1461" t="s">
        <v>491</v>
      </c>
      <c r="S1461" t="s">
        <v>44</v>
      </c>
      <c r="T1461" t="s">
        <v>45</v>
      </c>
      <c r="U1461">
        <v>10022</v>
      </c>
      <c r="V1461" t="s">
        <v>46</v>
      </c>
      <c r="W1461" t="s">
        <v>47</v>
      </c>
      <c r="X1461" t="s">
        <v>70</v>
      </c>
      <c r="Y1461" t="s">
        <v>492</v>
      </c>
      <c r="Z1461" t="s">
        <v>50</v>
      </c>
    </row>
    <row r="1462" spans="1:26" x14ac:dyDescent="0.3">
      <c r="A1462">
        <v>10358</v>
      </c>
      <c r="B1462">
        <v>44</v>
      </c>
      <c r="C1462">
        <v>60.76</v>
      </c>
      <c r="D1462">
        <v>14</v>
      </c>
      <c r="E1462">
        <v>2673.44</v>
      </c>
      <c r="F1462" s="1">
        <v>38331</v>
      </c>
      <c r="G1462" t="s">
        <v>39</v>
      </c>
      <c r="H1462">
        <v>4</v>
      </c>
      <c r="I1462">
        <v>12</v>
      </c>
      <c r="J1462" t="str">
        <f>TEXT(DATE(2012,Table1[[#This Row],[MONTH_ID]],10),"mmm")</f>
        <v>Dec</v>
      </c>
      <c r="K1462">
        <v>2004</v>
      </c>
      <c r="L1462" t="s">
        <v>195</v>
      </c>
      <c r="M1462">
        <v>57</v>
      </c>
      <c r="N1462" t="s">
        <v>635</v>
      </c>
      <c r="O1462" t="s">
        <v>188</v>
      </c>
      <c r="P1462" t="s">
        <v>189</v>
      </c>
      <c r="Q1462" t="s">
        <v>190</v>
      </c>
      <c r="S1462" t="s">
        <v>191</v>
      </c>
      <c r="U1462">
        <v>28034</v>
      </c>
      <c r="V1462" t="s">
        <v>192</v>
      </c>
      <c r="W1462" t="s">
        <v>56</v>
      </c>
      <c r="X1462" t="s">
        <v>193</v>
      </c>
      <c r="Y1462" t="s">
        <v>194</v>
      </c>
      <c r="Z1462" t="s">
        <v>50</v>
      </c>
    </row>
    <row r="1463" spans="1:26" x14ac:dyDescent="0.3">
      <c r="A1463">
        <v>10371</v>
      </c>
      <c r="B1463">
        <v>25</v>
      </c>
      <c r="C1463">
        <v>97.27</v>
      </c>
      <c r="D1463">
        <v>12</v>
      </c>
      <c r="E1463">
        <v>2431.75</v>
      </c>
      <c r="F1463" s="1">
        <v>38375</v>
      </c>
      <c r="G1463" t="s">
        <v>39</v>
      </c>
      <c r="H1463">
        <v>1</v>
      </c>
      <c r="I1463">
        <v>1</v>
      </c>
      <c r="J1463" t="str">
        <f>TEXT(DATE(2012,Table1[[#This Row],[MONTH_ID]],10),"mmm")</f>
        <v>Jan</v>
      </c>
      <c r="K1463">
        <v>2005</v>
      </c>
      <c r="L1463" t="s">
        <v>195</v>
      </c>
      <c r="M1463">
        <v>57</v>
      </c>
      <c r="N1463" t="s">
        <v>635</v>
      </c>
      <c r="O1463" t="s">
        <v>286</v>
      </c>
      <c r="P1463">
        <v>4155551450</v>
      </c>
      <c r="Q1463" t="s">
        <v>287</v>
      </c>
      <c r="S1463" t="s">
        <v>288</v>
      </c>
      <c r="T1463" t="s">
        <v>69</v>
      </c>
      <c r="U1463">
        <v>97562</v>
      </c>
      <c r="V1463" t="s">
        <v>46</v>
      </c>
      <c r="W1463" t="s">
        <v>47</v>
      </c>
      <c r="X1463" t="s">
        <v>289</v>
      </c>
      <c r="Y1463" t="s">
        <v>290</v>
      </c>
      <c r="Z1463" t="s">
        <v>50</v>
      </c>
    </row>
    <row r="1464" spans="1:26" x14ac:dyDescent="0.3">
      <c r="A1464">
        <v>10383</v>
      </c>
      <c r="B1464">
        <v>22</v>
      </c>
      <c r="C1464">
        <v>91.76</v>
      </c>
      <c r="D1464">
        <v>2</v>
      </c>
      <c r="E1464">
        <v>2018.72</v>
      </c>
      <c r="F1464" s="1">
        <v>38405</v>
      </c>
      <c r="G1464" t="s">
        <v>39</v>
      </c>
      <c r="H1464">
        <v>1</v>
      </c>
      <c r="I1464">
        <v>2</v>
      </c>
      <c r="J1464" t="str">
        <f>TEXT(DATE(2012,Table1[[#This Row],[MONTH_ID]],10),"mmm")</f>
        <v>Feb</v>
      </c>
      <c r="K1464">
        <v>2005</v>
      </c>
      <c r="L1464" t="s">
        <v>195</v>
      </c>
      <c r="M1464">
        <v>57</v>
      </c>
      <c r="N1464" t="s">
        <v>635</v>
      </c>
      <c r="O1464" t="s">
        <v>188</v>
      </c>
      <c r="P1464" t="s">
        <v>189</v>
      </c>
      <c r="Q1464" t="s">
        <v>190</v>
      </c>
      <c r="S1464" t="s">
        <v>191</v>
      </c>
      <c r="U1464">
        <v>28034</v>
      </c>
      <c r="V1464" t="s">
        <v>192</v>
      </c>
      <c r="W1464" t="s">
        <v>56</v>
      </c>
      <c r="X1464" t="s">
        <v>193</v>
      </c>
      <c r="Y1464" t="s">
        <v>194</v>
      </c>
      <c r="Z1464" t="s">
        <v>50</v>
      </c>
    </row>
    <row r="1465" spans="1:26" x14ac:dyDescent="0.3">
      <c r="A1465">
        <v>10394</v>
      </c>
      <c r="B1465">
        <v>31</v>
      </c>
      <c r="C1465">
        <v>50.29</v>
      </c>
      <c r="D1465">
        <v>2</v>
      </c>
      <c r="E1465">
        <v>1558.99</v>
      </c>
      <c r="F1465" s="1">
        <v>38426</v>
      </c>
      <c r="G1465" t="s">
        <v>39</v>
      </c>
      <c r="H1465">
        <v>1</v>
      </c>
      <c r="I1465">
        <v>3</v>
      </c>
      <c r="J1465" t="str">
        <f>TEXT(DATE(2012,Table1[[#This Row],[MONTH_ID]],10),"mmm")</f>
        <v>Mar</v>
      </c>
      <c r="K1465">
        <v>2005</v>
      </c>
      <c r="L1465" t="s">
        <v>195</v>
      </c>
      <c r="M1465">
        <v>57</v>
      </c>
      <c r="N1465" t="s">
        <v>635</v>
      </c>
      <c r="O1465" t="s">
        <v>188</v>
      </c>
      <c r="P1465" t="s">
        <v>189</v>
      </c>
      <c r="Q1465" t="s">
        <v>190</v>
      </c>
      <c r="S1465" t="s">
        <v>191</v>
      </c>
      <c r="U1465">
        <v>28034</v>
      </c>
      <c r="V1465" t="s">
        <v>192</v>
      </c>
      <c r="W1465" t="s">
        <v>56</v>
      </c>
      <c r="X1465" t="s">
        <v>193</v>
      </c>
      <c r="Y1465" t="s">
        <v>194</v>
      </c>
      <c r="Z1465" t="s">
        <v>50</v>
      </c>
    </row>
    <row r="1466" spans="1:26" x14ac:dyDescent="0.3">
      <c r="A1466">
        <v>10412</v>
      </c>
      <c r="B1466">
        <v>21</v>
      </c>
      <c r="C1466">
        <v>52.6</v>
      </c>
      <c r="D1466">
        <v>2</v>
      </c>
      <c r="E1466">
        <v>1104.5999999999999</v>
      </c>
      <c r="F1466" s="1">
        <v>38475</v>
      </c>
      <c r="G1466" t="s">
        <v>39</v>
      </c>
      <c r="H1466">
        <v>2</v>
      </c>
      <c r="I1466">
        <v>5</v>
      </c>
      <c r="J1466" t="str">
        <f>TEXT(DATE(2012,Table1[[#This Row],[MONTH_ID]],10),"mmm")</f>
        <v>May</v>
      </c>
      <c r="K1466">
        <v>2005</v>
      </c>
      <c r="L1466" t="s">
        <v>195</v>
      </c>
      <c r="M1466">
        <v>57</v>
      </c>
      <c r="N1466" t="s">
        <v>635</v>
      </c>
      <c r="O1466" t="s">
        <v>188</v>
      </c>
      <c r="P1466" t="s">
        <v>189</v>
      </c>
      <c r="Q1466" t="s">
        <v>190</v>
      </c>
      <c r="S1466" t="s">
        <v>191</v>
      </c>
      <c r="U1466">
        <v>28034</v>
      </c>
      <c r="V1466" t="s">
        <v>192</v>
      </c>
      <c r="W1466" t="s">
        <v>56</v>
      </c>
      <c r="X1466" t="s">
        <v>193</v>
      </c>
      <c r="Y1466" t="s">
        <v>194</v>
      </c>
      <c r="Z1466" t="s">
        <v>50</v>
      </c>
    </row>
    <row r="1467" spans="1:26" x14ac:dyDescent="0.3">
      <c r="A1467">
        <v>10425</v>
      </c>
      <c r="B1467">
        <v>55</v>
      </c>
      <c r="C1467">
        <v>46.82</v>
      </c>
      <c r="D1467">
        <v>1</v>
      </c>
      <c r="E1467">
        <v>2575.1</v>
      </c>
      <c r="F1467" s="1">
        <v>38503</v>
      </c>
      <c r="G1467" t="s">
        <v>314</v>
      </c>
      <c r="H1467">
        <v>2</v>
      </c>
      <c r="I1467">
        <v>5</v>
      </c>
      <c r="J1467" t="str">
        <f>TEXT(DATE(2012,Table1[[#This Row],[MONTH_ID]],10),"mmm")</f>
        <v>May</v>
      </c>
      <c r="K1467">
        <v>2005</v>
      </c>
      <c r="L1467" t="s">
        <v>195</v>
      </c>
      <c r="M1467">
        <v>57</v>
      </c>
      <c r="N1467" t="s">
        <v>635</v>
      </c>
      <c r="O1467" t="s">
        <v>128</v>
      </c>
      <c r="P1467" t="s">
        <v>129</v>
      </c>
      <c r="Q1467" t="s">
        <v>130</v>
      </c>
      <c r="S1467" t="s">
        <v>131</v>
      </c>
      <c r="U1467">
        <v>44000</v>
      </c>
      <c r="V1467" t="s">
        <v>55</v>
      </c>
      <c r="W1467" t="s">
        <v>56</v>
      </c>
      <c r="X1467" t="s">
        <v>132</v>
      </c>
      <c r="Y1467" t="s">
        <v>133</v>
      </c>
      <c r="Z1467" t="s">
        <v>50</v>
      </c>
    </row>
    <row r="1468" spans="1:26" x14ac:dyDescent="0.3">
      <c r="A1468">
        <v>10107</v>
      </c>
      <c r="B1468">
        <v>25</v>
      </c>
      <c r="C1468">
        <v>100</v>
      </c>
      <c r="D1468">
        <v>3</v>
      </c>
      <c r="E1468">
        <v>2845.75</v>
      </c>
      <c r="F1468" s="1">
        <v>37676</v>
      </c>
      <c r="G1468" t="s">
        <v>39</v>
      </c>
      <c r="H1468">
        <v>1</v>
      </c>
      <c r="I1468">
        <v>2</v>
      </c>
      <c r="J1468" t="str">
        <f>TEXT(DATE(2012,Table1[[#This Row],[MONTH_ID]],10),"mmm")</f>
        <v>Feb</v>
      </c>
      <c r="K1468">
        <v>2003</v>
      </c>
      <c r="L1468" t="s">
        <v>40</v>
      </c>
      <c r="M1468">
        <v>112</v>
      </c>
      <c r="N1468" t="s">
        <v>636</v>
      </c>
      <c r="O1468" t="s">
        <v>42</v>
      </c>
      <c r="P1468">
        <v>2125557818</v>
      </c>
      <c r="Q1468" t="s">
        <v>43</v>
      </c>
      <c r="S1468" t="s">
        <v>44</v>
      </c>
      <c r="T1468" t="s">
        <v>45</v>
      </c>
      <c r="U1468">
        <v>10022</v>
      </c>
      <c r="V1468" t="s">
        <v>46</v>
      </c>
      <c r="W1468" t="s">
        <v>47</v>
      </c>
      <c r="X1468" t="s">
        <v>48</v>
      </c>
      <c r="Y1468" t="s">
        <v>49</v>
      </c>
      <c r="Z1468" t="s">
        <v>50</v>
      </c>
    </row>
    <row r="1469" spans="1:26" x14ac:dyDescent="0.3">
      <c r="A1469">
        <v>10120</v>
      </c>
      <c r="B1469">
        <v>35</v>
      </c>
      <c r="C1469">
        <v>98.05</v>
      </c>
      <c r="D1469">
        <v>1</v>
      </c>
      <c r="E1469">
        <v>3431.75</v>
      </c>
      <c r="F1469" s="1">
        <v>37740</v>
      </c>
      <c r="G1469" t="s">
        <v>39</v>
      </c>
      <c r="H1469">
        <v>2</v>
      </c>
      <c r="I1469">
        <v>4</v>
      </c>
      <c r="J1469" t="str">
        <f>TEXT(DATE(2012,Table1[[#This Row],[MONTH_ID]],10),"mmm")</f>
        <v>Apr</v>
      </c>
      <c r="K1469">
        <v>2003</v>
      </c>
      <c r="L1469" t="s">
        <v>40</v>
      </c>
      <c r="M1469">
        <v>112</v>
      </c>
      <c r="N1469" t="s">
        <v>636</v>
      </c>
      <c r="O1469" t="s">
        <v>103</v>
      </c>
      <c r="P1469" t="s">
        <v>104</v>
      </c>
      <c r="Q1469" t="s">
        <v>105</v>
      </c>
      <c r="R1469" t="s">
        <v>106</v>
      </c>
      <c r="S1469" t="s">
        <v>107</v>
      </c>
      <c r="T1469" t="s">
        <v>108</v>
      </c>
      <c r="U1469">
        <v>3004</v>
      </c>
      <c r="V1469" t="s">
        <v>109</v>
      </c>
      <c r="W1469" t="s">
        <v>110</v>
      </c>
      <c r="X1469" t="s">
        <v>111</v>
      </c>
      <c r="Y1469" t="s">
        <v>112</v>
      </c>
      <c r="Z1469" t="s">
        <v>65</v>
      </c>
    </row>
    <row r="1470" spans="1:26" x14ac:dyDescent="0.3">
      <c r="A1470">
        <v>10134</v>
      </c>
      <c r="B1470">
        <v>35</v>
      </c>
      <c r="C1470">
        <v>93.54</v>
      </c>
      <c r="D1470">
        <v>3</v>
      </c>
      <c r="E1470">
        <v>3273.9</v>
      </c>
      <c r="F1470" s="1">
        <v>37803</v>
      </c>
      <c r="G1470" t="s">
        <v>39</v>
      </c>
      <c r="H1470">
        <v>3</v>
      </c>
      <c r="I1470">
        <v>7</v>
      </c>
      <c r="J1470" t="str">
        <f>TEXT(DATE(2012,Table1[[#This Row],[MONTH_ID]],10),"mmm")</f>
        <v>Jul</v>
      </c>
      <c r="K1470">
        <v>2003</v>
      </c>
      <c r="L1470" t="s">
        <v>40</v>
      </c>
      <c r="M1470">
        <v>112</v>
      </c>
      <c r="N1470" t="s">
        <v>636</v>
      </c>
      <c r="O1470" t="s">
        <v>59</v>
      </c>
      <c r="P1470" t="s">
        <v>60</v>
      </c>
      <c r="Q1470" t="s">
        <v>61</v>
      </c>
      <c r="S1470" t="s">
        <v>62</v>
      </c>
      <c r="U1470">
        <v>75508</v>
      </c>
      <c r="V1470" t="s">
        <v>55</v>
      </c>
      <c r="W1470" t="s">
        <v>56</v>
      </c>
      <c r="X1470" t="s">
        <v>63</v>
      </c>
      <c r="Y1470" t="s">
        <v>64</v>
      </c>
      <c r="Z1470" t="s">
        <v>65</v>
      </c>
    </row>
    <row r="1471" spans="1:26" x14ac:dyDescent="0.3">
      <c r="A1471">
        <v>10145</v>
      </c>
      <c r="B1471">
        <v>43</v>
      </c>
      <c r="C1471">
        <v>95.8</v>
      </c>
      <c r="D1471">
        <v>7</v>
      </c>
      <c r="E1471">
        <v>4119.3999999999996</v>
      </c>
      <c r="F1471" s="1">
        <v>37858</v>
      </c>
      <c r="G1471" t="s">
        <v>39</v>
      </c>
      <c r="H1471">
        <v>3</v>
      </c>
      <c r="I1471">
        <v>8</v>
      </c>
      <c r="J1471" t="str">
        <f>TEXT(DATE(2012,Table1[[#This Row],[MONTH_ID]],10),"mmm")</f>
        <v>Aug</v>
      </c>
      <c r="K1471">
        <v>2003</v>
      </c>
      <c r="L1471" t="s">
        <v>40</v>
      </c>
      <c r="M1471">
        <v>112</v>
      </c>
      <c r="N1471" t="s">
        <v>636</v>
      </c>
      <c r="O1471" t="s">
        <v>66</v>
      </c>
      <c r="P1471">
        <v>6265557265</v>
      </c>
      <c r="Q1471" t="s">
        <v>67</v>
      </c>
      <c r="S1471" t="s">
        <v>68</v>
      </c>
      <c r="T1471" t="s">
        <v>69</v>
      </c>
      <c r="U1471">
        <v>90003</v>
      </c>
      <c r="V1471" t="s">
        <v>46</v>
      </c>
      <c r="W1471" t="s">
        <v>47</v>
      </c>
      <c r="X1471" t="s">
        <v>70</v>
      </c>
      <c r="Y1471" t="s">
        <v>71</v>
      </c>
      <c r="Z1471" t="s">
        <v>65</v>
      </c>
    </row>
    <row r="1472" spans="1:26" x14ac:dyDescent="0.3">
      <c r="A1472">
        <v>10159</v>
      </c>
      <c r="B1472">
        <v>44</v>
      </c>
      <c r="C1472">
        <v>100</v>
      </c>
      <c r="D1472">
        <v>15</v>
      </c>
      <c r="E1472">
        <v>5355.68</v>
      </c>
      <c r="F1472" s="1">
        <v>37904</v>
      </c>
      <c r="G1472" t="s">
        <v>39</v>
      </c>
      <c r="H1472">
        <v>4</v>
      </c>
      <c r="I1472">
        <v>10</v>
      </c>
      <c r="J1472" t="str">
        <f>TEXT(DATE(2012,Table1[[#This Row],[MONTH_ID]],10),"mmm")</f>
        <v>Oct</v>
      </c>
      <c r="K1472">
        <v>2003</v>
      </c>
      <c r="L1472" t="s">
        <v>40</v>
      </c>
      <c r="M1472">
        <v>112</v>
      </c>
      <c r="N1472" t="s">
        <v>636</v>
      </c>
      <c r="O1472" t="s">
        <v>72</v>
      </c>
      <c r="P1472">
        <v>6505551386</v>
      </c>
      <c r="Q1472" t="s">
        <v>73</v>
      </c>
      <c r="S1472" t="s">
        <v>74</v>
      </c>
      <c r="T1472" t="s">
        <v>69</v>
      </c>
      <c r="V1472" t="s">
        <v>46</v>
      </c>
      <c r="W1472" t="s">
        <v>47</v>
      </c>
      <c r="X1472" t="s">
        <v>75</v>
      </c>
      <c r="Y1472" t="s">
        <v>71</v>
      </c>
      <c r="Z1472" t="s">
        <v>65</v>
      </c>
    </row>
    <row r="1473" spans="1:26" x14ac:dyDescent="0.3">
      <c r="A1473">
        <v>10168</v>
      </c>
      <c r="B1473">
        <v>50</v>
      </c>
      <c r="C1473">
        <v>100</v>
      </c>
      <c r="D1473">
        <v>2</v>
      </c>
      <c r="E1473">
        <v>5747.5</v>
      </c>
      <c r="F1473" s="1">
        <v>37922</v>
      </c>
      <c r="G1473" t="s">
        <v>39</v>
      </c>
      <c r="H1473">
        <v>4</v>
      </c>
      <c r="I1473">
        <v>10</v>
      </c>
      <c r="J1473" t="str">
        <f>TEXT(DATE(2012,Table1[[#This Row],[MONTH_ID]],10),"mmm")</f>
        <v>Oct</v>
      </c>
      <c r="K1473">
        <v>2003</v>
      </c>
      <c r="L1473" t="s">
        <v>40</v>
      </c>
      <c r="M1473">
        <v>112</v>
      </c>
      <c r="N1473" t="s">
        <v>636</v>
      </c>
      <c r="O1473" t="s">
        <v>76</v>
      </c>
      <c r="P1473">
        <v>6505556809</v>
      </c>
      <c r="Q1473" t="s">
        <v>77</v>
      </c>
      <c r="S1473" t="s">
        <v>78</v>
      </c>
      <c r="T1473" t="s">
        <v>69</v>
      </c>
      <c r="U1473">
        <v>94217</v>
      </c>
      <c r="V1473" t="s">
        <v>46</v>
      </c>
      <c r="W1473" t="s">
        <v>47</v>
      </c>
      <c r="X1473" t="s">
        <v>79</v>
      </c>
      <c r="Y1473" t="s">
        <v>80</v>
      </c>
      <c r="Z1473" t="s">
        <v>65</v>
      </c>
    </row>
    <row r="1474" spans="1:26" x14ac:dyDescent="0.3">
      <c r="A1474">
        <v>10180</v>
      </c>
      <c r="B1474">
        <v>48</v>
      </c>
      <c r="C1474">
        <v>100</v>
      </c>
      <c r="D1474">
        <v>10</v>
      </c>
      <c r="E1474">
        <v>5355.36</v>
      </c>
      <c r="F1474" s="1">
        <v>37936</v>
      </c>
      <c r="G1474" t="s">
        <v>39</v>
      </c>
      <c r="H1474">
        <v>4</v>
      </c>
      <c r="I1474">
        <v>11</v>
      </c>
      <c r="J1474" t="str">
        <f>TEXT(DATE(2012,Table1[[#This Row],[MONTH_ID]],10),"mmm")</f>
        <v>Nov</v>
      </c>
      <c r="K1474">
        <v>2003</v>
      </c>
      <c r="L1474" t="s">
        <v>40</v>
      </c>
      <c r="M1474">
        <v>112</v>
      </c>
      <c r="N1474" t="s">
        <v>636</v>
      </c>
      <c r="O1474" t="s">
        <v>81</v>
      </c>
      <c r="P1474" t="s">
        <v>82</v>
      </c>
      <c r="Q1474" t="s">
        <v>83</v>
      </c>
      <c r="S1474" t="s">
        <v>84</v>
      </c>
      <c r="U1474">
        <v>59000</v>
      </c>
      <c r="V1474" t="s">
        <v>55</v>
      </c>
      <c r="W1474" t="s">
        <v>56</v>
      </c>
      <c r="X1474" t="s">
        <v>85</v>
      </c>
      <c r="Y1474" t="s">
        <v>86</v>
      </c>
      <c r="Z1474" t="s">
        <v>65</v>
      </c>
    </row>
    <row r="1475" spans="1:26" x14ac:dyDescent="0.3">
      <c r="A1475">
        <v>10188</v>
      </c>
      <c r="B1475">
        <v>25</v>
      </c>
      <c r="C1475">
        <v>100</v>
      </c>
      <c r="D1475">
        <v>2</v>
      </c>
      <c r="E1475">
        <v>2535.75</v>
      </c>
      <c r="F1475" s="1">
        <v>37943</v>
      </c>
      <c r="G1475" t="s">
        <v>39</v>
      </c>
      <c r="H1475">
        <v>4</v>
      </c>
      <c r="I1475">
        <v>11</v>
      </c>
      <c r="J1475" t="str">
        <f>TEXT(DATE(2012,Table1[[#This Row],[MONTH_ID]],10),"mmm")</f>
        <v>Nov</v>
      </c>
      <c r="K1475">
        <v>2003</v>
      </c>
      <c r="L1475" t="s">
        <v>40</v>
      </c>
      <c r="M1475">
        <v>112</v>
      </c>
      <c r="N1475" t="s">
        <v>636</v>
      </c>
      <c r="O1475" t="s">
        <v>87</v>
      </c>
      <c r="P1475" t="s">
        <v>88</v>
      </c>
      <c r="Q1475" t="s">
        <v>89</v>
      </c>
      <c r="S1475" t="s">
        <v>90</v>
      </c>
      <c r="U1475" t="s">
        <v>91</v>
      </c>
      <c r="V1475" t="s">
        <v>92</v>
      </c>
      <c r="W1475" t="s">
        <v>56</v>
      </c>
      <c r="X1475" t="s">
        <v>93</v>
      </c>
      <c r="Y1475" t="s">
        <v>94</v>
      </c>
      <c r="Z1475" t="s">
        <v>50</v>
      </c>
    </row>
    <row r="1476" spans="1:26" x14ac:dyDescent="0.3">
      <c r="A1476">
        <v>10201</v>
      </c>
      <c r="B1476">
        <v>39</v>
      </c>
      <c r="C1476">
        <v>100</v>
      </c>
      <c r="D1476">
        <v>3</v>
      </c>
      <c r="E1476">
        <v>4351.2299999999996</v>
      </c>
      <c r="F1476" s="1">
        <v>37956</v>
      </c>
      <c r="G1476" t="s">
        <v>39</v>
      </c>
      <c r="H1476">
        <v>4</v>
      </c>
      <c r="I1476">
        <v>12</v>
      </c>
      <c r="J1476" t="str">
        <f>TEXT(DATE(2012,Table1[[#This Row],[MONTH_ID]],10),"mmm")</f>
        <v>Dec</v>
      </c>
      <c r="K1476">
        <v>2003</v>
      </c>
      <c r="L1476" t="s">
        <v>40</v>
      </c>
      <c r="M1476">
        <v>112</v>
      </c>
      <c r="N1476" t="s">
        <v>636</v>
      </c>
      <c r="O1476" t="s">
        <v>95</v>
      </c>
      <c r="P1476">
        <v>6505555787</v>
      </c>
      <c r="Q1476" t="s">
        <v>96</v>
      </c>
      <c r="S1476" t="s">
        <v>74</v>
      </c>
      <c r="T1476" t="s">
        <v>69</v>
      </c>
      <c r="V1476" t="s">
        <v>46</v>
      </c>
      <c r="W1476" t="s">
        <v>47</v>
      </c>
      <c r="X1476" t="s">
        <v>97</v>
      </c>
      <c r="Y1476" t="s">
        <v>71</v>
      </c>
      <c r="Z1476" t="s">
        <v>65</v>
      </c>
    </row>
    <row r="1477" spans="1:26" x14ac:dyDescent="0.3">
      <c r="A1477">
        <v>10211</v>
      </c>
      <c r="B1477">
        <v>25</v>
      </c>
      <c r="C1477">
        <v>90.16</v>
      </c>
      <c r="D1477">
        <v>15</v>
      </c>
      <c r="E1477">
        <v>2254</v>
      </c>
      <c r="F1477" s="1">
        <v>38001</v>
      </c>
      <c r="G1477" t="s">
        <v>39</v>
      </c>
      <c r="H1477">
        <v>1</v>
      </c>
      <c r="I1477">
        <v>1</v>
      </c>
      <c r="J1477" t="str">
        <f>TEXT(DATE(2012,Table1[[#This Row],[MONTH_ID]],10),"mmm")</f>
        <v>Jan</v>
      </c>
      <c r="K1477">
        <v>2004</v>
      </c>
      <c r="L1477" t="s">
        <v>40</v>
      </c>
      <c r="M1477">
        <v>112</v>
      </c>
      <c r="N1477" t="s">
        <v>636</v>
      </c>
      <c r="O1477" t="s">
        <v>98</v>
      </c>
      <c r="P1477" t="s">
        <v>99</v>
      </c>
      <c r="Q1477" t="s">
        <v>100</v>
      </c>
      <c r="S1477" t="s">
        <v>62</v>
      </c>
      <c r="U1477">
        <v>75016</v>
      </c>
      <c r="V1477" t="s">
        <v>55</v>
      </c>
      <c r="W1477" t="s">
        <v>56</v>
      </c>
      <c r="X1477" t="s">
        <v>101</v>
      </c>
      <c r="Y1477" t="s">
        <v>102</v>
      </c>
      <c r="Z1477" t="s">
        <v>50</v>
      </c>
    </row>
    <row r="1478" spans="1:26" x14ac:dyDescent="0.3">
      <c r="A1478">
        <v>10223</v>
      </c>
      <c r="B1478">
        <v>32</v>
      </c>
      <c r="C1478">
        <v>91.29</v>
      </c>
      <c r="D1478">
        <v>2</v>
      </c>
      <c r="E1478">
        <v>2921.28</v>
      </c>
      <c r="F1478" s="1">
        <v>38037</v>
      </c>
      <c r="G1478" t="s">
        <v>39</v>
      </c>
      <c r="H1478">
        <v>1</v>
      </c>
      <c r="I1478">
        <v>2</v>
      </c>
      <c r="J1478" t="str">
        <f>TEXT(DATE(2012,Table1[[#This Row],[MONTH_ID]],10),"mmm")</f>
        <v>Feb</v>
      </c>
      <c r="K1478">
        <v>2004</v>
      </c>
      <c r="L1478" t="s">
        <v>40</v>
      </c>
      <c r="M1478">
        <v>112</v>
      </c>
      <c r="N1478" t="s">
        <v>636</v>
      </c>
      <c r="O1478" t="s">
        <v>103</v>
      </c>
      <c r="P1478" t="s">
        <v>104</v>
      </c>
      <c r="Q1478" t="s">
        <v>105</v>
      </c>
      <c r="R1478" t="s">
        <v>106</v>
      </c>
      <c r="S1478" t="s">
        <v>107</v>
      </c>
      <c r="T1478" t="s">
        <v>108</v>
      </c>
      <c r="U1478">
        <v>3004</v>
      </c>
      <c r="V1478" t="s">
        <v>109</v>
      </c>
      <c r="W1478" t="s">
        <v>110</v>
      </c>
      <c r="X1478" t="s">
        <v>111</v>
      </c>
      <c r="Y1478" t="s">
        <v>112</v>
      </c>
      <c r="Z1478" t="s">
        <v>50</v>
      </c>
    </row>
    <row r="1479" spans="1:26" x14ac:dyDescent="0.3">
      <c r="A1479">
        <v>10237</v>
      </c>
      <c r="B1479">
        <v>20</v>
      </c>
      <c r="C1479">
        <v>100</v>
      </c>
      <c r="D1479">
        <v>8</v>
      </c>
      <c r="E1479">
        <v>2299</v>
      </c>
      <c r="F1479" s="1">
        <v>38082</v>
      </c>
      <c r="G1479" t="s">
        <v>39</v>
      </c>
      <c r="H1479">
        <v>2</v>
      </c>
      <c r="I1479">
        <v>4</v>
      </c>
      <c r="J1479" t="str">
        <f>TEXT(DATE(2012,Table1[[#This Row],[MONTH_ID]],10),"mmm")</f>
        <v>Apr</v>
      </c>
      <c r="K1479">
        <v>2004</v>
      </c>
      <c r="L1479" t="s">
        <v>40</v>
      </c>
      <c r="M1479">
        <v>112</v>
      </c>
      <c r="N1479" t="s">
        <v>636</v>
      </c>
      <c r="O1479" t="s">
        <v>113</v>
      </c>
      <c r="P1479">
        <v>2125551500</v>
      </c>
      <c r="Q1479" t="s">
        <v>114</v>
      </c>
      <c r="R1479" t="s">
        <v>115</v>
      </c>
      <c r="S1479" t="s">
        <v>44</v>
      </c>
      <c r="T1479" t="s">
        <v>45</v>
      </c>
      <c r="U1479">
        <v>10022</v>
      </c>
      <c r="V1479" t="s">
        <v>46</v>
      </c>
      <c r="W1479" t="s">
        <v>47</v>
      </c>
      <c r="X1479" t="s">
        <v>116</v>
      </c>
      <c r="Y1479" t="s">
        <v>117</v>
      </c>
      <c r="Z1479" t="s">
        <v>50</v>
      </c>
    </row>
    <row r="1480" spans="1:26" x14ac:dyDescent="0.3">
      <c r="A1480">
        <v>10251</v>
      </c>
      <c r="B1480">
        <v>26</v>
      </c>
      <c r="C1480">
        <v>100</v>
      </c>
      <c r="D1480">
        <v>3</v>
      </c>
      <c r="E1480">
        <v>2637.18</v>
      </c>
      <c r="F1480" s="1">
        <v>38125</v>
      </c>
      <c r="G1480" t="s">
        <v>39</v>
      </c>
      <c r="H1480">
        <v>2</v>
      </c>
      <c r="I1480">
        <v>5</v>
      </c>
      <c r="J1480" t="str">
        <f>TEXT(DATE(2012,Table1[[#This Row],[MONTH_ID]],10),"mmm")</f>
        <v>May</v>
      </c>
      <c r="K1480">
        <v>2004</v>
      </c>
      <c r="L1480" t="s">
        <v>40</v>
      </c>
      <c r="M1480">
        <v>112</v>
      </c>
      <c r="N1480" t="s">
        <v>636</v>
      </c>
      <c r="O1480" t="s">
        <v>118</v>
      </c>
      <c r="P1480">
        <v>2015559350</v>
      </c>
      <c r="Q1480" t="s">
        <v>119</v>
      </c>
      <c r="S1480" t="s">
        <v>120</v>
      </c>
      <c r="T1480" t="s">
        <v>121</v>
      </c>
      <c r="U1480">
        <v>94019</v>
      </c>
      <c r="V1480" t="s">
        <v>46</v>
      </c>
      <c r="W1480" t="s">
        <v>47</v>
      </c>
      <c r="X1480" t="s">
        <v>75</v>
      </c>
      <c r="Y1480" t="s">
        <v>122</v>
      </c>
      <c r="Z1480" t="s">
        <v>50</v>
      </c>
    </row>
    <row r="1481" spans="1:26" x14ac:dyDescent="0.3">
      <c r="A1481">
        <v>10263</v>
      </c>
      <c r="B1481">
        <v>42</v>
      </c>
      <c r="C1481">
        <v>100</v>
      </c>
      <c r="D1481">
        <v>3</v>
      </c>
      <c r="E1481">
        <v>4307.5200000000004</v>
      </c>
      <c r="F1481" s="1">
        <v>38166</v>
      </c>
      <c r="G1481" t="s">
        <v>39</v>
      </c>
      <c r="H1481">
        <v>2</v>
      </c>
      <c r="I1481">
        <v>6</v>
      </c>
      <c r="J1481" t="str">
        <f>TEXT(DATE(2012,Table1[[#This Row],[MONTH_ID]],10),"mmm")</f>
        <v>Jun</v>
      </c>
      <c r="K1481">
        <v>2004</v>
      </c>
      <c r="L1481" t="s">
        <v>40</v>
      </c>
      <c r="M1481">
        <v>112</v>
      </c>
      <c r="N1481" t="s">
        <v>636</v>
      </c>
      <c r="O1481" t="s">
        <v>123</v>
      </c>
      <c r="P1481">
        <v>2035552570</v>
      </c>
      <c r="Q1481" t="s">
        <v>124</v>
      </c>
      <c r="S1481" t="s">
        <v>125</v>
      </c>
      <c r="T1481" t="s">
        <v>126</v>
      </c>
      <c r="U1481">
        <v>97562</v>
      </c>
      <c r="V1481" t="s">
        <v>46</v>
      </c>
      <c r="W1481" t="s">
        <v>47</v>
      </c>
      <c r="X1481" t="s">
        <v>127</v>
      </c>
      <c r="Y1481" t="s">
        <v>71</v>
      </c>
      <c r="Z1481" t="s">
        <v>65</v>
      </c>
    </row>
    <row r="1482" spans="1:26" x14ac:dyDescent="0.3">
      <c r="A1482">
        <v>10275</v>
      </c>
      <c r="B1482">
        <v>21</v>
      </c>
      <c r="C1482">
        <v>100</v>
      </c>
      <c r="D1482">
        <v>2</v>
      </c>
      <c r="E1482">
        <v>2153.7600000000002</v>
      </c>
      <c r="F1482" s="1">
        <v>38191</v>
      </c>
      <c r="G1482" t="s">
        <v>39</v>
      </c>
      <c r="H1482">
        <v>3</v>
      </c>
      <c r="I1482">
        <v>7</v>
      </c>
      <c r="J1482" t="str">
        <f>TEXT(DATE(2012,Table1[[#This Row],[MONTH_ID]],10),"mmm")</f>
        <v>Jul</v>
      </c>
      <c r="K1482">
        <v>2004</v>
      </c>
      <c r="L1482" t="s">
        <v>40</v>
      </c>
      <c r="M1482">
        <v>112</v>
      </c>
      <c r="N1482" t="s">
        <v>636</v>
      </c>
      <c r="O1482" t="s">
        <v>128</v>
      </c>
      <c r="P1482" t="s">
        <v>129</v>
      </c>
      <c r="Q1482" t="s">
        <v>130</v>
      </c>
      <c r="S1482" t="s">
        <v>131</v>
      </c>
      <c r="U1482">
        <v>44000</v>
      </c>
      <c r="V1482" t="s">
        <v>55</v>
      </c>
      <c r="W1482" t="s">
        <v>56</v>
      </c>
      <c r="X1482" t="s">
        <v>132</v>
      </c>
      <c r="Y1482" t="s">
        <v>133</v>
      </c>
      <c r="Z1482" t="s">
        <v>50</v>
      </c>
    </row>
    <row r="1483" spans="1:26" x14ac:dyDescent="0.3">
      <c r="A1483">
        <v>10285</v>
      </c>
      <c r="B1483">
        <v>34</v>
      </c>
      <c r="C1483">
        <v>100</v>
      </c>
      <c r="D1483">
        <v>7</v>
      </c>
      <c r="E1483">
        <v>3716.88</v>
      </c>
      <c r="F1483" s="1">
        <v>38226</v>
      </c>
      <c r="G1483" t="s">
        <v>39</v>
      </c>
      <c r="H1483">
        <v>3</v>
      </c>
      <c r="I1483">
        <v>8</v>
      </c>
      <c r="J1483" t="str">
        <f>TEXT(DATE(2012,Table1[[#This Row],[MONTH_ID]],10),"mmm")</f>
        <v>Aug</v>
      </c>
      <c r="K1483">
        <v>2004</v>
      </c>
      <c r="L1483" t="s">
        <v>40</v>
      </c>
      <c r="M1483">
        <v>112</v>
      </c>
      <c r="N1483" t="s">
        <v>636</v>
      </c>
      <c r="O1483" t="s">
        <v>134</v>
      </c>
      <c r="P1483">
        <v>6175558555</v>
      </c>
      <c r="Q1483" t="s">
        <v>135</v>
      </c>
      <c r="S1483" t="s">
        <v>136</v>
      </c>
      <c r="T1483" t="s">
        <v>137</v>
      </c>
      <c r="U1483">
        <v>51247</v>
      </c>
      <c r="V1483" t="s">
        <v>46</v>
      </c>
      <c r="W1483" t="s">
        <v>47</v>
      </c>
      <c r="X1483" t="s">
        <v>138</v>
      </c>
      <c r="Y1483" t="s">
        <v>139</v>
      </c>
      <c r="Z1483" t="s">
        <v>65</v>
      </c>
    </row>
    <row r="1484" spans="1:26" x14ac:dyDescent="0.3">
      <c r="A1484">
        <v>10299</v>
      </c>
      <c r="B1484">
        <v>47</v>
      </c>
      <c r="C1484">
        <v>100</v>
      </c>
      <c r="D1484">
        <v>10</v>
      </c>
      <c r="E1484">
        <v>5455.76</v>
      </c>
      <c r="F1484" s="1">
        <v>38260</v>
      </c>
      <c r="G1484" t="s">
        <v>39</v>
      </c>
      <c r="H1484">
        <v>3</v>
      </c>
      <c r="I1484">
        <v>9</v>
      </c>
      <c r="J1484" t="str">
        <f>TEXT(DATE(2012,Table1[[#This Row],[MONTH_ID]],10),"mmm")</f>
        <v>Sep</v>
      </c>
      <c r="K1484">
        <v>2004</v>
      </c>
      <c r="L1484" t="s">
        <v>40</v>
      </c>
      <c r="M1484">
        <v>112</v>
      </c>
      <c r="N1484" t="s">
        <v>636</v>
      </c>
      <c r="O1484" t="s">
        <v>140</v>
      </c>
      <c r="P1484" t="s">
        <v>141</v>
      </c>
      <c r="Q1484" t="s">
        <v>142</v>
      </c>
      <c r="S1484" t="s">
        <v>143</v>
      </c>
      <c r="U1484">
        <v>21240</v>
      </c>
      <c r="V1484" t="s">
        <v>144</v>
      </c>
      <c r="W1484" t="s">
        <v>56</v>
      </c>
      <c r="X1484" t="s">
        <v>145</v>
      </c>
      <c r="Y1484" t="s">
        <v>146</v>
      </c>
      <c r="Z1484" t="s">
        <v>65</v>
      </c>
    </row>
    <row r="1485" spans="1:26" x14ac:dyDescent="0.3">
      <c r="A1485">
        <v>10309</v>
      </c>
      <c r="B1485">
        <v>21</v>
      </c>
      <c r="C1485">
        <v>100</v>
      </c>
      <c r="D1485">
        <v>6</v>
      </c>
      <c r="E1485">
        <v>2650.62</v>
      </c>
      <c r="F1485" s="1">
        <v>38275</v>
      </c>
      <c r="G1485" t="s">
        <v>39</v>
      </c>
      <c r="H1485">
        <v>4</v>
      </c>
      <c r="I1485">
        <v>10</v>
      </c>
      <c r="J1485" t="str">
        <f>TEXT(DATE(2012,Table1[[#This Row],[MONTH_ID]],10),"mmm")</f>
        <v>Oct</v>
      </c>
      <c r="K1485">
        <v>2004</v>
      </c>
      <c r="L1485" t="s">
        <v>40</v>
      </c>
      <c r="M1485">
        <v>112</v>
      </c>
      <c r="N1485" t="s">
        <v>636</v>
      </c>
      <c r="O1485" t="s">
        <v>147</v>
      </c>
      <c r="P1485" t="s">
        <v>148</v>
      </c>
      <c r="Q1485" t="s">
        <v>149</v>
      </c>
      <c r="S1485" t="s">
        <v>150</v>
      </c>
      <c r="U1485">
        <v>4110</v>
      </c>
      <c r="V1485" t="s">
        <v>92</v>
      </c>
      <c r="W1485" t="s">
        <v>56</v>
      </c>
      <c r="X1485" t="s">
        <v>151</v>
      </c>
      <c r="Y1485" t="s">
        <v>152</v>
      </c>
      <c r="Z1485" t="s">
        <v>50</v>
      </c>
    </row>
    <row r="1486" spans="1:26" x14ac:dyDescent="0.3">
      <c r="A1486">
        <v>10318</v>
      </c>
      <c r="B1486">
        <v>48</v>
      </c>
      <c r="C1486">
        <v>100</v>
      </c>
      <c r="D1486">
        <v>2</v>
      </c>
      <c r="E1486">
        <v>6437.28</v>
      </c>
      <c r="F1486" s="1">
        <v>38293</v>
      </c>
      <c r="G1486" t="s">
        <v>39</v>
      </c>
      <c r="H1486">
        <v>4</v>
      </c>
      <c r="I1486">
        <v>11</v>
      </c>
      <c r="J1486" t="str">
        <f>TEXT(DATE(2012,Table1[[#This Row],[MONTH_ID]],10),"mmm")</f>
        <v>Nov</v>
      </c>
      <c r="K1486">
        <v>2004</v>
      </c>
      <c r="L1486" t="s">
        <v>40</v>
      </c>
      <c r="M1486">
        <v>112</v>
      </c>
      <c r="N1486" t="s">
        <v>636</v>
      </c>
      <c r="O1486" t="s">
        <v>153</v>
      </c>
      <c r="P1486">
        <v>2155551555</v>
      </c>
      <c r="Q1486" t="s">
        <v>154</v>
      </c>
      <c r="S1486" t="s">
        <v>155</v>
      </c>
      <c r="T1486" t="s">
        <v>156</v>
      </c>
      <c r="U1486">
        <v>70267</v>
      </c>
      <c r="V1486" t="s">
        <v>46</v>
      </c>
      <c r="W1486" t="s">
        <v>47</v>
      </c>
      <c r="X1486" t="s">
        <v>48</v>
      </c>
      <c r="Y1486" t="s">
        <v>157</v>
      </c>
      <c r="Z1486" t="s">
        <v>65</v>
      </c>
    </row>
    <row r="1487" spans="1:26" x14ac:dyDescent="0.3">
      <c r="A1487">
        <v>10329</v>
      </c>
      <c r="B1487">
        <v>30</v>
      </c>
      <c r="C1487">
        <v>87.78</v>
      </c>
      <c r="D1487">
        <v>7</v>
      </c>
      <c r="E1487">
        <v>2633.4</v>
      </c>
      <c r="F1487" s="1">
        <v>38306</v>
      </c>
      <c r="G1487" t="s">
        <v>39</v>
      </c>
      <c r="H1487">
        <v>4</v>
      </c>
      <c r="I1487">
        <v>11</v>
      </c>
      <c r="J1487" t="str">
        <f>TEXT(DATE(2012,Table1[[#This Row],[MONTH_ID]],10),"mmm")</f>
        <v>Nov</v>
      </c>
      <c r="K1487">
        <v>2004</v>
      </c>
      <c r="L1487" t="s">
        <v>40</v>
      </c>
      <c r="M1487">
        <v>112</v>
      </c>
      <c r="N1487" t="s">
        <v>636</v>
      </c>
      <c r="O1487" t="s">
        <v>42</v>
      </c>
      <c r="P1487">
        <v>2125557818</v>
      </c>
      <c r="Q1487" t="s">
        <v>43</v>
      </c>
      <c r="S1487" t="s">
        <v>44</v>
      </c>
      <c r="T1487" t="s">
        <v>45</v>
      </c>
      <c r="U1487">
        <v>10022</v>
      </c>
      <c r="V1487" t="s">
        <v>46</v>
      </c>
      <c r="W1487" t="s">
        <v>47</v>
      </c>
      <c r="X1487" t="s">
        <v>48</v>
      </c>
      <c r="Y1487" t="s">
        <v>49</v>
      </c>
      <c r="Z1487" t="s">
        <v>50</v>
      </c>
    </row>
    <row r="1488" spans="1:26" x14ac:dyDescent="0.3">
      <c r="A1488">
        <v>10339</v>
      </c>
      <c r="B1488">
        <v>27</v>
      </c>
      <c r="C1488">
        <v>84.39</v>
      </c>
      <c r="D1488">
        <v>10</v>
      </c>
      <c r="E1488">
        <v>2278.5300000000002</v>
      </c>
      <c r="F1488" s="1">
        <v>38314</v>
      </c>
      <c r="G1488" t="s">
        <v>39</v>
      </c>
      <c r="H1488">
        <v>4</v>
      </c>
      <c r="I1488">
        <v>11</v>
      </c>
      <c r="J1488" t="str">
        <f>TEXT(DATE(2012,Table1[[#This Row],[MONTH_ID]],10),"mmm")</f>
        <v>Nov</v>
      </c>
      <c r="K1488">
        <v>2004</v>
      </c>
      <c r="L1488" t="s">
        <v>40</v>
      </c>
      <c r="M1488">
        <v>112</v>
      </c>
      <c r="N1488" t="s">
        <v>636</v>
      </c>
      <c r="O1488" t="s">
        <v>260</v>
      </c>
      <c r="P1488" t="s">
        <v>261</v>
      </c>
      <c r="Q1488" t="s">
        <v>262</v>
      </c>
      <c r="S1488" t="s">
        <v>263</v>
      </c>
      <c r="T1488" t="s">
        <v>264</v>
      </c>
      <c r="U1488" t="s">
        <v>265</v>
      </c>
      <c r="V1488" t="s">
        <v>214</v>
      </c>
      <c r="W1488" t="s">
        <v>214</v>
      </c>
      <c r="X1488" t="s">
        <v>266</v>
      </c>
      <c r="Y1488" t="s">
        <v>267</v>
      </c>
      <c r="Z1488" t="s">
        <v>50</v>
      </c>
    </row>
    <row r="1489" spans="1:26" x14ac:dyDescent="0.3">
      <c r="A1489">
        <v>10362</v>
      </c>
      <c r="B1489">
        <v>50</v>
      </c>
      <c r="C1489">
        <v>96.92</v>
      </c>
      <c r="D1489">
        <v>2</v>
      </c>
      <c r="E1489">
        <v>4846</v>
      </c>
      <c r="F1489" s="1">
        <v>38357</v>
      </c>
      <c r="G1489" t="s">
        <v>39</v>
      </c>
      <c r="H1489">
        <v>1</v>
      </c>
      <c r="I1489">
        <v>1</v>
      </c>
      <c r="J1489" t="str">
        <f>TEXT(DATE(2012,Table1[[#This Row],[MONTH_ID]],10),"mmm")</f>
        <v>Jan</v>
      </c>
      <c r="K1489">
        <v>2005</v>
      </c>
      <c r="L1489" t="s">
        <v>40</v>
      </c>
      <c r="M1489">
        <v>112</v>
      </c>
      <c r="N1489" t="s">
        <v>636</v>
      </c>
      <c r="O1489" t="s">
        <v>76</v>
      </c>
      <c r="P1489">
        <v>6505556809</v>
      </c>
      <c r="Q1489" t="s">
        <v>77</v>
      </c>
      <c r="S1489" t="s">
        <v>78</v>
      </c>
      <c r="T1489" t="s">
        <v>69</v>
      </c>
      <c r="U1489">
        <v>94217</v>
      </c>
      <c r="V1489" t="s">
        <v>46</v>
      </c>
      <c r="W1489" t="s">
        <v>47</v>
      </c>
      <c r="X1489" t="s">
        <v>79</v>
      </c>
      <c r="Y1489" t="s">
        <v>80</v>
      </c>
      <c r="Z1489" t="s">
        <v>65</v>
      </c>
    </row>
    <row r="1490" spans="1:26" x14ac:dyDescent="0.3">
      <c r="A1490">
        <v>10374</v>
      </c>
      <c r="B1490">
        <v>38</v>
      </c>
      <c r="C1490">
        <v>100</v>
      </c>
      <c r="D1490">
        <v>6</v>
      </c>
      <c r="E1490">
        <v>4197.1000000000004</v>
      </c>
      <c r="F1490" s="1">
        <v>38385</v>
      </c>
      <c r="G1490" t="s">
        <v>39</v>
      </c>
      <c r="H1490">
        <v>1</v>
      </c>
      <c r="I1490">
        <v>2</v>
      </c>
      <c r="J1490" t="str">
        <f>TEXT(DATE(2012,Table1[[#This Row],[MONTH_ID]],10),"mmm")</f>
        <v>Feb</v>
      </c>
      <c r="K1490">
        <v>2005</v>
      </c>
      <c r="L1490" t="s">
        <v>40</v>
      </c>
      <c r="M1490">
        <v>112</v>
      </c>
      <c r="N1490" t="s">
        <v>636</v>
      </c>
      <c r="O1490" t="s">
        <v>221</v>
      </c>
      <c r="P1490" t="s">
        <v>222</v>
      </c>
      <c r="Q1490" t="s">
        <v>223</v>
      </c>
      <c r="S1490" t="s">
        <v>224</v>
      </c>
      <c r="T1490" t="s">
        <v>225</v>
      </c>
      <c r="U1490">
        <v>4101</v>
      </c>
      <c r="V1490" t="s">
        <v>109</v>
      </c>
      <c r="W1490" t="s">
        <v>110</v>
      </c>
      <c r="X1490" t="s">
        <v>226</v>
      </c>
      <c r="Y1490" t="s">
        <v>227</v>
      </c>
      <c r="Z1490" t="s">
        <v>65</v>
      </c>
    </row>
    <row r="1491" spans="1:26" x14ac:dyDescent="0.3">
      <c r="A1491">
        <v>10389</v>
      </c>
      <c r="B1491">
        <v>45</v>
      </c>
      <c r="C1491">
        <v>100</v>
      </c>
      <c r="D1491">
        <v>1</v>
      </c>
      <c r="E1491">
        <v>4597.6499999999996</v>
      </c>
      <c r="F1491" s="1">
        <v>38414</v>
      </c>
      <c r="G1491" t="s">
        <v>39</v>
      </c>
      <c r="H1491">
        <v>1</v>
      </c>
      <c r="I1491">
        <v>3</v>
      </c>
      <c r="J1491" t="str">
        <f>TEXT(DATE(2012,Table1[[#This Row],[MONTH_ID]],10),"mmm")</f>
        <v>Mar</v>
      </c>
      <c r="K1491">
        <v>2005</v>
      </c>
      <c r="L1491" t="s">
        <v>40</v>
      </c>
      <c r="M1491">
        <v>112</v>
      </c>
      <c r="N1491" t="s">
        <v>636</v>
      </c>
      <c r="O1491" t="s">
        <v>275</v>
      </c>
      <c r="P1491" t="s">
        <v>276</v>
      </c>
      <c r="Q1491" t="s">
        <v>277</v>
      </c>
      <c r="S1491" t="s">
        <v>278</v>
      </c>
      <c r="U1491" t="s">
        <v>279</v>
      </c>
      <c r="V1491" t="s">
        <v>202</v>
      </c>
      <c r="W1491" t="s">
        <v>56</v>
      </c>
      <c r="X1491" t="s">
        <v>280</v>
      </c>
      <c r="Y1491" t="s">
        <v>220</v>
      </c>
      <c r="Z1491" t="s">
        <v>65</v>
      </c>
    </row>
    <row r="1492" spans="1:26" x14ac:dyDescent="0.3">
      <c r="A1492">
        <v>10403</v>
      </c>
      <c r="B1492">
        <v>46</v>
      </c>
      <c r="C1492">
        <v>100</v>
      </c>
      <c r="D1492">
        <v>8</v>
      </c>
      <c r="E1492">
        <v>5287.7</v>
      </c>
      <c r="F1492" s="1">
        <v>38450</v>
      </c>
      <c r="G1492" t="s">
        <v>39</v>
      </c>
      <c r="H1492">
        <v>2</v>
      </c>
      <c r="I1492">
        <v>4</v>
      </c>
      <c r="J1492" t="str">
        <f>TEXT(DATE(2012,Table1[[#This Row],[MONTH_ID]],10),"mmm")</f>
        <v>Apr</v>
      </c>
      <c r="K1492">
        <v>2005</v>
      </c>
      <c r="L1492" t="s">
        <v>40</v>
      </c>
      <c r="M1492">
        <v>112</v>
      </c>
      <c r="N1492" t="s">
        <v>636</v>
      </c>
      <c r="O1492" t="s">
        <v>179</v>
      </c>
      <c r="P1492" t="s">
        <v>180</v>
      </c>
      <c r="Q1492" t="s">
        <v>181</v>
      </c>
      <c r="S1492" t="s">
        <v>182</v>
      </c>
      <c r="U1492" t="s">
        <v>183</v>
      </c>
      <c r="V1492" t="s">
        <v>184</v>
      </c>
      <c r="W1492" t="s">
        <v>56</v>
      </c>
      <c r="X1492" t="s">
        <v>185</v>
      </c>
      <c r="Y1492" t="s">
        <v>186</v>
      </c>
      <c r="Z1492" t="s">
        <v>65</v>
      </c>
    </row>
    <row r="1493" spans="1:26" x14ac:dyDescent="0.3">
      <c r="A1493">
        <v>10417</v>
      </c>
      <c r="B1493">
        <v>35</v>
      </c>
      <c r="C1493">
        <v>100</v>
      </c>
      <c r="D1493">
        <v>3</v>
      </c>
      <c r="E1493">
        <v>3550.05</v>
      </c>
      <c r="F1493" s="1">
        <v>38485</v>
      </c>
      <c r="G1493" t="s">
        <v>187</v>
      </c>
      <c r="H1493">
        <v>2</v>
      </c>
      <c r="I1493">
        <v>5</v>
      </c>
      <c r="J1493" t="str">
        <f>TEXT(DATE(2012,Table1[[#This Row],[MONTH_ID]],10),"mmm")</f>
        <v>May</v>
      </c>
      <c r="K1493">
        <v>2005</v>
      </c>
      <c r="L1493" t="s">
        <v>40</v>
      </c>
      <c r="M1493">
        <v>112</v>
      </c>
      <c r="N1493" t="s">
        <v>636</v>
      </c>
      <c r="O1493" t="s">
        <v>188</v>
      </c>
      <c r="P1493" t="s">
        <v>189</v>
      </c>
      <c r="Q1493" t="s">
        <v>190</v>
      </c>
      <c r="S1493" t="s">
        <v>191</v>
      </c>
      <c r="U1493">
        <v>28034</v>
      </c>
      <c r="V1493" t="s">
        <v>192</v>
      </c>
      <c r="W1493" t="s">
        <v>56</v>
      </c>
      <c r="X1493" t="s">
        <v>193</v>
      </c>
      <c r="Y1493" t="s">
        <v>194</v>
      </c>
      <c r="Z1493" t="s">
        <v>65</v>
      </c>
    </row>
    <row r="1494" spans="1:26" x14ac:dyDescent="0.3">
      <c r="A1494">
        <v>10110</v>
      </c>
      <c r="B1494">
        <v>29</v>
      </c>
      <c r="C1494">
        <v>59.37</v>
      </c>
      <c r="D1494">
        <v>15</v>
      </c>
      <c r="E1494">
        <v>1721.73</v>
      </c>
      <c r="F1494" s="1">
        <v>37698</v>
      </c>
      <c r="G1494" t="s">
        <v>39</v>
      </c>
      <c r="H1494">
        <v>1</v>
      </c>
      <c r="I1494">
        <v>3</v>
      </c>
      <c r="J1494" t="str">
        <f>TEXT(DATE(2012,Table1[[#This Row],[MONTH_ID]],10),"mmm")</f>
        <v>Mar</v>
      </c>
      <c r="K1494">
        <v>2003</v>
      </c>
      <c r="L1494" t="s">
        <v>195</v>
      </c>
      <c r="M1494">
        <v>50</v>
      </c>
      <c r="N1494" t="s">
        <v>637</v>
      </c>
      <c r="O1494" t="s">
        <v>506</v>
      </c>
      <c r="P1494" t="s">
        <v>507</v>
      </c>
      <c r="Q1494" t="s">
        <v>508</v>
      </c>
      <c r="S1494" t="s">
        <v>509</v>
      </c>
      <c r="U1494" t="s">
        <v>510</v>
      </c>
      <c r="V1494" t="s">
        <v>184</v>
      </c>
      <c r="W1494" t="s">
        <v>56</v>
      </c>
      <c r="X1494" t="s">
        <v>511</v>
      </c>
      <c r="Y1494" t="s">
        <v>108</v>
      </c>
      <c r="Z1494" t="s">
        <v>50</v>
      </c>
    </row>
    <row r="1495" spans="1:26" x14ac:dyDescent="0.3">
      <c r="A1495">
        <v>10123</v>
      </c>
      <c r="B1495">
        <v>50</v>
      </c>
      <c r="C1495">
        <v>59.87</v>
      </c>
      <c r="D1495">
        <v>1</v>
      </c>
      <c r="E1495">
        <v>2993.5</v>
      </c>
      <c r="F1495" s="1">
        <v>37761</v>
      </c>
      <c r="G1495" t="s">
        <v>39</v>
      </c>
      <c r="H1495">
        <v>2</v>
      </c>
      <c r="I1495">
        <v>5</v>
      </c>
      <c r="J1495" t="str">
        <f>TEXT(DATE(2012,Table1[[#This Row],[MONTH_ID]],10),"mmm")</f>
        <v>May</v>
      </c>
      <c r="K1495">
        <v>2003</v>
      </c>
      <c r="L1495" t="s">
        <v>195</v>
      </c>
      <c r="M1495">
        <v>50</v>
      </c>
      <c r="N1495" t="s">
        <v>637</v>
      </c>
      <c r="O1495" t="s">
        <v>326</v>
      </c>
      <c r="P1495" t="s">
        <v>327</v>
      </c>
      <c r="Q1495" t="s">
        <v>328</v>
      </c>
      <c r="S1495" t="s">
        <v>131</v>
      </c>
      <c r="U1495">
        <v>44000</v>
      </c>
      <c r="V1495" t="s">
        <v>55</v>
      </c>
      <c r="W1495" t="s">
        <v>56</v>
      </c>
      <c r="X1495" t="s">
        <v>329</v>
      </c>
      <c r="Y1495" t="s">
        <v>330</v>
      </c>
      <c r="Z1495" t="s">
        <v>50</v>
      </c>
    </row>
    <row r="1496" spans="1:26" x14ac:dyDescent="0.3">
      <c r="A1496">
        <v>10137</v>
      </c>
      <c r="B1496">
        <v>26</v>
      </c>
      <c r="C1496">
        <v>49.81</v>
      </c>
      <c r="D1496">
        <v>1</v>
      </c>
      <c r="E1496">
        <v>1295.06</v>
      </c>
      <c r="F1496" s="1">
        <v>37812</v>
      </c>
      <c r="G1496" t="s">
        <v>39</v>
      </c>
      <c r="H1496">
        <v>3</v>
      </c>
      <c r="I1496">
        <v>7</v>
      </c>
      <c r="J1496" t="str">
        <f>TEXT(DATE(2012,Table1[[#This Row],[MONTH_ID]],10),"mmm")</f>
        <v>Jul</v>
      </c>
      <c r="K1496">
        <v>2003</v>
      </c>
      <c r="L1496" t="s">
        <v>195</v>
      </c>
      <c r="M1496">
        <v>50</v>
      </c>
      <c r="N1496" t="s">
        <v>637</v>
      </c>
      <c r="O1496" t="s">
        <v>51</v>
      </c>
      <c r="P1496" t="s">
        <v>52</v>
      </c>
      <c r="Q1496" t="s">
        <v>53</v>
      </c>
      <c r="S1496" t="s">
        <v>54</v>
      </c>
      <c r="U1496">
        <v>51100</v>
      </c>
      <c r="V1496" t="s">
        <v>55</v>
      </c>
      <c r="W1496" t="s">
        <v>56</v>
      </c>
      <c r="X1496" t="s">
        <v>57</v>
      </c>
      <c r="Y1496" t="s">
        <v>58</v>
      </c>
      <c r="Z1496" t="s">
        <v>50</v>
      </c>
    </row>
    <row r="1497" spans="1:26" x14ac:dyDescent="0.3">
      <c r="A1497">
        <v>10148</v>
      </c>
      <c r="B1497">
        <v>47</v>
      </c>
      <c r="C1497">
        <v>56.85</v>
      </c>
      <c r="D1497">
        <v>8</v>
      </c>
      <c r="E1497">
        <v>2671.95</v>
      </c>
      <c r="F1497" s="1">
        <v>37875</v>
      </c>
      <c r="G1497" t="s">
        <v>39</v>
      </c>
      <c r="H1497">
        <v>3</v>
      </c>
      <c r="I1497">
        <v>9</v>
      </c>
      <c r="J1497" t="str">
        <f>TEXT(DATE(2012,Table1[[#This Row],[MONTH_ID]],10),"mmm")</f>
        <v>Sep</v>
      </c>
      <c r="K1497">
        <v>2003</v>
      </c>
      <c r="L1497" t="s">
        <v>195</v>
      </c>
      <c r="M1497">
        <v>50</v>
      </c>
      <c r="N1497" t="s">
        <v>637</v>
      </c>
      <c r="O1497" t="s">
        <v>299</v>
      </c>
      <c r="P1497" t="s">
        <v>300</v>
      </c>
      <c r="Q1497" t="s">
        <v>301</v>
      </c>
      <c r="R1497" t="s">
        <v>302</v>
      </c>
      <c r="S1497" t="s">
        <v>303</v>
      </c>
      <c r="T1497" t="s">
        <v>171</v>
      </c>
      <c r="U1497">
        <v>2060</v>
      </c>
      <c r="V1497" t="s">
        <v>109</v>
      </c>
      <c r="W1497" t="s">
        <v>110</v>
      </c>
      <c r="X1497" t="s">
        <v>304</v>
      </c>
      <c r="Y1497" t="s">
        <v>305</v>
      </c>
      <c r="Z1497" t="s">
        <v>50</v>
      </c>
    </row>
    <row r="1498" spans="1:26" x14ac:dyDescent="0.3">
      <c r="A1498">
        <v>10161</v>
      </c>
      <c r="B1498">
        <v>23</v>
      </c>
      <c r="C1498">
        <v>53.33</v>
      </c>
      <c r="D1498">
        <v>7</v>
      </c>
      <c r="E1498">
        <v>1226.5899999999999</v>
      </c>
      <c r="F1498" s="1">
        <v>37911</v>
      </c>
      <c r="G1498" t="s">
        <v>39</v>
      </c>
      <c r="H1498">
        <v>4</v>
      </c>
      <c r="I1498">
        <v>10</v>
      </c>
      <c r="J1498" t="str">
        <f>TEXT(DATE(2012,Table1[[#This Row],[MONTH_ID]],10),"mmm")</f>
        <v>Oct</v>
      </c>
      <c r="K1498">
        <v>2003</v>
      </c>
      <c r="L1498" t="s">
        <v>195</v>
      </c>
      <c r="M1498">
        <v>50</v>
      </c>
      <c r="N1498" t="s">
        <v>637</v>
      </c>
      <c r="O1498" t="s">
        <v>512</v>
      </c>
      <c r="P1498" t="s">
        <v>513</v>
      </c>
      <c r="Q1498" t="s">
        <v>514</v>
      </c>
      <c r="S1498" t="s">
        <v>515</v>
      </c>
      <c r="U1498">
        <v>8200</v>
      </c>
      <c r="V1498" t="s">
        <v>340</v>
      </c>
      <c r="W1498" t="s">
        <v>56</v>
      </c>
      <c r="X1498" t="s">
        <v>516</v>
      </c>
      <c r="Y1498" t="s">
        <v>517</v>
      </c>
      <c r="Z1498" t="s">
        <v>50</v>
      </c>
    </row>
    <row r="1499" spans="1:26" x14ac:dyDescent="0.3">
      <c r="A1499">
        <v>10172</v>
      </c>
      <c r="B1499">
        <v>34</v>
      </c>
      <c r="C1499">
        <v>42.76</v>
      </c>
      <c r="D1499">
        <v>5</v>
      </c>
      <c r="E1499">
        <v>1453.84</v>
      </c>
      <c r="F1499" s="1">
        <v>37930</v>
      </c>
      <c r="G1499" t="s">
        <v>39</v>
      </c>
      <c r="H1499">
        <v>4</v>
      </c>
      <c r="I1499">
        <v>11</v>
      </c>
      <c r="J1499" t="str">
        <f>TEXT(DATE(2012,Table1[[#This Row],[MONTH_ID]],10),"mmm")</f>
        <v>Nov</v>
      </c>
      <c r="K1499">
        <v>2003</v>
      </c>
      <c r="L1499" t="s">
        <v>195</v>
      </c>
      <c r="M1499">
        <v>50</v>
      </c>
      <c r="N1499" t="s">
        <v>637</v>
      </c>
      <c r="O1499" t="s">
        <v>123</v>
      </c>
      <c r="P1499">
        <v>2035552570</v>
      </c>
      <c r="Q1499" t="s">
        <v>124</v>
      </c>
      <c r="S1499" t="s">
        <v>125</v>
      </c>
      <c r="T1499" t="s">
        <v>126</v>
      </c>
      <c r="U1499">
        <v>97562</v>
      </c>
      <c r="V1499" t="s">
        <v>46</v>
      </c>
      <c r="W1499" t="s">
        <v>47</v>
      </c>
      <c r="X1499" t="s">
        <v>127</v>
      </c>
      <c r="Y1499" t="s">
        <v>71</v>
      </c>
      <c r="Z1499" t="s">
        <v>50</v>
      </c>
    </row>
    <row r="1500" spans="1:26" x14ac:dyDescent="0.3">
      <c r="A1500">
        <v>10181</v>
      </c>
      <c r="B1500">
        <v>34</v>
      </c>
      <c r="C1500">
        <v>53.83</v>
      </c>
      <c r="D1500">
        <v>1</v>
      </c>
      <c r="E1500">
        <v>1830.22</v>
      </c>
      <c r="F1500" s="1">
        <v>37937</v>
      </c>
      <c r="G1500" t="s">
        <v>39</v>
      </c>
      <c r="H1500">
        <v>4</v>
      </c>
      <c r="I1500">
        <v>11</v>
      </c>
      <c r="J1500" t="str">
        <f>TEXT(DATE(2012,Table1[[#This Row],[MONTH_ID]],10),"mmm")</f>
        <v>Nov</v>
      </c>
      <c r="K1500">
        <v>2003</v>
      </c>
      <c r="L1500" t="s">
        <v>195</v>
      </c>
      <c r="M1500">
        <v>50</v>
      </c>
      <c r="N1500" t="s">
        <v>637</v>
      </c>
      <c r="O1500" t="s">
        <v>87</v>
      </c>
      <c r="P1500" t="s">
        <v>88</v>
      </c>
      <c r="Q1500" t="s">
        <v>89</v>
      </c>
      <c r="S1500" t="s">
        <v>90</v>
      </c>
      <c r="U1500" t="s">
        <v>91</v>
      </c>
      <c r="V1500" t="s">
        <v>92</v>
      </c>
      <c r="W1500" t="s">
        <v>56</v>
      </c>
      <c r="X1500" t="s">
        <v>93</v>
      </c>
      <c r="Y1500" t="s">
        <v>94</v>
      </c>
      <c r="Z1500" t="s">
        <v>50</v>
      </c>
    </row>
    <row r="1501" spans="1:26" x14ac:dyDescent="0.3">
      <c r="A1501">
        <v>10192</v>
      </c>
      <c r="B1501">
        <v>47</v>
      </c>
      <c r="C1501">
        <v>53.83</v>
      </c>
      <c r="D1501">
        <v>6</v>
      </c>
      <c r="E1501">
        <v>2530.0100000000002</v>
      </c>
      <c r="F1501" s="1">
        <v>37945</v>
      </c>
      <c r="G1501" t="s">
        <v>39</v>
      </c>
      <c r="H1501">
        <v>4</v>
      </c>
      <c r="I1501">
        <v>11</v>
      </c>
      <c r="J1501" t="str">
        <f>TEXT(DATE(2012,Table1[[#This Row],[MONTH_ID]],10),"mmm")</f>
        <v>Nov</v>
      </c>
      <c r="K1501">
        <v>2003</v>
      </c>
      <c r="L1501" t="s">
        <v>195</v>
      </c>
      <c r="M1501">
        <v>50</v>
      </c>
      <c r="N1501" t="s">
        <v>637</v>
      </c>
      <c r="O1501" t="s">
        <v>291</v>
      </c>
      <c r="P1501">
        <v>6035558647</v>
      </c>
      <c r="Q1501" t="s">
        <v>292</v>
      </c>
      <c r="S1501" t="s">
        <v>293</v>
      </c>
      <c r="T1501" t="s">
        <v>294</v>
      </c>
      <c r="U1501">
        <v>62005</v>
      </c>
      <c r="V1501" t="s">
        <v>46</v>
      </c>
      <c r="W1501" t="s">
        <v>47</v>
      </c>
      <c r="X1501" t="s">
        <v>70</v>
      </c>
      <c r="Y1501" t="s">
        <v>290</v>
      </c>
      <c r="Z1501" t="s">
        <v>50</v>
      </c>
    </row>
    <row r="1502" spans="1:26" x14ac:dyDescent="0.3">
      <c r="A1502">
        <v>10204</v>
      </c>
      <c r="B1502">
        <v>45</v>
      </c>
      <c r="C1502">
        <v>49.81</v>
      </c>
      <c r="D1502">
        <v>12</v>
      </c>
      <c r="E1502">
        <v>2241.4499999999998</v>
      </c>
      <c r="F1502" s="1">
        <v>37957</v>
      </c>
      <c r="G1502" t="s">
        <v>39</v>
      </c>
      <c r="H1502">
        <v>4</v>
      </c>
      <c r="I1502">
        <v>12</v>
      </c>
      <c r="J1502" t="str">
        <f>TEXT(DATE(2012,Table1[[#This Row],[MONTH_ID]],10),"mmm")</f>
        <v>Dec</v>
      </c>
      <c r="K1502">
        <v>2003</v>
      </c>
      <c r="L1502" t="s">
        <v>195</v>
      </c>
      <c r="M1502">
        <v>50</v>
      </c>
      <c r="N1502" t="s">
        <v>637</v>
      </c>
      <c r="O1502" t="s">
        <v>489</v>
      </c>
      <c r="P1502">
        <v>2125557413</v>
      </c>
      <c r="Q1502" t="s">
        <v>490</v>
      </c>
      <c r="R1502" t="s">
        <v>491</v>
      </c>
      <c r="S1502" t="s">
        <v>44</v>
      </c>
      <c r="T1502" t="s">
        <v>45</v>
      </c>
      <c r="U1502">
        <v>10022</v>
      </c>
      <c r="V1502" t="s">
        <v>46</v>
      </c>
      <c r="W1502" t="s">
        <v>47</v>
      </c>
      <c r="X1502" t="s">
        <v>70</v>
      </c>
      <c r="Y1502" t="s">
        <v>492</v>
      </c>
      <c r="Z1502" t="s">
        <v>50</v>
      </c>
    </row>
    <row r="1503" spans="1:26" x14ac:dyDescent="0.3">
      <c r="A1503">
        <v>10212</v>
      </c>
      <c r="B1503">
        <v>45</v>
      </c>
      <c r="C1503">
        <v>53.33</v>
      </c>
      <c r="D1503">
        <v>5</v>
      </c>
      <c r="E1503">
        <v>2399.85</v>
      </c>
      <c r="F1503" s="1">
        <v>38002</v>
      </c>
      <c r="G1503" t="s">
        <v>39</v>
      </c>
      <c r="H1503">
        <v>1</v>
      </c>
      <c r="I1503">
        <v>1</v>
      </c>
      <c r="J1503" t="str">
        <f>TEXT(DATE(2012,Table1[[#This Row],[MONTH_ID]],10),"mmm")</f>
        <v>Jan</v>
      </c>
      <c r="K1503">
        <v>2004</v>
      </c>
      <c r="L1503" t="s">
        <v>195</v>
      </c>
      <c r="M1503">
        <v>50</v>
      </c>
      <c r="N1503" t="s">
        <v>637</v>
      </c>
      <c r="O1503" t="s">
        <v>188</v>
      </c>
      <c r="P1503" t="s">
        <v>189</v>
      </c>
      <c r="Q1503" t="s">
        <v>190</v>
      </c>
      <c r="S1503" t="s">
        <v>191</v>
      </c>
      <c r="U1503">
        <v>28034</v>
      </c>
      <c r="V1503" t="s">
        <v>192</v>
      </c>
      <c r="W1503" t="s">
        <v>56</v>
      </c>
      <c r="X1503" t="s">
        <v>193</v>
      </c>
      <c r="Y1503" t="s">
        <v>194</v>
      </c>
      <c r="Z1503" t="s">
        <v>50</v>
      </c>
    </row>
    <row r="1504" spans="1:26" x14ac:dyDescent="0.3">
      <c r="A1504">
        <v>10226</v>
      </c>
      <c r="B1504">
        <v>36</v>
      </c>
      <c r="C1504">
        <v>43.27</v>
      </c>
      <c r="D1504">
        <v>3</v>
      </c>
      <c r="E1504">
        <v>1557.72</v>
      </c>
      <c r="F1504" s="1">
        <v>38043</v>
      </c>
      <c r="G1504" t="s">
        <v>39</v>
      </c>
      <c r="H1504">
        <v>1</v>
      </c>
      <c r="I1504">
        <v>2</v>
      </c>
      <c r="J1504" t="str">
        <f>TEXT(DATE(2012,Table1[[#This Row],[MONTH_ID]],10),"mmm")</f>
        <v>Feb</v>
      </c>
      <c r="K1504">
        <v>2004</v>
      </c>
      <c r="L1504" t="s">
        <v>195</v>
      </c>
      <c r="M1504">
        <v>50</v>
      </c>
      <c r="N1504" t="s">
        <v>637</v>
      </c>
      <c r="O1504" t="s">
        <v>376</v>
      </c>
      <c r="P1504">
        <v>7605558146</v>
      </c>
      <c r="Q1504" t="s">
        <v>377</v>
      </c>
      <c r="S1504" t="s">
        <v>378</v>
      </c>
      <c r="T1504" t="s">
        <v>69</v>
      </c>
      <c r="U1504">
        <v>91217</v>
      </c>
      <c r="V1504" t="s">
        <v>46</v>
      </c>
      <c r="W1504" t="s">
        <v>47</v>
      </c>
      <c r="X1504" t="s">
        <v>251</v>
      </c>
      <c r="Y1504" t="s">
        <v>290</v>
      </c>
      <c r="Z1504" t="s">
        <v>50</v>
      </c>
    </row>
    <row r="1505" spans="1:26" x14ac:dyDescent="0.3">
      <c r="A1505">
        <v>10241</v>
      </c>
      <c r="B1505">
        <v>21</v>
      </c>
      <c r="C1505">
        <v>40.25</v>
      </c>
      <c r="D1505">
        <v>10</v>
      </c>
      <c r="E1505">
        <v>845.25</v>
      </c>
      <c r="F1505" s="1">
        <v>38090</v>
      </c>
      <c r="G1505" t="s">
        <v>39</v>
      </c>
      <c r="H1505">
        <v>2</v>
      </c>
      <c r="I1505">
        <v>4</v>
      </c>
      <c r="J1505" t="str">
        <f>TEXT(DATE(2012,Table1[[#This Row],[MONTH_ID]],10),"mmm")</f>
        <v>Apr</v>
      </c>
      <c r="K1505">
        <v>2004</v>
      </c>
      <c r="L1505" t="s">
        <v>195</v>
      </c>
      <c r="M1505">
        <v>50</v>
      </c>
      <c r="N1505" t="s">
        <v>637</v>
      </c>
      <c r="O1505" t="s">
        <v>545</v>
      </c>
      <c r="P1505" t="s">
        <v>546</v>
      </c>
      <c r="Q1505" t="s">
        <v>547</v>
      </c>
      <c r="S1505" t="s">
        <v>548</v>
      </c>
      <c r="U1505">
        <v>67000</v>
      </c>
      <c r="V1505" t="s">
        <v>55</v>
      </c>
      <c r="W1505" t="s">
        <v>56</v>
      </c>
      <c r="X1505" t="s">
        <v>549</v>
      </c>
      <c r="Y1505" t="s">
        <v>550</v>
      </c>
      <c r="Z1505" t="s">
        <v>50</v>
      </c>
    </row>
    <row r="1506" spans="1:26" x14ac:dyDescent="0.3">
      <c r="A1506">
        <v>10266</v>
      </c>
      <c r="B1506">
        <v>28</v>
      </c>
      <c r="C1506">
        <v>48.3</v>
      </c>
      <c r="D1506">
        <v>1</v>
      </c>
      <c r="E1506">
        <v>1352.4</v>
      </c>
      <c r="F1506" s="1">
        <v>38174</v>
      </c>
      <c r="G1506" t="s">
        <v>39</v>
      </c>
      <c r="H1506">
        <v>3</v>
      </c>
      <c r="I1506">
        <v>7</v>
      </c>
      <c r="J1506" t="str">
        <f>TEXT(DATE(2012,Table1[[#This Row],[MONTH_ID]],10),"mmm")</f>
        <v>Jul</v>
      </c>
      <c r="K1506">
        <v>2004</v>
      </c>
      <c r="L1506" t="s">
        <v>195</v>
      </c>
      <c r="M1506">
        <v>50</v>
      </c>
      <c r="N1506" t="s">
        <v>637</v>
      </c>
      <c r="O1506" t="s">
        <v>466</v>
      </c>
      <c r="P1506" t="s">
        <v>467</v>
      </c>
      <c r="Q1506" t="s">
        <v>468</v>
      </c>
      <c r="S1506" t="s">
        <v>469</v>
      </c>
      <c r="U1506">
        <v>42100</v>
      </c>
      <c r="V1506" t="s">
        <v>272</v>
      </c>
      <c r="W1506" t="s">
        <v>56</v>
      </c>
      <c r="X1506" t="s">
        <v>470</v>
      </c>
      <c r="Y1506" t="s">
        <v>471</v>
      </c>
      <c r="Z1506" t="s">
        <v>50</v>
      </c>
    </row>
    <row r="1507" spans="1:26" x14ac:dyDescent="0.3">
      <c r="A1507">
        <v>10278</v>
      </c>
      <c r="B1507">
        <v>35</v>
      </c>
      <c r="C1507">
        <v>45.28</v>
      </c>
      <c r="D1507">
        <v>1</v>
      </c>
      <c r="E1507">
        <v>1584.8</v>
      </c>
      <c r="F1507" s="1">
        <v>38205</v>
      </c>
      <c r="G1507" t="s">
        <v>39</v>
      </c>
      <c r="H1507">
        <v>3</v>
      </c>
      <c r="I1507">
        <v>8</v>
      </c>
      <c r="J1507" t="str">
        <f>TEXT(DATE(2012,Table1[[#This Row],[MONTH_ID]],10),"mmm")</f>
        <v>Aug</v>
      </c>
      <c r="K1507">
        <v>2004</v>
      </c>
      <c r="L1507" t="s">
        <v>195</v>
      </c>
      <c r="M1507">
        <v>50</v>
      </c>
      <c r="N1507" t="s">
        <v>637</v>
      </c>
      <c r="O1507" t="s">
        <v>553</v>
      </c>
      <c r="P1507">
        <v>7025551838</v>
      </c>
      <c r="Q1507" t="s">
        <v>554</v>
      </c>
      <c r="S1507" t="s">
        <v>555</v>
      </c>
      <c r="T1507" t="s">
        <v>556</v>
      </c>
      <c r="U1507">
        <v>83030</v>
      </c>
      <c r="V1507" t="s">
        <v>46</v>
      </c>
      <c r="W1507" t="s">
        <v>47</v>
      </c>
      <c r="X1507" t="s">
        <v>127</v>
      </c>
      <c r="Y1507" t="s">
        <v>414</v>
      </c>
      <c r="Z1507" t="s">
        <v>50</v>
      </c>
    </row>
    <row r="1508" spans="1:26" x14ac:dyDescent="0.3">
      <c r="A1508">
        <v>10288</v>
      </c>
      <c r="B1508">
        <v>50</v>
      </c>
      <c r="C1508">
        <v>52.32</v>
      </c>
      <c r="D1508">
        <v>13</v>
      </c>
      <c r="E1508">
        <v>2616</v>
      </c>
      <c r="F1508" s="1">
        <v>38231</v>
      </c>
      <c r="G1508" t="s">
        <v>39</v>
      </c>
      <c r="H1508">
        <v>3</v>
      </c>
      <c r="I1508">
        <v>9</v>
      </c>
      <c r="J1508" t="str">
        <f>TEXT(DATE(2012,Table1[[#This Row],[MONTH_ID]],10),"mmm")</f>
        <v>Sep</v>
      </c>
      <c r="K1508">
        <v>2004</v>
      </c>
      <c r="L1508" t="s">
        <v>195</v>
      </c>
      <c r="M1508">
        <v>50</v>
      </c>
      <c r="N1508" t="s">
        <v>637</v>
      </c>
      <c r="O1508" t="s">
        <v>432</v>
      </c>
      <c r="P1508" t="s">
        <v>433</v>
      </c>
      <c r="Q1508" t="s">
        <v>434</v>
      </c>
      <c r="R1508" t="s">
        <v>435</v>
      </c>
      <c r="S1508" t="s">
        <v>213</v>
      </c>
      <c r="U1508">
        <v>69045</v>
      </c>
      <c r="V1508" t="s">
        <v>213</v>
      </c>
      <c r="W1508" t="s">
        <v>110</v>
      </c>
      <c r="X1508" t="s">
        <v>436</v>
      </c>
      <c r="Y1508" t="s">
        <v>437</v>
      </c>
      <c r="Z1508" t="s">
        <v>50</v>
      </c>
    </row>
    <row r="1509" spans="1:26" x14ac:dyDescent="0.3">
      <c r="A1509">
        <v>10301</v>
      </c>
      <c r="B1509">
        <v>22</v>
      </c>
      <c r="C1509">
        <v>51.32</v>
      </c>
      <c r="D1509">
        <v>3</v>
      </c>
      <c r="E1509">
        <v>1129.04</v>
      </c>
      <c r="F1509" s="1">
        <v>37899</v>
      </c>
      <c r="G1509" t="s">
        <v>39</v>
      </c>
      <c r="H1509">
        <v>4</v>
      </c>
      <c r="I1509">
        <v>10</v>
      </c>
      <c r="J1509" t="str">
        <f>TEXT(DATE(2012,Table1[[#This Row],[MONTH_ID]],10),"mmm")</f>
        <v>Oct</v>
      </c>
      <c r="K1509">
        <v>2003</v>
      </c>
      <c r="L1509" t="s">
        <v>195</v>
      </c>
      <c r="M1509">
        <v>50</v>
      </c>
      <c r="N1509" t="s">
        <v>637</v>
      </c>
      <c r="O1509" t="s">
        <v>557</v>
      </c>
      <c r="P1509" t="s">
        <v>558</v>
      </c>
      <c r="Q1509" t="s">
        <v>559</v>
      </c>
      <c r="S1509" t="s">
        <v>560</v>
      </c>
      <c r="U1509" t="s">
        <v>561</v>
      </c>
      <c r="V1509" t="s">
        <v>92</v>
      </c>
      <c r="W1509" t="s">
        <v>56</v>
      </c>
      <c r="X1509" t="s">
        <v>562</v>
      </c>
      <c r="Y1509" t="s">
        <v>563</v>
      </c>
      <c r="Z1509" t="s">
        <v>50</v>
      </c>
    </row>
    <row r="1510" spans="1:26" x14ac:dyDescent="0.3">
      <c r="A1510">
        <v>10311</v>
      </c>
      <c r="B1510">
        <v>45</v>
      </c>
      <c r="C1510">
        <v>49.3</v>
      </c>
      <c r="D1510">
        <v>8</v>
      </c>
      <c r="E1510">
        <v>2218.5</v>
      </c>
      <c r="F1510" s="1">
        <v>38276</v>
      </c>
      <c r="G1510" t="s">
        <v>39</v>
      </c>
      <c r="H1510">
        <v>4</v>
      </c>
      <c r="I1510">
        <v>10</v>
      </c>
      <c r="J1510" t="str">
        <f>TEXT(DATE(2012,Table1[[#This Row],[MONTH_ID]],10),"mmm")</f>
        <v>Oct</v>
      </c>
      <c r="K1510">
        <v>2004</v>
      </c>
      <c r="L1510" t="s">
        <v>195</v>
      </c>
      <c r="M1510">
        <v>50</v>
      </c>
      <c r="N1510" t="s">
        <v>637</v>
      </c>
      <c r="O1510" t="s">
        <v>188</v>
      </c>
      <c r="P1510" t="s">
        <v>189</v>
      </c>
      <c r="Q1510" t="s">
        <v>190</v>
      </c>
      <c r="S1510" t="s">
        <v>191</v>
      </c>
      <c r="U1510">
        <v>28034</v>
      </c>
      <c r="V1510" t="s">
        <v>192</v>
      </c>
      <c r="W1510" t="s">
        <v>56</v>
      </c>
      <c r="X1510" t="s">
        <v>193</v>
      </c>
      <c r="Y1510" t="s">
        <v>194</v>
      </c>
      <c r="Z1510" t="s">
        <v>50</v>
      </c>
    </row>
    <row r="1511" spans="1:26" x14ac:dyDescent="0.3">
      <c r="A1511">
        <v>10321</v>
      </c>
      <c r="B1511">
        <v>48</v>
      </c>
      <c r="C1511">
        <v>42.26</v>
      </c>
      <c r="D1511">
        <v>5</v>
      </c>
      <c r="E1511">
        <v>2028.48</v>
      </c>
      <c r="F1511" s="1">
        <v>38295</v>
      </c>
      <c r="G1511" t="s">
        <v>39</v>
      </c>
      <c r="H1511">
        <v>4</v>
      </c>
      <c r="I1511">
        <v>11</v>
      </c>
      <c r="J1511" t="str">
        <f>TEXT(DATE(2012,Table1[[#This Row],[MONTH_ID]],10),"mmm")</f>
        <v>Nov</v>
      </c>
      <c r="K1511">
        <v>2004</v>
      </c>
      <c r="L1511" t="s">
        <v>195</v>
      </c>
      <c r="M1511">
        <v>50</v>
      </c>
      <c r="N1511" t="s">
        <v>637</v>
      </c>
      <c r="O1511" t="s">
        <v>174</v>
      </c>
      <c r="P1511">
        <v>5085552555</v>
      </c>
      <c r="Q1511" t="s">
        <v>175</v>
      </c>
      <c r="S1511" t="s">
        <v>176</v>
      </c>
      <c r="T1511" t="s">
        <v>137</v>
      </c>
      <c r="U1511">
        <v>50553</v>
      </c>
      <c r="V1511" t="s">
        <v>46</v>
      </c>
      <c r="W1511" t="s">
        <v>47</v>
      </c>
      <c r="X1511" t="s">
        <v>177</v>
      </c>
      <c r="Y1511" t="s">
        <v>178</v>
      </c>
      <c r="Z1511" t="s">
        <v>50</v>
      </c>
    </row>
    <row r="1512" spans="1:26" x14ac:dyDescent="0.3">
      <c r="A1512">
        <v>10332</v>
      </c>
      <c r="B1512">
        <v>20</v>
      </c>
      <c r="C1512">
        <v>87.96</v>
      </c>
      <c r="D1512">
        <v>5</v>
      </c>
      <c r="E1512">
        <v>1759.2</v>
      </c>
      <c r="F1512" s="1">
        <v>38308</v>
      </c>
      <c r="G1512" t="s">
        <v>39</v>
      </c>
      <c r="H1512">
        <v>4</v>
      </c>
      <c r="I1512">
        <v>11</v>
      </c>
      <c r="J1512" t="str">
        <f>TEXT(DATE(2012,Table1[[#This Row],[MONTH_ID]],10),"mmm")</f>
        <v>Nov</v>
      </c>
      <c r="K1512">
        <v>2004</v>
      </c>
      <c r="L1512" t="s">
        <v>195</v>
      </c>
      <c r="M1512">
        <v>50</v>
      </c>
      <c r="N1512" t="s">
        <v>637</v>
      </c>
      <c r="O1512" t="s">
        <v>506</v>
      </c>
      <c r="P1512" t="s">
        <v>507</v>
      </c>
      <c r="Q1512" t="s">
        <v>508</v>
      </c>
      <c r="S1512" t="s">
        <v>509</v>
      </c>
      <c r="U1512" t="s">
        <v>510</v>
      </c>
      <c r="V1512" t="s">
        <v>184</v>
      </c>
      <c r="W1512" t="s">
        <v>56</v>
      </c>
      <c r="X1512" t="s">
        <v>511</v>
      </c>
      <c r="Y1512" t="s">
        <v>108</v>
      </c>
      <c r="Z1512" t="s">
        <v>50</v>
      </c>
    </row>
    <row r="1513" spans="1:26" x14ac:dyDescent="0.3">
      <c r="A1513">
        <v>10343</v>
      </c>
      <c r="B1513">
        <v>27</v>
      </c>
      <c r="C1513">
        <v>36.21</v>
      </c>
      <c r="D1513">
        <v>6</v>
      </c>
      <c r="E1513">
        <v>977.67</v>
      </c>
      <c r="F1513" s="1">
        <v>38315</v>
      </c>
      <c r="G1513" t="s">
        <v>39</v>
      </c>
      <c r="H1513">
        <v>4</v>
      </c>
      <c r="I1513">
        <v>11</v>
      </c>
      <c r="J1513" t="str">
        <f>TEXT(DATE(2012,Table1[[#This Row],[MONTH_ID]],10),"mmm")</f>
        <v>Nov</v>
      </c>
      <c r="K1513">
        <v>2004</v>
      </c>
      <c r="L1513" t="s">
        <v>195</v>
      </c>
      <c r="M1513">
        <v>50</v>
      </c>
      <c r="N1513" t="s">
        <v>637</v>
      </c>
      <c r="O1513" t="s">
        <v>51</v>
      </c>
      <c r="P1513" t="s">
        <v>52</v>
      </c>
      <c r="Q1513" t="s">
        <v>53</v>
      </c>
      <c r="S1513" t="s">
        <v>54</v>
      </c>
      <c r="U1513">
        <v>51100</v>
      </c>
      <c r="V1513" t="s">
        <v>55</v>
      </c>
      <c r="W1513" t="s">
        <v>56</v>
      </c>
      <c r="X1513" t="s">
        <v>57</v>
      </c>
      <c r="Y1513" t="s">
        <v>58</v>
      </c>
      <c r="Z1513" t="s">
        <v>50</v>
      </c>
    </row>
    <row r="1514" spans="1:26" x14ac:dyDescent="0.3">
      <c r="A1514">
        <v>10367</v>
      </c>
      <c r="B1514">
        <v>38</v>
      </c>
      <c r="C1514">
        <v>38.5</v>
      </c>
      <c r="D1514">
        <v>11</v>
      </c>
      <c r="E1514">
        <v>1463</v>
      </c>
      <c r="F1514" s="1">
        <v>38364</v>
      </c>
      <c r="G1514" t="s">
        <v>422</v>
      </c>
      <c r="H1514">
        <v>1</v>
      </c>
      <c r="I1514">
        <v>1</v>
      </c>
      <c r="J1514" t="str">
        <f>TEXT(DATE(2012,Table1[[#This Row],[MONTH_ID]],10),"mmm")</f>
        <v>Jan</v>
      </c>
      <c r="K1514">
        <v>2005</v>
      </c>
      <c r="L1514" t="s">
        <v>195</v>
      </c>
      <c r="M1514">
        <v>50</v>
      </c>
      <c r="N1514" t="s">
        <v>637</v>
      </c>
      <c r="O1514" t="s">
        <v>66</v>
      </c>
      <c r="P1514">
        <v>6265557265</v>
      </c>
      <c r="Q1514" t="s">
        <v>67</v>
      </c>
      <c r="S1514" t="s">
        <v>68</v>
      </c>
      <c r="T1514" t="s">
        <v>69</v>
      </c>
      <c r="U1514">
        <v>90003</v>
      </c>
      <c r="V1514" t="s">
        <v>46</v>
      </c>
      <c r="W1514" t="s">
        <v>47</v>
      </c>
      <c r="X1514" t="s">
        <v>70</v>
      </c>
      <c r="Y1514" t="s">
        <v>71</v>
      </c>
      <c r="Z1514" t="s">
        <v>50</v>
      </c>
    </row>
    <row r="1515" spans="1:26" x14ac:dyDescent="0.3">
      <c r="A1515">
        <v>10379</v>
      </c>
      <c r="B1515">
        <v>32</v>
      </c>
      <c r="C1515">
        <v>100</v>
      </c>
      <c r="D1515">
        <v>3</v>
      </c>
      <c r="E1515">
        <v>3970.56</v>
      </c>
      <c r="F1515" s="1">
        <v>38393</v>
      </c>
      <c r="G1515" t="s">
        <v>39</v>
      </c>
      <c r="H1515">
        <v>1</v>
      </c>
      <c r="I1515">
        <v>2</v>
      </c>
      <c r="J1515" t="str">
        <f>TEXT(DATE(2012,Table1[[#This Row],[MONTH_ID]],10),"mmm")</f>
        <v>Feb</v>
      </c>
      <c r="K1515">
        <v>2005</v>
      </c>
      <c r="L1515" t="s">
        <v>195</v>
      </c>
      <c r="M1515">
        <v>50</v>
      </c>
      <c r="N1515" t="s">
        <v>637</v>
      </c>
      <c r="O1515" t="s">
        <v>188</v>
      </c>
      <c r="P1515" t="s">
        <v>189</v>
      </c>
      <c r="Q1515" t="s">
        <v>190</v>
      </c>
      <c r="S1515" t="s">
        <v>191</v>
      </c>
      <c r="U1515">
        <v>28034</v>
      </c>
      <c r="V1515" t="s">
        <v>192</v>
      </c>
      <c r="W1515" t="s">
        <v>56</v>
      </c>
      <c r="X1515" t="s">
        <v>193</v>
      </c>
      <c r="Y1515" t="s">
        <v>194</v>
      </c>
      <c r="Z1515" t="s">
        <v>65</v>
      </c>
    </row>
    <row r="1516" spans="1:26" x14ac:dyDescent="0.3">
      <c r="A1516">
        <v>10407</v>
      </c>
      <c r="B1516">
        <v>64</v>
      </c>
      <c r="C1516">
        <v>40.25</v>
      </c>
      <c r="D1516">
        <v>10</v>
      </c>
      <c r="E1516">
        <v>2576</v>
      </c>
      <c r="F1516" s="1">
        <v>38464</v>
      </c>
      <c r="G1516" t="s">
        <v>415</v>
      </c>
      <c r="H1516">
        <v>2</v>
      </c>
      <c r="I1516">
        <v>4</v>
      </c>
      <c r="J1516" t="str">
        <f>TEXT(DATE(2012,Table1[[#This Row],[MONTH_ID]],10),"mmm")</f>
        <v>Apr</v>
      </c>
      <c r="K1516">
        <v>2005</v>
      </c>
      <c r="L1516" t="s">
        <v>195</v>
      </c>
      <c r="M1516">
        <v>50</v>
      </c>
      <c r="N1516" t="s">
        <v>637</v>
      </c>
      <c r="O1516" t="s">
        <v>411</v>
      </c>
      <c r="P1516">
        <v>4085553659</v>
      </c>
      <c r="Q1516" t="s">
        <v>412</v>
      </c>
      <c r="S1516" t="s">
        <v>413</v>
      </c>
      <c r="T1516" t="s">
        <v>69</v>
      </c>
      <c r="U1516">
        <v>94217</v>
      </c>
      <c r="V1516" t="s">
        <v>46</v>
      </c>
      <c r="W1516" t="s">
        <v>47</v>
      </c>
      <c r="X1516" t="s">
        <v>116</v>
      </c>
      <c r="Y1516" t="s">
        <v>414</v>
      </c>
      <c r="Z1516" t="s">
        <v>50</v>
      </c>
    </row>
    <row r="1517" spans="1:26" x14ac:dyDescent="0.3">
      <c r="A1517">
        <v>10420</v>
      </c>
      <c r="B1517">
        <v>37</v>
      </c>
      <c r="C1517">
        <v>60.37</v>
      </c>
      <c r="D1517">
        <v>13</v>
      </c>
      <c r="E1517">
        <v>2233.69</v>
      </c>
      <c r="F1517" s="1">
        <v>38501</v>
      </c>
      <c r="G1517" t="s">
        <v>314</v>
      </c>
      <c r="H1517">
        <v>2</v>
      </c>
      <c r="I1517">
        <v>5</v>
      </c>
      <c r="J1517" t="str">
        <f>TEXT(DATE(2012,Table1[[#This Row],[MONTH_ID]],10),"mmm")</f>
        <v>May</v>
      </c>
      <c r="K1517">
        <v>2005</v>
      </c>
      <c r="L1517" t="s">
        <v>195</v>
      </c>
      <c r="M1517">
        <v>50</v>
      </c>
      <c r="N1517" t="s">
        <v>637</v>
      </c>
      <c r="O1517" t="s">
        <v>166</v>
      </c>
      <c r="P1517" t="s">
        <v>167</v>
      </c>
      <c r="Q1517" t="s">
        <v>168</v>
      </c>
      <c r="R1517" t="s">
        <v>169</v>
      </c>
      <c r="S1517" t="s">
        <v>170</v>
      </c>
      <c r="T1517" t="s">
        <v>171</v>
      </c>
      <c r="U1517">
        <v>2067</v>
      </c>
      <c r="V1517" t="s">
        <v>109</v>
      </c>
      <c r="W1517" t="s">
        <v>110</v>
      </c>
      <c r="X1517" t="s">
        <v>172</v>
      </c>
      <c r="Y1517" t="s">
        <v>173</v>
      </c>
      <c r="Z1517" t="s">
        <v>50</v>
      </c>
    </row>
    <row r="1518" spans="1:26" x14ac:dyDescent="0.3">
      <c r="A1518">
        <v>10106</v>
      </c>
      <c r="B1518">
        <v>28</v>
      </c>
      <c r="C1518">
        <v>88.63</v>
      </c>
      <c r="D1518">
        <v>4</v>
      </c>
      <c r="E1518">
        <v>2481.64</v>
      </c>
      <c r="F1518" s="1">
        <v>37669</v>
      </c>
      <c r="G1518" t="s">
        <v>39</v>
      </c>
      <c r="H1518">
        <v>1</v>
      </c>
      <c r="I1518">
        <v>2</v>
      </c>
      <c r="J1518" t="str">
        <f>TEXT(DATE(2012,Table1[[#This Row],[MONTH_ID]],10),"mmm")</f>
        <v>Feb</v>
      </c>
      <c r="K1518">
        <v>2003</v>
      </c>
      <c r="L1518" t="s">
        <v>580</v>
      </c>
      <c r="M1518">
        <v>109</v>
      </c>
      <c r="N1518" t="s">
        <v>638</v>
      </c>
      <c r="O1518" t="s">
        <v>566</v>
      </c>
      <c r="P1518" t="s">
        <v>567</v>
      </c>
      <c r="Q1518" t="s">
        <v>568</v>
      </c>
      <c r="S1518" t="s">
        <v>569</v>
      </c>
      <c r="U1518">
        <v>24100</v>
      </c>
      <c r="V1518" t="s">
        <v>272</v>
      </c>
      <c r="W1518" t="s">
        <v>56</v>
      </c>
      <c r="X1518" t="s">
        <v>570</v>
      </c>
      <c r="Y1518" t="s">
        <v>571</v>
      </c>
      <c r="Z1518" t="s">
        <v>50</v>
      </c>
    </row>
    <row r="1519" spans="1:26" x14ac:dyDescent="0.3">
      <c r="A1519">
        <v>10120</v>
      </c>
      <c r="B1519">
        <v>39</v>
      </c>
      <c r="C1519">
        <v>100</v>
      </c>
      <c r="D1519">
        <v>10</v>
      </c>
      <c r="E1519">
        <v>4651.53</v>
      </c>
      <c r="F1519" s="1">
        <v>37740</v>
      </c>
      <c r="G1519" t="s">
        <v>39</v>
      </c>
      <c r="H1519">
        <v>2</v>
      </c>
      <c r="I1519">
        <v>4</v>
      </c>
      <c r="J1519" t="str">
        <f>TEXT(DATE(2012,Table1[[#This Row],[MONTH_ID]],10),"mmm")</f>
        <v>Apr</v>
      </c>
      <c r="K1519">
        <v>2003</v>
      </c>
      <c r="L1519" t="s">
        <v>580</v>
      </c>
      <c r="M1519">
        <v>109</v>
      </c>
      <c r="N1519" t="s">
        <v>638</v>
      </c>
      <c r="O1519" t="s">
        <v>103</v>
      </c>
      <c r="P1519" t="s">
        <v>104</v>
      </c>
      <c r="Q1519" t="s">
        <v>105</v>
      </c>
      <c r="R1519" t="s">
        <v>106</v>
      </c>
      <c r="S1519" t="s">
        <v>107</v>
      </c>
      <c r="T1519" t="s">
        <v>108</v>
      </c>
      <c r="U1519">
        <v>3004</v>
      </c>
      <c r="V1519" t="s">
        <v>109</v>
      </c>
      <c r="W1519" t="s">
        <v>110</v>
      </c>
      <c r="X1519" t="s">
        <v>111</v>
      </c>
      <c r="Y1519" t="s">
        <v>112</v>
      </c>
      <c r="Z1519" t="s">
        <v>65</v>
      </c>
    </row>
    <row r="1520" spans="1:26" x14ac:dyDescent="0.3">
      <c r="A1520">
        <v>10133</v>
      </c>
      <c r="B1520">
        <v>41</v>
      </c>
      <c r="C1520">
        <v>94.1</v>
      </c>
      <c r="D1520">
        <v>5</v>
      </c>
      <c r="E1520">
        <v>3858.1</v>
      </c>
      <c r="F1520" s="1">
        <v>37799</v>
      </c>
      <c r="G1520" t="s">
        <v>39</v>
      </c>
      <c r="H1520">
        <v>2</v>
      </c>
      <c r="I1520">
        <v>6</v>
      </c>
      <c r="J1520" t="str">
        <f>TEXT(DATE(2012,Table1[[#This Row],[MONTH_ID]],10),"mmm")</f>
        <v>Jun</v>
      </c>
      <c r="K1520">
        <v>2003</v>
      </c>
      <c r="L1520" t="s">
        <v>580</v>
      </c>
      <c r="M1520">
        <v>109</v>
      </c>
      <c r="N1520" t="s">
        <v>638</v>
      </c>
      <c r="O1520" t="s">
        <v>188</v>
      </c>
      <c r="P1520" t="s">
        <v>189</v>
      </c>
      <c r="Q1520" t="s">
        <v>190</v>
      </c>
      <c r="S1520" t="s">
        <v>191</v>
      </c>
      <c r="U1520">
        <v>28034</v>
      </c>
      <c r="V1520" t="s">
        <v>192</v>
      </c>
      <c r="W1520" t="s">
        <v>56</v>
      </c>
      <c r="X1520" t="s">
        <v>193</v>
      </c>
      <c r="Y1520" t="s">
        <v>194</v>
      </c>
      <c r="Z1520" t="s">
        <v>65</v>
      </c>
    </row>
    <row r="1521" spans="1:26" x14ac:dyDescent="0.3">
      <c r="A1521">
        <v>10145</v>
      </c>
      <c r="B1521">
        <v>40</v>
      </c>
      <c r="C1521">
        <v>87.54</v>
      </c>
      <c r="D1521">
        <v>16</v>
      </c>
      <c r="E1521">
        <v>3501.6</v>
      </c>
      <c r="F1521" s="1">
        <v>37858</v>
      </c>
      <c r="G1521" t="s">
        <v>39</v>
      </c>
      <c r="H1521">
        <v>3</v>
      </c>
      <c r="I1521">
        <v>8</v>
      </c>
      <c r="J1521" t="str">
        <f>TEXT(DATE(2012,Table1[[#This Row],[MONTH_ID]],10),"mmm")</f>
        <v>Aug</v>
      </c>
      <c r="K1521">
        <v>2003</v>
      </c>
      <c r="L1521" t="s">
        <v>580</v>
      </c>
      <c r="M1521">
        <v>109</v>
      </c>
      <c r="N1521" t="s">
        <v>638</v>
      </c>
      <c r="O1521" t="s">
        <v>66</v>
      </c>
      <c r="P1521">
        <v>6265557265</v>
      </c>
      <c r="Q1521" t="s">
        <v>67</v>
      </c>
      <c r="S1521" t="s">
        <v>68</v>
      </c>
      <c r="T1521" t="s">
        <v>69</v>
      </c>
      <c r="U1521">
        <v>90003</v>
      </c>
      <c r="V1521" t="s">
        <v>46</v>
      </c>
      <c r="W1521" t="s">
        <v>47</v>
      </c>
      <c r="X1521" t="s">
        <v>70</v>
      </c>
      <c r="Y1521" t="s">
        <v>71</v>
      </c>
      <c r="Z1521" t="s">
        <v>65</v>
      </c>
    </row>
    <row r="1522" spans="1:26" x14ac:dyDescent="0.3">
      <c r="A1522">
        <v>10168</v>
      </c>
      <c r="B1522">
        <v>49</v>
      </c>
      <c r="C1522">
        <v>100</v>
      </c>
      <c r="D1522">
        <v>11</v>
      </c>
      <c r="E1522">
        <v>6433.7</v>
      </c>
      <c r="F1522" s="1">
        <v>37922</v>
      </c>
      <c r="G1522" t="s">
        <v>39</v>
      </c>
      <c r="H1522">
        <v>4</v>
      </c>
      <c r="I1522">
        <v>10</v>
      </c>
      <c r="J1522" t="str">
        <f>TEXT(DATE(2012,Table1[[#This Row],[MONTH_ID]],10),"mmm")</f>
        <v>Oct</v>
      </c>
      <c r="K1522">
        <v>2003</v>
      </c>
      <c r="L1522" t="s">
        <v>580</v>
      </c>
      <c r="M1522">
        <v>109</v>
      </c>
      <c r="N1522" t="s">
        <v>638</v>
      </c>
      <c r="O1522" t="s">
        <v>76</v>
      </c>
      <c r="P1522">
        <v>6505556809</v>
      </c>
      <c r="Q1522" t="s">
        <v>77</v>
      </c>
      <c r="S1522" t="s">
        <v>78</v>
      </c>
      <c r="T1522" t="s">
        <v>69</v>
      </c>
      <c r="U1522">
        <v>94217</v>
      </c>
      <c r="V1522" t="s">
        <v>46</v>
      </c>
      <c r="W1522" t="s">
        <v>47</v>
      </c>
      <c r="X1522" t="s">
        <v>79</v>
      </c>
      <c r="Y1522" t="s">
        <v>80</v>
      </c>
      <c r="Z1522" t="s">
        <v>65</v>
      </c>
    </row>
    <row r="1523" spans="1:26" x14ac:dyDescent="0.3">
      <c r="A1523">
        <v>10210</v>
      </c>
      <c r="B1523">
        <v>27</v>
      </c>
      <c r="C1523">
        <v>98.48</v>
      </c>
      <c r="D1523">
        <v>9</v>
      </c>
      <c r="E1523">
        <v>2658.96</v>
      </c>
      <c r="F1523" s="1">
        <v>37998</v>
      </c>
      <c r="G1523" t="s">
        <v>39</v>
      </c>
      <c r="H1523">
        <v>1</v>
      </c>
      <c r="I1523">
        <v>1</v>
      </c>
      <c r="J1523" t="str">
        <f>TEXT(DATE(2012,Table1[[#This Row],[MONTH_ID]],10),"mmm")</f>
        <v>Jan</v>
      </c>
      <c r="K1523">
        <v>2004</v>
      </c>
      <c r="L1523" t="s">
        <v>580</v>
      </c>
      <c r="M1523">
        <v>109</v>
      </c>
      <c r="N1523" t="s">
        <v>638</v>
      </c>
      <c r="O1523" t="s">
        <v>316</v>
      </c>
      <c r="P1523" t="s">
        <v>317</v>
      </c>
      <c r="Q1523" t="s">
        <v>318</v>
      </c>
      <c r="S1523" t="s">
        <v>319</v>
      </c>
      <c r="T1523" t="s">
        <v>319</v>
      </c>
      <c r="U1523" t="s">
        <v>320</v>
      </c>
      <c r="V1523" t="s">
        <v>214</v>
      </c>
      <c r="W1523" t="s">
        <v>214</v>
      </c>
      <c r="X1523" t="s">
        <v>321</v>
      </c>
      <c r="Y1523" t="s">
        <v>322</v>
      </c>
      <c r="Z1523" t="s">
        <v>50</v>
      </c>
    </row>
    <row r="1524" spans="1:26" x14ac:dyDescent="0.3">
      <c r="A1524">
        <v>10223</v>
      </c>
      <c r="B1524">
        <v>34</v>
      </c>
      <c r="C1524">
        <v>100</v>
      </c>
      <c r="D1524">
        <v>11</v>
      </c>
      <c r="E1524">
        <v>3608.76</v>
      </c>
      <c r="F1524" s="1">
        <v>38037</v>
      </c>
      <c r="G1524" t="s">
        <v>39</v>
      </c>
      <c r="H1524">
        <v>1</v>
      </c>
      <c r="I1524">
        <v>2</v>
      </c>
      <c r="J1524" t="str">
        <f>TEXT(DATE(2012,Table1[[#This Row],[MONTH_ID]],10),"mmm")</f>
        <v>Feb</v>
      </c>
      <c r="K1524">
        <v>2004</v>
      </c>
      <c r="L1524" t="s">
        <v>580</v>
      </c>
      <c r="M1524">
        <v>109</v>
      </c>
      <c r="N1524" t="s">
        <v>638</v>
      </c>
      <c r="O1524" t="s">
        <v>103</v>
      </c>
      <c r="P1524" t="s">
        <v>104</v>
      </c>
      <c r="Q1524" t="s">
        <v>105</v>
      </c>
      <c r="R1524" t="s">
        <v>106</v>
      </c>
      <c r="S1524" t="s">
        <v>107</v>
      </c>
      <c r="T1524" t="s">
        <v>108</v>
      </c>
      <c r="U1524">
        <v>3004</v>
      </c>
      <c r="V1524" t="s">
        <v>109</v>
      </c>
      <c r="W1524" t="s">
        <v>110</v>
      </c>
      <c r="X1524" t="s">
        <v>111</v>
      </c>
      <c r="Y1524" t="s">
        <v>112</v>
      </c>
      <c r="Z1524" t="s">
        <v>65</v>
      </c>
    </row>
    <row r="1525" spans="1:26" x14ac:dyDescent="0.3">
      <c r="A1525">
        <v>10235</v>
      </c>
      <c r="B1525">
        <v>23</v>
      </c>
      <c r="C1525">
        <v>96.29</v>
      </c>
      <c r="D1525">
        <v>5</v>
      </c>
      <c r="E1525">
        <v>2214.67</v>
      </c>
      <c r="F1525" s="1">
        <v>38079</v>
      </c>
      <c r="G1525" t="s">
        <v>39</v>
      </c>
      <c r="H1525">
        <v>2</v>
      </c>
      <c r="I1525">
        <v>4</v>
      </c>
      <c r="J1525" t="str">
        <f>TEXT(DATE(2012,Table1[[#This Row],[MONTH_ID]],10),"mmm")</f>
        <v>Apr</v>
      </c>
      <c r="K1525">
        <v>2004</v>
      </c>
      <c r="L1525" t="s">
        <v>580</v>
      </c>
      <c r="M1525">
        <v>109</v>
      </c>
      <c r="N1525" t="s">
        <v>638</v>
      </c>
      <c r="O1525" t="s">
        <v>387</v>
      </c>
      <c r="P1525" t="s">
        <v>388</v>
      </c>
      <c r="Q1525" t="s">
        <v>389</v>
      </c>
      <c r="S1525" t="s">
        <v>390</v>
      </c>
      <c r="T1525" t="s">
        <v>243</v>
      </c>
      <c r="U1525" t="s">
        <v>391</v>
      </c>
      <c r="V1525" t="s">
        <v>245</v>
      </c>
      <c r="W1525" t="s">
        <v>47</v>
      </c>
      <c r="X1525" t="s">
        <v>392</v>
      </c>
      <c r="Y1525" t="s">
        <v>186</v>
      </c>
      <c r="Z1525" t="s">
        <v>50</v>
      </c>
    </row>
    <row r="1526" spans="1:26" x14ac:dyDescent="0.3">
      <c r="A1526">
        <v>10250</v>
      </c>
      <c r="B1526">
        <v>31</v>
      </c>
      <c r="C1526">
        <v>88.63</v>
      </c>
      <c r="D1526">
        <v>6</v>
      </c>
      <c r="E1526">
        <v>2747.53</v>
      </c>
      <c r="F1526" s="1">
        <v>38118</v>
      </c>
      <c r="G1526" t="s">
        <v>39</v>
      </c>
      <c r="H1526">
        <v>2</v>
      </c>
      <c r="I1526">
        <v>5</v>
      </c>
      <c r="J1526" t="str">
        <f>TEXT(DATE(2012,Table1[[#This Row],[MONTH_ID]],10),"mmm")</f>
        <v>May</v>
      </c>
      <c r="K1526">
        <v>2004</v>
      </c>
      <c r="L1526" t="s">
        <v>580</v>
      </c>
      <c r="M1526">
        <v>109</v>
      </c>
      <c r="N1526" t="s">
        <v>638</v>
      </c>
      <c r="O1526" t="s">
        <v>411</v>
      </c>
      <c r="P1526">
        <v>4085553659</v>
      </c>
      <c r="Q1526" t="s">
        <v>412</v>
      </c>
      <c r="S1526" t="s">
        <v>413</v>
      </c>
      <c r="T1526" t="s">
        <v>69</v>
      </c>
      <c r="U1526">
        <v>94217</v>
      </c>
      <c r="V1526" t="s">
        <v>46</v>
      </c>
      <c r="W1526" t="s">
        <v>47</v>
      </c>
      <c r="X1526" t="s">
        <v>116</v>
      </c>
      <c r="Y1526" t="s">
        <v>414</v>
      </c>
      <c r="Z1526" t="s">
        <v>50</v>
      </c>
    </row>
    <row r="1527" spans="1:26" x14ac:dyDescent="0.3">
      <c r="A1527">
        <v>10262</v>
      </c>
      <c r="B1527">
        <v>34</v>
      </c>
      <c r="C1527">
        <v>97.38</v>
      </c>
      <c r="D1527">
        <v>1</v>
      </c>
      <c r="E1527">
        <v>3310.92</v>
      </c>
      <c r="F1527" s="1">
        <v>38162</v>
      </c>
      <c r="G1527" t="s">
        <v>353</v>
      </c>
      <c r="H1527">
        <v>2</v>
      </c>
      <c r="I1527">
        <v>6</v>
      </c>
      <c r="J1527" t="str">
        <f>TEXT(DATE(2012,Table1[[#This Row],[MONTH_ID]],10),"mmm")</f>
        <v>Jun</v>
      </c>
      <c r="K1527">
        <v>2004</v>
      </c>
      <c r="L1527" t="s">
        <v>580</v>
      </c>
      <c r="M1527">
        <v>109</v>
      </c>
      <c r="N1527" t="s">
        <v>638</v>
      </c>
      <c r="O1527" t="s">
        <v>188</v>
      </c>
      <c r="P1527" t="s">
        <v>189</v>
      </c>
      <c r="Q1527" t="s">
        <v>190</v>
      </c>
      <c r="S1527" t="s">
        <v>191</v>
      </c>
      <c r="U1527">
        <v>28034</v>
      </c>
      <c r="V1527" t="s">
        <v>192</v>
      </c>
      <c r="W1527" t="s">
        <v>56</v>
      </c>
      <c r="X1527" t="s">
        <v>193</v>
      </c>
      <c r="Y1527" t="s">
        <v>194</v>
      </c>
      <c r="Z1527" t="s">
        <v>65</v>
      </c>
    </row>
    <row r="1528" spans="1:26" x14ac:dyDescent="0.3">
      <c r="A1528">
        <v>10275</v>
      </c>
      <c r="B1528">
        <v>25</v>
      </c>
      <c r="C1528">
        <v>95.2</v>
      </c>
      <c r="D1528">
        <v>11</v>
      </c>
      <c r="E1528">
        <v>2380</v>
      </c>
      <c r="F1528" s="1">
        <v>38191</v>
      </c>
      <c r="G1528" t="s">
        <v>39</v>
      </c>
      <c r="H1528">
        <v>3</v>
      </c>
      <c r="I1528">
        <v>7</v>
      </c>
      <c r="J1528" t="str">
        <f>TEXT(DATE(2012,Table1[[#This Row],[MONTH_ID]],10),"mmm")</f>
        <v>Jul</v>
      </c>
      <c r="K1528">
        <v>2004</v>
      </c>
      <c r="L1528" t="s">
        <v>580</v>
      </c>
      <c r="M1528">
        <v>109</v>
      </c>
      <c r="N1528" t="s">
        <v>638</v>
      </c>
      <c r="O1528" t="s">
        <v>128</v>
      </c>
      <c r="P1528" t="s">
        <v>129</v>
      </c>
      <c r="Q1528" t="s">
        <v>130</v>
      </c>
      <c r="S1528" t="s">
        <v>131</v>
      </c>
      <c r="U1528">
        <v>44000</v>
      </c>
      <c r="V1528" t="s">
        <v>55</v>
      </c>
      <c r="W1528" t="s">
        <v>56</v>
      </c>
      <c r="X1528" t="s">
        <v>132</v>
      </c>
      <c r="Y1528" t="s">
        <v>133</v>
      </c>
      <c r="Z1528" t="s">
        <v>50</v>
      </c>
    </row>
    <row r="1529" spans="1:26" x14ac:dyDescent="0.3">
      <c r="A1529">
        <v>10284</v>
      </c>
      <c r="B1529">
        <v>22</v>
      </c>
      <c r="C1529">
        <v>100</v>
      </c>
      <c r="D1529">
        <v>3</v>
      </c>
      <c r="E1529">
        <v>2310.88</v>
      </c>
      <c r="F1529" s="1">
        <v>38220</v>
      </c>
      <c r="G1529" t="s">
        <v>39</v>
      </c>
      <c r="H1529">
        <v>3</v>
      </c>
      <c r="I1529">
        <v>8</v>
      </c>
      <c r="J1529" t="str">
        <f>TEXT(DATE(2012,Table1[[#This Row],[MONTH_ID]],10),"mmm")</f>
        <v>Aug</v>
      </c>
      <c r="K1529">
        <v>2004</v>
      </c>
      <c r="L1529" t="s">
        <v>580</v>
      </c>
      <c r="M1529">
        <v>109</v>
      </c>
      <c r="N1529" t="s">
        <v>638</v>
      </c>
      <c r="O1529" t="s">
        <v>557</v>
      </c>
      <c r="P1529" t="s">
        <v>558</v>
      </c>
      <c r="Q1529" t="s">
        <v>559</v>
      </c>
      <c r="S1529" t="s">
        <v>560</v>
      </c>
      <c r="U1529" t="s">
        <v>561</v>
      </c>
      <c r="V1529" t="s">
        <v>92</v>
      </c>
      <c r="W1529" t="s">
        <v>56</v>
      </c>
      <c r="X1529" t="s">
        <v>562</v>
      </c>
      <c r="Y1529" t="s">
        <v>563</v>
      </c>
      <c r="Z1529" t="s">
        <v>50</v>
      </c>
    </row>
    <row r="1530" spans="1:26" x14ac:dyDescent="0.3">
      <c r="A1530">
        <v>10297</v>
      </c>
      <c r="B1530">
        <v>32</v>
      </c>
      <c r="C1530">
        <v>100</v>
      </c>
      <c r="D1530">
        <v>6</v>
      </c>
      <c r="E1530">
        <v>4061.76</v>
      </c>
      <c r="F1530" s="1">
        <v>38246</v>
      </c>
      <c r="G1530" t="s">
        <v>39</v>
      </c>
      <c r="H1530">
        <v>3</v>
      </c>
      <c r="I1530">
        <v>9</v>
      </c>
      <c r="J1530" t="str">
        <f>TEXT(DATE(2012,Table1[[#This Row],[MONTH_ID]],10),"mmm")</f>
        <v>Sep</v>
      </c>
      <c r="K1530">
        <v>2004</v>
      </c>
      <c r="L1530" t="s">
        <v>580</v>
      </c>
      <c r="M1530">
        <v>109</v>
      </c>
      <c r="N1530" t="s">
        <v>638</v>
      </c>
      <c r="O1530" t="s">
        <v>493</v>
      </c>
      <c r="P1530" t="s">
        <v>494</v>
      </c>
      <c r="Q1530" t="s">
        <v>495</v>
      </c>
      <c r="R1530" t="s">
        <v>496</v>
      </c>
      <c r="S1530" t="s">
        <v>497</v>
      </c>
      <c r="U1530">
        <v>2</v>
      </c>
      <c r="V1530" t="s">
        <v>498</v>
      </c>
      <c r="W1530" t="s">
        <v>56</v>
      </c>
      <c r="X1530" t="s">
        <v>499</v>
      </c>
      <c r="Y1530" t="s">
        <v>500</v>
      </c>
      <c r="Z1530" t="s">
        <v>65</v>
      </c>
    </row>
    <row r="1531" spans="1:26" x14ac:dyDescent="0.3">
      <c r="A1531">
        <v>10308</v>
      </c>
      <c r="B1531">
        <v>31</v>
      </c>
      <c r="C1531">
        <v>100</v>
      </c>
      <c r="D1531">
        <v>9</v>
      </c>
      <c r="E1531">
        <v>3493.7</v>
      </c>
      <c r="F1531" s="1">
        <v>38275</v>
      </c>
      <c r="G1531" t="s">
        <v>39</v>
      </c>
      <c r="H1531">
        <v>4</v>
      </c>
      <c r="I1531">
        <v>10</v>
      </c>
      <c r="J1531" t="str">
        <f>TEXT(DATE(2012,Table1[[#This Row],[MONTH_ID]],10),"mmm")</f>
        <v>Oct</v>
      </c>
      <c r="K1531">
        <v>2004</v>
      </c>
      <c r="L1531" t="s">
        <v>580</v>
      </c>
      <c r="M1531">
        <v>109</v>
      </c>
      <c r="N1531" t="s">
        <v>638</v>
      </c>
      <c r="O1531" t="s">
        <v>331</v>
      </c>
      <c r="P1531">
        <v>9145554562</v>
      </c>
      <c r="Q1531" t="s">
        <v>332</v>
      </c>
      <c r="S1531" t="s">
        <v>333</v>
      </c>
      <c r="T1531" t="s">
        <v>45</v>
      </c>
      <c r="U1531">
        <v>24067</v>
      </c>
      <c r="V1531" t="s">
        <v>46</v>
      </c>
      <c r="W1531" t="s">
        <v>47</v>
      </c>
      <c r="X1531" t="s">
        <v>116</v>
      </c>
      <c r="Y1531" t="s">
        <v>252</v>
      </c>
      <c r="Z1531" t="s">
        <v>65</v>
      </c>
    </row>
    <row r="1532" spans="1:26" x14ac:dyDescent="0.3">
      <c r="A1532">
        <v>10316</v>
      </c>
      <c r="B1532">
        <v>25</v>
      </c>
      <c r="C1532">
        <v>100</v>
      </c>
      <c r="D1532">
        <v>1</v>
      </c>
      <c r="E1532">
        <v>2872.25</v>
      </c>
      <c r="F1532" s="1">
        <v>38292</v>
      </c>
      <c r="G1532" t="s">
        <v>39</v>
      </c>
      <c r="H1532">
        <v>4</v>
      </c>
      <c r="I1532">
        <v>11</v>
      </c>
      <c r="J1532" t="str">
        <f>TEXT(DATE(2012,Table1[[#This Row],[MONTH_ID]],10),"mmm")</f>
        <v>Nov</v>
      </c>
      <c r="K1532">
        <v>2004</v>
      </c>
      <c r="L1532" t="s">
        <v>580</v>
      </c>
      <c r="M1532">
        <v>109</v>
      </c>
      <c r="N1532" t="s">
        <v>638</v>
      </c>
      <c r="O1532" t="s">
        <v>397</v>
      </c>
      <c r="P1532" t="s">
        <v>398</v>
      </c>
      <c r="Q1532" t="s">
        <v>399</v>
      </c>
      <c r="S1532" t="s">
        <v>400</v>
      </c>
      <c r="T1532" t="s">
        <v>401</v>
      </c>
      <c r="U1532" t="s">
        <v>402</v>
      </c>
      <c r="V1532" t="s">
        <v>184</v>
      </c>
      <c r="W1532" t="s">
        <v>56</v>
      </c>
      <c r="X1532" t="s">
        <v>403</v>
      </c>
      <c r="Y1532" t="s">
        <v>404</v>
      </c>
      <c r="Z1532" t="s">
        <v>50</v>
      </c>
    </row>
    <row r="1533" spans="1:26" x14ac:dyDescent="0.3">
      <c r="A1533">
        <v>10328</v>
      </c>
      <c r="B1533">
        <v>47</v>
      </c>
      <c r="C1533">
        <v>87.54</v>
      </c>
      <c r="D1533">
        <v>14</v>
      </c>
      <c r="E1533">
        <v>4114.38</v>
      </c>
      <c r="F1533" s="1">
        <v>38303</v>
      </c>
      <c r="G1533" t="s">
        <v>39</v>
      </c>
      <c r="H1533">
        <v>4</v>
      </c>
      <c r="I1533">
        <v>11</v>
      </c>
      <c r="J1533" t="str">
        <f>TEXT(DATE(2012,Table1[[#This Row],[MONTH_ID]],10),"mmm")</f>
        <v>Nov</v>
      </c>
      <c r="K1533">
        <v>2004</v>
      </c>
      <c r="L1533" t="s">
        <v>580</v>
      </c>
      <c r="M1533">
        <v>109</v>
      </c>
      <c r="N1533" t="s">
        <v>638</v>
      </c>
      <c r="O1533" t="s">
        <v>566</v>
      </c>
      <c r="P1533" t="s">
        <v>567</v>
      </c>
      <c r="Q1533" t="s">
        <v>568</v>
      </c>
      <c r="S1533" t="s">
        <v>569</v>
      </c>
      <c r="U1533">
        <v>24100</v>
      </c>
      <c r="V1533" t="s">
        <v>272</v>
      </c>
      <c r="W1533" t="s">
        <v>56</v>
      </c>
      <c r="X1533" t="s">
        <v>570</v>
      </c>
      <c r="Y1533" t="s">
        <v>571</v>
      </c>
      <c r="Z1533" t="s">
        <v>65</v>
      </c>
    </row>
    <row r="1534" spans="1:26" x14ac:dyDescent="0.3">
      <c r="A1534">
        <v>10339</v>
      </c>
      <c r="B1534">
        <v>21</v>
      </c>
      <c r="C1534">
        <v>50.65</v>
      </c>
      <c r="D1534">
        <v>7</v>
      </c>
      <c r="E1534">
        <v>1063.6500000000001</v>
      </c>
      <c r="F1534" s="1">
        <v>38314</v>
      </c>
      <c r="G1534" t="s">
        <v>39</v>
      </c>
      <c r="H1534">
        <v>4</v>
      </c>
      <c r="I1534">
        <v>11</v>
      </c>
      <c r="J1534" t="str">
        <f>TEXT(DATE(2012,Table1[[#This Row],[MONTH_ID]],10),"mmm")</f>
        <v>Nov</v>
      </c>
      <c r="K1534">
        <v>2004</v>
      </c>
      <c r="L1534" t="s">
        <v>580</v>
      </c>
      <c r="M1534">
        <v>109</v>
      </c>
      <c r="N1534" t="s">
        <v>638</v>
      </c>
      <c r="O1534" t="s">
        <v>260</v>
      </c>
      <c r="P1534" t="s">
        <v>261</v>
      </c>
      <c r="Q1534" t="s">
        <v>262</v>
      </c>
      <c r="S1534" t="s">
        <v>263</v>
      </c>
      <c r="T1534" t="s">
        <v>264</v>
      </c>
      <c r="U1534" t="s">
        <v>265</v>
      </c>
      <c r="V1534" t="s">
        <v>214</v>
      </c>
      <c r="W1534" t="s">
        <v>214</v>
      </c>
      <c r="X1534" t="s">
        <v>266</v>
      </c>
      <c r="Y1534" t="s">
        <v>267</v>
      </c>
      <c r="Z1534" t="s">
        <v>50</v>
      </c>
    </row>
    <row r="1535" spans="1:26" x14ac:dyDescent="0.3">
      <c r="A1535">
        <v>10353</v>
      </c>
      <c r="B1535">
        <v>28</v>
      </c>
      <c r="C1535">
        <v>71.73</v>
      </c>
      <c r="D1535">
        <v>2</v>
      </c>
      <c r="E1535">
        <v>2008.44</v>
      </c>
      <c r="F1535" s="1">
        <v>38325</v>
      </c>
      <c r="G1535" t="s">
        <v>39</v>
      </c>
      <c r="H1535">
        <v>4</v>
      </c>
      <c r="I1535">
        <v>12</v>
      </c>
      <c r="J1535" t="str">
        <f>TEXT(DATE(2012,Table1[[#This Row],[MONTH_ID]],10),"mmm")</f>
        <v>Dec</v>
      </c>
      <c r="K1535">
        <v>2004</v>
      </c>
      <c r="L1535" t="s">
        <v>580</v>
      </c>
      <c r="M1535">
        <v>109</v>
      </c>
      <c r="N1535" t="s">
        <v>638</v>
      </c>
      <c r="O1535" t="s">
        <v>582</v>
      </c>
      <c r="P1535">
        <v>2035554407</v>
      </c>
      <c r="Q1535" t="s">
        <v>583</v>
      </c>
      <c r="S1535" t="s">
        <v>530</v>
      </c>
      <c r="T1535" t="s">
        <v>126</v>
      </c>
      <c r="U1535">
        <v>97561</v>
      </c>
      <c r="V1535" t="s">
        <v>46</v>
      </c>
      <c r="W1535" t="s">
        <v>47</v>
      </c>
      <c r="X1535" t="s">
        <v>584</v>
      </c>
      <c r="Y1535" t="s">
        <v>585</v>
      </c>
      <c r="Z1535" t="s">
        <v>50</v>
      </c>
    </row>
    <row r="1536" spans="1:26" x14ac:dyDescent="0.3">
      <c r="A1536">
        <v>10374</v>
      </c>
      <c r="B1536">
        <v>46</v>
      </c>
      <c r="C1536">
        <v>94.1</v>
      </c>
      <c r="D1536">
        <v>3</v>
      </c>
      <c r="E1536">
        <v>4328.6000000000004</v>
      </c>
      <c r="F1536" s="1">
        <v>38385</v>
      </c>
      <c r="G1536" t="s">
        <v>39</v>
      </c>
      <c r="H1536">
        <v>1</v>
      </c>
      <c r="I1536">
        <v>2</v>
      </c>
      <c r="J1536" t="str">
        <f>TEXT(DATE(2012,Table1[[#This Row],[MONTH_ID]],10),"mmm")</f>
        <v>Feb</v>
      </c>
      <c r="K1536">
        <v>2005</v>
      </c>
      <c r="L1536" t="s">
        <v>580</v>
      </c>
      <c r="M1536">
        <v>109</v>
      </c>
      <c r="N1536" t="s">
        <v>638</v>
      </c>
      <c r="O1536" t="s">
        <v>221</v>
      </c>
      <c r="P1536" t="s">
        <v>222</v>
      </c>
      <c r="Q1536" t="s">
        <v>223</v>
      </c>
      <c r="S1536" t="s">
        <v>224</v>
      </c>
      <c r="T1536" t="s">
        <v>225</v>
      </c>
      <c r="U1536">
        <v>4101</v>
      </c>
      <c r="V1536" t="s">
        <v>109</v>
      </c>
      <c r="W1536" t="s">
        <v>110</v>
      </c>
      <c r="X1536" t="s">
        <v>226</v>
      </c>
      <c r="Y1536" t="s">
        <v>227</v>
      </c>
      <c r="Z1536" t="s">
        <v>65</v>
      </c>
    </row>
    <row r="1537" spans="1:26" x14ac:dyDescent="0.3">
      <c r="A1537">
        <v>10386</v>
      </c>
      <c r="B1537">
        <v>33</v>
      </c>
      <c r="C1537">
        <v>41.71</v>
      </c>
      <c r="D1537">
        <v>11</v>
      </c>
      <c r="E1537">
        <v>1376.43</v>
      </c>
      <c r="F1537" s="1">
        <v>38412</v>
      </c>
      <c r="G1537" t="s">
        <v>422</v>
      </c>
      <c r="H1537">
        <v>1</v>
      </c>
      <c r="I1537">
        <v>3</v>
      </c>
      <c r="J1537" t="str">
        <f>TEXT(DATE(2012,Table1[[#This Row],[MONTH_ID]],10),"mmm")</f>
        <v>Mar</v>
      </c>
      <c r="K1537">
        <v>2005</v>
      </c>
      <c r="L1537" t="s">
        <v>580</v>
      </c>
      <c r="M1537">
        <v>109</v>
      </c>
      <c r="N1537" t="s">
        <v>638</v>
      </c>
      <c r="O1537" t="s">
        <v>188</v>
      </c>
      <c r="P1537" t="s">
        <v>189</v>
      </c>
      <c r="Q1537" t="s">
        <v>190</v>
      </c>
      <c r="S1537" t="s">
        <v>191</v>
      </c>
      <c r="U1537">
        <v>28034</v>
      </c>
      <c r="V1537" t="s">
        <v>192</v>
      </c>
      <c r="W1537" t="s">
        <v>56</v>
      </c>
      <c r="X1537" t="s">
        <v>193</v>
      </c>
      <c r="Y1537" t="s">
        <v>194</v>
      </c>
      <c r="Z1537" t="s">
        <v>50</v>
      </c>
    </row>
    <row r="1538" spans="1:26" x14ac:dyDescent="0.3">
      <c r="A1538">
        <v>10398</v>
      </c>
      <c r="B1538">
        <v>43</v>
      </c>
      <c r="C1538">
        <v>100</v>
      </c>
      <c r="D1538">
        <v>16</v>
      </c>
      <c r="E1538">
        <v>5552.16</v>
      </c>
      <c r="F1538" s="1">
        <v>38441</v>
      </c>
      <c r="G1538" t="s">
        <v>39</v>
      </c>
      <c r="H1538">
        <v>1</v>
      </c>
      <c r="I1538">
        <v>3</v>
      </c>
      <c r="J1538" t="str">
        <f>TEXT(DATE(2012,Table1[[#This Row],[MONTH_ID]],10),"mmm")</f>
        <v>Mar</v>
      </c>
      <c r="K1538">
        <v>2005</v>
      </c>
      <c r="L1538" t="s">
        <v>580</v>
      </c>
      <c r="M1538">
        <v>109</v>
      </c>
      <c r="N1538" t="s">
        <v>638</v>
      </c>
      <c r="O1538" t="s">
        <v>51</v>
      </c>
      <c r="P1538" t="s">
        <v>52</v>
      </c>
      <c r="Q1538" t="s">
        <v>53</v>
      </c>
      <c r="S1538" t="s">
        <v>54</v>
      </c>
      <c r="U1538">
        <v>51100</v>
      </c>
      <c r="V1538" t="s">
        <v>55</v>
      </c>
      <c r="W1538" t="s">
        <v>56</v>
      </c>
      <c r="X1538" t="s">
        <v>57</v>
      </c>
      <c r="Y1538" t="s">
        <v>58</v>
      </c>
      <c r="Z1538" t="s">
        <v>65</v>
      </c>
    </row>
    <row r="1539" spans="1:26" x14ac:dyDescent="0.3">
      <c r="A1539">
        <v>10401</v>
      </c>
      <c r="B1539">
        <v>38</v>
      </c>
      <c r="C1539">
        <v>96.29</v>
      </c>
      <c r="D1539">
        <v>5</v>
      </c>
      <c r="E1539">
        <v>3659.02</v>
      </c>
      <c r="F1539" s="1">
        <v>38445</v>
      </c>
      <c r="G1539" t="s">
        <v>415</v>
      </c>
      <c r="H1539">
        <v>2</v>
      </c>
      <c r="I1539">
        <v>4</v>
      </c>
      <c r="J1539" t="str">
        <f>TEXT(DATE(2012,Table1[[#This Row],[MONTH_ID]],10),"mmm")</f>
        <v>Apr</v>
      </c>
      <c r="K1539">
        <v>2005</v>
      </c>
      <c r="L1539" t="s">
        <v>580</v>
      </c>
      <c r="M1539">
        <v>109</v>
      </c>
      <c r="N1539" t="s">
        <v>638</v>
      </c>
      <c r="O1539" t="s">
        <v>118</v>
      </c>
      <c r="P1539">
        <v>2015559350</v>
      </c>
      <c r="Q1539" t="s">
        <v>119</v>
      </c>
      <c r="S1539" t="s">
        <v>120</v>
      </c>
      <c r="T1539" t="s">
        <v>121</v>
      </c>
      <c r="U1539">
        <v>94019</v>
      </c>
      <c r="V1539" t="s">
        <v>46</v>
      </c>
      <c r="W1539" t="s">
        <v>47</v>
      </c>
      <c r="X1539" t="s">
        <v>75</v>
      </c>
      <c r="Y1539" t="s">
        <v>122</v>
      </c>
      <c r="Z1539" t="s">
        <v>65</v>
      </c>
    </row>
    <row r="1540" spans="1:26" x14ac:dyDescent="0.3">
      <c r="A1540">
        <v>10416</v>
      </c>
      <c r="B1540">
        <v>47</v>
      </c>
      <c r="C1540">
        <v>88.63</v>
      </c>
      <c r="D1540">
        <v>6</v>
      </c>
      <c r="E1540">
        <v>4165.6099999999997</v>
      </c>
      <c r="F1540" s="1">
        <v>38482</v>
      </c>
      <c r="G1540" t="s">
        <v>39</v>
      </c>
      <c r="H1540">
        <v>2</v>
      </c>
      <c r="I1540">
        <v>5</v>
      </c>
      <c r="J1540" t="str">
        <f>TEXT(DATE(2012,Table1[[#This Row],[MONTH_ID]],10),"mmm")</f>
        <v>May</v>
      </c>
      <c r="K1540">
        <v>2005</v>
      </c>
      <c r="L1540" t="s">
        <v>580</v>
      </c>
      <c r="M1540">
        <v>109</v>
      </c>
      <c r="N1540" t="s">
        <v>638</v>
      </c>
      <c r="O1540" t="s">
        <v>466</v>
      </c>
      <c r="P1540" t="s">
        <v>467</v>
      </c>
      <c r="Q1540" t="s">
        <v>468</v>
      </c>
      <c r="S1540" t="s">
        <v>469</v>
      </c>
      <c r="U1540">
        <v>42100</v>
      </c>
      <c r="V1540" t="s">
        <v>272</v>
      </c>
      <c r="W1540" t="s">
        <v>56</v>
      </c>
      <c r="X1540" t="s">
        <v>470</v>
      </c>
      <c r="Y1540" t="s">
        <v>471</v>
      </c>
      <c r="Z1540" t="s">
        <v>65</v>
      </c>
    </row>
    <row r="1541" spans="1:26" x14ac:dyDescent="0.3">
      <c r="A1541">
        <v>10101</v>
      </c>
      <c r="B1541">
        <v>45</v>
      </c>
      <c r="C1541">
        <v>31.2</v>
      </c>
      <c r="D1541">
        <v>3</v>
      </c>
      <c r="E1541">
        <v>1404</v>
      </c>
      <c r="F1541" s="1">
        <v>37630</v>
      </c>
      <c r="G1541" t="s">
        <v>39</v>
      </c>
      <c r="H1541">
        <v>1</v>
      </c>
      <c r="I1541">
        <v>1</v>
      </c>
      <c r="J1541" t="str">
        <f>TEXT(DATE(2012,Table1[[#This Row],[MONTH_ID]],10),"mmm")</f>
        <v>Jan</v>
      </c>
      <c r="K1541">
        <v>2003</v>
      </c>
      <c r="L1541" t="s">
        <v>564</v>
      </c>
      <c r="M1541">
        <v>33</v>
      </c>
      <c r="N1541" t="s">
        <v>639</v>
      </c>
      <c r="O1541" t="s">
        <v>476</v>
      </c>
      <c r="P1541" t="s">
        <v>477</v>
      </c>
      <c r="Q1541" t="s">
        <v>478</v>
      </c>
      <c r="S1541" t="s">
        <v>479</v>
      </c>
      <c r="U1541">
        <v>60528</v>
      </c>
      <c r="V1541" t="s">
        <v>457</v>
      </c>
      <c r="W1541" t="s">
        <v>56</v>
      </c>
      <c r="X1541" t="s">
        <v>480</v>
      </c>
      <c r="Y1541" t="s">
        <v>428</v>
      </c>
      <c r="Z1541" t="s">
        <v>50</v>
      </c>
    </row>
    <row r="1542" spans="1:26" x14ac:dyDescent="0.3">
      <c r="A1542">
        <v>10110</v>
      </c>
      <c r="B1542">
        <v>20</v>
      </c>
      <c r="C1542">
        <v>35.51</v>
      </c>
      <c r="D1542">
        <v>3</v>
      </c>
      <c r="E1542">
        <v>710.2</v>
      </c>
      <c r="F1542" s="1">
        <v>37698</v>
      </c>
      <c r="G1542" t="s">
        <v>39</v>
      </c>
      <c r="H1542">
        <v>1</v>
      </c>
      <c r="I1542">
        <v>3</v>
      </c>
      <c r="J1542" t="str">
        <f>TEXT(DATE(2012,Table1[[#This Row],[MONTH_ID]],10),"mmm")</f>
        <v>Mar</v>
      </c>
      <c r="K1542">
        <v>2003</v>
      </c>
      <c r="L1542" t="s">
        <v>564</v>
      </c>
      <c r="M1542">
        <v>33</v>
      </c>
      <c r="N1542" t="s">
        <v>639</v>
      </c>
      <c r="O1542" t="s">
        <v>506</v>
      </c>
      <c r="P1542" t="s">
        <v>507</v>
      </c>
      <c r="Q1542" t="s">
        <v>508</v>
      </c>
      <c r="S1542" t="s">
        <v>509</v>
      </c>
      <c r="U1542" t="s">
        <v>510</v>
      </c>
      <c r="V1542" t="s">
        <v>184</v>
      </c>
      <c r="W1542" t="s">
        <v>56</v>
      </c>
      <c r="X1542" t="s">
        <v>511</v>
      </c>
      <c r="Y1542" t="s">
        <v>108</v>
      </c>
      <c r="Z1542" t="s">
        <v>50</v>
      </c>
    </row>
    <row r="1543" spans="1:26" x14ac:dyDescent="0.3">
      <c r="A1543">
        <v>10124</v>
      </c>
      <c r="B1543">
        <v>45</v>
      </c>
      <c r="C1543">
        <v>37.840000000000003</v>
      </c>
      <c r="D1543">
        <v>2</v>
      </c>
      <c r="E1543">
        <v>1702.8</v>
      </c>
      <c r="F1543" s="1">
        <v>37762</v>
      </c>
      <c r="G1543" t="s">
        <v>39</v>
      </c>
      <c r="H1543">
        <v>2</v>
      </c>
      <c r="I1543">
        <v>5</v>
      </c>
      <c r="J1543" t="str">
        <f>TEXT(DATE(2012,Table1[[#This Row],[MONTH_ID]],10),"mmm")</f>
        <v>May</v>
      </c>
      <c r="K1543">
        <v>2003</v>
      </c>
      <c r="L1543" t="s">
        <v>564</v>
      </c>
      <c r="M1543">
        <v>33</v>
      </c>
      <c r="N1543" t="s">
        <v>639</v>
      </c>
      <c r="O1543" t="s">
        <v>553</v>
      </c>
      <c r="P1543">
        <v>7025551838</v>
      </c>
      <c r="Q1543" t="s">
        <v>554</v>
      </c>
      <c r="S1543" t="s">
        <v>555</v>
      </c>
      <c r="T1543" t="s">
        <v>556</v>
      </c>
      <c r="U1543">
        <v>83030</v>
      </c>
      <c r="V1543" t="s">
        <v>46</v>
      </c>
      <c r="W1543" t="s">
        <v>47</v>
      </c>
      <c r="X1543" t="s">
        <v>127</v>
      </c>
      <c r="Y1543" t="s">
        <v>414</v>
      </c>
      <c r="Z1543" t="s">
        <v>50</v>
      </c>
    </row>
    <row r="1544" spans="1:26" x14ac:dyDescent="0.3">
      <c r="A1544">
        <v>10149</v>
      </c>
      <c r="B1544">
        <v>36</v>
      </c>
      <c r="C1544">
        <v>33.19</v>
      </c>
      <c r="D1544">
        <v>7</v>
      </c>
      <c r="E1544">
        <v>1194.8399999999999</v>
      </c>
      <c r="F1544" s="1">
        <v>37876</v>
      </c>
      <c r="G1544" t="s">
        <v>39</v>
      </c>
      <c r="H1544">
        <v>3</v>
      </c>
      <c r="I1544">
        <v>9</v>
      </c>
      <c r="J1544" t="str">
        <f>TEXT(DATE(2012,Table1[[#This Row],[MONTH_ID]],10),"mmm")</f>
        <v>Sep</v>
      </c>
      <c r="K1544">
        <v>2003</v>
      </c>
      <c r="L1544" t="s">
        <v>564</v>
      </c>
      <c r="M1544">
        <v>33</v>
      </c>
      <c r="N1544" t="s">
        <v>639</v>
      </c>
      <c r="O1544" t="s">
        <v>540</v>
      </c>
      <c r="P1544">
        <v>4155554312</v>
      </c>
      <c r="Q1544" t="s">
        <v>541</v>
      </c>
      <c r="S1544" t="s">
        <v>542</v>
      </c>
      <c r="T1544" t="s">
        <v>69</v>
      </c>
      <c r="U1544">
        <v>94217</v>
      </c>
      <c r="V1544" t="s">
        <v>46</v>
      </c>
      <c r="W1544" t="s">
        <v>47</v>
      </c>
      <c r="X1544" t="s">
        <v>543</v>
      </c>
      <c r="Y1544" t="s">
        <v>414</v>
      </c>
      <c r="Z1544" t="s">
        <v>50</v>
      </c>
    </row>
    <row r="1545" spans="1:26" x14ac:dyDescent="0.3">
      <c r="A1545">
        <v>10162</v>
      </c>
      <c r="B1545">
        <v>37</v>
      </c>
      <c r="C1545">
        <v>27.22</v>
      </c>
      <c r="D1545">
        <v>5</v>
      </c>
      <c r="E1545">
        <v>1007.14</v>
      </c>
      <c r="F1545" s="1">
        <v>37912</v>
      </c>
      <c r="G1545" t="s">
        <v>39</v>
      </c>
      <c r="H1545">
        <v>4</v>
      </c>
      <c r="I1545">
        <v>10</v>
      </c>
      <c r="J1545" t="str">
        <f>TEXT(DATE(2012,Table1[[#This Row],[MONTH_ID]],10),"mmm")</f>
        <v>Oct</v>
      </c>
      <c r="K1545">
        <v>2003</v>
      </c>
      <c r="L1545" t="s">
        <v>564</v>
      </c>
      <c r="M1545">
        <v>33</v>
      </c>
      <c r="N1545" t="s">
        <v>639</v>
      </c>
      <c r="O1545" t="s">
        <v>72</v>
      </c>
      <c r="P1545">
        <v>6505551386</v>
      </c>
      <c r="Q1545" t="s">
        <v>73</v>
      </c>
      <c r="S1545" t="s">
        <v>74</v>
      </c>
      <c r="T1545" t="s">
        <v>69</v>
      </c>
      <c r="V1545" t="s">
        <v>46</v>
      </c>
      <c r="W1545" t="s">
        <v>47</v>
      </c>
      <c r="X1545" t="s">
        <v>75</v>
      </c>
      <c r="Y1545" t="s">
        <v>71</v>
      </c>
      <c r="Z1545" t="s">
        <v>50</v>
      </c>
    </row>
    <row r="1546" spans="1:26" x14ac:dyDescent="0.3">
      <c r="A1546">
        <v>10173</v>
      </c>
      <c r="B1546">
        <v>31</v>
      </c>
      <c r="C1546">
        <v>31.53</v>
      </c>
      <c r="D1546">
        <v>9</v>
      </c>
      <c r="E1546">
        <v>977.43</v>
      </c>
      <c r="F1546" s="1">
        <v>37930</v>
      </c>
      <c r="G1546" t="s">
        <v>39</v>
      </c>
      <c r="H1546">
        <v>4</v>
      </c>
      <c r="I1546">
        <v>11</v>
      </c>
      <c r="J1546" t="str">
        <f>TEXT(DATE(2012,Table1[[#This Row],[MONTH_ID]],10),"mmm")</f>
        <v>Nov</v>
      </c>
      <c r="K1546">
        <v>2003</v>
      </c>
      <c r="L1546" t="s">
        <v>564</v>
      </c>
      <c r="M1546">
        <v>33</v>
      </c>
      <c r="N1546" t="s">
        <v>639</v>
      </c>
      <c r="O1546" t="s">
        <v>566</v>
      </c>
      <c r="P1546" t="s">
        <v>567</v>
      </c>
      <c r="Q1546" t="s">
        <v>568</v>
      </c>
      <c r="S1546" t="s">
        <v>569</v>
      </c>
      <c r="U1546">
        <v>24100</v>
      </c>
      <c r="V1546" t="s">
        <v>272</v>
      </c>
      <c r="W1546" t="s">
        <v>56</v>
      </c>
      <c r="X1546" t="s">
        <v>570</v>
      </c>
      <c r="Y1546" t="s">
        <v>571</v>
      </c>
      <c r="Z1546" t="s">
        <v>50</v>
      </c>
    </row>
    <row r="1547" spans="1:26" x14ac:dyDescent="0.3">
      <c r="A1547">
        <v>10182</v>
      </c>
      <c r="B1547">
        <v>39</v>
      </c>
      <c r="C1547">
        <v>36.840000000000003</v>
      </c>
      <c r="D1547">
        <v>6</v>
      </c>
      <c r="E1547">
        <v>1436.76</v>
      </c>
      <c r="F1547" s="1">
        <v>37937</v>
      </c>
      <c r="G1547" t="s">
        <v>39</v>
      </c>
      <c r="H1547">
        <v>4</v>
      </c>
      <c r="I1547">
        <v>11</v>
      </c>
      <c r="J1547" t="str">
        <f>TEXT(DATE(2012,Table1[[#This Row],[MONTH_ID]],10),"mmm")</f>
        <v>Nov</v>
      </c>
      <c r="K1547">
        <v>2003</v>
      </c>
      <c r="L1547" t="s">
        <v>564</v>
      </c>
      <c r="M1547">
        <v>33</v>
      </c>
      <c r="N1547" t="s">
        <v>639</v>
      </c>
      <c r="O1547" t="s">
        <v>286</v>
      </c>
      <c r="P1547">
        <v>4155551450</v>
      </c>
      <c r="Q1547" t="s">
        <v>287</v>
      </c>
      <c r="S1547" t="s">
        <v>288</v>
      </c>
      <c r="T1547" t="s">
        <v>69</v>
      </c>
      <c r="U1547">
        <v>97562</v>
      </c>
      <c r="V1547" t="s">
        <v>46</v>
      </c>
      <c r="W1547" t="s">
        <v>47</v>
      </c>
      <c r="X1547" t="s">
        <v>289</v>
      </c>
      <c r="Y1547" t="s">
        <v>290</v>
      </c>
      <c r="Z1547" t="s">
        <v>50</v>
      </c>
    </row>
    <row r="1548" spans="1:26" x14ac:dyDescent="0.3">
      <c r="A1548">
        <v>10193</v>
      </c>
      <c r="B1548">
        <v>26</v>
      </c>
      <c r="C1548">
        <v>29.21</v>
      </c>
      <c r="D1548">
        <v>10</v>
      </c>
      <c r="E1548">
        <v>759.46</v>
      </c>
      <c r="F1548" s="1">
        <v>37946</v>
      </c>
      <c r="G1548" t="s">
        <v>39</v>
      </c>
      <c r="H1548">
        <v>4</v>
      </c>
      <c r="I1548">
        <v>11</v>
      </c>
      <c r="J1548" t="str">
        <f>TEXT(DATE(2012,Table1[[#This Row],[MONTH_ID]],10),"mmm")</f>
        <v>Nov</v>
      </c>
      <c r="K1548">
        <v>2003</v>
      </c>
      <c r="L1548" t="s">
        <v>564</v>
      </c>
      <c r="M1548">
        <v>33</v>
      </c>
      <c r="N1548" t="s">
        <v>639</v>
      </c>
      <c r="O1548" t="s">
        <v>572</v>
      </c>
      <c r="P1548" t="s">
        <v>573</v>
      </c>
      <c r="Q1548" t="s">
        <v>574</v>
      </c>
      <c r="S1548" t="s">
        <v>575</v>
      </c>
      <c r="T1548" t="s">
        <v>108</v>
      </c>
      <c r="U1548">
        <v>3150</v>
      </c>
      <c r="V1548" t="s">
        <v>109</v>
      </c>
      <c r="W1548" t="s">
        <v>110</v>
      </c>
      <c r="X1548" t="s">
        <v>576</v>
      </c>
      <c r="Y1548" t="s">
        <v>577</v>
      </c>
      <c r="Z1548" t="s">
        <v>50</v>
      </c>
    </row>
    <row r="1549" spans="1:26" x14ac:dyDescent="0.3">
      <c r="A1549">
        <v>10205</v>
      </c>
      <c r="B1549">
        <v>32</v>
      </c>
      <c r="C1549">
        <v>37.17</v>
      </c>
      <c r="D1549">
        <v>5</v>
      </c>
      <c r="E1549">
        <v>1189.44</v>
      </c>
      <c r="F1549" s="1">
        <v>37958</v>
      </c>
      <c r="G1549" t="s">
        <v>39</v>
      </c>
      <c r="H1549">
        <v>4</v>
      </c>
      <c r="I1549">
        <v>12</v>
      </c>
      <c r="J1549" t="str">
        <f>TEXT(DATE(2012,Table1[[#This Row],[MONTH_ID]],10),"mmm")</f>
        <v>Dec</v>
      </c>
      <c r="K1549">
        <v>2003</v>
      </c>
      <c r="L1549" t="s">
        <v>564</v>
      </c>
      <c r="M1549">
        <v>33</v>
      </c>
      <c r="N1549" t="s">
        <v>639</v>
      </c>
      <c r="O1549" t="s">
        <v>188</v>
      </c>
      <c r="P1549" t="s">
        <v>189</v>
      </c>
      <c r="Q1549" t="s">
        <v>190</v>
      </c>
      <c r="S1549" t="s">
        <v>191</v>
      </c>
      <c r="U1549">
        <v>28034</v>
      </c>
      <c r="V1549" t="s">
        <v>192</v>
      </c>
      <c r="W1549" t="s">
        <v>56</v>
      </c>
      <c r="X1549" t="s">
        <v>193</v>
      </c>
      <c r="Y1549" t="s">
        <v>194</v>
      </c>
      <c r="Z1549" t="s">
        <v>50</v>
      </c>
    </row>
    <row r="1550" spans="1:26" x14ac:dyDescent="0.3">
      <c r="A1550">
        <v>10214</v>
      </c>
      <c r="B1550">
        <v>20</v>
      </c>
      <c r="C1550">
        <v>34.19</v>
      </c>
      <c r="D1550">
        <v>3</v>
      </c>
      <c r="E1550">
        <v>683.8</v>
      </c>
      <c r="F1550" s="1">
        <v>38012</v>
      </c>
      <c r="G1550" t="s">
        <v>39</v>
      </c>
      <c r="H1550">
        <v>1</v>
      </c>
      <c r="I1550">
        <v>1</v>
      </c>
      <c r="J1550" t="str">
        <f>TEXT(DATE(2012,Table1[[#This Row],[MONTH_ID]],10),"mmm")</f>
        <v>Jan</v>
      </c>
      <c r="K1550">
        <v>2004</v>
      </c>
      <c r="L1550" t="s">
        <v>564</v>
      </c>
      <c r="M1550">
        <v>33</v>
      </c>
      <c r="N1550" t="s">
        <v>639</v>
      </c>
      <c r="O1550" t="s">
        <v>205</v>
      </c>
      <c r="P1550" t="s">
        <v>206</v>
      </c>
      <c r="Q1550" t="s">
        <v>207</v>
      </c>
      <c r="S1550" t="s">
        <v>191</v>
      </c>
      <c r="U1550">
        <v>28023</v>
      </c>
      <c r="V1550" t="s">
        <v>192</v>
      </c>
      <c r="W1550" t="s">
        <v>56</v>
      </c>
      <c r="X1550" t="s">
        <v>208</v>
      </c>
      <c r="Y1550" t="s">
        <v>209</v>
      </c>
      <c r="Z1550" t="s">
        <v>50</v>
      </c>
    </row>
    <row r="1551" spans="1:26" x14ac:dyDescent="0.3">
      <c r="A1551">
        <v>10227</v>
      </c>
      <c r="B1551">
        <v>42</v>
      </c>
      <c r="C1551">
        <v>29.21</v>
      </c>
      <c r="D1551">
        <v>6</v>
      </c>
      <c r="E1551">
        <v>1226.82</v>
      </c>
      <c r="F1551" s="1">
        <v>38048</v>
      </c>
      <c r="G1551" t="s">
        <v>39</v>
      </c>
      <c r="H1551">
        <v>1</v>
      </c>
      <c r="I1551">
        <v>3</v>
      </c>
      <c r="J1551" t="str">
        <f>TEXT(DATE(2012,Table1[[#This Row],[MONTH_ID]],10),"mmm")</f>
        <v>Mar</v>
      </c>
      <c r="K1551">
        <v>2004</v>
      </c>
      <c r="L1551" t="s">
        <v>564</v>
      </c>
      <c r="M1551">
        <v>33</v>
      </c>
      <c r="N1551" t="s">
        <v>639</v>
      </c>
      <c r="O1551" t="s">
        <v>233</v>
      </c>
      <c r="P1551" t="s">
        <v>234</v>
      </c>
      <c r="Q1551" t="s">
        <v>235</v>
      </c>
      <c r="S1551" t="s">
        <v>236</v>
      </c>
      <c r="U1551">
        <v>69004</v>
      </c>
      <c r="V1551" t="s">
        <v>55</v>
      </c>
      <c r="W1551" t="s">
        <v>56</v>
      </c>
      <c r="X1551" t="s">
        <v>237</v>
      </c>
      <c r="Y1551" t="s">
        <v>238</v>
      </c>
      <c r="Z1551" t="s">
        <v>50</v>
      </c>
    </row>
    <row r="1552" spans="1:26" x14ac:dyDescent="0.3">
      <c r="A1552">
        <v>10243</v>
      </c>
      <c r="B1552">
        <v>33</v>
      </c>
      <c r="C1552">
        <v>29.54</v>
      </c>
      <c r="D1552">
        <v>1</v>
      </c>
      <c r="E1552">
        <v>974.82</v>
      </c>
      <c r="F1552" s="1">
        <v>38103</v>
      </c>
      <c r="G1552" t="s">
        <v>39</v>
      </c>
      <c r="H1552">
        <v>2</v>
      </c>
      <c r="I1552">
        <v>4</v>
      </c>
      <c r="J1552" t="str">
        <f>TEXT(DATE(2012,Table1[[#This Row],[MONTH_ID]],10),"mmm")</f>
        <v>Apr</v>
      </c>
      <c r="K1552">
        <v>2004</v>
      </c>
      <c r="L1552" t="s">
        <v>564</v>
      </c>
      <c r="M1552">
        <v>33</v>
      </c>
      <c r="N1552" t="s">
        <v>639</v>
      </c>
      <c r="O1552" t="s">
        <v>429</v>
      </c>
      <c r="P1552">
        <v>6175552555</v>
      </c>
      <c r="Q1552" t="s">
        <v>430</v>
      </c>
      <c r="S1552" t="s">
        <v>395</v>
      </c>
      <c r="T1552" t="s">
        <v>137</v>
      </c>
      <c r="U1552">
        <v>51003</v>
      </c>
      <c r="V1552" t="s">
        <v>46</v>
      </c>
      <c r="W1552" t="s">
        <v>47</v>
      </c>
      <c r="X1552" t="s">
        <v>431</v>
      </c>
      <c r="Y1552" t="s">
        <v>290</v>
      </c>
      <c r="Z1552" t="s">
        <v>50</v>
      </c>
    </row>
    <row r="1553" spans="1:26" x14ac:dyDescent="0.3">
      <c r="A1553">
        <v>10280</v>
      </c>
      <c r="B1553">
        <v>20</v>
      </c>
      <c r="C1553">
        <v>28.88</v>
      </c>
      <c r="D1553">
        <v>12</v>
      </c>
      <c r="E1553">
        <v>577.6</v>
      </c>
      <c r="F1553" s="1">
        <v>38216</v>
      </c>
      <c r="G1553" t="s">
        <v>39</v>
      </c>
      <c r="H1553">
        <v>3</v>
      </c>
      <c r="I1553">
        <v>8</v>
      </c>
      <c r="J1553" t="str">
        <f>TEXT(DATE(2012,Table1[[#This Row],[MONTH_ID]],10),"mmm")</f>
        <v>Aug</v>
      </c>
      <c r="K1553">
        <v>2004</v>
      </c>
      <c r="L1553" t="s">
        <v>564</v>
      </c>
      <c r="M1553">
        <v>33</v>
      </c>
      <c r="N1553" t="s">
        <v>639</v>
      </c>
      <c r="O1553" t="s">
        <v>268</v>
      </c>
      <c r="P1553" t="s">
        <v>269</v>
      </c>
      <c r="Q1553" t="s">
        <v>270</v>
      </c>
      <c r="S1553" t="s">
        <v>271</v>
      </c>
      <c r="U1553">
        <v>10100</v>
      </c>
      <c r="V1553" t="s">
        <v>272</v>
      </c>
      <c r="W1553" t="s">
        <v>56</v>
      </c>
      <c r="X1553" t="s">
        <v>273</v>
      </c>
      <c r="Y1553" t="s">
        <v>274</v>
      </c>
      <c r="Z1553" t="s">
        <v>50</v>
      </c>
    </row>
    <row r="1554" spans="1:26" x14ac:dyDescent="0.3">
      <c r="A1554">
        <v>10288</v>
      </c>
      <c r="B1554">
        <v>29</v>
      </c>
      <c r="C1554">
        <v>38.17</v>
      </c>
      <c r="D1554">
        <v>1</v>
      </c>
      <c r="E1554">
        <v>1106.93</v>
      </c>
      <c r="F1554" s="1">
        <v>38231</v>
      </c>
      <c r="G1554" t="s">
        <v>39</v>
      </c>
      <c r="H1554">
        <v>3</v>
      </c>
      <c r="I1554">
        <v>9</v>
      </c>
      <c r="J1554" t="str">
        <f>TEXT(DATE(2012,Table1[[#This Row],[MONTH_ID]],10),"mmm")</f>
        <v>Sep</v>
      </c>
      <c r="K1554">
        <v>2004</v>
      </c>
      <c r="L1554" t="s">
        <v>564</v>
      </c>
      <c r="M1554">
        <v>33</v>
      </c>
      <c r="N1554" t="s">
        <v>639</v>
      </c>
      <c r="O1554" t="s">
        <v>432</v>
      </c>
      <c r="P1554" t="s">
        <v>433</v>
      </c>
      <c r="Q1554" t="s">
        <v>434</v>
      </c>
      <c r="R1554" t="s">
        <v>435</v>
      </c>
      <c r="S1554" t="s">
        <v>213</v>
      </c>
      <c r="U1554">
        <v>69045</v>
      </c>
      <c r="V1554" t="s">
        <v>213</v>
      </c>
      <c r="W1554" t="s">
        <v>110</v>
      </c>
      <c r="X1554" t="s">
        <v>436</v>
      </c>
      <c r="Y1554" t="s">
        <v>437</v>
      </c>
      <c r="Z1554" t="s">
        <v>50</v>
      </c>
    </row>
    <row r="1555" spans="1:26" x14ac:dyDescent="0.3">
      <c r="A1555">
        <v>10304</v>
      </c>
      <c r="B1555">
        <v>23</v>
      </c>
      <c r="C1555">
        <v>30.2</v>
      </c>
      <c r="D1555">
        <v>16</v>
      </c>
      <c r="E1555">
        <v>694.6</v>
      </c>
      <c r="F1555" s="1">
        <v>38271</v>
      </c>
      <c r="G1555" t="s">
        <v>39</v>
      </c>
      <c r="H1555">
        <v>4</v>
      </c>
      <c r="I1555">
        <v>10</v>
      </c>
      <c r="J1555" t="str">
        <f>TEXT(DATE(2012,Table1[[#This Row],[MONTH_ID]],10),"mmm")</f>
        <v>Oct</v>
      </c>
      <c r="K1555">
        <v>2004</v>
      </c>
      <c r="L1555" t="s">
        <v>564</v>
      </c>
      <c r="M1555">
        <v>33</v>
      </c>
      <c r="N1555" t="s">
        <v>639</v>
      </c>
      <c r="O1555" t="s">
        <v>281</v>
      </c>
      <c r="P1555" t="s">
        <v>282</v>
      </c>
      <c r="Q1555" t="s">
        <v>283</v>
      </c>
      <c r="S1555" t="s">
        <v>284</v>
      </c>
      <c r="U1555">
        <v>78000</v>
      </c>
      <c r="V1555" t="s">
        <v>55</v>
      </c>
      <c r="W1555" t="s">
        <v>56</v>
      </c>
      <c r="X1555" t="s">
        <v>285</v>
      </c>
      <c r="Y1555" t="s">
        <v>64</v>
      </c>
      <c r="Z1555" t="s">
        <v>50</v>
      </c>
    </row>
    <row r="1556" spans="1:26" x14ac:dyDescent="0.3">
      <c r="A1556">
        <v>10312</v>
      </c>
      <c r="B1556">
        <v>39</v>
      </c>
      <c r="C1556">
        <v>29.54</v>
      </c>
      <c r="D1556">
        <v>13</v>
      </c>
      <c r="E1556">
        <v>1152.06</v>
      </c>
      <c r="F1556" s="1">
        <v>38281</v>
      </c>
      <c r="G1556" t="s">
        <v>39</v>
      </c>
      <c r="H1556">
        <v>4</v>
      </c>
      <c r="I1556">
        <v>10</v>
      </c>
      <c r="J1556" t="str">
        <f>TEXT(DATE(2012,Table1[[#This Row],[MONTH_ID]],10),"mmm")</f>
        <v>Oct</v>
      </c>
      <c r="K1556">
        <v>2004</v>
      </c>
      <c r="L1556" t="s">
        <v>564</v>
      </c>
      <c r="M1556">
        <v>33</v>
      </c>
      <c r="N1556" t="s">
        <v>639</v>
      </c>
      <c r="O1556" t="s">
        <v>286</v>
      </c>
      <c r="P1556">
        <v>4155551450</v>
      </c>
      <c r="Q1556" t="s">
        <v>287</v>
      </c>
      <c r="S1556" t="s">
        <v>288</v>
      </c>
      <c r="T1556" t="s">
        <v>69</v>
      </c>
      <c r="U1556">
        <v>97562</v>
      </c>
      <c r="V1556" t="s">
        <v>46</v>
      </c>
      <c r="W1556" t="s">
        <v>47</v>
      </c>
      <c r="X1556" t="s">
        <v>289</v>
      </c>
      <c r="Y1556" t="s">
        <v>290</v>
      </c>
      <c r="Z1556" t="s">
        <v>50</v>
      </c>
    </row>
    <row r="1557" spans="1:26" x14ac:dyDescent="0.3">
      <c r="A1557">
        <v>10322</v>
      </c>
      <c r="B1557">
        <v>20</v>
      </c>
      <c r="C1557">
        <v>100</v>
      </c>
      <c r="D1557">
        <v>3</v>
      </c>
      <c r="E1557">
        <v>2624</v>
      </c>
      <c r="F1557" s="1">
        <v>38295</v>
      </c>
      <c r="G1557" t="s">
        <v>39</v>
      </c>
      <c r="H1557">
        <v>4</v>
      </c>
      <c r="I1557">
        <v>11</v>
      </c>
      <c r="J1557" t="str">
        <f>TEXT(DATE(2012,Table1[[#This Row],[MONTH_ID]],10),"mmm")</f>
        <v>Nov</v>
      </c>
      <c r="K1557">
        <v>2004</v>
      </c>
      <c r="L1557" t="s">
        <v>564</v>
      </c>
      <c r="M1557">
        <v>33</v>
      </c>
      <c r="N1557" t="s">
        <v>639</v>
      </c>
      <c r="O1557" t="s">
        <v>291</v>
      </c>
      <c r="P1557">
        <v>6035558647</v>
      </c>
      <c r="Q1557" t="s">
        <v>292</v>
      </c>
      <c r="S1557" t="s">
        <v>293</v>
      </c>
      <c r="T1557" t="s">
        <v>294</v>
      </c>
      <c r="U1557">
        <v>62005</v>
      </c>
      <c r="V1557" t="s">
        <v>46</v>
      </c>
      <c r="W1557" t="s">
        <v>47</v>
      </c>
      <c r="X1557" t="s">
        <v>70</v>
      </c>
      <c r="Y1557" t="s">
        <v>290</v>
      </c>
      <c r="Z1557" t="s">
        <v>50</v>
      </c>
    </row>
    <row r="1558" spans="1:26" x14ac:dyDescent="0.3">
      <c r="A1558">
        <v>10332</v>
      </c>
      <c r="B1558">
        <v>45</v>
      </c>
      <c r="C1558">
        <v>81.91</v>
      </c>
      <c r="D1558">
        <v>6</v>
      </c>
      <c r="E1558">
        <v>3685.95</v>
      </c>
      <c r="F1558" s="1">
        <v>38308</v>
      </c>
      <c r="G1558" t="s">
        <v>39</v>
      </c>
      <c r="H1558">
        <v>4</v>
      </c>
      <c r="I1558">
        <v>11</v>
      </c>
      <c r="J1558" t="str">
        <f>TEXT(DATE(2012,Table1[[#This Row],[MONTH_ID]],10),"mmm")</f>
        <v>Nov</v>
      </c>
      <c r="K1558">
        <v>2004</v>
      </c>
      <c r="L1558" t="s">
        <v>564</v>
      </c>
      <c r="M1558">
        <v>33</v>
      </c>
      <c r="N1558" t="s">
        <v>639</v>
      </c>
      <c r="O1558" t="s">
        <v>506</v>
      </c>
      <c r="P1558" t="s">
        <v>507</v>
      </c>
      <c r="Q1558" t="s">
        <v>508</v>
      </c>
      <c r="S1558" t="s">
        <v>509</v>
      </c>
      <c r="U1558" t="s">
        <v>510</v>
      </c>
      <c r="V1558" t="s">
        <v>184</v>
      </c>
      <c r="W1558" t="s">
        <v>56</v>
      </c>
      <c r="X1558" t="s">
        <v>511</v>
      </c>
      <c r="Y1558" t="s">
        <v>108</v>
      </c>
      <c r="Z1558" t="s">
        <v>65</v>
      </c>
    </row>
    <row r="1559" spans="1:26" x14ac:dyDescent="0.3">
      <c r="A1559">
        <v>10344</v>
      </c>
      <c r="B1559">
        <v>20</v>
      </c>
      <c r="C1559">
        <v>35.18</v>
      </c>
      <c r="D1559">
        <v>6</v>
      </c>
      <c r="E1559">
        <v>703.6</v>
      </c>
      <c r="F1559" s="1">
        <v>38316</v>
      </c>
      <c r="G1559" t="s">
        <v>39</v>
      </c>
      <c r="H1559">
        <v>4</v>
      </c>
      <c r="I1559">
        <v>11</v>
      </c>
      <c r="J1559" t="str">
        <f>TEXT(DATE(2012,Table1[[#This Row],[MONTH_ID]],10),"mmm")</f>
        <v>Nov</v>
      </c>
      <c r="K1559">
        <v>2004</v>
      </c>
      <c r="L1559" t="s">
        <v>564</v>
      </c>
      <c r="M1559">
        <v>33</v>
      </c>
      <c r="N1559" t="s">
        <v>639</v>
      </c>
      <c r="O1559" t="s">
        <v>447</v>
      </c>
      <c r="P1559" t="s">
        <v>448</v>
      </c>
      <c r="Q1559" t="s">
        <v>449</v>
      </c>
      <c r="S1559" t="s">
        <v>450</v>
      </c>
      <c r="U1559">
        <v>13008</v>
      </c>
      <c r="V1559" t="s">
        <v>55</v>
      </c>
      <c r="W1559" t="s">
        <v>56</v>
      </c>
      <c r="X1559" t="s">
        <v>451</v>
      </c>
      <c r="Y1559" t="s">
        <v>452</v>
      </c>
      <c r="Z1559" t="s">
        <v>50</v>
      </c>
    </row>
    <row r="1560" spans="1:26" x14ac:dyDescent="0.3">
      <c r="A1560">
        <v>10356</v>
      </c>
      <c r="B1560">
        <v>48</v>
      </c>
      <c r="C1560">
        <v>100</v>
      </c>
      <c r="D1560">
        <v>5</v>
      </c>
      <c r="E1560">
        <v>9720</v>
      </c>
      <c r="F1560" s="1">
        <v>38330</v>
      </c>
      <c r="G1560" t="s">
        <v>39</v>
      </c>
      <c r="H1560">
        <v>4</v>
      </c>
      <c r="I1560">
        <v>12</v>
      </c>
      <c r="J1560" t="str">
        <f>TEXT(DATE(2012,Table1[[#This Row],[MONTH_ID]],10),"mmm")</f>
        <v>Dec</v>
      </c>
      <c r="K1560">
        <v>2004</v>
      </c>
      <c r="L1560" t="s">
        <v>564</v>
      </c>
      <c r="M1560">
        <v>33</v>
      </c>
      <c r="N1560" t="s">
        <v>639</v>
      </c>
      <c r="O1560" t="s">
        <v>59</v>
      </c>
      <c r="P1560" t="s">
        <v>60</v>
      </c>
      <c r="Q1560" t="s">
        <v>61</v>
      </c>
      <c r="S1560" t="s">
        <v>62</v>
      </c>
      <c r="U1560">
        <v>75508</v>
      </c>
      <c r="V1560" t="s">
        <v>55</v>
      </c>
      <c r="W1560" t="s">
        <v>56</v>
      </c>
      <c r="X1560" t="s">
        <v>63</v>
      </c>
      <c r="Y1560" t="s">
        <v>64</v>
      </c>
      <c r="Z1560" t="s">
        <v>165</v>
      </c>
    </row>
    <row r="1561" spans="1:26" x14ac:dyDescent="0.3">
      <c r="A1561">
        <v>10367</v>
      </c>
      <c r="B1561">
        <v>23</v>
      </c>
      <c r="C1561">
        <v>36.29</v>
      </c>
      <c r="D1561">
        <v>13</v>
      </c>
      <c r="E1561">
        <v>834.67</v>
      </c>
      <c r="F1561" s="1">
        <v>38364</v>
      </c>
      <c r="G1561" t="s">
        <v>422</v>
      </c>
      <c r="H1561">
        <v>1</v>
      </c>
      <c r="I1561">
        <v>1</v>
      </c>
      <c r="J1561" t="str">
        <f>TEXT(DATE(2012,Table1[[#This Row],[MONTH_ID]],10),"mmm")</f>
        <v>Jan</v>
      </c>
      <c r="K1561">
        <v>2005</v>
      </c>
      <c r="L1561" t="s">
        <v>564</v>
      </c>
      <c r="M1561">
        <v>33</v>
      </c>
      <c r="N1561" t="s">
        <v>639</v>
      </c>
      <c r="O1561" t="s">
        <v>66</v>
      </c>
      <c r="P1561">
        <v>6265557265</v>
      </c>
      <c r="Q1561" t="s">
        <v>67</v>
      </c>
      <c r="S1561" t="s">
        <v>68</v>
      </c>
      <c r="T1561" t="s">
        <v>69</v>
      </c>
      <c r="U1561">
        <v>90003</v>
      </c>
      <c r="V1561" t="s">
        <v>46</v>
      </c>
      <c r="W1561" t="s">
        <v>47</v>
      </c>
      <c r="X1561" t="s">
        <v>70</v>
      </c>
      <c r="Y1561" t="s">
        <v>71</v>
      </c>
      <c r="Z1561" t="s">
        <v>50</v>
      </c>
    </row>
    <row r="1562" spans="1:26" x14ac:dyDescent="0.3">
      <c r="A1562">
        <v>10380</v>
      </c>
      <c r="B1562">
        <v>32</v>
      </c>
      <c r="C1562">
        <v>70.56</v>
      </c>
      <c r="D1562">
        <v>4</v>
      </c>
      <c r="E1562">
        <v>2257.92</v>
      </c>
      <c r="F1562" s="1">
        <v>38399</v>
      </c>
      <c r="G1562" t="s">
        <v>39</v>
      </c>
      <c r="H1562">
        <v>1</v>
      </c>
      <c r="I1562">
        <v>2</v>
      </c>
      <c r="J1562" t="str">
        <f>TEXT(DATE(2012,Table1[[#This Row],[MONTH_ID]],10),"mmm")</f>
        <v>Feb</v>
      </c>
      <c r="K1562">
        <v>2005</v>
      </c>
      <c r="L1562" t="s">
        <v>564</v>
      </c>
      <c r="M1562">
        <v>33</v>
      </c>
      <c r="N1562" t="s">
        <v>639</v>
      </c>
      <c r="O1562" t="s">
        <v>188</v>
      </c>
      <c r="P1562" t="s">
        <v>189</v>
      </c>
      <c r="Q1562" t="s">
        <v>190</v>
      </c>
      <c r="S1562" t="s">
        <v>191</v>
      </c>
      <c r="U1562">
        <v>28034</v>
      </c>
      <c r="V1562" t="s">
        <v>192</v>
      </c>
      <c r="W1562" t="s">
        <v>56</v>
      </c>
      <c r="X1562" t="s">
        <v>193</v>
      </c>
      <c r="Y1562" t="s">
        <v>194</v>
      </c>
      <c r="Z1562" t="s">
        <v>50</v>
      </c>
    </row>
    <row r="1563" spans="1:26" x14ac:dyDescent="0.3">
      <c r="A1563">
        <v>10391</v>
      </c>
      <c r="B1563">
        <v>33</v>
      </c>
      <c r="C1563">
        <v>100</v>
      </c>
      <c r="D1563">
        <v>8</v>
      </c>
      <c r="E1563">
        <v>8344.7099999999991</v>
      </c>
      <c r="F1563" s="1">
        <v>38420</v>
      </c>
      <c r="G1563" t="s">
        <v>39</v>
      </c>
      <c r="H1563">
        <v>1</v>
      </c>
      <c r="I1563">
        <v>3</v>
      </c>
      <c r="J1563" t="str">
        <f>TEXT(DATE(2012,Table1[[#This Row],[MONTH_ID]],10),"mmm")</f>
        <v>Mar</v>
      </c>
      <c r="K1563">
        <v>2005</v>
      </c>
      <c r="L1563" t="s">
        <v>564</v>
      </c>
      <c r="M1563">
        <v>33</v>
      </c>
      <c r="N1563" t="s">
        <v>639</v>
      </c>
      <c r="O1563" t="s">
        <v>299</v>
      </c>
      <c r="P1563" t="s">
        <v>300</v>
      </c>
      <c r="Q1563" t="s">
        <v>301</v>
      </c>
      <c r="R1563" t="s">
        <v>302</v>
      </c>
      <c r="S1563" t="s">
        <v>303</v>
      </c>
      <c r="T1563" t="s">
        <v>171</v>
      </c>
      <c r="U1563">
        <v>2060</v>
      </c>
      <c r="V1563" t="s">
        <v>109</v>
      </c>
      <c r="W1563" t="s">
        <v>110</v>
      </c>
      <c r="X1563" t="s">
        <v>304</v>
      </c>
      <c r="Y1563" t="s">
        <v>305</v>
      </c>
      <c r="Z1563" t="s">
        <v>165</v>
      </c>
    </row>
    <row r="1564" spans="1:26" x14ac:dyDescent="0.3">
      <c r="A1564">
        <v>10409</v>
      </c>
      <c r="B1564">
        <v>61</v>
      </c>
      <c r="C1564">
        <v>29.54</v>
      </c>
      <c r="D1564">
        <v>1</v>
      </c>
      <c r="E1564">
        <v>1801.94</v>
      </c>
      <c r="F1564" s="1">
        <v>38465</v>
      </c>
      <c r="G1564" t="s">
        <v>39</v>
      </c>
      <c r="H1564">
        <v>2</v>
      </c>
      <c r="I1564">
        <v>4</v>
      </c>
      <c r="J1564" t="str">
        <f>TEXT(DATE(2012,Table1[[#This Row],[MONTH_ID]],10),"mmm")</f>
        <v>Apr</v>
      </c>
      <c r="K1564">
        <v>2005</v>
      </c>
      <c r="L1564" t="s">
        <v>564</v>
      </c>
      <c r="M1564">
        <v>33</v>
      </c>
      <c r="N1564" t="s">
        <v>639</v>
      </c>
      <c r="O1564" t="s">
        <v>432</v>
      </c>
      <c r="P1564" t="s">
        <v>433</v>
      </c>
      <c r="Q1564" t="s">
        <v>434</v>
      </c>
      <c r="R1564" t="s">
        <v>435</v>
      </c>
      <c r="S1564" t="s">
        <v>213</v>
      </c>
      <c r="U1564">
        <v>69045</v>
      </c>
      <c r="V1564" t="s">
        <v>213</v>
      </c>
      <c r="W1564" t="s">
        <v>110</v>
      </c>
      <c r="X1564" t="s">
        <v>436</v>
      </c>
      <c r="Y1564" t="s">
        <v>437</v>
      </c>
      <c r="Z1564" t="s">
        <v>50</v>
      </c>
    </row>
    <row r="1565" spans="1:26" x14ac:dyDescent="0.3">
      <c r="A1565">
        <v>10420</v>
      </c>
      <c r="B1565">
        <v>45</v>
      </c>
      <c r="C1565">
        <v>26.88</v>
      </c>
      <c r="D1565">
        <v>1</v>
      </c>
      <c r="E1565">
        <v>1209.5999999999999</v>
      </c>
      <c r="F1565" s="1">
        <v>38501</v>
      </c>
      <c r="G1565" t="s">
        <v>314</v>
      </c>
      <c r="H1565">
        <v>2</v>
      </c>
      <c r="I1565">
        <v>5</v>
      </c>
      <c r="J1565" t="str">
        <f>TEXT(DATE(2012,Table1[[#This Row],[MONTH_ID]],10),"mmm")</f>
        <v>May</v>
      </c>
      <c r="K1565">
        <v>2005</v>
      </c>
      <c r="L1565" t="s">
        <v>564</v>
      </c>
      <c r="M1565">
        <v>33</v>
      </c>
      <c r="N1565" t="s">
        <v>639</v>
      </c>
      <c r="O1565" t="s">
        <v>166</v>
      </c>
      <c r="P1565" t="s">
        <v>167</v>
      </c>
      <c r="Q1565" t="s">
        <v>168</v>
      </c>
      <c r="R1565" t="s">
        <v>169</v>
      </c>
      <c r="S1565" t="s">
        <v>170</v>
      </c>
      <c r="T1565" t="s">
        <v>171</v>
      </c>
      <c r="U1565">
        <v>2067</v>
      </c>
      <c r="V1565" t="s">
        <v>109</v>
      </c>
      <c r="W1565" t="s">
        <v>110</v>
      </c>
      <c r="X1565" t="s">
        <v>172</v>
      </c>
      <c r="Y1565" t="s">
        <v>173</v>
      </c>
      <c r="Z1565" t="s">
        <v>50</v>
      </c>
    </row>
    <row r="1566" spans="1:26" x14ac:dyDescent="0.3">
      <c r="A1566">
        <v>10107</v>
      </c>
      <c r="B1566">
        <v>38</v>
      </c>
      <c r="C1566">
        <v>83.03</v>
      </c>
      <c r="D1566">
        <v>7</v>
      </c>
      <c r="E1566">
        <v>3155.14</v>
      </c>
      <c r="F1566" s="1">
        <v>37676</v>
      </c>
      <c r="G1566" t="s">
        <v>39</v>
      </c>
      <c r="H1566">
        <v>1</v>
      </c>
      <c r="I1566">
        <v>2</v>
      </c>
      <c r="J1566" t="str">
        <f>TEXT(DATE(2012,Table1[[#This Row],[MONTH_ID]],10),"mmm")</f>
        <v>Feb</v>
      </c>
      <c r="K1566">
        <v>2003</v>
      </c>
      <c r="L1566" t="s">
        <v>40</v>
      </c>
      <c r="M1566">
        <v>76</v>
      </c>
      <c r="N1566" t="s">
        <v>640</v>
      </c>
      <c r="O1566" t="s">
        <v>42</v>
      </c>
      <c r="P1566">
        <v>2125557818</v>
      </c>
      <c r="Q1566" t="s">
        <v>43</v>
      </c>
      <c r="S1566" t="s">
        <v>44</v>
      </c>
      <c r="T1566" t="s">
        <v>45</v>
      </c>
      <c r="U1566">
        <v>10022</v>
      </c>
      <c r="V1566" t="s">
        <v>46</v>
      </c>
      <c r="W1566" t="s">
        <v>47</v>
      </c>
      <c r="X1566" t="s">
        <v>48</v>
      </c>
      <c r="Y1566" t="s">
        <v>49</v>
      </c>
      <c r="Z1566" t="s">
        <v>65</v>
      </c>
    </row>
    <row r="1567" spans="1:26" x14ac:dyDescent="0.3">
      <c r="A1567">
        <v>10120</v>
      </c>
      <c r="B1567">
        <v>34</v>
      </c>
      <c r="C1567">
        <v>83.79</v>
      </c>
      <c r="D1567">
        <v>5</v>
      </c>
      <c r="E1567">
        <v>2848.86</v>
      </c>
      <c r="F1567" s="1">
        <v>37740</v>
      </c>
      <c r="G1567" t="s">
        <v>39</v>
      </c>
      <c r="H1567">
        <v>2</v>
      </c>
      <c r="I1567">
        <v>4</v>
      </c>
      <c r="J1567" t="str">
        <f>TEXT(DATE(2012,Table1[[#This Row],[MONTH_ID]],10),"mmm")</f>
        <v>Apr</v>
      </c>
      <c r="K1567">
        <v>2003</v>
      </c>
      <c r="L1567" t="s">
        <v>40</v>
      </c>
      <c r="M1567">
        <v>76</v>
      </c>
      <c r="N1567" t="s">
        <v>640</v>
      </c>
      <c r="O1567" t="s">
        <v>103</v>
      </c>
      <c r="P1567" t="s">
        <v>104</v>
      </c>
      <c r="Q1567" t="s">
        <v>105</v>
      </c>
      <c r="R1567" t="s">
        <v>106</v>
      </c>
      <c r="S1567" t="s">
        <v>107</v>
      </c>
      <c r="T1567" t="s">
        <v>108</v>
      </c>
      <c r="U1567">
        <v>3004</v>
      </c>
      <c r="V1567" t="s">
        <v>109</v>
      </c>
      <c r="W1567" t="s">
        <v>110</v>
      </c>
      <c r="X1567" t="s">
        <v>111</v>
      </c>
      <c r="Y1567" t="s">
        <v>112</v>
      </c>
      <c r="Z1567" t="s">
        <v>50</v>
      </c>
    </row>
    <row r="1568" spans="1:26" x14ac:dyDescent="0.3">
      <c r="A1568">
        <v>10134</v>
      </c>
      <c r="B1568">
        <v>43</v>
      </c>
      <c r="C1568">
        <v>83.03</v>
      </c>
      <c r="D1568">
        <v>7</v>
      </c>
      <c r="E1568">
        <v>3570.29</v>
      </c>
      <c r="F1568" s="1">
        <v>37803</v>
      </c>
      <c r="G1568" t="s">
        <v>39</v>
      </c>
      <c r="H1568">
        <v>3</v>
      </c>
      <c r="I1568">
        <v>7</v>
      </c>
      <c r="J1568" t="str">
        <f>TEXT(DATE(2012,Table1[[#This Row],[MONTH_ID]],10),"mmm")</f>
        <v>Jul</v>
      </c>
      <c r="K1568">
        <v>2003</v>
      </c>
      <c r="L1568" t="s">
        <v>40</v>
      </c>
      <c r="M1568">
        <v>76</v>
      </c>
      <c r="N1568" t="s">
        <v>640</v>
      </c>
      <c r="O1568" t="s">
        <v>59</v>
      </c>
      <c r="P1568" t="s">
        <v>60</v>
      </c>
      <c r="Q1568" t="s">
        <v>61</v>
      </c>
      <c r="S1568" t="s">
        <v>62</v>
      </c>
      <c r="U1568">
        <v>75508</v>
      </c>
      <c r="V1568" t="s">
        <v>55</v>
      </c>
      <c r="W1568" t="s">
        <v>56</v>
      </c>
      <c r="X1568" t="s">
        <v>63</v>
      </c>
      <c r="Y1568" t="s">
        <v>64</v>
      </c>
      <c r="Z1568" t="s">
        <v>65</v>
      </c>
    </row>
    <row r="1569" spans="1:26" x14ac:dyDescent="0.3">
      <c r="A1569">
        <v>10145</v>
      </c>
      <c r="B1569">
        <v>47</v>
      </c>
      <c r="C1569">
        <v>83.03</v>
      </c>
      <c r="D1569">
        <v>11</v>
      </c>
      <c r="E1569">
        <v>3902.41</v>
      </c>
      <c r="F1569" s="1">
        <v>37858</v>
      </c>
      <c r="G1569" t="s">
        <v>39</v>
      </c>
      <c r="H1569">
        <v>3</v>
      </c>
      <c r="I1569">
        <v>8</v>
      </c>
      <c r="J1569" t="str">
        <f>TEXT(DATE(2012,Table1[[#This Row],[MONTH_ID]],10),"mmm")</f>
        <v>Aug</v>
      </c>
      <c r="K1569">
        <v>2003</v>
      </c>
      <c r="L1569" t="s">
        <v>40</v>
      </c>
      <c r="M1569">
        <v>76</v>
      </c>
      <c r="N1569" t="s">
        <v>640</v>
      </c>
      <c r="O1569" t="s">
        <v>66</v>
      </c>
      <c r="P1569">
        <v>6265557265</v>
      </c>
      <c r="Q1569" t="s">
        <v>67</v>
      </c>
      <c r="S1569" t="s">
        <v>68</v>
      </c>
      <c r="T1569" t="s">
        <v>69</v>
      </c>
      <c r="U1569">
        <v>90003</v>
      </c>
      <c r="V1569" t="s">
        <v>46</v>
      </c>
      <c r="W1569" t="s">
        <v>47</v>
      </c>
      <c r="X1569" t="s">
        <v>70</v>
      </c>
      <c r="Y1569" t="s">
        <v>71</v>
      </c>
      <c r="Z1569" t="s">
        <v>65</v>
      </c>
    </row>
    <row r="1570" spans="1:26" x14ac:dyDescent="0.3">
      <c r="A1570">
        <v>10158</v>
      </c>
      <c r="B1570">
        <v>22</v>
      </c>
      <c r="C1570">
        <v>67.03</v>
      </c>
      <c r="D1570">
        <v>1</v>
      </c>
      <c r="E1570">
        <v>1474.66</v>
      </c>
      <c r="F1570" s="1">
        <v>37904</v>
      </c>
      <c r="G1570" t="s">
        <v>39</v>
      </c>
      <c r="H1570">
        <v>4</v>
      </c>
      <c r="I1570">
        <v>10</v>
      </c>
      <c r="J1570" t="str">
        <f>TEXT(DATE(2012,Table1[[#This Row],[MONTH_ID]],10),"mmm")</f>
        <v>Oct</v>
      </c>
      <c r="K1570">
        <v>2003</v>
      </c>
      <c r="L1570" t="s">
        <v>40</v>
      </c>
      <c r="M1570">
        <v>76</v>
      </c>
      <c r="N1570" t="s">
        <v>640</v>
      </c>
      <c r="O1570" t="s">
        <v>147</v>
      </c>
      <c r="P1570" t="s">
        <v>148</v>
      </c>
      <c r="Q1570" t="s">
        <v>149</v>
      </c>
      <c r="S1570" t="s">
        <v>150</v>
      </c>
      <c r="U1570">
        <v>4110</v>
      </c>
      <c r="V1570" t="s">
        <v>92</v>
      </c>
      <c r="W1570" t="s">
        <v>56</v>
      </c>
      <c r="X1570" t="s">
        <v>151</v>
      </c>
      <c r="Y1570" t="s">
        <v>152</v>
      </c>
      <c r="Z1570" t="s">
        <v>50</v>
      </c>
    </row>
    <row r="1571" spans="1:26" x14ac:dyDescent="0.3">
      <c r="A1571">
        <v>10168</v>
      </c>
      <c r="B1571">
        <v>29</v>
      </c>
      <c r="C1571">
        <v>75.41</v>
      </c>
      <c r="D1571">
        <v>6</v>
      </c>
      <c r="E1571">
        <v>2186.89</v>
      </c>
      <c r="F1571" s="1">
        <v>37922</v>
      </c>
      <c r="G1571" t="s">
        <v>39</v>
      </c>
      <c r="H1571">
        <v>4</v>
      </c>
      <c r="I1571">
        <v>10</v>
      </c>
      <c r="J1571" t="str">
        <f>TEXT(DATE(2012,Table1[[#This Row],[MONTH_ID]],10),"mmm")</f>
        <v>Oct</v>
      </c>
      <c r="K1571">
        <v>2003</v>
      </c>
      <c r="L1571" t="s">
        <v>40</v>
      </c>
      <c r="M1571">
        <v>76</v>
      </c>
      <c r="N1571" t="s">
        <v>640</v>
      </c>
      <c r="O1571" t="s">
        <v>76</v>
      </c>
      <c r="P1571">
        <v>6505556809</v>
      </c>
      <c r="Q1571" t="s">
        <v>77</v>
      </c>
      <c r="S1571" t="s">
        <v>78</v>
      </c>
      <c r="T1571" t="s">
        <v>69</v>
      </c>
      <c r="U1571">
        <v>94217</v>
      </c>
      <c r="V1571" t="s">
        <v>46</v>
      </c>
      <c r="W1571" t="s">
        <v>47</v>
      </c>
      <c r="X1571" t="s">
        <v>79</v>
      </c>
      <c r="Y1571" t="s">
        <v>80</v>
      </c>
      <c r="Z1571" t="s">
        <v>50</v>
      </c>
    </row>
    <row r="1572" spans="1:26" x14ac:dyDescent="0.3">
      <c r="A1572">
        <v>10180</v>
      </c>
      <c r="B1572">
        <v>28</v>
      </c>
      <c r="C1572">
        <v>68.55</v>
      </c>
      <c r="D1572">
        <v>14</v>
      </c>
      <c r="E1572">
        <v>1919.4</v>
      </c>
      <c r="F1572" s="1">
        <v>37936</v>
      </c>
      <c r="G1572" t="s">
        <v>39</v>
      </c>
      <c r="H1572">
        <v>4</v>
      </c>
      <c r="I1572">
        <v>11</v>
      </c>
      <c r="J1572" t="str">
        <f>TEXT(DATE(2012,Table1[[#This Row],[MONTH_ID]],10),"mmm")</f>
        <v>Nov</v>
      </c>
      <c r="K1572">
        <v>2003</v>
      </c>
      <c r="L1572" t="s">
        <v>40</v>
      </c>
      <c r="M1572">
        <v>76</v>
      </c>
      <c r="N1572" t="s">
        <v>640</v>
      </c>
      <c r="O1572" t="s">
        <v>81</v>
      </c>
      <c r="P1572" t="s">
        <v>82</v>
      </c>
      <c r="Q1572" t="s">
        <v>83</v>
      </c>
      <c r="S1572" t="s">
        <v>84</v>
      </c>
      <c r="U1572">
        <v>59000</v>
      </c>
      <c r="V1572" t="s">
        <v>55</v>
      </c>
      <c r="W1572" t="s">
        <v>56</v>
      </c>
      <c r="X1572" t="s">
        <v>85</v>
      </c>
      <c r="Y1572" t="s">
        <v>86</v>
      </c>
      <c r="Z1572" t="s">
        <v>50</v>
      </c>
    </row>
    <row r="1573" spans="1:26" x14ac:dyDescent="0.3">
      <c r="A1573">
        <v>10188</v>
      </c>
      <c r="B1573">
        <v>40</v>
      </c>
      <c r="C1573">
        <v>91.4</v>
      </c>
      <c r="D1573">
        <v>6</v>
      </c>
      <c r="E1573">
        <v>3656</v>
      </c>
      <c r="F1573" s="1">
        <v>37943</v>
      </c>
      <c r="G1573" t="s">
        <v>39</v>
      </c>
      <c r="H1573">
        <v>4</v>
      </c>
      <c r="I1573">
        <v>11</v>
      </c>
      <c r="J1573" t="str">
        <f>TEXT(DATE(2012,Table1[[#This Row],[MONTH_ID]],10),"mmm")</f>
        <v>Nov</v>
      </c>
      <c r="K1573">
        <v>2003</v>
      </c>
      <c r="L1573" t="s">
        <v>40</v>
      </c>
      <c r="M1573">
        <v>76</v>
      </c>
      <c r="N1573" t="s">
        <v>640</v>
      </c>
      <c r="O1573" t="s">
        <v>87</v>
      </c>
      <c r="P1573" t="s">
        <v>88</v>
      </c>
      <c r="Q1573" t="s">
        <v>89</v>
      </c>
      <c r="S1573" t="s">
        <v>90</v>
      </c>
      <c r="U1573" t="s">
        <v>91</v>
      </c>
      <c r="V1573" t="s">
        <v>92</v>
      </c>
      <c r="W1573" t="s">
        <v>56</v>
      </c>
      <c r="X1573" t="s">
        <v>93</v>
      </c>
      <c r="Y1573" t="s">
        <v>94</v>
      </c>
      <c r="Z1573" t="s">
        <v>65</v>
      </c>
    </row>
    <row r="1574" spans="1:26" x14ac:dyDescent="0.3">
      <c r="A1574">
        <v>10201</v>
      </c>
      <c r="B1574">
        <v>25</v>
      </c>
      <c r="C1574">
        <v>73.88</v>
      </c>
      <c r="D1574">
        <v>7</v>
      </c>
      <c r="E1574">
        <v>1847</v>
      </c>
      <c r="F1574" s="1">
        <v>37956</v>
      </c>
      <c r="G1574" t="s">
        <v>39</v>
      </c>
      <c r="H1574">
        <v>4</v>
      </c>
      <c r="I1574">
        <v>12</v>
      </c>
      <c r="J1574" t="str">
        <f>TEXT(DATE(2012,Table1[[#This Row],[MONTH_ID]],10),"mmm")</f>
        <v>Dec</v>
      </c>
      <c r="K1574">
        <v>2003</v>
      </c>
      <c r="L1574" t="s">
        <v>40</v>
      </c>
      <c r="M1574">
        <v>76</v>
      </c>
      <c r="N1574" t="s">
        <v>640</v>
      </c>
      <c r="O1574" t="s">
        <v>95</v>
      </c>
      <c r="P1574">
        <v>6505555787</v>
      </c>
      <c r="Q1574" t="s">
        <v>96</v>
      </c>
      <c r="S1574" t="s">
        <v>74</v>
      </c>
      <c r="T1574" t="s">
        <v>69</v>
      </c>
      <c r="V1574" t="s">
        <v>46</v>
      </c>
      <c r="W1574" t="s">
        <v>47</v>
      </c>
      <c r="X1574" t="s">
        <v>97</v>
      </c>
      <c r="Y1574" t="s">
        <v>71</v>
      </c>
      <c r="Z1574" t="s">
        <v>50</v>
      </c>
    </row>
    <row r="1575" spans="1:26" x14ac:dyDescent="0.3">
      <c r="A1575">
        <v>10210</v>
      </c>
      <c r="B1575">
        <v>30</v>
      </c>
      <c r="C1575">
        <v>61.7</v>
      </c>
      <c r="D1575">
        <v>4</v>
      </c>
      <c r="E1575">
        <v>1851</v>
      </c>
      <c r="F1575" s="1">
        <v>37998</v>
      </c>
      <c r="G1575" t="s">
        <v>39</v>
      </c>
      <c r="H1575">
        <v>1</v>
      </c>
      <c r="I1575">
        <v>1</v>
      </c>
      <c r="J1575" t="str">
        <f>TEXT(DATE(2012,Table1[[#This Row],[MONTH_ID]],10),"mmm")</f>
        <v>Jan</v>
      </c>
      <c r="K1575">
        <v>2004</v>
      </c>
      <c r="L1575" t="s">
        <v>40</v>
      </c>
      <c r="M1575">
        <v>76</v>
      </c>
      <c r="N1575" t="s">
        <v>640</v>
      </c>
      <c r="O1575" t="s">
        <v>316</v>
      </c>
      <c r="P1575" t="s">
        <v>317</v>
      </c>
      <c r="Q1575" t="s">
        <v>318</v>
      </c>
      <c r="S1575" t="s">
        <v>319</v>
      </c>
      <c r="T1575" t="s">
        <v>319</v>
      </c>
      <c r="U1575" t="s">
        <v>320</v>
      </c>
      <c r="V1575" t="s">
        <v>214</v>
      </c>
      <c r="W1575" t="s">
        <v>214</v>
      </c>
      <c r="X1575" t="s">
        <v>321</v>
      </c>
      <c r="Y1575" t="s">
        <v>322</v>
      </c>
      <c r="Z1575" t="s">
        <v>50</v>
      </c>
    </row>
    <row r="1576" spans="1:26" x14ac:dyDescent="0.3">
      <c r="A1576">
        <v>10223</v>
      </c>
      <c r="B1576">
        <v>38</v>
      </c>
      <c r="C1576">
        <v>69.31</v>
      </c>
      <c r="D1576">
        <v>6</v>
      </c>
      <c r="E1576">
        <v>2633.78</v>
      </c>
      <c r="F1576" s="1">
        <v>38037</v>
      </c>
      <c r="G1576" t="s">
        <v>39</v>
      </c>
      <c r="H1576">
        <v>1</v>
      </c>
      <c r="I1576">
        <v>2</v>
      </c>
      <c r="J1576" t="str">
        <f>TEXT(DATE(2012,Table1[[#This Row],[MONTH_ID]],10),"mmm")</f>
        <v>Feb</v>
      </c>
      <c r="K1576">
        <v>2004</v>
      </c>
      <c r="L1576" t="s">
        <v>40</v>
      </c>
      <c r="M1576">
        <v>76</v>
      </c>
      <c r="N1576" t="s">
        <v>640</v>
      </c>
      <c r="O1576" t="s">
        <v>103</v>
      </c>
      <c r="P1576" t="s">
        <v>104</v>
      </c>
      <c r="Q1576" t="s">
        <v>105</v>
      </c>
      <c r="R1576" t="s">
        <v>106</v>
      </c>
      <c r="S1576" t="s">
        <v>107</v>
      </c>
      <c r="T1576" t="s">
        <v>108</v>
      </c>
      <c r="U1576">
        <v>3004</v>
      </c>
      <c r="V1576" t="s">
        <v>109</v>
      </c>
      <c r="W1576" t="s">
        <v>110</v>
      </c>
      <c r="X1576" t="s">
        <v>111</v>
      </c>
      <c r="Y1576" t="s">
        <v>112</v>
      </c>
      <c r="Z1576" t="s">
        <v>50</v>
      </c>
    </row>
    <row r="1577" spans="1:26" x14ac:dyDescent="0.3">
      <c r="A1577">
        <v>10236</v>
      </c>
      <c r="B1577">
        <v>36</v>
      </c>
      <c r="C1577">
        <v>87.6</v>
      </c>
      <c r="D1577">
        <v>3</v>
      </c>
      <c r="E1577">
        <v>3153.6</v>
      </c>
      <c r="F1577" s="1">
        <v>38080</v>
      </c>
      <c r="G1577" t="s">
        <v>39</v>
      </c>
      <c r="H1577">
        <v>2</v>
      </c>
      <c r="I1577">
        <v>4</v>
      </c>
      <c r="J1577" t="str">
        <f>TEXT(DATE(2012,Table1[[#This Row],[MONTH_ID]],10),"mmm")</f>
        <v>Apr</v>
      </c>
      <c r="K1577">
        <v>2004</v>
      </c>
      <c r="L1577" t="s">
        <v>40</v>
      </c>
      <c r="M1577">
        <v>76</v>
      </c>
      <c r="N1577" t="s">
        <v>640</v>
      </c>
      <c r="O1577" t="s">
        <v>323</v>
      </c>
      <c r="P1577">
        <v>2155559857</v>
      </c>
      <c r="Q1577" t="s">
        <v>324</v>
      </c>
      <c r="S1577" t="s">
        <v>230</v>
      </c>
      <c r="T1577" t="s">
        <v>156</v>
      </c>
      <c r="U1577">
        <v>71270</v>
      </c>
      <c r="V1577" t="s">
        <v>46</v>
      </c>
      <c r="W1577" t="s">
        <v>47</v>
      </c>
      <c r="X1577" t="s">
        <v>138</v>
      </c>
      <c r="Y1577" t="s">
        <v>325</v>
      </c>
      <c r="Z1577" t="s">
        <v>65</v>
      </c>
    </row>
    <row r="1578" spans="1:26" x14ac:dyDescent="0.3">
      <c r="A1578">
        <v>10250</v>
      </c>
      <c r="B1578">
        <v>32</v>
      </c>
      <c r="C1578">
        <v>87.6</v>
      </c>
      <c r="D1578">
        <v>1</v>
      </c>
      <c r="E1578">
        <v>2803.2</v>
      </c>
      <c r="F1578" s="1">
        <v>38118</v>
      </c>
      <c r="G1578" t="s">
        <v>39</v>
      </c>
      <c r="H1578">
        <v>2</v>
      </c>
      <c r="I1578">
        <v>5</v>
      </c>
      <c r="J1578" t="str">
        <f>TEXT(DATE(2012,Table1[[#This Row],[MONTH_ID]],10),"mmm")</f>
        <v>May</v>
      </c>
      <c r="K1578">
        <v>2004</v>
      </c>
      <c r="L1578" t="s">
        <v>40</v>
      </c>
      <c r="M1578">
        <v>76</v>
      </c>
      <c r="N1578" t="s">
        <v>640</v>
      </c>
      <c r="O1578" t="s">
        <v>411</v>
      </c>
      <c r="P1578">
        <v>4085553659</v>
      </c>
      <c r="Q1578" t="s">
        <v>412</v>
      </c>
      <c r="S1578" t="s">
        <v>413</v>
      </c>
      <c r="T1578" t="s">
        <v>69</v>
      </c>
      <c r="U1578">
        <v>94217</v>
      </c>
      <c r="V1578" t="s">
        <v>46</v>
      </c>
      <c r="W1578" t="s">
        <v>47</v>
      </c>
      <c r="X1578" t="s">
        <v>116</v>
      </c>
      <c r="Y1578" t="s">
        <v>414</v>
      </c>
      <c r="Z1578" t="s">
        <v>50</v>
      </c>
    </row>
    <row r="1579" spans="1:26" x14ac:dyDescent="0.3">
      <c r="A1579">
        <v>10263</v>
      </c>
      <c r="B1579">
        <v>37</v>
      </c>
      <c r="C1579">
        <v>62.46</v>
      </c>
      <c r="D1579">
        <v>7</v>
      </c>
      <c r="E1579">
        <v>2311.02</v>
      </c>
      <c r="F1579" s="1">
        <v>38166</v>
      </c>
      <c r="G1579" t="s">
        <v>39</v>
      </c>
      <c r="H1579">
        <v>2</v>
      </c>
      <c r="I1579">
        <v>6</v>
      </c>
      <c r="J1579" t="str">
        <f>TEXT(DATE(2012,Table1[[#This Row],[MONTH_ID]],10),"mmm")</f>
        <v>Jun</v>
      </c>
      <c r="K1579">
        <v>2004</v>
      </c>
      <c r="L1579" t="s">
        <v>40</v>
      </c>
      <c r="M1579">
        <v>76</v>
      </c>
      <c r="N1579" t="s">
        <v>640</v>
      </c>
      <c r="O1579" t="s">
        <v>123</v>
      </c>
      <c r="P1579">
        <v>2035552570</v>
      </c>
      <c r="Q1579" t="s">
        <v>124</v>
      </c>
      <c r="S1579" t="s">
        <v>125</v>
      </c>
      <c r="T1579" t="s">
        <v>126</v>
      </c>
      <c r="U1579">
        <v>97562</v>
      </c>
      <c r="V1579" t="s">
        <v>46</v>
      </c>
      <c r="W1579" t="s">
        <v>47</v>
      </c>
      <c r="X1579" t="s">
        <v>127</v>
      </c>
      <c r="Y1579" t="s">
        <v>71</v>
      </c>
      <c r="Z1579" t="s">
        <v>50</v>
      </c>
    </row>
    <row r="1580" spans="1:26" x14ac:dyDescent="0.3">
      <c r="A1580">
        <v>10275</v>
      </c>
      <c r="B1580">
        <v>30</v>
      </c>
      <c r="C1580">
        <v>79.98</v>
      </c>
      <c r="D1580">
        <v>6</v>
      </c>
      <c r="E1580">
        <v>2399.4</v>
      </c>
      <c r="F1580" s="1">
        <v>38191</v>
      </c>
      <c r="G1580" t="s">
        <v>39</v>
      </c>
      <c r="H1580">
        <v>3</v>
      </c>
      <c r="I1580">
        <v>7</v>
      </c>
      <c r="J1580" t="str">
        <f>TEXT(DATE(2012,Table1[[#This Row],[MONTH_ID]],10),"mmm")</f>
        <v>Jul</v>
      </c>
      <c r="K1580">
        <v>2004</v>
      </c>
      <c r="L1580" t="s">
        <v>40</v>
      </c>
      <c r="M1580">
        <v>76</v>
      </c>
      <c r="N1580" t="s">
        <v>640</v>
      </c>
      <c r="O1580" t="s">
        <v>128</v>
      </c>
      <c r="P1580" t="s">
        <v>129</v>
      </c>
      <c r="Q1580" t="s">
        <v>130</v>
      </c>
      <c r="S1580" t="s">
        <v>131</v>
      </c>
      <c r="U1580">
        <v>44000</v>
      </c>
      <c r="V1580" t="s">
        <v>55</v>
      </c>
      <c r="W1580" t="s">
        <v>56</v>
      </c>
      <c r="X1580" t="s">
        <v>132</v>
      </c>
      <c r="Y1580" t="s">
        <v>133</v>
      </c>
      <c r="Z1580" t="s">
        <v>50</v>
      </c>
    </row>
    <row r="1581" spans="1:26" x14ac:dyDescent="0.3">
      <c r="A1581">
        <v>10285</v>
      </c>
      <c r="B1581">
        <v>39</v>
      </c>
      <c r="C1581">
        <v>70.08</v>
      </c>
      <c r="D1581">
        <v>11</v>
      </c>
      <c r="E1581">
        <v>2733.12</v>
      </c>
      <c r="F1581" s="1">
        <v>38226</v>
      </c>
      <c r="G1581" t="s">
        <v>39</v>
      </c>
      <c r="H1581">
        <v>3</v>
      </c>
      <c r="I1581">
        <v>8</v>
      </c>
      <c r="J1581" t="str">
        <f>TEXT(DATE(2012,Table1[[#This Row],[MONTH_ID]],10),"mmm")</f>
        <v>Aug</v>
      </c>
      <c r="K1581">
        <v>2004</v>
      </c>
      <c r="L1581" t="s">
        <v>40</v>
      </c>
      <c r="M1581">
        <v>76</v>
      </c>
      <c r="N1581" t="s">
        <v>640</v>
      </c>
      <c r="O1581" t="s">
        <v>134</v>
      </c>
      <c r="P1581">
        <v>6175558555</v>
      </c>
      <c r="Q1581" t="s">
        <v>135</v>
      </c>
      <c r="S1581" t="s">
        <v>136</v>
      </c>
      <c r="T1581" t="s">
        <v>137</v>
      </c>
      <c r="U1581">
        <v>51247</v>
      </c>
      <c r="V1581" t="s">
        <v>46</v>
      </c>
      <c r="W1581" t="s">
        <v>47</v>
      </c>
      <c r="X1581" t="s">
        <v>138</v>
      </c>
      <c r="Y1581" t="s">
        <v>139</v>
      </c>
      <c r="Z1581" t="s">
        <v>50</v>
      </c>
    </row>
    <row r="1582" spans="1:26" x14ac:dyDescent="0.3">
      <c r="A1582">
        <v>10297</v>
      </c>
      <c r="B1582">
        <v>32</v>
      </c>
      <c r="C1582">
        <v>65.510000000000005</v>
      </c>
      <c r="D1582">
        <v>1</v>
      </c>
      <c r="E1582">
        <v>2096.3200000000002</v>
      </c>
      <c r="F1582" s="1">
        <v>38246</v>
      </c>
      <c r="G1582" t="s">
        <v>39</v>
      </c>
      <c r="H1582">
        <v>3</v>
      </c>
      <c r="I1582">
        <v>9</v>
      </c>
      <c r="J1582" t="str">
        <f>TEXT(DATE(2012,Table1[[#This Row],[MONTH_ID]],10),"mmm")</f>
        <v>Sep</v>
      </c>
      <c r="K1582">
        <v>2004</v>
      </c>
      <c r="L1582" t="s">
        <v>40</v>
      </c>
      <c r="M1582">
        <v>76</v>
      </c>
      <c r="N1582" t="s">
        <v>640</v>
      </c>
      <c r="O1582" t="s">
        <v>493</v>
      </c>
      <c r="P1582" t="s">
        <v>494</v>
      </c>
      <c r="Q1582" t="s">
        <v>495</v>
      </c>
      <c r="R1582" t="s">
        <v>496</v>
      </c>
      <c r="S1582" t="s">
        <v>497</v>
      </c>
      <c r="U1582">
        <v>2</v>
      </c>
      <c r="V1582" t="s">
        <v>498</v>
      </c>
      <c r="W1582" t="s">
        <v>56</v>
      </c>
      <c r="X1582" t="s">
        <v>499</v>
      </c>
      <c r="Y1582" t="s">
        <v>500</v>
      </c>
      <c r="Z1582" t="s">
        <v>50</v>
      </c>
    </row>
    <row r="1583" spans="1:26" x14ac:dyDescent="0.3">
      <c r="A1583">
        <v>10308</v>
      </c>
      <c r="B1583">
        <v>47</v>
      </c>
      <c r="C1583">
        <v>63.22</v>
      </c>
      <c r="D1583">
        <v>4</v>
      </c>
      <c r="E1583">
        <v>2971.34</v>
      </c>
      <c r="F1583" s="1">
        <v>38275</v>
      </c>
      <c r="G1583" t="s">
        <v>39</v>
      </c>
      <c r="H1583">
        <v>4</v>
      </c>
      <c r="I1583">
        <v>10</v>
      </c>
      <c r="J1583" t="str">
        <f>TEXT(DATE(2012,Table1[[#This Row],[MONTH_ID]],10),"mmm")</f>
        <v>Oct</v>
      </c>
      <c r="K1583">
        <v>2004</v>
      </c>
      <c r="L1583" t="s">
        <v>40</v>
      </c>
      <c r="M1583">
        <v>76</v>
      </c>
      <c r="N1583" t="s">
        <v>640</v>
      </c>
      <c r="O1583" t="s">
        <v>331</v>
      </c>
      <c r="P1583">
        <v>9145554562</v>
      </c>
      <c r="Q1583" t="s">
        <v>332</v>
      </c>
      <c r="S1583" t="s">
        <v>333</v>
      </c>
      <c r="T1583" t="s">
        <v>45</v>
      </c>
      <c r="U1583">
        <v>24067</v>
      </c>
      <c r="V1583" t="s">
        <v>46</v>
      </c>
      <c r="W1583" t="s">
        <v>47</v>
      </c>
      <c r="X1583" t="s">
        <v>116</v>
      </c>
      <c r="Y1583" t="s">
        <v>252</v>
      </c>
      <c r="Z1583" t="s">
        <v>50</v>
      </c>
    </row>
    <row r="1584" spans="1:26" x14ac:dyDescent="0.3">
      <c r="A1584">
        <v>10318</v>
      </c>
      <c r="B1584">
        <v>26</v>
      </c>
      <c r="C1584">
        <v>86.83</v>
      </c>
      <c r="D1584">
        <v>6</v>
      </c>
      <c r="E1584">
        <v>2257.58</v>
      </c>
      <c r="F1584" s="1">
        <v>38293</v>
      </c>
      <c r="G1584" t="s">
        <v>39</v>
      </c>
      <c r="H1584">
        <v>4</v>
      </c>
      <c r="I1584">
        <v>11</v>
      </c>
      <c r="J1584" t="str">
        <f>TEXT(DATE(2012,Table1[[#This Row],[MONTH_ID]],10),"mmm")</f>
        <v>Nov</v>
      </c>
      <c r="K1584">
        <v>2004</v>
      </c>
      <c r="L1584" t="s">
        <v>40</v>
      </c>
      <c r="M1584">
        <v>76</v>
      </c>
      <c r="N1584" t="s">
        <v>640</v>
      </c>
      <c r="O1584" t="s">
        <v>153</v>
      </c>
      <c r="P1584">
        <v>2155551555</v>
      </c>
      <c r="Q1584" t="s">
        <v>154</v>
      </c>
      <c r="S1584" t="s">
        <v>155</v>
      </c>
      <c r="T1584" t="s">
        <v>156</v>
      </c>
      <c r="U1584">
        <v>70267</v>
      </c>
      <c r="V1584" t="s">
        <v>46</v>
      </c>
      <c r="W1584" t="s">
        <v>47</v>
      </c>
      <c r="X1584" t="s">
        <v>48</v>
      </c>
      <c r="Y1584" t="s">
        <v>157</v>
      </c>
      <c r="Z1584" t="s">
        <v>50</v>
      </c>
    </row>
    <row r="1585" spans="1:26" x14ac:dyDescent="0.3">
      <c r="A1585">
        <v>10329</v>
      </c>
      <c r="B1585">
        <v>37</v>
      </c>
      <c r="C1585">
        <v>94.43</v>
      </c>
      <c r="D1585">
        <v>4</v>
      </c>
      <c r="E1585">
        <v>3493.91</v>
      </c>
      <c r="F1585" s="1">
        <v>38306</v>
      </c>
      <c r="G1585" t="s">
        <v>39</v>
      </c>
      <c r="H1585">
        <v>4</v>
      </c>
      <c r="I1585">
        <v>11</v>
      </c>
      <c r="J1585" t="str">
        <f>TEXT(DATE(2012,Table1[[#This Row],[MONTH_ID]],10),"mmm")</f>
        <v>Nov</v>
      </c>
      <c r="K1585">
        <v>2004</v>
      </c>
      <c r="L1585" t="s">
        <v>40</v>
      </c>
      <c r="M1585">
        <v>76</v>
      </c>
      <c r="N1585" t="s">
        <v>640</v>
      </c>
      <c r="O1585" t="s">
        <v>42</v>
      </c>
      <c r="P1585">
        <v>2125557818</v>
      </c>
      <c r="Q1585" t="s">
        <v>43</v>
      </c>
      <c r="S1585" t="s">
        <v>44</v>
      </c>
      <c r="T1585" t="s">
        <v>45</v>
      </c>
      <c r="U1585">
        <v>10022</v>
      </c>
      <c r="V1585" t="s">
        <v>46</v>
      </c>
      <c r="W1585" t="s">
        <v>47</v>
      </c>
      <c r="X1585" t="s">
        <v>48</v>
      </c>
      <c r="Y1585" t="s">
        <v>49</v>
      </c>
      <c r="Z1585" t="s">
        <v>65</v>
      </c>
    </row>
    <row r="1586" spans="1:26" x14ac:dyDescent="0.3">
      <c r="A1586">
        <v>10340</v>
      </c>
      <c r="B1586">
        <v>55</v>
      </c>
      <c r="C1586">
        <v>79.98</v>
      </c>
      <c r="D1586">
        <v>8</v>
      </c>
      <c r="E1586">
        <v>4398.8999999999996</v>
      </c>
      <c r="F1586" s="1">
        <v>38315</v>
      </c>
      <c r="G1586" t="s">
        <v>39</v>
      </c>
      <c r="H1586">
        <v>4</v>
      </c>
      <c r="I1586">
        <v>11</v>
      </c>
      <c r="J1586" t="str">
        <f>TEXT(DATE(2012,Table1[[#This Row],[MONTH_ID]],10),"mmm")</f>
        <v>Nov</v>
      </c>
      <c r="K1586">
        <v>2004</v>
      </c>
      <c r="L1586" t="s">
        <v>40</v>
      </c>
      <c r="M1586">
        <v>76</v>
      </c>
      <c r="N1586" t="s">
        <v>640</v>
      </c>
      <c r="O1586" t="s">
        <v>366</v>
      </c>
      <c r="P1586" t="s">
        <v>367</v>
      </c>
      <c r="Q1586" t="s">
        <v>368</v>
      </c>
      <c r="S1586" t="s">
        <v>369</v>
      </c>
      <c r="U1586">
        <v>8022</v>
      </c>
      <c r="V1586" t="s">
        <v>192</v>
      </c>
      <c r="W1586" t="s">
        <v>56</v>
      </c>
      <c r="X1586" t="s">
        <v>370</v>
      </c>
      <c r="Y1586" t="s">
        <v>371</v>
      </c>
      <c r="Z1586" t="s">
        <v>65</v>
      </c>
    </row>
    <row r="1587" spans="1:26" x14ac:dyDescent="0.3">
      <c r="A1587">
        <v>10363</v>
      </c>
      <c r="B1587">
        <v>21</v>
      </c>
      <c r="C1587">
        <v>100</v>
      </c>
      <c r="D1587">
        <v>8</v>
      </c>
      <c r="E1587">
        <v>3595.62</v>
      </c>
      <c r="F1587" s="1">
        <v>38358</v>
      </c>
      <c r="G1587" t="s">
        <v>39</v>
      </c>
      <c r="H1587">
        <v>1</v>
      </c>
      <c r="I1587">
        <v>1</v>
      </c>
      <c r="J1587" t="str">
        <f>TEXT(DATE(2012,Table1[[#This Row],[MONTH_ID]],10),"mmm")</f>
        <v>Jan</v>
      </c>
      <c r="K1587">
        <v>2005</v>
      </c>
      <c r="L1587" t="s">
        <v>40</v>
      </c>
      <c r="M1587">
        <v>76</v>
      </c>
      <c r="N1587" t="s">
        <v>640</v>
      </c>
      <c r="O1587" t="s">
        <v>481</v>
      </c>
      <c r="P1587" t="s">
        <v>482</v>
      </c>
      <c r="Q1587" t="s">
        <v>483</v>
      </c>
      <c r="S1587" t="s">
        <v>484</v>
      </c>
      <c r="U1587" t="s">
        <v>485</v>
      </c>
      <c r="V1587" t="s">
        <v>144</v>
      </c>
      <c r="W1587" t="s">
        <v>56</v>
      </c>
      <c r="X1587" t="s">
        <v>486</v>
      </c>
      <c r="Y1587" t="s">
        <v>487</v>
      </c>
      <c r="Z1587" t="s">
        <v>65</v>
      </c>
    </row>
    <row r="1588" spans="1:26" x14ac:dyDescent="0.3">
      <c r="A1588">
        <v>10375</v>
      </c>
      <c r="B1588">
        <v>23</v>
      </c>
      <c r="C1588">
        <v>100</v>
      </c>
      <c r="D1588">
        <v>9</v>
      </c>
      <c r="E1588">
        <v>2443.29</v>
      </c>
      <c r="F1588" s="1">
        <v>38386</v>
      </c>
      <c r="G1588" t="s">
        <v>39</v>
      </c>
      <c r="H1588">
        <v>1</v>
      </c>
      <c r="I1588">
        <v>2</v>
      </c>
      <c r="J1588" t="str">
        <f>TEXT(DATE(2012,Table1[[#This Row],[MONTH_ID]],10),"mmm")</f>
        <v>Feb</v>
      </c>
      <c r="K1588">
        <v>2005</v>
      </c>
      <c r="L1588" t="s">
        <v>40</v>
      </c>
      <c r="M1588">
        <v>76</v>
      </c>
      <c r="N1588" t="s">
        <v>640</v>
      </c>
      <c r="O1588" t="s">
        <v>128</v>
      </c>
      <c r="P1588" t="s">
        <v>129</v>
      </c>
      <c r="Q1588" t="s">
        <v>130</v>
      </c>
      <c r="S1588" t="s">
        <v>131</v>
      </c>
      <c r="U1588">
        <v>44000</v>
      </c>
      <c r="V1588" t="s">
        <v>55</v>
      </c>
      <c r="W1588" t="s">
        <v>56</v>
      </c>
      <c r="X1588" t="s">
        <v>132</v>
      </c>
      <c r="Y1588" t="s">
        <v>133</v>
      </c>
      <c r="Z1588" t="s">
        <v>50</v>
      </c>
    </row>
    <row r="1589" spans="1:26" x14ac:dyDescent="0.3">
      <c r="A1589">
        <v>10389</v>
      </c>
      <c r="B1589">
        <v>49</v>
      </c>
      <c r="C1589">
        <v>81.400000000000006</v>
      </c>
      <c r="D1589">
        <v>2</v>
      </c>
      <c r="E1589">
        <v>3988.6</v>
      </c>
      <c r="F1589" s="1">
        <v>38414</v>
      </c>
      <c r="G1589" t="s">
        <v>39</v>
      </c>
      <c r="H1589">
        <v>1</v>
      </c>
      <c r="I1589">
        <v>3</v>
      </c>
      <c r="J1589" t="str">
        <f>TEXT(DATE(2012,Table1[[#This Row],[MONTH_ID]],10),"mmm")</f>
        <v>Mar</v>
      </c>
      <c r="K1589">
        <v>2005</v>
      </c>
      <c r="L1589" t="s">
        <v>40</v>
      </c>
      <c r="M1589">
        <v>76</v>
      </c>
      <c r="N1589" t="s">
        <v>640</v>
      </c>
      <c r="O1589" t="s">
        <v>275</v>
      </c>
      <c r="P1589" t="s">
        <v>276</v>
      </c>
      <c r="Q1589" t="s">
        <v>277</v>
      </c>
      <c r="S1589" t="s">
        <v>278</v>
      </c>
      <c r="U1589" t="s">
        <v>279</v>
      </c>
      <c r="V1589" t="s">
        <v>202</v>
      </c>
      <c r="W1589" t="s">
        <v>56</v>
      </c>
      <c r="X1589" t="s">
        <v>280</v>
      </c>
      <c r="Y1589" t="s">
        <v>220</v>
      </c>
      <c r="Z1589" t="s">
        <v>65</v>
      </c>
    </row>
    <row r="1590" spans="1:26" x14ac:dyDescent="0.3">
      <c r="A1590">
        <v>10402</v>
      </c>
      <c r="B1590">
        <v>59</v>
      </c>
      <c r="C1590">
        <v>87.6</v>
      </c>
      <c r="D1590">
        <v>3</v>
      </c>
      <c r="E1590">
        <v>5168.3999999999996</v>
      </c>
      <c r="F1590" s="1">
        <v>38449</v>
      </c>
      <c r="G1590" t="s">
        <v>39</v>
      </c>
      <c r="H1590">
        <v>2</v>
      </c>
      <c r="I1590">
        <v>4</v>
      </c>
      <c r="J1590" t="str">
        <f>TEXT(DATE(2012,Table1[[#This Row],[MONTH_ID]],10),"mmm")</f>
        <v>Apr</v>
      </c>
      <c r="K1590">
        <v>2005</v>
      </c>
      <c r="L1590" t="s">
        <v>40</v>
      </c>
      <c r="M1590">
        <v>76</v>
      </c>
      <c r="N1590" t="s">
        <v>640</v>
      </c>
      <c r="O1590" t="s">
        <v>98</v>
      </c>
      <c r="P1590" t="s">
        <v>99</v>
      </c>
      <c r="Q1590" t="s">
        <v>100</v>
      </c>
      <c r="S1590" t="s">
        <v>62</v>
      </c>
      <c r="U1590">
        <v>75016</v>
      </c>
      <c r="V1590" t="s">
        <v>55</v>
      </c>
      <c r="W1590" t="s">
        <v>56</v>
      </c>
      <c r="X1590" t="s">
        <v>101</v>
      </c>
      <c r="Y1590" t="s">
        <v>102</v>
      </c>
      <c r="Z1590" t="s">
        <v>65</v>
      </c>
    </row>
    <row r="1591" spans="1:26" x14ac:dyDescent="0.3">
      <c r="A1591">
        <v>10416</v>
      </c>
      <c r="B1591">
        <v>32</v>
      </c>
      <c r="C1591">
        <v>87.6</v>
      </c>
      <c r="D1591">
        <v>1</v>
      </c>
      <c r="E1591">
        <v>2803.2</v>
      </c>
      <c r="F1591" s="1">
        <v>38482</v>
      </c>
      <c r="G1591" t="s">
        <v>39</v>
      </c>
      <c r="H1591">
        <v>2</v>
      </c>
      <c r="I1591">
        <v>5</v>
      </c>
      <c r="J1591" t="str">
        <f>TEXT(DATE(2012,Table1[[#This Row],[MONTH_ID]],10),"mmm")</f>
        <v>May</v>
      </c>
      <c r="K1591">
        <v>2005</v>
      </c>
      <c r="L1591" t="s">
        <v>40</v>
      </c>
      <c r="M1591">
        <v>76</v>
      </c>
      <c r="N1591" t="s">
        <v>640</v>
      </c>
      <c r="O1591" t="s">
        <v>466</v>
      </c>
      <c r="P1591" t="s">
        <v>467</v>
      </c>
      <c r="Q1591" t="s">
        <v>468</v>
      </c>
      <c r="S1591" t="s">
        <v>469</v>
      </c>
      <c r="U1591">
        <v>42100</v>
      </c>
      <c r="V1591" t="s">
        <v>272</v>
      </c>
      <c r="W1591" t="s">
        <v>56</v>
      </c>
      <c r="X1591" t="s">
        <v>470</v>
      </c>
      <c r="Y1591" t="s">
        <v>471</v>
      </c>
      <c r="Z1591" t="s">
        <v>50</v>
      </c>
    </row>
    <row r="1592" spans="1:26" x14ac:dyDescent="0.3">
      <c r="A1592">
        <v>10105</v>
      </c>
      <c r="B1592">
        <v>43</v>
      </c>
      <c r="C1592">
        <v>100</v>
      </c>
      <c r="D1592">
        <v>9</v>
      </c>
      <c r="E1592">
        <v>6341.21</v>
      </c>
      <c r="F1592" s="1">
        <v>37663</v>
      </c>
      <c r="G1592" t="s">
        <v>39</v>
      </c>
      <c r="H1592">
        <v>1</v>
      </c>
      <c r="I1592">
        <v>2</v>
      </c>
      <c r="J1592" t="str">
        <f>TEXT(DATE(2012,Table1[[#This Row],[MONTH_ID]],10),"mmm")</f>
        <v>Feb</v>
      </c>
      <c r="K1592">
        <v>2003</v>
      </c>
      <c r="L1592" t="s">
        <v>612</v>
      </c>
      <c r="M1592">
        <v>122</v>
      </c>
      <c r="N1592" t="s">
        <v>641</v>
      </c>
      <c r="O1592" t="s">
        <v>336</v>
      </c>
      <c r="P1592" t="s">
        <v>337</v>
      </c>
      <c r="Q1592" t="s">
        <v>338</v>
      </c>
      <c r="S1592" t="s">
        <v>339</v>
      </c>
      <c r="U1592">
        <v>1734</v>
      </c>
      <c r="V1592" t="s">
        <v>340</v>
      </c>
      <c r="W1592" t="s">
        <v>56</v>
      </c>
      <c r="X1592" t="s">
        <v>341</v>
      </c>
      <c r="Y1592" t="s">
        <v>342</v>
      </c>
      <c r="Z1592" t="s">
        <v>65</v>
      </c>
    </row>
    <row r="1593" spans="1:26" x14ac:dyDescent="0.3">
      <c r="A1593">
        <v>10117</v>
      </c>
      <c r="B1593">
        <v>41</v>
      </c>
      <c r="C1593">
        <v>100</v>
      </c>
      <c r="D1593">
        <v>3</v>
      </c>
      <c r="E1593">
        <v>5189.78</v>
      </c>
      <c r="F1593" s="1">
        <v>37727</v>
      </c>
      <c r="G1593" t="s">
        <v>39</v>
      </c>
      <c r="H1593">
        <v>2</v>
      </c>
      <c r="I1593">
        <v>4</v>
      </c>
      <c r="J1593" t="str">
        <f>TEXT(DATE(2012,Table1[[#This Row],[MONTH_ID]],10),"mmm")</f>
        <v>Apr</v>
      </c>
      <c r="K1593">
        <v>2003</v>
      </c>
      <c r="L1593" t="s">
        <v>612</v>
      </c>
      <c r="M1593">
        <v>122</v>
      </c>
      <c r="N1593" t="s">
        <v>641</v>
      </c>
      <c r="O1593" t="s">
        <v>210</v>
      </c>
      <c r="P1593" t="s">
        <v>211</v>
      </c>
      <c r="Q1593" t="s">
        <v>212</v>
      </c>
      <c r="S1593" t="s">
        <v>213</v>
      </c>
      <c r="U1593">
        <v>79903</v>
      </c>
      <c r="V1593" t="s">
        <v>213</v>
      </c>
      <c r="W1593" t="s">
        <v>214</v>
      </c>
      <c r="X1593" t="s">
        <v>215</v>
      </c>
      <c r="Y1593" t="s">
        <v>216</v>
      </c>
      <c r="Z1593" t="s">
        <v>65</v>
      </c>
    </row>
    <row r="1594" spans="1:26" x14ac:dyDescent="0.3">
      <c r="A1594">
        <v>10129</v>
      </c>
      <c r="B1594">
        <v>45</v>
      </c>
      <c r="C1594">
        <v>100</v>
      </c>
      <c r="D1594">
        <v>9</v>
      </c>
      <c r="E1594">
        <v>6027.75</v>
      </c>
      <c r="F1594" s="1">
        <v>37784</v>
      </c>
      <c r="G1594" t="s">
        <v>39</v>
      </c>
      <c r="H1594">
        <v>2</v>
      </c>
      <c r="I1594">
        <v>6</v>
      </c>
      <c r="J1594" t="str">
        <f>TEXT(DATE(2012,Table1[[#This Row],[MONTH_ID]],10),"mmm")</f>
        <v>Jun</v>
      </c>
      <c r="K1594">
        <v>2003</v>
      </c>
      <c r="L1594" t="s">
        <v>612</v>
      </c>
      <c r="M1594">
        <v>122</v>
      </c>
      <c r="N1594" t="s">
        <v>641</v>
      </c>
      <c r="O1594" t="s">
        <v>343</v>
      </c>
      <c r="P1594" t="s">
        <v>344</v>
      </c>
      <c r="Q1594" t="s">
        <v>345</v>
      </c>
      <c r="S1594" t="s">
        <v>346</v>
      </c>
      <c r="U1594" t="s">
        <v>347</v>
      </c>
      <c r="V1594" t="s">
        <v>184</v>
      </c>
      <c r="W1594" t="s">
        <v>56</v>
      </c>
      <c r="X1594" t="s">
        <v>75</v>
      </c>
      <c r="Y1594" t="s">
        <v>348</v>
      </c>
      <c r="Z1594" t="s">
        <v>65</v>
      </c>
    </row>
    <row r="1595" spans="1:26" x14ac:dyDescent="0.3">
      <c r="A1595">
        <v>10142</v>
      </c>
      <c r="B1595">
        <v>33</v>
      </c>
      <c r="C1595">
        <v>100</v>
      </c>
      <c r="D1595">
        <v>6</v>
      </c>
      <c r="E1595">
        <v>3366</v>
      </c>
      <c r="F1595" s="1">
        <v>37841</v>
      </c>
      <c r="G1595" t="s">
        <v>39</v>
      </c>
      <c r="H1595">
        <v>3</v>
      </c>
      <c r="I1595">
        <v>8</v>
      </c>
      <c r="J1595" t="str">
        <f>TEXT(DATE(2012,Table1[[#This Row],[MONTH_ID]],10),"mmm")</f>
        <v>Aug</v>
      </c>
      <c r="K1595">
        <v>2003</v>
      </c>
      <c r="L1595" t="s">
        <v>612</v>
      </c>
      <c r="M1595">
        <v>122</v>
      </c>
      <c r="N1595" t="s">
        <v>641</v>
      </c>
      <c r="O1595" t="s">
        <v>286</v>
      </c>
      <c r="P1595">
        <v>4155551450</v>
      </c>
      <c r="Q1595" t="s">
        <v>287</v>
      </c>
      <c r="S1595" t="s">
        <v>288</v>
      </c>
      <c r="T1595" t="s">
        <v>69</v>
      </c>
      <c r="U1595">
        <v>97562</v>
      </c>
      <c r="V1595" t="s">
        <v>46</v>
      </c>
      <c r="W1595" t="s">
        <v>47</v>
      </c>
      <c r="X1595" t="s">
        <v>289</v>
      </c>
      <c r="Y1595" t="s">
        <v>290</v>
      </c>
      <c r="Z1595" t="s">
        <v>65</v>
      </c>
    </row>
    <row r="1596" spans="1:26" x14ac:dyDescent="0.3">
      <c r="A1596">
        <v>10153</v>
      </c>
      <c r="B1596">
        <v>40</v>
      </c>
      <c r="C1596">
        <v>100</v>
      </c>
      <c r="D1596">
        <v>5</v>
      </c>
      <c r="E1596">
        <v>5456.4</v>
      </c>
      <c r="F1596" s="1">
        <v>37892</v>
      </c>
      <c r="G1596" t="s">
        <v>39</v>
      </c>
      <c r="H1596">
        <v>3</v>
      </c>
      <c r="I1596">
        <v>9</v>
      </c>
      <c r="J1596" t="str">
        <f>TEXT(DATE(2012,Table1[[#This Row],[MONTH_ID]],10),"mmm")</f>
        <v>Sep</v>
      </c>
      <c r="K1596">
        <v>2003</v>
      </c>
      <c r="L1596" t="s">
        <v>612</v>
      </c>
      <c r="M1596">
        <v>122</v>
      </c>
      <c r="N1596" t="s">
        <v>641</v>
      </c>
      <c r="O1596" t="s">
        <v>188</v>
      </c>
      <c r="P1596" t="s">
        <v>189</v>
      </c>
      <c r="Q1596" t="s">
        <v>190</v>
      </c>
      <c r="S1596" t="s">
        <v>191</v>
      </c>
      <c r="U1596">
        <v>28034</v>
      </c>
      <c r="V1596" t="s">
        <v>192</v>
      </c>
      <c r="W1596" t="s">
        <v>56</v>
      </c>
      <c r="X1596" t="s">
        <v>193</v>
      </c>
      <c r="Y1596" t="s">
        <v>194</v>
      </c>
      <c r="Z1596" t="s">
        <v>65</v>
      </c>
    </row>
    <row r="1597" spans="1:26" x14ac:dyDescent="0.3">
      <c r="A1597">
        <v>10167</v>
      </c>
      <c r="B1597">
        <v>33</v>
      </c>
      <c r="C1597">
        <v>100</v>
      </c>
      <c r="D1597">
        <v>16</v>
      </c>
      <c r="E1597">
        <v>3812.16</v>
      </c>
      <c r="F1597" s="1">
        <v>37917</v>
      </c>
      <c r="G1597" t="s">
        <v>353</v>
      </c>
      <c r="H1597">
        <v>4</v>
      </c>
      <c r="I1597">
        <v>10</v>
      </c>
      <c r="J1597" t="str">
        <f>TEXT(DATE(2012,Table1[[#This Row],[MONTH_ID]],10),"mmm")</f>
        <v>Oct</v>
      </c>
      <c r="K1597">
        <v>2003</v>
      </c>
      <c r="L1597" t="s">
        <v>612</v>
      </c>
      <c r="M1597">
        <v>122</v>
      </c>
      <c r="N1597" t="s">
        <v>641</v>
      </c>
      <c r="O1597" t="s">
        <v>275</v>
      </c>
      <c r="P1597" t="s">
        <v>276</v>
      </c>
      <c r="Q1597" t="s">
        <v>277</v>
      </c>
      <c r="S1597" t="s">
        <v>278</v>
      </c>
      <c r="U1597" t="s">
        <v>279</v>
      </c>
      <c r="V1597" t="s">
        <v>202</v>
      </c>
      <c r="W1597" t="s">
        <v>56</v>
      </c>
      <c r="X1597" t="s">
        <v>280</v>
      </c>
      <c r="Y1597" t="s">
        <v>220</v>
      </c>
      <c r="Z1597" t="s">
        <v>65</v>
      </c>
    </row>
    <row r="1598" spans="1:26" x14ac:dyDescent="0.3">
      <c r="A1598">
        <v>10177</v>
      </c>
      <c r="B1598">
        <v>50</v>
      </c>
      <c r="C1598">
        <v>100</v>
      </c>
      <c r="D1598">
        <v>7</v>
      </c>
      <c r="E1598">
        <v>6083</v>
      </c>
      <c r="F1598" s="1">
        <v>37932</v>
      </c>
      <c r="G1598" t="s">
        <v>39</v>
      </c>
      <c r="H1598">
        <v>4</v>
      </c>
      <c r="I1598">
        <v>11</v>
      </c>
      <c r="J1598" t="str">
        <f>TEXT(DATE(2012,Table1[[#This Row],[MONTH_ID]],10),"mmm")</f>
        <v>Nov</v>
      </c>
      <c r="K1598">
        <v>2003</v>
      </c>
      <c r="L1598" t="s">
        <v>612</v>
      </c>
      <c r="M1598">
        <v>122</v>
      </c>
      <c r="N1598" t="s">
        <v>641</v>
      </c>
      <c r="O1598" t="s">
        <v>501</v>
      </c>
      <c r="P1598" t="s">
        <v>502</v>
      </c>
      <c r="Q1598" t="s">
        <v>503</v>
      </c>
      <c r="S1598" t="s">
        <v>191</v>
      </c>
      <c r="U1598">
        <v>28023</v>
      </c>
      <c r="V1598" t="s">
        <v>192</v>
      </c>
      <c r="W1598" t="s">
        <v>56</v>
      </c>
      <c r="X1598" t="s">
        <v>504</v>
      </c>
      <c r="Y1598" t="s">
        <v>505</v>
      </c>
      <c r="Z1598" t="s">
        <v>65</v>
      </c>
    </row>
    <row r="1599" spans="1:26" x14ac:dyDescent="0.3">
      <c r="A1599">
        <v>10185</v>
      </c>
      <c r="B1599">
        <v>30</v>
      </c>
      <c r="C1599">
        <v>100</v>
      </c>
      <c r="D1599">
        <v>7</v>
      </c>
      <c r="E1599">
        <v>3170.7</v>
      </c>
      <c r="F1599" s="1">
        <v>37939</v>
      </c>
      <c r="G1599" t="s">
        <v>39</v>
      </c>
      <c r="H1599">
        <v>4</v>
      </c>
      <c r="I1599">
        <v>11</v>
      </c>
      <c r="J1599" t="str">
        <f>TEXT(DATE(2012,Table1[[#This Row],[MONTH_ID]],10),"mmm")</f>
        <v>Nov</v>
      </c>
      <c r="K1599">
        <v>2003</v>
      </c>
      <c r="L1599" t="s">
        <v>612</v>
      </c>
      <c r="M1599">
        <v>122</v>
      </c>
      <c r="N1599" t="s">
        <v>641</v>
      </c>
      <c r="O1599" t="s">
        <v>349</v>
      </c>
      <c r="P1599">
        <v>5085559555</v>
      </c>
      <c r="Q1599" t="s">
        <v>350</v>
      </c>
      <c r="S1599" t="s">
        <v>176</v>
      </c>
      <c r="T1599" t="s">
        <v>137</v>
      </c>
      <c r="U1599">
        <v>50553</v>
      </c>
      <c r="V1599" t="s">
        <v>46</v>
      </c>
      <c r="W1599" t="s">
        <v>47</v>
      </c>
      <c r="X1599" t="s">
        <v>351</v>
      </c>
      <c r="Y1599" t="s">
        <v>352</v>
      </c>
      <c r="Z1599" t="s">
        <v>65</v>
      </c>
    </row>
    <row r="1600" spans="1:26" x14ac:dyDescent="0.3">
      <c r="A1600">
        <v>10197</v>
      </c>
      <c r="B1600">
        <v>41</v>
      </c>
      <c r="C1600">
        <v>100</v>
      </c>
      <c r="D1600">
        <v>13</v>
      </c>
      <c r="E1600">
        <v>4534.6000000000004</v>
      </c>
      <c r="F1600" s="1">
        <v>37951</v>
      </c>
      <c r="G1600" t="s">
        <v>39</v>
      </c>
      <c r="H1600">
        <v>4</v>
      </c>
      <c r="I1600">
        <v>11</v>
      </c>
      <c r="J1600" t="str">
        <f>TEXT(DATE(2012,Table1[[#This Row],[MONTH_ID]],10),"mmm")</f>
        <v>Nov</v>
      </c>
      <c r="K1600">
        <v>2003</v>
      </c>
      <c r="L1600" t="s">
        <v>612</v>
      </c>
      <c r="M1600">
        <v>122</v>
      </c>
      <c r="N1600" t="s">
        <v>641</v>
      </c>
      <c r="O1600" t="s">
        <v>366</v>
      </c>
      <c r="P1600" t="s">
        <v>367</v>
      </c>
      <c r="Q1600" t="s">
        <v>368</v>
      </c>
      <c r="S1600" t="s">
        <v>369</v>
      </c>
      <c r="U1600">
        <v>8022</v>
      </c>
      <c r="V1600" t="s">
        <v>192</v>
      </c>
      <c r="W1600" t="s">
        <v>56</v>
      </c>
      <c r="X1600" t="s">
        <v>370</v>
      </c>
      <c r="Y1600" t="s">
        <v>371</v>
      </c>
      <c r="Z1600" t="s">
        <v>65</v>
      </c>
    </row>
    <row r="1601" spans="1:26" x14ac:dyDescent="0.3">
      <c r="A1601">
        <v>10208</v>
      </c>
      <c r="B1601">
        <v>35</v>
      </c>
      <c r="C1601">
        <v>100</v>
      </c>
      <c r="D1601">
        <v>7</v>
      </c>
      <c r="E1601">
        <v>4301.1499999999996</v>
      </c>
      <c r="F1601" s="1">
        <v>37988</v>
      </c>
      <c r="G1601" t="s">
        <v>39</v>
      </c>
      <c r="H1601">
        <v>1</v>
      </c>
      <c r="I1601">
        <v>1</v>
      </c>
      <c r="J1601" t="str">
        <f>TEXT(DATE(2012,Table1[[#This Row],[MONTH_ID]],10),"mmm")</f>
        <v>Jan</v>
      </c>
      <c r="K1601">
        <v>2004</v>
      </c>
      <c r="L1601" t="s">
        <v>612</v>
      </c>
      <c r="M1601">
        <v>122</v>
      </c>
      <c r="N1601" t="s">
        <v>641</v>
      </c>
      <c r="O1601" t="s">
        <v>233</v>
      </c>
      <c r="P1601" t="s">
        <v>234</v>
      </c>
      <c r="Q1601" t="s">
        <v>235</v>
      </c>
      <c r="S1601" t="s">
        <v>236</v>
      </c>
      <c r="U1601">
        <v>69004</v>
      </c>
      <c r="V1601" t="s">
        <v>55</v>
      </c>
      <c r="W1601" t="s">
        <v>56</v>
      </c>
      <c r="X1601" t="s">
        <v>237</v>
      </c>
      <c r="Y1601" t="s">
        <v>238</v>
      </c>
      <c r="Z1601" t="s">
        <v>65</v>
      </c>
    </row>
    <row r="1602" spans="1:26" x14ac:dyDescent="0.3">
      <c r="A1602">
        <v>10221</v>
      </c>
      <c r="B1602">
        <v>49</v>
      </c>
      <c r="C1602">
        <v>100</v>
      </c>
      <c r="D1602">
        <v>1</v>
      </c>
      <c r="E1602">
        <v>6804.63</v>
      </c>
      <c r="F1602" s="1">
        <v>38035</v>
      </c>
      <c r="G1602" t="s">
        <v>39</v>
      </c>
      <c r="H1602">
        <v>1</v>
      </c>
      <c r="I1602">
        <v>2</v>
      </c>
      <c r="J1602" t="str">
        <f>TEXT(DATE(2012,Table1[[#This Row],[MONTH_ID]],10),"mmm")</f>
        <v>Feb</v>
      </c>
      <c r="K1602">
        <v>2004</v>
      </c>
      <c r="L1602" t="s">
        <v>612</v>
      </c>
      <c r="M1602">
        <v>122</v>
      </c>
      <c r="N1602" t="s">
        <v>641</v>
      </c>
      <c r="O1602" t="s">
        <v>379</v>
      </c>
      <c r="P1602" t="s">
        <v>380</v>
      </c>
      <c r="Q1602" t="s">
        <v>381</v>
      </c>
      <c r="S1602" t="s">
        <v>382</v>
      </c>
      <c r="U1602" t="s">
        <v>383</v>
      </c>
      <c r="V1602" t="s">
        <v>384</v>
      </c>
      <c r="W1602" t="s">
        <v>56</v>
      </c>
      <c r="X1602" t="s">
        <v>385</v>
      </c>
      <c r="Y1602" t="s">
        <v>386</v>
      </c>
      <c r="Z1602" t="s">
        <v>65</v>
      </c>
    </row>
    <row r="1603" spans="1:26" x14ac:dyDescent="0.3">
      <c r="A1603">
        <v>10232</v>
      </c>
      <c r="B1603">
        <v>46</v>
      </c>
      <c r="C1603">
        <v>100</v>
      </c>
      <c r="D1603">
        <v>4</v>
      </c>
      <c r="E1603">
        <v>5652.94</v>
      </c>
      <c r="F1603" s="1">
        <v>38066</v>
      </c>
      <c r="G1603" t="s">
        <v>39</v>
      </c>
      <c r="H1603">
        <v>1</v>
      </c>
      <c r="I1603">
        <v>3</v>
      </c>
      <c r="J1603" t="str">
        <f>TEXT(DATE(2012,Table1[[#This Row],[MONTH_ID]],10),"mmm")</f>
        <v>Mar</v>
      </c>
      <c r="K1603">
        <v>2004</v>
      </c>
      <c r="L1603" t="s">
        <v>612</v>
      </c>
      <c r="M1603">
        <v>122</v>
      </c>
      <c r="N1603" t="s">
        <v>641</v>
      </c>
      <c r="O1603" t="s">
        <v>397</v>
      </c>
      <c r="P1603" t="s">
        <v>398</v>
      </c>
      <c r="Q1603" t="s">
        <v>399</v>
      </c>
      <c r="S1603" t="s">
        <v>400</v>
      </c>
      <c r="T1603" t="s">
        <v>401</v>
      </c>
      <c r="U1603" t="s">
        <v>402</v>
      </c>
      <c r="V1603" t="s">
        <v>184</v>
      </c>
      <c r="W1603" t="s">
        <v>56</v>
      </c>
      <c r="X1603" t="s">
        <v>403</v>
      </c>
      <c r="Y1603" t="s">
        <v>404</v>
      </c>
      <c r="Z1603" t="s">
        <v>65</v>
      </c>
    </row>
    <row r="1604" spans="1:26" x14ac:dyDescent="0.3">
      <c r="A1604">
        <v>10248</v>
      </c>
      <c r="B1604">
        <v>48</v>
      </c>
      <c r="C1604">
        <v>100</v>
      </c>
      <c r="D1604">
        <v>10</v>
      </c>
      <c r="E1604">
        <v>6960.48</v>
      </c>
      <c r="F1604" s="1">
        <v>38114</v>
      </c>
      <c r="G1604" t="s">
        <v>353</v>
      </c>
      <c r="H1604">
        <v>2</v>
      </c>
      <c r="I1604">
        <v>5</v>
      </c>
      <c r="J1604" t="str">
        <f>TEXT(DATE(2012,Table1[[#This Row],[MONTH_ID]],10),"mmm")</f>
        <v>May</v>
      </c>
      <c r="K1604">
        <v>2004</v>
      </c>
      <c r="L1604" t="s">
        <v>612</v>
      </c>
      <c r="M1604">
        <v>122</v>
      </c>
      <c r="N1604" t="s">
        <v>641</v>
      </c>
      <c r="O1604" t="s">
        <v>42</v>
      </c>
      <c r="P1604">
        <v>2125557818</v>
      </c>
      <c r="Q1604" t="s">
        <v>43</v>
      </c>
      <c r="S1604" t="s">
        <v>44</v>
      </c>
      <c r="T1604" t="s">
        <v>45</v>
      </c>
      <c r="U1604">
        <v>10022</v>
      </c>
      <c r="V1604" t="s">
        <v>46</v>
      </c>
      <c r="W1604" t="s">
        <v>47</v>
      </c>
      <c r="X1604" t="s">
        <v>48</v>
      </c>
      <c r="Y1604" t="s">
        <v>49</v>
      </c>
      <c r="Z1604" t="s">
        <v>65</v>
      </c>
    </row>
    <row r="1605" spans="1:26" x14ac:dyDescent="0.3">
      <c r="A1605">
        <v>10261</v>
      </c>
      <c r="B1605">
        <v>36</v>
      </c>
      <c r="C1605">
        <v>100</v>
      </c>
      <c r="D1605">
        <v>8</v>
      </c>
      <c r="E1605">
        <v>4512.6000000000004</v>
      </c>
      <c r="F1605" s="1">
        <v>38155</v>
      </c>
      <c r="G1605" t="s">
        <v>39</v>
      </c>
      <c r="H1605">
        <v>2</v>
      </c>
      <c r="I1605">
        <v>6</v>
      </c>
      <c r="J1605" t="str">
        <f>TEXT(DATE(2012,Table1[[#This Row],[MONTH_ID]],10),"mmm")</f>
        <v>Jun</v>
      </c>
      <c r="K1605">
        <v>2004</v>
      </c>
      <c r="L1605" t="s">
        <v>612</v>
      </c>
      <c r="M1605">
        <v>122</v>
      </c>
      <c r="N1605" t="s">
        <v>641</v>
      </c>
      <c r="O1605" t="s">
        <v>306</v>
      </c>
      <c r="P1605" t="s">
        <v>307</v>
      </c>
      <c r="Q1605" t="s">
        <v>308</v>
      </c>
      <c r="S1605" t="s">
        <v>309</v>
      </c>
      <c r="T1605" t="s">
        <v>310</v>
      </c>
      <c r="U1605" t="s">
        <v>311</v>
      </c>
      <c r="V1605" t="s">
        <v>245</v>
      </c>
      <c r="W1605" t="s">
        <v>47</v>
      </c>
      <c r="X1605" t="s">
        <v>312</v>
      </c>
      <c r="Y1605" t="s">
        <v>313</v>
      </c>
      <c r="Z1605" t="s">
        <v>65</v>
      </c>
    </row>
    <row r="1606" spans="1:26" x14ac:dyDescent="0.3">
      <c r="A1606">
        <v>10273</v>
      </c>
      <c r="B1606">
        <v>22</v>
      </c>
      <c r="C1606">
        <v>100</v>
      </c>
      <c r="D1606">
        <v>11</v>
      </c>
      <c r="E1606">
        <v>2784.76</v>
      </c>
      <c r="F1606" s="1">
        <v>38189</v>
      </c>
      <c r="G1606" t="s">
        <v>39</v>
      </c>
      <c r="H1606">
        <v>3</v>
      </c>
      <c r="I1606">
        <v>7</v>
      </c>
      <c r="J1606" t="str">
        <f>TEXT(DATE(2012,Table1[[#This Row],[MONTH_ID]],10),"mmm")</f>
        <v>Jul</v>
      </c>
      <c r="K1606">
        <v>2004</v>
      </c>
      <c r="L1606" t="s">
        <v>612</v>
      </c>
      <c r="M1606">
        <v>122</v>
      </c>
      <c r="N1606" t="s">
        <v>641</v>
      </c>
      <c r="O1606" t="s">
        <v>379</v>
      </c>
      <c r="P1606" t="s">
        <v>380</v>
      </c>
      <c r="Q1606" t="s">
        <v>381</v>
      </c>
      <c r="S1606" t="s">
        <v>382</v>
      </c>
      <c r="U1606" t="s">
        <v>383</v>
      </c>
      <c r="V1606" t="s">
        <v>384</v>
      </c>
      <c r="W1606" t="s">
        <v>56</v>
      </c>
      <c r="X1606" t="s">
        <v>385</v>
      </c>
      <c r="Y1606" t="s">
        <v>386</v>
      </c>
      <c r="Z1606" t="s">
        <v>50</v>
      </c>
    </row>
    <row r="1607" spans="1:26" x14ac:dyDescent="0.3">
      <c r="A1607">
        <v>10283</v>
      </c>
      <c r="B1607">
        <v>42</v>
      </c>
      <c r="C1607">
        <v>100</v>
      </c>
      <c r="D1607">
        <v>13</v>
      </c>
      <c r="E1607">
        <v>5316.36</v>
      </c>
      <c r="F1607" s="1">
        <v>38219</v>
      </c>
      <c r="G1607" t="s">
        <v>39</v>
      </c>
      <c r="H1607">
        <v>3</v>
      </c>
      <c r="I1607">
        <v>8</v>
      </c>
      <c r="J1607" t="str">
        <f>TEXT(DATE(2012,Table1[[#This Row],[MONTH_ID]],10),"mmm")</f>
        <v>Aug</v>
      </c>
      <c r="K1607">
        <v>2004</v>
      </c>
      <c r="L1607" t="s">
        <v>612</v>
      </c>
      <c r="M1607">
        <v>122</v>
      </c>
      <c r="N1607" t="s">
        <v>641</v>
      </c>
      <c r="O1607" t="s">
        <v>387</v>
      </c>
      <c r="P1607" t="s">
        <v>388</v>
      </c>
      <c r="Q1607" t="s">
        <v>389</v>
      </c>
      <c r="S1607" t="s">
        <v>390</v>
      </c>
      <c r="T1607" t="s">
        <v>243</v>
      </c>
      <c r="U1607" t="s">
        <v>391</v>
      </c>
      <c r="V1607" t="s">
        <v>245</v>
      </c>
      <c r="W1607" t="s">
        <v>47</v>
      </c>
      <c r="X1607" t="s">
        <v>392</v>
      </c>
      <c r="Y1607" t="s">
        <v>186</v>
      </c>
      <c r="Z1607" t="s">
        <v>65</v>
      </c>
    </row>
    <row r="1608" spans="1:26" x14ac:dyDescent="0.3">
      <c r="A1608">
        <v>10293</v>
      </c>
      <c r="B1608">
        <v>21</v>
      </c>
      <c r="C1608">
        <v>100</v>
      </c>
      <c r="D1608">
        <v>2</v>
      </c>
      <c r="E1608">
        <v>2941.89</v>
      </c>
      <c r="F1608" s="1">
        <v>38239</v>
      </c>
      <c r="G1608" t="s">
        <v>39</v>
      </c>
      <c r="H1608">
        <v>3</v>
      </c>
      <c r="I1608">
        <v>9</v>
      </c>
      <c r="J1608" t="str">
        <f>TEXT(DATE(2012,Table1[[#This Row],[MONTH_ID]],10),"mmm")</f>
        <v>Sep</v>
      </c>
      <c r="K1608">
        <v>2004</v>
      </c>
      <c r="L1608" t="s">
        <v>612</v>
      </c>
      <c r="M1608">
        <v>122</v>
      </c>
      <c r="N1608" t="s">
        <v>641</v>
      </c>
      <c r="O1608" t="s">
        <v>268</v>
      </c>
      <c r="P1608" t="s">
        <v>269</v>
      </c>
      <c r="Q1608" t="s">
        <v>270</v>
      </c>
      <c r="S1608" t="s">
        <v>271</v>
      </c>
      <c r="U1608">
        <v>10100</v>
      </c>
      <c r="V1608" t="s">
        <v>272</v>
      </c>
      <c r="W1608" t="s">
        <v>56</v>
      </c>
      <c r="X1608" t="s">
        <v>273</v>
      </c>
      <c r="Y1608" t="s">
        <v>274</v>
      </c>
      <c r="Z1608" t="s">
        <v>50</v>
      </c>
    </row>
    <row r="1609" spans="1:26" x14ac:dyDescent="0.3">
      <c r="A1609">
        <v>10306</v>
      </c>
      <c r="B1609">
        <v>29</v>
      </c>
      <c r="C1609">
        <v>100</v>
      </c>
      <c r="D1609">
        <v>7</v>
      </c>
      <c r="E1609">
        <v>3207.4</v>
      </c>
      <c r="F1609" s="1">
        <v>38274</v>
      </c>
      <c r="G1609" t="s">
        <v>39</v>
      </c>
      <c r="H1609">
        <v>4</v>
      </c>
      <c r="I1609">
        <v>10</v>
      </c>
      <c r="J1609" t="str">
        <f>TEXT(DATE(2012,Table1[[#This Row],[MONTH_ID]],10),"mmm")</f>
        <v>Oct</v>
      </c>
      <c r="K1609">
        <v>2004</v>
      </c>
      <c r="L1609" t="s">
        <v>612</v>
      </c>
      <c r="M1609">
        <v>122</v>
      </c>
      <c r="N1609" t="s">
        <v>641</v>
      </c>
      <c r="O1609" t="s">
        <v>506</v>
      </c>
      <c r="P1609" t="s">
        <v>507</v>
      </c>
      <c r="Q1609" t="s">
        <v>508</v>
      </c>
      <c r="S1609" t="s">
        <v>509</v>
      </c>
      <c r="U1609" t="s">
        <v>510</v>
      </c>
      <c r="V1609" t="s">
        <v>184</v>
      </c>
      <c r="W1609" t="s">
        <v>56</v>
      </c>
      <c r="X1609" t="s">
        <v>511</v>
      </c>
      <c r="Y1609" t="s">
        <v>108</v>
      </c>
      <c r="Z1609" t="s">
        <v>65</v>
      </c>
    </row>
    <row r="1610" spans="1:26" x14ac:dyDescent="0.3">
      <c r="A1610">
        <v>10315</v>
      </c>
      <c r="B1610">
        <v>35</v>
      </c>
      <c r="C1610">
        <v>100</v>
      </c>
      <c r="D1610">
        <v>6</v>
      </c>
      <c r="E1610">
        <v>4215.05</v>
      </c>
      <c r="F1610" s="1">
        <v>38289</v>
      </c>
      <c r="G1610" t="s">
        <v>39</v>
      </c>
      <c r="H1610">
        <v>4</v>
      </c>
      <c r="I1610">
        <v>10</v>
      </c>
      <c r="J1610" t="str">
        <f>TEXT(DATE(2012,Table1[[#This Row],[MONTH_ID]],10),"mmm")</f>
        <v>Oct</v>
      </c>
      <c r="K1610">
        <v>2004</v>
      </c>
      <c r="L1610" t="s">
        <v>612</v>
      </c>
      <c r="M1610">
        <v>122</v>
      </c>
      <c r="N1610" t="s">
        <v>641</v>
      </c>
      <c r="O1610" t="s">
        <v>128</v>
      </c>
      <c r="P1610" t="s">
        <v>129</v>
      </c>
      <c r="Q1610" t="s">
        <v>130</v>
      </c>
      <c r="S1610" t="s">
        <v>131</v>
      </c>
      <c r="U1610">
        <v>44000</v>
      </c>
      <c r="V1610" t="s">
        <v>55</v>
      </c>
      <c r="W1610" t="s">
        <v>56</v>
      </c>
      <c r="X1610" t="s">
        <v>132</v>
      </c>
      <c r="Y1610" t="s">
        <v>133</v>
      </c>
      <c r="Z1610" t="s">
        <v>65</v>
      </c>
    </row>
    <row r="1611" spans="1:26" x14ac:dyDescent="0.3">
      <c r="A1611">
        <v>10326</v>
      </c>
      <c r="B1611">
        <v>41</v>
      </c>
      <c r="C1611">
        <v>100</v>
      </c>
      <c r="D1611">
        <v>4</v>
      </c>
      <c r="E1611">
        <v>4333.29</v>
      </c>
      <c r="F1611" s="1">
        <v>38300</v>
      </c>
      <c r="G1611" t="s">
        <v>39</v>
      </c>
      <c r="H1611">
        <v>4</v>
      </c>
      <c r="I1611">
        <v>11</v>
      </c>
      <c r="J1611" t="str">
        <f>TEXT(DATE(2012,Table1[[#This Row],[MONTH_ID]],10),"mmm")</f>
        <v>Nov</v>
      </c>
      <c r="K1611">
        <v>2004</v>
      </c>
      <c r="L1611" t="s">
        <v>612</v>
      </c>
      <c r="M1611">
        <v>122</v>
      </c>
      <c r="N1611" t="s">
        <v>641</v>
      </c>
      <c r="O1611" t="s">
        <v>197</v>
      </c>
      <c r="P1611" t="s">
        <v>198</v>
      </c>
      <c r="Q1611" t="s">
        <v>199</v>
      </c>
      <c r="S1611" t="s">
        <v>200</v>
      </c>
      <c r="U1611" t="s">
        <v>201</v>
      </c>
      <c r="V1611" t="s">
        <v>202</v>
      </c>
      <c r="W1611" t="s">
        <v>56</v>
      </c>
      <c r="X1611" t="s">
        <v>203</v>
      </c>
      <c r="Y1611" t="s">
        <v>204</v>
      </c>
      <c r="Z1611" t="s">
        <v>65</v>
      </c>
    </row>
    <row r="1612" spans="1:26" x14ac:dyDescent="0.3">
      <c r="A1612">
        <v>10337</v>
      </c>
      <c r="B1612">
        <v>29</v>
      </c>
      <c r="C1612">
        <v>71.97</v>
      </c>
      <c r="D1612">
        <v>4</v>
      </c>
      <c r="E1612">
        <v>2087.13</v>
      </c>
      <c r="F1612" s="1">
        <v>38312</v>
      </c>
      <c r="G1612" t="s">
        <v>39</v>
      </c>
      <c r="H1612">
        <v>4</v>
      </c>
      <c r="I1612">
        <v>11</v>
      </c>
      <c r="J1612" t="str">
        <f>TEXT(DATE(2012,Table1[[#This Row],[MONTH_ID]],10),"mmm")</f>
        <v>Nov</v>
      </c>
      <c r="K1612">
        <v>2004</v>
      </c>
      <c r="L1612" t="s">
        <v>612</v>
      </c>
      <c r="M1612">
        <v>122</v>
      </c>
      <c r="N1612" t="s">
        <v>641</v>
      </c>
      <c r="O1612" t="s">
        <v>217</v>
      </c>
      <c r="P1612">
        <v>2125558493</v>
      </c>
      <c r="Q1612" t="s">
        <v>218</v>
      </c>
      <c r="R1612" t="s">
        <v>219</v>
      </c>
      <c r="S1612" t="s">
        <v>44</v>
      </c>
      <c r="T1612" t="s">
        <v>45</v>
      </c>
      <c r="U1612">
        <v>10022</v>
      </c>
      <c r="V1612" t="s">
        <v>46</v>
      </c>
      <c r="W1612" t="s">
        <v>47</v>
      </c>
      <c r="X1612" t="s">
        <v>138</v>
      </c>
      <c r="Y1612" t="s">
        <v>220</v>
      </c>
      <c r="Z1612" t="s">
        <v>50</v>
      </c>
    </row>
    <row r="1613" spans="1:26" x14ac:dyDescent="0.3">
      <c r="A1613">
        <v>10350</v>
      </c>
      <c r="B1613">
        <v>34</v>
      </c>
      <c r="C1613">
        <v>50.33</v>
      </c>
      <c r="D1613">
        <v>7</v>
      </c>
      <c r="E1613">
        <v>1711.22</v>
      </c>
      <c r="F1613" s="1">
        <v>38323</v>
      </c>
      <c r="G1613" t="s">
        <v>39</v>
      </c>
      <c r="H1613">
        <v>4</v>
      </c>
      <c r="I1613">
        <v>12</v>
      </c>
      <c r="J1613" t="str">
        <f>TEXT(DATE(2012,Table1[[#This Row],[MONTH_ID]],10),"mmm")</f>
        <v>Dec</v>
      </c>
      <c r="K1613">
        <v>2004</v>
      </c>
      <c r="L1613" t="s">
        <v>612</v>
      </c>
      <c r="M1613">
        <v>122</v>
      </c>
      <c r="N1613" t="s">
        <v>641</v>
      </c>
      <c r="O1613" t="s">
        <v>188</v>
      </c>
      <c r="P1613" t="s">
        <v>189</v>
      </c>
      <c r="Q1613" t="s">
        <v>190</v>
      </c>
      <c r="S1613" t="s">
        <v>191</v>
      </c>
      <c r="U1613">
        <v>28034</v>
      </c>
      <c r="V1613" t="s">
        <v>192</v>
      </c>
      <c r="W1613" t="s">
        <v>56</v>
      </c>
      <c r="X1613" t="s">
        <v>193</v>
      </c>
      <c r="Y1613" t="s">
        <v>194</v>
      </c>
      <c r="Z1613" t="s">
        <v>50</v>
      </c>
    </row>
    <row r="1614" spans="1:26" x14ac:dyDescent="0.3">
      <c r="A1614">
        <v>10372</v>
      </c>
      <c r="B1614">
        <v>37</v>
      </c>
      <c r="C1614">
        <v>100</v>
      </c>
      <c r="D1614">
        <v>8</v>
      </c>
      <c r="E1614">
        <v>3910.53</v>
      </c>
      <c r="F1614" s="1">
        <v>38378</v>
      </c>
      <c r="G1614" t="s">
        <v>39</v>
      </c>
      <c r="H1614">
        <v>1</v>
      </c>
      <c r="I1614">
        <v>1</v>
      </c>
      <c r="J1614" t="str">
        <f>TEXT(DATE(2012,Table1[[#This Row],[MONTH_ID]],10),"mmm")</f>
        <v>Jan</v>
      </c>
      <c r="K1614">
        <v>2005</v>
      </c>
      <c r="L1614" t="s">
        <v>612</v>
      </c>
      <c r="M1614">
        <v>122</v>
      </c>
      <c r="N1614" t="s">
        <v>641</v>
      </c>
      <c r="O1614" t="s">
        <v>260</v>
      </c>
      <c r="P1614" t="s">
        <v>261</v>
      </c>
      <c r="Q1614" t="s">
        <v>262</v>
      </c>
      <c r="S1614" t="s">
        <v>263</v>
      </c>
      <c r="T1614" t="s">
        <v>264</v>
      </c>
      <c r="U1614" t="s">
        <v>265</v>
      </c>
      <c r="V1614" t="s">
        <v>214</v>
      </c>
      <c r="W1614" t="s">
        <v>214</v>
      </c>
      <c r="X1614" t="s">
        <v>266</v>
      </c>
      <c r="Y1614" t="s">
        <v>267</v>
      </c>
      <c r="Z1614" t="s">
        <v>65</v>
      </c>
    </row>
    <row r="1615" spans="1:26" x14ac:dyDescent="0.3">
      <c r="A1615">
        <v>10384</v>
      </c>
      <c r="B1615">
        <v>28</v>
      </c>
      <c r="C1615">
        <v>80.540000000000006</v>
      </c>
      <c r="D1615">
        <v>3</v>
      </c>
      <c r="E1615">
        <v>2255.12</v>
      </c>
      <c r="F1615" s="1">
        <v>38406</v>
      </c>
      <c r="G1615" t="s">
        <v>39</v>
      </c>
      <c r="H1615">
        <v>1</v>
      </c>
      <c r="I1615">
        <v>2</v>
      </c>
      <c r="J1615" t="str">
        <f>TEXT(DATE(2012,Table1[[#This Row],[MONTH_ID]],10),"mmm")</f>
        <v>Feb</v>
      </c>
      <c r="K1615">
        <v>2005</v>
      </c>
      <c r="L1615" t="s">
        <v>612</v>
      </c>
      <c r="M1615">
        <v>122</v>
      </c>
      <c r="N1615" t="s">
        <v>641</v>
      </c>
      <c r="O1615" t="s">
        <v>72</v>
      </c>
      <c r="P1615">
        <v>6505551386</v>
      </c>
      <c r="Q1615" t="s">
        <v>73</v>
      </c>
      <c r="S1615" t="s">
        <v>74</v>
      </c>
      <c r="T1615" t="s">
        <v>69</v>
      </c>
      <c r="V1615" t="s">
        <v>46</v>
      </c>
      <c r="W1615" t="s">
        <v>47</v>
      </c>
      <c r="X1615" t="s">
        <v>75</v>
      </c>
      <c r="Y1615" t="s">
        <v>71</v>
      </c>
      <c r="Z1615" t="s">
        <v>50</v>
      </c>
    </row>
    <row r="1616" spans="1:26" x14ac:dyDescent="0.3">
      <c r="A1616">
        <v>10396</v>
      </c>
      <c r="B1616">
        <v>49</v>
      </c>
      <c r="C1616">
        <v>100</v>
      </c>
      <c r="D1616">
        <v>6</v>
      </c>
      <c r="E1616">
        <v>5720.75</v>
      </c>
      <c r="F1616" s="1">
        <v>38434</v>
      </c>
      <c r="G1616" t="s">
        <v>39</v>
      </c>
      <c r="H1616">
        <v>1</v>
      </c>
      <c r="I1616">
        <v>3</v>
      </c>
      <c r="J1616" t="str">
        <f>TEXT(DATE(2012,Table1[[#This Row],[MONTH_ID]],10),"mmm")</f>
        <v>Mar</v>
      </c>
      <c r="K1616">
        <v>2005</v>
      </c>
      <c r="L1616" t="s">
        <v>612</v>
      </c>
      <c r="M1616">
        <v>122</v>
      </c>
      <c r="N1616" t="s">
        <v>641</v>
      </c>
      <c r="O1616" t="s">
        <v>286</v>
      </c>
      <c r="P1616">
        <v>4155551450</v>
      </c>
      <c r="Q1616" t="s">
        <v>287</v>
      </c>
      <c r="S1616" t="s">
        <v>288</v>
      </c>
      <c r="T1616" t="s">
        <v>69</v>
      </c>
      <c r="U1616">
        <v>97562</v>
      </c>
      <c r="V1616" t="s">
        <v>46</v>
      </c>
      <c r="W1616" t="s">
        <v>47</v>
      </c>
      <c r="X1616" t="s">
        <v>289</v>
      </c>
      <c r="Y1616" t="s">
        <v>290</v>
      </c>
      <c r="Z1616" t="s">
        <v>65</v>
      </c>
    </row>
    <row r="1617" spans="1:26" x14ac:dyDescent="0.3">
      <c r="A1617">
        <v>10414</v>
      </c>
      <c r="B1617">
        <v>23</v>
      </c>
      <c r="C1617">
        <v>100</v>
      </c>
      <c r="D1617">
        <v>10</v>
      </c>
      <c r="E1617">
        <v>3335.23</v>
      </c>
      <c r="F1617" s="1">
        <v>38478</v>
      </c>
      <c r="G1617" t="s">
        <v>415</v>
      </c>
      <c r="H1617">
        <v>2</v>
      </c>
      <c r="I1617">
        <v>5</v>
      </c>
      <c r="J1617" t="str">
        <f>TEXT(DATE(2012,Table1[[#This Row],[MONTH_ID]],10),"mmm")</f>
        <v>May</v>
      </c>
      <c r="K1617">
        <v>2005</v>
      </c>
      <c r="L1617" t="s">
        <v>612</v>
      </c>
      <c r="M1617">
        <v>122</v>
      </c>
      <c r="N1617" t="s">
        <v>641</v>
      </c>
      <c r="O1617" t="s">
        <v>393</v>
      </c>
      <c r="P1617">
        <v>6175559555</v>
      </c>
      <c r="Q1617" t="s">
        <v>394</v>
      </c>
      <c r="S1617" t="s">
        <v>395</v>
      </c>
      <c r="T1617" t="s">
        <v>137</v>
      </c>
      <c r="U1617">
        <v>51003</v>
      </c>
      <c r="V1617" t="s">
        <v>46</v>
      </c>
      <c r="W1617" t="s">
        <v>47</v>
      </c>
      <c r="X1617" t="s">
        <v>396</v>
      </c>
      <c r="Y1617" t="s">
        <v>80</v>
      </c>
      <c r="Z1617" t="s">
        <v>65</v>
      </c>
    </row>
    <row r="1618" spans="1:26" x14ac:dyDescent="0.3">
      <c r="A1618">
        <v>10101</v>
      </c>
      <c r="B1618">
        <v>46</v>
      </c>
      <c r="C1618">
        <v>53.76</v>
      </c>
      <c r="D1618">
        <v>2</v>
      </c>
      <c r="E1618">
        <v>2472.96</v>
      </c>
      <c r="F1618" s="1">
        <v>37630</v>
      </c>
      <c r="G1618" t="s">
        <v>39</v>
      </c>
      <c r="H1618">
        <v>1</v>
      </c>
      <c r="I1618">
        <v>1</v>
      </c>
      <c r="J1618" t="str">
        <f>TEXT(DATE(2012,Table1[[#This Row],[MONTH_ID]],10),"mmm")</f>
        <v>Jan</v>
      </c>
      <c r="K1618">
        <v>2003</v>
      </c>
      <c r="L1618" t="s">
        <v>564</v>
      </c>
      <c r="M1618">
        <v>44</v>
      </c>
      <c r="N1618" t="s">
        <v>642</v>
      </c>
      <c r="O1618" t="s">
        <v>476</v>
      </c>
      <c r="P1618" t="s">
        <v>477</v>
      </c>
      <c r="Q1618" t="s">
        <v>478</v>
      </c>
      <c r="S1618" t="s">
        <v>479</v>
      </c>
      <c r="U1618">
        <v>60528</v>
      </c>
      <c r="V1618" t="s">
        <v>457</v>
      </c>
      <c r="W1618" t="s">
        <v>56</v>
      </c>
      <c r="X1618" t="s">
        <v>480</v>
      </c>
      <c r="Y1618" t="s">
        <v>428</v>
      </c>
      <c r="Z1618" t="s">
        <v>50</v>
      </c>
    </row>
    <row r="1619" spans="1:26" x14ac:dyDescent="0.3">
      <c r="A1619">
        <v>10110</v>
      </c>
      <c r="B1619">
        <v>39</v>
      </c>
      <c r="C1619">
        <v>44.35</v>
      </c>
      <c r="D1619">
        <v>2</v>
      </c>
      <c r="E1619">
        <v>1729.65</v>
      </c>
      <c r="F1619" s="1">
        <v>37698</v>
      </c>
      <c r="G1619" t="s">
        <v>39</v>
      </c>
      <c r="H1619">
        <v>1</v>
      </c>
      <c r="I1619">
        <v>3</v>
      </c>
      <c r="J1619" t="str">
        <f>TEXT(DATE(2012,Table1[[#This Row],[MONTH_ID]],10),"mmm")</f>
        <v>Mar</v>
      </c>
      <c r="K1619">
        <v>2003</v>
      </c>
      <c r="L1619" t="s">
        <v>564</v>
      </c>
      <c r="M1619">
        <v>44</v>
      </c>
      <c r="N1619" t="s">
        <v>642</v>
      </c>
      <c r="O1619" t="s">
        <v>506</v>
      </c>
      <c r="P1619" t="s">
        <v>507</v>
      </c>
      <c r="Q1619" t="s">
        <v>508</v>
      </c>
      <c r="S1619" t="s">
        <v>509</v>
      </c>
      <c r="U1619" t="s">
        <v>510</v>
      </c>
      <c r="V1619" t="s">
        <v>184</v>
      </c>
      <c r="W1619" t="s">
        <v>56</v>
      </c>
      <c r="X1619" t="s">
        <v>511</v>
      </c>
      <c r="Y1619" t="s">
        <v>108</v>
      </c>
      <c r="Z1619" t="s">
        <v>50</v>
      </c>
    </row>
    <row r="1620" spans="1:26" x14ac:dyDescent="0.3">
      <c r="A1620">
        <v>10124</v>
      </c>
      <c r="B1620">
        <v>22</v>
      </c>
      <c r="C1620">
        <v>45.25</v>
      </c>
      <c r="D1620">
        <v>1</v>
      </c>
      <c r="E1620">
        <v>995.5</v>
      </c>
      <c r="F1620" s="1">
        <v>37762</v>
      </c>
      <c r="G1620" t="s">
        <v>39</v>
      </c>
      <c r="H1620">
        <v>2</v>
      </c>
      <c r="I1620">
        <v>5</v>
      </c>
      <c r="J1620" t="str">
        <f>TEXT(DATE(2012,Table1[[#This Row],[MONTH_ID]],10),"mmm")</f>
        <v>May</v>
      </c>
      <c r="K1620">
        <v>2003</v>
      </c>
      <c r="L1620" t="s">
        <v>564</v>
      </c>
      <c r="M1620">
        <v>44</v>
      </c>
      <c r="N1620" t="s">
        <v>642</v>
      </c>
      <c r="O1620" t="s">
        <v>553</v>
      </c>
      <c r="P1620">
        <v>7025551838</v>
      </c>
      <c r="Q1620" t="s">
        <v>554</v>
      </c>
      <c r="S1620" t="s">
        <v>555</v>
      </c>
      <c r="T1620" t="s">
        <v>556</v>
      </c>
      <c r="U1620">
        <v>83030</v>
      </c>
      <c r="V1620" t="s">
        <v>46</v>
      </c>
      <c r="W1620" t="s">
        <v>47</v>
      </c>
      <c r="X1620" t="s">
        <v>127</v>
      </c>
      <c r="Y1620" t="s">
        <v>414</v>
      </c>
      <c r="Z1620" t="s">
        <v>50</v>
      </c>
    </row>
    <row r="1621" spans="1:26" x14ac:dyDescent="0.3">
      <c r="A1621">
        <v>10149</v>
      </c>
      <c r="B1621">
        <v>49</v>
      </c>
      <c r="C1621">
        <v>49.28</v>
      </c>
      <c r="D1621">
        <v>6</v>
      </c>
      <c r="E1621">
        <v>2414.7199999999998</v>
      </c>
      <c r="F1621" s="1">
        <v>37876</v>
      </c>
      <c r="G1621" t="s">
        <v>39</v>
      </c>
      <c r="H1621">
        <v>3</v>
      </c>
      <c r="I1621">
        <v>9</v>
      </c>
      <c r="J1621" t="str">
        <f>TEXT(DATE(2012,Table1[[#This Row],[MONTH_ID]],10),"mmm")</f>
        <v>Sep</v>
      </c>
      <c r="K1621">
        <v>2003</v>
      </c>
      <c r="L1621" t="s">
        <v>564</v>
      </c>
      <c r="M1621">
        <v>44</v>
      </c>
      <c r="N1621" t="s">
        <v>642</v>
      </c>
      <c r="O1621" t="s">
        <v>540</v>
      </c>
      <c r="P1621">
        <v>4155554312</v>
      </c>
      <c r="Q1621" t="s">
        <v>541</v>
      </c>
      <c r="S1621" t="s">
        <v>542</v>
      </c>
      <c r="T1621" t="s">
        <v>69</v>
      </c>
      <c r="U1621">
        <v>94217</v>
      </c>
      <c r="V1621" t="s">
        <v>46</v>
      </c>
      <c r="W1621" t="s">
        <v>47</v>
      </c>
      <c r="X1621" t="s">
        <v>543</v>
      </c>
      <c r="Y1621" t="s">
        <v>414</v>
      </c>
      <c r="Z1621" t="s">
        <v>50</v>
      </c>
    </row>
    <row r="1622" spans="1:26" x14ac:dyDescent="0.3">
      <c r="A1622">
        <v>10162</v>
      </c>
      <c r="B1622">
        <v>43</v>
      </c>
      <c r="C1622">
        <v>36.29</v>
      </c>
      <c r="D1622">
        <v>4</v>
      </c>
      <c r="E1622">
        <v>1560.47</v>
      </c>
      <c r="F1622" s="1">
        <v>37912</v>
      </c>
      <c r="G1622" t="s">
        <v>39</v>
      </c>
      <c r="H1622">
        <v>4</v>
      </c>
      <c r="I1622">
        <v>10</v>
      </c>
      <c r="J1622" t="str">
        <f>TEXT(DATE(2012,Table1[[#This Row],[MONTH_ID]],10),"mmm")</f>
        <v>Oct</v>
      </c>
      <c r="K1622">
        <v>2003</v>
      </c>
      <c r="L1622" t="s">
        <v>564</v>
      </c>
      <c r="M1622">
        <v>44</v>
      </c>
      <c r="N1622" t="s">
        <v>642</v>
      </c>
      <c r="O1622" t="s">
        <v>72</v>
      </c>
      <c r="P1622">
        <v>6505551386</v>
      </c>
      <c r="Q1622" t="s">
        <v>73</v>
      </c>
      <c r="S1622" t="s">
        <v>74</v>
      </c>
      <c r="T1622" t="s">
        <v>69</v>
      </c>
      <c r="V1622" t="s">
        <v>46</v>
      </c>
      <c r="W1622" t="s">
        <v>47</v>
      </c>
      <c r="X1622" t="s">
        <v>75</v>
      </c>
      <c r="Y1622" t="s">
        <v>71</v>
      </c>
      <c r="Z1622" t="s">
        <v>50</v>
      </c>
    </row>
    <row r="1623" spans="1:26" x14ac:dyDescent="0.3">
      <c r="A1623">
        <v>10173</v>
      </c>
      <c r="B1623">
        <v>27</v>
      </c>
      <c r="C1623">
        <v>41.22</v>
      </c>
      <c r="D1623">
        <v>8</v>
      </c>
      <c r="E1623">
        <v>1112.94</v>
      </c>
      <c r="F1623" s="1">
        <v>37930</v>
      </c>
      <c r="G1623" t="s">
        <v>39</v>
      </c>
      <c r="H1623">
        <v>4</v>
      </c>
      <c r="I1623">
        <v>11</v>
      </c>
      <c r="J1623" t="str">
        <f>TEXT(DATE(2012,Table1[[#This Row],[MONTH_ID]],10),"mmm")</f>
        <v>Nov</v>
      </c>
      <c r="K1623">
        <v>2003</v>
      </c>
      <c r="L1623" t="s">
        <v>564</v>
      </c>
      <c r="M1623">
        <v>44</v>
      </c>
      <c r="N1623" t="s">
        <v>642</v>
      </c>
      <c r="O1623" t="s">
        <v>566</v>
      </c>
      <c r="P1623" t="s">
        <v>567</v>
      </c>
      <c r="Q1623" t="s">
        <v>568</v>
      </c>
      <c r="S1623" t="s">
        <v>569</v>
      </c>
      <c r="U1623">
        <v>24100</v>
      </c>
      <c r="V1623" t="s">
        <v>272</v>
      </c>
      <c r="W1623" t="s">
        <v>56</v>
      </c>
      <c r="X1623" t="s">
        <v>570</v>
      </c>
      <c r="Y1623" t="s">
        <v>571</v>
      </c>
      <c r="Z1623" t="s">
        <v>50</v>
      </c>
    </row>
    <row r="1624" spans="1:26" x14ac:dyDescent="0.3">
      <c r="A1624">
        <v>10182</v>
      </c>
      <c r="B1624">
        <v>31</v>
      </c>
      <c r="C1624">
        <v>36.74</v>
      </c>
      <c r="D1624">
        <v>5</v>
      </c>
      <c r="E1624">
        <v>1138.94</v>
      </c>
      <c r="F1624" s="1">
        <v>37937</v>
      </c>
      <c r="G1624" t="s">
        <v>39</v>
      </c>
      <c r="H1624">
        <v>4</v>
      </c>
      <c r="I1624">
        <v>11</v>
      </c>
      <c r="J1624" t="str">
        <f>TEXT(DATE(2012,Table1[[#This Row],[MONTH_ID]],10),"mmm")</f>
        <v>Nov</v>
      </c>
      <c r="K1624">
        <v>2003</v>
      </c>
      <c r="L1624" t="s">
        <v>564</v>
      </c>
      <c r="M1624">
        <v>44</v>
      </c>
      <c r="N1624" t="s">
        <v>642</v>
      </c>
      <c r="O1624" t="s">
        <v>286</v>
      </c>
      <c r="P1624">
        <v>4155551450</v>
      </c>
      <c r="Q1624" t="s">
        <v>287</v>
      </c>
      <c r="S1624" t="s">
        <v>288</v>
      </c>
      <c r="T1624" t="s">
        <v>69</v>
      </c>
      <c r="U1624">
        <v>97562</v>
      </c>
      <c r="V1624" t="s">
        <v>46</v>
      </c>
      <c r="W1624" t="s">
        <v>47</v>
      </c>
      <c r="X1624" t="s">
        <v>289</v>
      </c>
      <c r="Y1624" t="s">
        <v>290</v>
      </c>
      <c r="Z1624" t="s">
        <v>50</v>
      </c>
    </row>
    <row r="1625" spans="1:26" x14ac:dyDescent="0.3">
      <c r="A1625">
        <v>10193</v>
      </c>
      <c r="B1625">
        <v>20</v>
      </c>
      <c r="C1625">
        <v>50.62</v>
      </c>
      <c r="D1625">
        <v>9</v>
      </c>
      <c r="E1625">
        <v>1012.4</v>
      </c>
      <c r="F1625" s="1">
        <v>37946</v>
      </c>
      <c r="G1625" t="s">
        <v>39</v>
      </c>
      <c r="H1625">
        <v>4</v>
      </c>
      <c r="I1625">
        <v>11</v>
      </c>
      <c r="J1625" t="str">
        <f>TEXT(DATE(2012,Table1[[#This Row],[MONTH_ID]],10),"mmm")</f>
        <v>Nov</v>
      </c>
      <c r="K1625">
        <v>2003</v>
      </c>
      <c r="L1625" t="s">
        <v>564</v>
      </c>
      <c r="M1625">
        <v>44</v>
      </c>
      <c r="N1625" t="s">
        <v>642</v>
      </c>
      <c r="O1625" t="s">
        <v>572</v>
      </c>
      <c r="P1625" t="s">
        <v>573</v>
      </c>
      <c r="Q1625" t="s">
        <v>574</v>
      </c>
      <c r="S1625" t="s">
        <v>575</v>
      </c>
      <c r="T1625" t="s">
        <v>108</v>
      </c>
      <c r="U1625">
        <v>3150</v>
      </c>
      <c r="V1625" t="s">
        <v>109</v>
      </c>
      <c r="W1625" t="s">
        <v>110</v>
      </c>
      <c r="X1625" t="s">
        <v>576</v>
      </c>
      <c r="Y1625" t="s">
        <v>577</v>
      </c>
      <c r="Z1625" t="s">
        <v>50</v>
      </c>
    </row>
    <row r="1626" spans="1:26" x14ac:dyDescent="0.3">
      <c r="A1626">
        <v>10205</v>
      </c>
      <c r="B1626">
        <v>24</v>
      </c>
      <c r="C1626">
        <v>38.08</v>
      </c>
      <c r="D1626">
        <v>4</v>
      </c>
      <c r="E1626">
        <v>913.92</v>
      </c>
      <c r="F1626" s="1">
        <v>37958</v>
      </c>
      <c r="G1626" t="s">
        <v>39</v>
      </c>
      <c r="H1626">
        <v>4</v>
      </c>
      <c r="I1626">
        <v>12</v>
      </c>
      <c r="J1626" t="str">
        <f>TEXT(DATE(2012,Table1[[#This Row],[MONTH_ID]],10),"mmm")</f>
        <v>Dec</v>
      </c>
      <c r="K1626">
        <v>2003</v>
      </c>
      <c r="L1626" t="s">
        <v>564</v>
      </c>
      <c r="M1626">
        <v>44</v>
      </c>
      <c r="N1626" t="s">
        <v>642</v>
      </c>
      <c r="O1626" t="s">
        <v>188</v>
      </c>
      <c r="P1626" t="s">
        <v>189</v>
      </c>
      <c r="Q1626" t="s">
        <v>190</v>
      </c>
      <c r="S1626" t="s">
        <v>191</v>
      </c>
      <c r="U1626">
        <v>28034</v>
      </c>
      <c r="V1626" t="s">
        <v>192</v>
      </c>
      <c r="W1626" t="s">
        <v>56</v>
      </c>
      <c r="X1626" t="s">
        <v>193</v>
      </c>
      <c r="Y1626" t="s">
        <v>194</v>
      </c>
      <c r="Z1626" t="s">
        <v>50</v>
      </c>
    </row>
    <row r="1627" spans="1:26" x14ac:dyDescent="0.3">
      <c r="A1627">
        <v>10214</v>
      </c>
      <c r="B1627">
        <v>49</v>
      </c>
      <c r="C1627">
        <v>47.94</v>
      </c>
      <c r="D1627">
        <v>2</v>
      </c>
      <c r="E1627">
        <v>2349.06</v>
      </c>
      <c r="F1627" s="1">
        <v>38012</v>
      </c>
      <c r="G1627" t="s">
        <v>39</v>
      </c>
      <c r="H1627">
        <v>1</v>
      </c>
      <c r="I1627">
        <v>1</v>
      </c>
      <c r="J1627" t="str">
        <f>TEXT(DATE(2012,Table1[[#This Row],[MONTH_ID]],10),"mmm")</f>
        <v>Jan</v>
      </c>
      <c r="K1627">
        <v>2004</v>
      </c>
      <c r="L1627" t="s">
        <v>564</v>
      </c>
      <c r="M1627">
        <v>44</v>
      </c>
      <c r="N1627" t="s">
        <v>642</v>
      </c>
      <c r="O1627" t="s">
        <v>205</v>
      </c>
      <c r="P1627" t="s">
        <v>206</v>
      </c>
      <c r="Q1627" t="s">
        <v>207</v>
      </c>
      <c r="S1627" t="s">
        <v>191</v>
      </c>
      <c r="U1627">
        <v>28023</v>
      </c>
      <c r="V1627" t="s">
        <v>192</v>
      </c>
      <c r="W1627" t="s">
        <v>56</v>
      </c>
      <c r="X1627" t="s">
        <v>208</v>
      </c>
      <c r="Y1627" t="s">
        <v>209</v>
      </c>
      <c r="Z1627" t="s">
        <v>50</v>
      </c>
    </row>
    <row r="1628" spans="1:26" x14ac:dyDescent="0.3">
      <c r="A1628">
        <v>10227</v>
      </c>
      <c r="B1628">
        <v>24</v>
      </c>
      <c r="C1628">
        <v>48.38</v>
      </c>
      <c r="D1628">
        <v>5</v>
      </c>
      <c r="E1628">
        <v>1161.1199999999999</v>
      </c>
      <c r="F1628" s="1">
        <v>38048</v>
      </c>
      <c r="G1628" t="s">
        <v>39</v>
      </c>
      <c r="H1628">
        <v>1</v>
      </c>
      <c r="I1628">
        <v>3</v>
      </c>
      <c r="J1628" t="str">
        <f>TEXT(DATE(2012,Table1[[#This Row],[MONTH_ID]],10),"mmm")</f>
        <v>Mar</v>
      </c>
      <c r="K1628">
        <v>2004</v>
      </c>
      <c r="L1628" t="s">
        <v>564</v>
      </c>
      <c r="M1628">
        <v>44</v>
      </c>
      <c r="N1628" t="s">
        <v>642</v>
      </c>
      <c r="O1628" t="s">
        <v>233</v>
      </c>
      <c r="P1628" t="s">
        <v>234</v>
      </c>
      <c r="Q1628" t="s">
        <v>235</v>
      </c>
      <c r="S1628" t="s">
        <v>236</v>
      </c>
      <c r="U1628">
        <v>69004</v>
      </c>
      <c r="V1628" t="s">
        <v>55</v>
      </c>
      <c r="W1628" t="s">
        <v>56</v>
      </c>
      <c r="X1628" t="s">
        <v>237</v>
      </c>
      <c r="Y1628" t="s">
        <v>238</v>
      </c>
      <c r="Z1628" t="s">
        <v>50</v>
      </c>
    </row>
    <row r="1629" spans="1:26" x14ac:dyDescent="0.3">
      <c r="A1629">
        <v>10244</v>
      </c>
      <c r="B1629">
        <v>39</v>
      </c>
      <c r="C1629">
        <v>45.25</v>
      </c>
      <c r="D1629">
        <v>9</v>
      </c>
      <c r="E1629">
        <v>1764.75</v>
      </c>
      <c r="F1629" s="1">
        <v>38106</v>
      </c>
      <c r="G1629" t="s">
        <v>39</v>
      </c>
      <c r="H1629">
        <v>2</v>
      </c>
      <c r="I1629">
        <v>4</v>
      </c>
      <c r="J1629" t="str">
        <f>TEXT(DATE(2012,Table1[[#This Row],[MONTH_ID]],10),"mmm")</f>
        <v>Apr</v>
      </c>
      <c r="K1629">
        <v>2004</v>
      </c>
      <c r="L1629" t="s">
        <v>564</v>
      </c>
      <c r="M1629">
        <v>44</v>
      </c>
      <c r="N1629" t="s">
        <v>642</v>
      </c>
      <c r="O1629" t="s">
        <v>188</v>
      </c>
      <c r="P1629" t="s">
        <v>189</v>
      </c>
      <c r="Q1629" t="s">
        <v>190</v>
      </c>
      <c r="S1629" t="s">
        <v>191</v>
      </c>
      <c r="U1629">
        <v>28034</v>
      </c>
      <c r="V1629" t="s">
        <v>192</v>
      </c>
      <c r="W1629" t="s">
        <v>56</v>
      </c>
      <c r="X1629" t="s">
        <v>193</v>
      </c>
      <c r="Y1629" t="s">
        <v>194</v>
      </c>
      <c r="Z1629" t="s">
        <v>50</v>
      </c>
    </row>
    <row r="1630" spans="1:26" x14ac:dyDescent="0.3">
      <c r="A1630">
        <v>10255</v>
      </c>
      <c r="B1630">
        <v>37</v>
      </c>
      <c r="C1630">
        <v>45.7</v>
      </c>
      <c r="D1630">
        <v>2</v>
      </c>
      <c r="E1630">
        <v>1690.9</v>
      </c>
      <c r="F1630" s="1">
        <v>38142</v>
      </c>
      <c r="G1630" t="s">
        <v>39</v>
      </c>
      <c r="H1630">
        <v>2</v>
      </c>
      <c r="I1630">
        <v>6</v>
      </c>
      <c r="J1630" t="str">
        <f>TEXT(DATE(2012,Table1[[#This Row],[MONTH_ID]],10),"mmm")</f>
        <v>Jun</v>
      </c>
      <c r="K1630">
        <v>2004</v>
      </c>
      <c r="L1630" t="s">
        <v>564</v>
      </c>
      <c r="M1630">
        <v>44</v>
      </c>
      <c r="N1630" t="s">
        <v>642</v>
      </c>
      <c r="O1630" t="s">
        <v>545</v>
      </c>
      <c r="P1630" t="s">
        <v>546</v>
      </c>
      <c r="Q1630" t="s">
        <v>547</v>
      </c>
      <c r="S1630" t="s">
        <v>548</v>
      </c>
      <c r="U1630">
        <v>67000</v>
      </c>
      <c r="V1630" t="s">
        <v>55</v>
      </c>
      <c r="W1630" t="s">
        <v>56</v>
      </c>
      <c r="X1630" t="s">
        <v>549</v>
      </c>
      <c r="Y1630" t="s">
        <v>550</v>
      </c>
      <c r="Z1630" t="s">
        <v>50</v>
      </c>
    </row>
    <row r="1631" spans="1:26" x14ac:dyDescent="0.3">
      <c r="A1631">
        <v>10280</v>
      </c>
      <c r="B1631">
        <v>45</v>
      </c>
      <c r="C1631">
        <v>47.49</v>
      </c>
      <c r="D1631">
        <v>11</v>
      </c>
      <c r="E1631">
        <v>2137.0500000000002</v>
      </c>
      <c r="F1631" s="1">
        <v>38216</v>
      </c>
      <c r="G1631" t="s">
        <v>39</v>
      </c>
      <c r="H1631">
        <v>3</v>
      </c>
      <c r="I1631">
        <v>8</v>
      </c>
      <c r="J1631" t="str">
        <f>TEXT(DATE(2012,Table1[[#This Row],[MONTH_ID]],10),"mmm")</f>
        <v>Aug</v>
      </c>
      <c r="K1631">
        <v>2004</v>
      </c>
      <c r="L1631" t="s">
        <v>564</v>
      </c>
      <c r="M1631">
        <v>44</v>
      </c>
      <c r="N1631" t="s">
        <v>642</v>
      </c>
      <c r="O1631" t="s">
        <v>268</v>
      </c>
      <c r="P1631" t="s">
        <v>269</v>
      </c>
      <c r="Q1631" t="s">
        <v>270</v>
      </c>
      <c r="S1631" t="s">
        <v>271</v>
      </c>
      <c r="U1631">
        <v>10100</v>
      </c>
      <c r="V1631" t="s">
        <v>272</v>
      </c>
      <c r="W1631" t="s">
        <v>56</v>
      </c>
      <c r="X1631" t="s">
        <v>273</v>
      </c>
      <c r="Y1631" t="s">
        <v>274</v>
      </c>
      <c r="Z1631" t="s">
        <v>50</v>
      </c>
    </row>
    <row r="1632" spans="1:26" x14ac:dyDescent="0.3">
      <c r="A1632">
        <v>10289</v>
      </c>
      <c r="B1632">
        <v>45</v>
      </c>
      <c r="C1632">
        <v>48.38</v>
      </c>
      <c r="D1632">
        <v>4</v>
      </c>
      <c r="E1632">
        <v>2177.1</v>
      </c>
      <c r="F1632" s="1">
        <v>38233</v>
      </c>
      <c r="G1632" t="s">
        <v>39</v>
      </c>
      <c r="H1632">
        <v>3</v>
      </c>
      <c r="I1632">
        <v>9</v>
      </c>
      <c r="J1632" t="str">
        <f>TEXT(DATE(2012,Table1[[#This Row],[MONTH_ID]],10),"mmm")</f>
        <v>Sep</v>
      </c>
      <c r="K1632">
        <v>2004</v>
      </c>
      <c r="L1632" t="s">
        <v>564</v>
      </c>
      <c r="M1632">
        <v>44</v>
      </c>
      <c r="N1632" t="s">
        <v>642</v>
      </c>
      <c r="O1632" t="s">
        <v>87</v>
      </c>
      <c r="P1632" t="s">
        <v>88</v>
      </c>
      <c r="Q1632" t="s">
        <v>89</v>
      </c>
      <c r="S1632" t="s">
        <v>90</v>
      </c>
      <c r="U1632" t="s">
        <v>91</v>
      </c>
      <c r="V1632" t="s">
        <v>92</v>
      </c>
      <c r="W1632" t="s">
        <v>56</v>
      </c>
      <c r="X1632" t="s">
        <v>93</v>
      </c>
      <c r="Y1632" t="s">
        <v>94</v>
      </c>
      <c r="Z1632" t="s">
        <v>50</v>
      </c>
    </row>
    <row r="1633" spans="1:26" x14ac:dyDescent="0.3">
      <c r="A1633">
        <v>10304</v>
      </c>
      <c r="B1633">
        <v>44</v>
      </c>
      <c r="C1633">
        <v>39.42</v>
      </c>
      <c r="D1633">
        <v>15</v>
      </c>
      <c r="E1633">
        <v>1734.48</v>
      </c>
      <c r="F1633" s="1">
        <v>38271</v>
      </c>
      <c r="G1633" t="s">
        <v>39</v>
      </c>
      <c r="H1633">
        <v>4</v>
      </c>
      <c r="I1633">
        <v>10</v>
      </c>
      <c r="J1633" t="str">
        <f>TEXT(DATE(2012,Table1[[#This Row],[MONTH_ID]],10),"mmm")</f>
        <v>Oct</v>
      </c>
      <c r="K1633">
        <v>2004</v>
      </c>
      <c r="L1633" t="s">
        <v>564</v>
      </c>
      <c r="M1633">
        <v>44</v>
      </c>
      <c r="N1633" t="s">
        <v>642</v>
      </c>
      <c r="O1633" t="s">
        <v>281</v>
      </c>
      <c r="P1633" t="s">
        <v>282</v>
      </c>
      <c r="Q1633" t="s">
        <v>283</v>
      </c>
      <c r="S1633" t="s">
        <v>284</v>
      </c>
      <c r="U1633">
        <v>78000</v>
      </c>
      <c r="V1633" t="s">
        <v>55</v>
      </c>
      <c r="W1633" t="s">
        <v>56</v>
      </c>
      <c r="X1633" t="s">
        <v>285</v>
      </c>
      <c r="Y1633" t="s">
        <v>64</v>
      </c>
      <c r="Z1633" t="s">
        <v>50</v>
      </c>
    </row>
    <row r="1634" spans="1:26" x14ac:dyDescent="0.3">
      <c r="A1634">
        <v>10312</v>
      </c>
      <c r="B1634">
        <v>23</v>
      </c>
      <c r="C1634">
        <v>37.630000000000003</v>
      </c>
      <c r="D1634">
        <v>12</v>
      </c>
      <c r="E1634">
        <v>865.49</v>
      </c>
      <c r="F1634" s="1">
        <v>38281</v>
      </c>
      <c r="G1634" t="s">
        <v>39</v>
      </c>
      <c r="H1634">
        <v>4</v>
      </c>
      <c r="I1634">
        <v>10</v>
      </c>
      <c r="J1634" t="str">
        <f>TEXT(DATE(2012,Table1[[#This Row],[MONTH_ID]],10),"mmm")</f>
        <v>Oct</v>
      </c>
      <c r="K1634">
        <v>2004</v>
      </c>
      <c r="L1634" t="s">
        <v>564</v>
      </c>
      <c r="M1634">
        <v>44</v>
      </c>
      <c r="N1634" t="s">
        <v>642</v>
      </c>
      <c r="O1634" t="s">
        <v>286</v>
      </c>
      <c r="P1634">
        <v>4155551450</v>
      </c>
      <c r="Q1634" t="s">
        <v>287</v>
      </c>
      <c r="S1634" t="s">
        <v>288</v>
      </c>
      <c r="T1634" t="s">
        <v>69</v>
      </c>
      <c r="U1634">
        <v>97562</v>
      </c>
      <c r="V1634" t="s">
        <v>46</v>
      </c>
      <c r="W1634" t="s">
        <v>47</v>
      </c>
      <c r="X1634" t="s">
        <v>289</v>
      </c>
      <c r="Y1634" t="s">
        <v>290</v>
      </c>
      <c r="Z1634" t="s">
        <v>50</v>
      </c>
    </row>
    <row r="1635" spans="1:26" x14ac:dyDescent="0.3">
      <c r="A1635">
        <v>10322</v>
      </c>
      <c r="B1635">
        <v>30</v>
      </c>
      <c r="C1635">
        <v>100</v>
      </c>
      <c r="D1635">
        <v>4</v>
      </c>
      <c r="E1635">
        <v>3500.1</v>
      </c>
      <c r="F1635" s="1">
        <v>38295</v>
      </c>
      <c r="G1635" t="s">
        <v>39</v>
      </c>
      <c r="H1635">
        <v>4</v>
      </c>
      <c r="I1635">
        <v>11</v>
      </c>
      <c r="J1635" t="str">
        <f>TEXT(DATE(2012,Table1[[#This Row],[MONTH_ID]],10),"mmm")</f>
        <v>Nov</v>
      </c>
      <c r="K1635">
        <v>2004</v>
      </c>
      <c r="L1635" t="s">
        <v>564</v>
      </c>
      <c r="M1635">
        <v>44</v>
      </c>
      <c r="N1635" t="s">
        <v>642</v>
      </c>
      <c r="O1635" t="s">
        <v>291</v>
      </c>
      <c r="P1635">
        <v>6035558647</v>
      </c>
      <c r="Q1635" t="s">
        <v>292</v>
      </c>
      <c r="S1635" t="s">
        <v>293</v>
      </c>
      <c r="T1635" t="s">
        <v>294</v>
      </c>
      <c r="U1635">
        <v>62005</v>
      </c>
      <c r="V1635" t="s">
        <v>46</v>
      </c>
      <c r="W1635" t="s">
        <v>47</v>
      </c>
      <c r="X1635" t="s">
        <v>70</v>
      </c>
      <c r="Y1635" t="s">
        <v>290</v>
      </c>
      <c r="Z1635" t="s">
        <v>65</v>
      </c>
    </row>
    <row r="1636" spans="1:26" x14ac:dyDescent="0.3">
      <c r="A1636">
        <v>10332</v>
      </c>
      <c r="B1636">
        <v>26</v>
      </c>
      <c r="C1636">
        <v>85.52</v>
      </c>
      <c r="D1636">
        <v>10</v>
      </c>
      <c r="E1636">
        <v>2223.52</v>
      </c>
      <c r="F1636" s="1">
        <v>38308</v>
      </c>
      <c r="G1636" t="s">
        <v>39</v>
      </c>
      <c r="H1636">
        <v>4</v>
      </c>
      <c r="I1636">
        <v>11</v>
      </c>
      <c r="J1636" t="str">
        <f>TEXT(DATE(2012,Table1[[#This Row],[MONTH_ID]],10),"mmm")</f>
        <v>Nov</v>
      </c>
      <c r="K1636">
        <v>2004</v>
      </c>
      <c r="L1636" t="s">
        <v>564</v>
      </c>
      <c r="M1636">
        <v>44</v>
      </c>
      <c r="N1636" t="s">
        <v>642</v>
      </c>
      <c r="O1636" t="s">
        <v>506</v>
      </c>
      <c r="P1636" t="s">
        <v>507</v>
      </c>
      <c r="Q1636" t="s">
        <v>508</v>
      </c>
      <c r="S1636" t="s">
        <v>509</v>
      </c>
      <c r="U1636" t="s">
        <v>510</v>
      </c>
      <c r="V1636" t="s">
        <v>184</v>
      </c>
      <c r="W1636" t="s">
        <v>56</v>
      </c>
      <c r="X1636" t="s">
        <v>511</v>
      </c>
      <c r="Y1636" t="s">
        <v>108</v>
      </c>
      <c r="Z1636" t="s">
        <v>50</v>
      </c>
    </row>
    <row r="1637" spans="1:26" x14ac:dyDescent="0.3">
      <c r="A1637">
        <v>10345</v>
      </c>
      <c r="B1637">
        <v>43</v>
      </c>
      <c r="C1637">
        <v>53.76</v>
      </c>
      <c r="D1637">
        <v>1</v>
      </c>
      <c r="E1637">
        <v>2311.6799999999998</v>
      </c>
      <c r="F1637" s="1">
        <v>38316</v>
      </c>
      <c r="G1637" t="s">
        <v>39</v>
      </c>
      <c r="H1637">
        <v>4</v>
      </c>
      <c r="I1637">
        <v>11</v>
      </c>
      <c r="J1637" t="str">
        <f>TEXT(DATE(2012,Table1[[#This Row],[MONTH_ID]],10),"mmm")</f>
        <v>Nov</v>
      </c>
      <c r="K1637">
        <v>2004</v>
      </c>
      <c r="L1637" t="s">
        <v>564</v>
      </c>
      <c r="M1637">
        <v>44</v>
      </c>
      <c r="N1637" t="s">
        <v>642</v>
      </c>
      <c r="O1637" t="s">
        <v>326</v>
      </c>
      <c r="P1637" t="s">
        <v>327</v>
      </c>
      <c r="Q1637" t="s">
        <v>328</v>
      </c>
      <c r="S1637" t="s">
        <v>131</v>
      </c>
      <c r="U1637">
        <v>44000</v>
      </c>
      <c r="V1637" t="s">
        <v>55</v>
      </c>
      <c r="W1637" t="s">
        <v>56</v>
      </c>
      <c r="X1637" t="s">
        <v>329</v>
      </c>
      <c r="Y1637" t="s">
        <v>330</v>
      </c>
      <c r="Z1637" t="s">
        <v>50</v>
      </c>
    </row>
    <row r="1638" spans="1:26" x14ac:dyDescent="0.3">
      <c r="A1638">
        <v>10356</v>
      </c>
      <c r="B1638">
        <v>26</v>
      </c>
      <c r="C1638">
        <v>31.86</v>
      </c>
      <c r="D1638">
        <v>7</v>
      </c>
      <c r="E1638">
        <v>828.36</v>
      </c>
      <c r="F1638" s="1">
        <v>38330</v>
      </c>
      <c r="G1638" t="s">
        <v>39</v>
      </c>
      <c r="H1638">
        <v>4</v>
      </c>
      <c r="I1638">
        <v>12</v>
      </c>
      <c r="J1638" t="str">
        <f>TEXT(DATE(2012,Table1[[#This Row],[MONTH_ID]],10),"mmm")</f>
        <v>Dec</v>
      </c>
      <c r="K1638">
        <v>2004</v>
      </c>
      <c r="L1638" t="s">
        <v>564</v>
      </c>
      <c r="M1638">
        <v>44</v>
      </c>
      <c r="N1638" t="s">
        <v>642</v>
      </c>
      <c r="O1638" t="s">
        <v>59</v>
      </c>
      <c r="P1638" t="s">
        <v>60</v>
      </c>
      <c r="Q1638" t="s">
        <v>61</v>
      </c>
      <c r="S1638" t="s">
        <v>62</v>
      </c>
      <c r="U1638">
        <v>75508</v>
      </c>
      <c r="V1638" t="s">
        <v>55</v>
      </c>
      <c r="W1638" t="s">
        <v>56</v>
      </c>
      <c r="X1638" t="s">
        <v>63</v>
      </c>
      <c r="Y1638" t="s">
        <v>64</v>
      </c>
      <c r="Z1638" t="s">
        <v>50</v>
      </c>
    </row>
    <row r="1639" spans="1:26" x14ac:dyDescent="0.3">
      <c r="A1639">
        <v>10367</v>
      </c>
      <c r="B1639">
        <v>28</v>
      </c>
      <c r="C1639">
        <v>30.59</v>
      </c>
      <c r="D1639">
        <v>12</v>
      </c>
      <c r="E1639">
        <v>856.52</v>
      </c>
      <c r="F1639" s="1">
        <v>38364</v>
      </c>
      <c r="G1639" t="s">
        <v>422</v>
      </c>
      <c r="H1639">
        <v>1</v>
      </c>
      <c r="I1639">
        <v>1</v>
      </c>
      <c r="J1639" t="str">
        <f>TEXT(DATE(2012,Table1[[#This Row],[MONTH_ID]],10),"mmm")</f>
        <v>Jan</v>
      </c>
      <c r="K1639">
        <v>2005</v>
      </c>
      <c r="L1639" t="s">
        <v>564</v>
      </c>
      <c r="M1639">
        <v>44</v>
      </c>
      <c r="N1639" t="s">
        <v>642</v>
      </c>
      <c r="O1639" t="s">
        <v>66</v>
      </c>
      <c r="P1639">
        <v>6265557265</v>
      </c>
      <c r="Q1639" t="s">
        <v>67</v>
      </c>
      <c r="S1639" t="s">
        <v>68</v>
      </c>
      <c r="T1639" t="s">
        <v>69</v>
      </c>
      <c r="U1639">
        <v>90003</v>
      </c>
      <c r="V1639" t="s">
        <v>46</v>
      </c>
      <c r="W1639" t="s">
        <v>47</v>
      </c>
      <c r="X1639" t="s">
        <v>70</v>
      </c>
      <c r="Y1639" t="s">
        <v>71</v>
      </c>
      <c r="Z1639" t="s">
        <v>50</v>
      </c>
    </row>
    <row r="1640" spans="1:26" x14ac:dyDescent="0.3">
      <c r="A1640">
        <v>10380</v>
      </c>
      <c r="B1640">
        <v>27</v>
      </c>
      <c r="C1640">
        <v>68.349999999999994</v>
      </c>
      <c r="D1640">
        <v>5</v>
      </c>
      <c r="E1640">
        <v>1845.45</v>
      </c>
      <c r="F1640" s="1">
        <v>38399</v>
      </c>
      <c r="G1640" t="s">
        <v>39</v>
      </c>
      <c r="H1640">
        <v>1</v>
      </c>
      <c r="I1640">
        <v>2</v>
      </c>
      <c r="J1640" t="str">
        <f>TEXT(DATE(2012,Table1[[#This Row],[MONTH_ID]],10),"mmm")</f>
        <v>Feb</v>
      </c>
      <c r="K1640">
        <v>2005</v>
      </c>
      <c r="L1640" t="s">
        <v>564</v>
      </c>
      <c r="M1640">
        <v>44</v>
      </c>
      <c r="N1640" t="s">
        <v>642</v>
      </c>
      <c r="O1640" t="s">
        <v>188</v>
      </c>
      <c r="P1640" t="s">
        <v>189</v>
      </c>
      <c r="Q1640" t="s">
        <v>190</v>
      </c>
      <c r="S1640" t="s">
        <v>191</v>
      </c>
      <c r="U1640">
        <v>28034</v>
      </c>
      <c r="V1640" t="s">
        <v>192</v>
      </c>
      <c r="W1640" t="s">
        <v>56</v>
      </c>
      <c r="X1640" t="s">
        <v>193</v>
      </c>
      <c r="Y1640" t="s">
        <v>194</v>
      </c>
      <c r="Z1640" t="s">
        <v>50</v>
      </c>
    </row>
    <row r="1641" spans="1:26" x14ac:dyDescent="0.3">
      <c r="A1641">
        <v>10391</v>
      </c>
      <c r="B1641">
        <v>24</v>
      </c>
      <c r="C1641">
        <v>100</v>
      </c>
      <c r="D1641">
        <v>1</v>
      </c>
      <c r="E1641">
        <v>4042.08</v>
      </c>
      <c r="F1641" s="1">
        <v>38420</v>
      </c>
      <c r="G1641" t="s">
        <v>39</v>
      </c>
      <c r="H1641">
        <v>1</v>
      </c>
      <c r="I1641">
        <v>3</v>
      </c>
      <c r="J1641" t="str">
        <f>TEXT(DATE(2012,Table1[[#This Row],[MONTH_ID]],10),"mmm")</f>
        <v>Mar</v>
      </c>
      <c r="K1641">
        <v>2005</v>
      </c>
      <c r="L1641" t="s">
        <v>564</v>
      </c>
      <c r="M1641">
        <v>44</v>
      </c>
      <c r="N1641" t="s">
        <v>642</v>
      </c>
      <c r="O1641" t="s">
        <v>299</v>
      </c>
      <c r="P1641" t="s">
        <v>300</v>
      </c>
      <c r="Q1641" t="s">
        <v>301</v>
      </c>
      <c r="R1641" t="s">
        <v>302</v>
      </c>
      <c r="S1641" t="s">
        <v>303</v>
      </c>
      <c r="T1641" t="s">
        <v>171</v>
      </c>
      <c r="U1641">
        <v>2060</v>
      </c>
      <c r="V1641" t="s">
        <v>109</v>
      </c>
      <c r="W1641" t="s">
        <v>110</v>
      </c>
      <c r="X1641" t="s">
        <v>304</v>
      </c>
      <c r="Y1641" t="s">
        <v>305</v>
      </c>
      <c r="Z1641" t="s">
        <v>65</v>
      </c>
    </row>
    <row r="1642" spans="1:26" x14ac:dyDescent="0.3">
      <c r="A1642">
        <v>10421</v>
      </c>
      <c r="B1642">
        <v>40</v>
      </c>
      <c r="C1642">
        <v>45.7</v>
      </c>
      <c r="D1642">
        <v>2</v>
      </c>
      <c r="E1642">
        <v>1828</v>
      </c>
      <c r="F1642" s="1">
        <v>38501</v>
      </c>
      <c r="G1642" t="s">
        <v>314</v>
      </c>
      <c r="H1642">
        <v>2</v>
      </c>
      <c r="I1642">
        <v>5</v>
      </c>
      <c r="J1642" t="str">
        <f>TEXT(DATE(2012,Table1[[#This Row],[MONTH_ID]],10),"mmm")</f>
        <v>May</v>
      </c>
      <c r="K1642">
        <v>2005</v>
      </c>
      <c r="L1642" t="s">
        <v>564</v>
      </c>
      <c r="M1642">
        <v>44</v>
      </c>
      <c r="N1642" t="s">
        <v>642</v>
      </c>
      <c r="O1642" t="s">
        <v>286</v>
      </c>
      <c r="P1642">
        <v>4155551450</v>
      </c>
      <c r="Q1642" t="s">
        <v>287</v>
      </c>
      <c r="S1642" t="s">
        <v>288</v>
      </c>
      <c r="T1642" t="s">
        <v>69</v>
      </c>
      <c r="U1642">
        <v>97562</v>
      </c>
      <c r="V1642" t="s">
        <v>46</v>
      </c>
      <c r="W1642" t="s">
        <v>47</v>
      </c>
      <c r="X1642" t="s">
        <v>289</v>
      </c>
      <c r="Y1642" t="s">
        <v>290</v>
      </c>
      <c r="Z1642" t="s">
        <v>50</v>
      </c>
    </row>
    <row r="1643" spans="1:26" x14ac:dyDescent="0.3">
      <c r="A1643">
        <v>10103</v>
      </c>
      <c r="B1643">
        <v>36</v>
      </c>
      <c r="C1643">
        <v>100</v>
      </c>
      <c r="D1643">
        <v>1</v>
      </c>
      <c r="E1643">
        <v>3680.28</v>
      </c>
      <c r="F1643" s="1">
        <v>37650</v>
      </c>
      <c r="G1643" t="s">
        <v>39</v>
      </c>
      <c r="H1643">
        <v>1</v>
      </c>
      <c r="I1643">
        <v>1</v>
      </c>
      <c r="J1643" t="str">
        <f>TEXT(DATE(2012,Table1[[#This Row],[MONTH_ID]],10),"mmm")</f>
        <v>Jan</v>
      </c>
      <c r="K1643">
        <v>2003</v>
      </c>
      <c r="L1643" t="s">
        <v>518</v>
      </c>
      <c r="M1643">
        <v>127</v>
      </c>
      <c r="N1643" t="s">
        <v>643</v>
      </c>
      <c r="O1643" t="s">
        <v>147</v>
      </c>
      <c r="P1643" t="s">
        <v>148</v>
      </c>
      <c r="Q1643" t="s">
        <v>149</v>
      </c>
      <c r="S1643" t="s">
        <v>150</v>
      </c>
      <c r="U1643">
        <v>4110</v>
      </c>
      <c r="V1643" t="s">
        <v>92</v>
      </c>
      <c r="W1643" t="s">
        <v>56</v>
      </c>
      <c r="X1643" t="s">
        <v>151</v>
      </c>
      <c r="Y1643" t="s">
        <v>152</v>
      </c>
      <c r="Z1643" t="s">
        <v>65</v>
      </c>
    </row>
    <row r="1644" spans="1:26" x14ac:dyDescent="0.3">
      <c r="A1644">
        <v>10114</v>
      </c>
      <c r="B1644">
        <v>21</v>
      </c>
      <c r="C1644">
        <v>100</v>
      </c>
      <c r="D1644">
        <v>5</v>
      </c>
      <c r="E1644">
        <v>2925.09</v>
      </c>
      <c r="F1644" s="1">
        <v>37712</v>
      </c>
      <c r="G1644" t="s">
        <v>39</v>
      </c>
      <c r="H1644">
        <v>2</v>
      </c>
      <c r="I1644">
        <v>4</v>
      </c>
      <c r="J1644" t="str">
        <f>TEXT(DATE(2012,Table1[[#This Row],[MONTH_ID]],10),"mmm")</f>
        <v>Apr</v>
      </c>
      <c r="K1644">
        <v>2003</v>
      </c>
      <c r="L1644" t="s">
        <v>518</v>
      </c>
      <c r="M1644">
        <v>127</v>
      </c>
      <c r="N1644" t="s">
        <v>643</v>
      </c>
      <c r="O1644" t="s">
        <v>417</v>
      </c>
      <c r="P1644" t="s">
        <v>418</v>
      </c>
      <c r="Q1644" t="s">
        <v>419</v>
      </c>
      <c r="S1644" t="s">
        <v>62</v>
      </c>
      <c r="U1644">
        <v>75012</v>
      </c>
      <c r="V1644" t="s">
        <v>55</v>
      </c>
      <c r="W1644" t="s">
        <v>56</v>
      </c>
      <c r="X1644" t="s">
        <v>420</v>
      </c>
      <c r="Y1644" t="s">
        <v>421</v>
      </c>
      <c r="Z1644" t="s">
        <v>50</v>
      </c>
    </row>
    <row r="1645" spans="1:26" x14ac:dyDescent="0.3">
      <c r="A1645">
        <v>10126</v>
      </c>
      <c r="B1645">
        <v>27</v>
      </c>
      <c r="C1645">
        <v>100</v>
      </c>
      <c r="D1645">
        <v>1</v>
      </c>
      <c r="E1645">
        <v>3415.77</v>
      </c>
      <c r="F1645" s="1">
        <v>37769</v>
      </c>
      <c r="G1645" t="s">
        <v>39</v>
      </c>
      <c r="H1645">
        <v>2</v>
      </c>
      <c r="I1645">
        <v>5</v>
      </c>
      <c r="J1645" t="str">
        <f>TEXT(DATE(2012,Table1[[#This Row],[MONTH_ID]],10),"mmm")</f>
        <v>May</v>
      </c>
      <c r="K1645">
        <v>2003</v>
      </c>
      <c r="L1645" t="s">
        <v>518</v>
      </c>
      <c r="M1645">
        <v>127</v>
      </c>
      <c r="N1645" t="s">
        <v>643</v>
      </c>
      <c r="O1645" t="s">
        <v>205</v>
      </c>
      <c r="P1645" t="s">
        <v>206</v>
      </c>
      <c r="Q1645" t="s">
        <v>207</v>
      </c>
      <c r="S1645" t="s">
        <v>191</v>
      </c>
      <c r="U1645">
        <v>28023</v>
      </c>
      <c r="V1645" t="s">
        <v>192</v>
      </c>
      <c r="W1645" t="s">
        <v>56</v>
      </c>
      <c r="X1645" t="s">
        <v>208</v>
      </c>
      <c r="Y1645" t="s">
        <v>209</v>
      </c>
      <c r="Z1645" t="s">
        <v>65</v>
      </c>
    </row>
    <row r="1646" spans="1:26" x14ac:dyDescent="0.3">
      <c r="A1646">
        <v>10140</v>
      </c>
      <c r="B1646">
        <v>47</v>
      </c>
      <c r="C1646">
        <v>100</v>
      </c>
      <c r="D1646">
        <v>1</v>
      </c>
      <c r="E1646">
        <v>5105.1400000000003</v>
      </c>
      <c r="F1646" s="1">
        <v>37826</v>
      </c>
      <c r="G1646" t="s">
        <v>39</v>
      </c>
      <c r="H1646">
        <v>3</v>
      </c>
      <c r="I1646">
        <v>7</v>
      </c>
      <c r="J1646" t="str">
        <f>TEXT(DATE(2012,Table1[[#This Row],[MONTH_ID]],10),"mmm")</f>
        <v>Jul</v>
      </c>
      <c r="K1646">
        <v>2003</v>
      </c>
      <c r="L1646" t="s">
        <v>518</v>
      </c>
      <c r="M1646">
        <v>127</v>
      </c>
      <c r="N1646" t="s">
        <v>643</v>
      </c>
      <c r="O1646" t="s">
        <v>76</v>
      </c>
      <c r="P1646">
        <v>6505556809</v>
      </c>
      <c r="Q1646" t="s">
        <v>77</v>
      </c>
      <c r="S1646" t="s">
        <v>78</v>
      </c>
      <c r="T1646" t="s">
        <v>69</v>
      </c>
      <c r="U1646">
        <v>94217</v>
      </c>
      <c r="V1646" t="s">
        <v>46</v>
      </c>
      <c r="W1646" t="s">
        <v>47</v>
      </c>
      <c r="X1646" t="s">
        <v>79</v>
      </c>
      <c r="Y1646" t="s">
        <v>80</v>
      </c>
      <c r="Z1646" t="s">
        <v>65</v>
      </c>
    </row>
    <row r="1647" spans="1:26" x14ac:dyDescent="0.3">
      <c r="A1647">
        <v>10151</v>
      </c>
      <c r="B1647">
        <v>42</v>
      </c>
      <c r="C1647">
        <v>100</v>
      </c>
      <c r="D1647">
        <v>8</v>
      </c>
      <c r="E1647">
        <v>5098.8</v>
      </c>
      <c r="F1647" s="1">
        <v>37885</v>
      </c>
      <c r="G1647" t="s">
        <v>39</v>
      </c>
      <c r="H1647">
        <v>3</v>
      </c>
      <c r="I1647">
        <v>9</v>
      </c>
      <c r="J1647" t="str">
        <f>TEXT(DATE(2012,Table1[[#This Row],[MONTH_ID]],10),"mmm")</f>
        <v>Sep</v>
      </c>
      <c r="K1647">
        <v>2003</v>
      </c>
      <c r="L1647" t="s">
        <v>518</v>
      </c>
      <c r="M1647">
        <v>127</v>
      </c>
      <c r="N1647" t="s">
        <v>643</v>
      </c>
      <c r="O1647" t="s">
        <v>405</v>
      </c>
      <c r="P1647" t="s">
        <v>406</v>
      </c>
      <c r="Q1647" t="s">
        <v>407</v>
      </c>
      <c r="S1647" t="s">
        <v>408</v>
      </c>
      <c r="U1647">
        <v>90110</v>
      </c>
      <c r="V1647" t="s">
        <v>144</v>
      </c>
      <c r="W1647" t="s">
        <v>56</v>
      </c>
      <c r="X1647" t="s">
        <v>409</v>
      </c>
      <c r="Y1647" t="s">
        <v>410</v>
      </c>
      <c r="Z1647" t="s">
        <v>65</v>
      </c>
    </row>
    <row r="1648" spans="1:26" x14ac:dyDescent="0.3">
      <c r="A1648">
        <v>10165</v>
      </c>
      <c r="B1648">
        <v>32</v>
      </c>
      <c r="C1648">
        <v>100</v>
      </c>
      <c r="D1648">
        <v>17</v>
      </c>
      <c r="E1648">
        <v>4661.76</v>
      </c>
      <c r="F1648" s="1">
        <v>37916</v>
      </c>
      <c r="G1648" t="s">
        <v>39</v>
      </c>
      <c r="H1648">
        <v>4</v>
      </c>
      <c r="I1648">
        <v>10</v>
      </c>
      <c r="J1648" t="str">
        <f>TEXT(DATE(2012,Table1[[#This Row],[MONTH_ID]],10),"mmm")</f>
        <v>Oct</v>
      </c>
      <c r="K1648">
        <v>2003</v>
      </c>
      <c r="L1648" t="s">
        <v>518</v>
      </c>
      <c r="M1648">
        <v>127</v>
      </c>
      <c r="N1648" t="s">
        <v>643</v>
      </c>
      <c r="O1648" t="s">
        <v>210</v>
      </c>
      <c r="P1648" t="s">
        <v>211</v>
      </c>
      <c r="Q1648" t="s">
        <v>212</v>
      </c>
      <c r="S1648" t="s">
        <v>213</v>
      </c>
      <c r="U1648">
        <v>79903</v>
      </c>
      <c r="V1648" t="s">
        <v>213</v>
      </c>
      <c r="W1648" t="s">
        <v>214</v>
      </c>
      <c r="X1648" t="s">
        <v>215</v>
      </c>
      <c r="Y1648" t="s">
        <v>216</v>
      </c>
      <c r="Z1648" t="s">
        <v>65</v>
      </c>
    </row>
    <row r="1649" spans="1:26" x14ac:dyDescent="0.3">
      <c r="A1649">
        <v>10175</v>
      </c>
      <c r="B1649">
        <v>28</v>
      </c>
      <c r="C1649">
        <v>100</v>
      </c>
      <c r="D1649">
        <v>6</v>
      </c>
      <c r="E1649">
        <v>2969.96</v>
      </c>
      <c r="F1649" s="1">
        <v>37931</v>
      </c>
      <c r="G1649" t="s">
        <v>39</v>
      </c>
      <c r="H1649">
        <v>4</v>
      </c>
      <c r="I1649">
        <v>11</v>
      </c>
      <c r="J1649" t="str">
        <f>TEXT(DATE(2012,Table1[[#This Row],[MONTH_ID]],10),"mmm")</f>
        <v>Nov</v>
      </c>
      <c r="K1649">
        <v>2003</v>
      </c>
      <c r="L1649" t="s">
        <v>518</v>
      </c>
      <c r="M1649">
        <v>127</v>
      </c>
      <c r="N1649" t="s">
        <v>643</v>
      </c>
      <c r="O1649" t="s">
        <v>343</v>
      </c>
      <c r="P1649" t="s">
        <v>344</v>
      </c>
      <c r="Q1649" t="s">
        <v>345</v>
      </c>
      <c r="S1649" t="s">
        <v>346</v>
      </c>
      <c r="U1649" t="s">
        <v>347</v>
      </c>
      <c r="V1649" t="s">
        <v>184</v>
      </c>
      <c r="W1649" t="s">
        <v>56</v>
      </c>
      <c r="X1649" t="s">
        <v>75</v>
      </c>
      <c r="Y1649" t="s">
        <v>348</v>
      </c>
      <c r="Z1649" t="s">
        <v>50</v>
      </c>
    </row>
    <row r="1650" spans="1:26" x14ac:dyDescent="0.3">
      <c r="A1650">
        <v>10184</v>
      </c>
      <c r="B1650">
        <v>24</v>
      </c>
      <c r="C1650">
        <v>100</v>
      </c>
      <c r="D1650">
        <v>11</v>
      </c>
      <c r="E1650">
        <v>3496.32</v>
      </c>
      <c r="F1650" s="1">
        <v>37939</v>
      </c>
      <c r="G1650" t="s">
        <v>39</v>
      </c>
      <c r="H1650">
        <v>4</v>
      </c>
      <c r="I1650">
        <v>11</v>
      </c>
      <c r="J1650" t="str">
        <f>TEXT(DATE(2012,Table1[[#This Row],[MONTH_ID]],10),"mmm")</f>
        <v>Nov</v>
      </c>
      <c r="K1650">
        <v>2003</v>
      </c>
      <c r="L1650" t="s">
        <v>518</v>
      </c>
      <c r="M1650">
        <v>127</v>
      </c>
      <c r="N1650" t="s">
        <v>643</v>
      </c>
      <c r="O1650" t="s">
        <v>534</v>
      </c>
      <c r="P1650" t="s">
        <v>535</v>
      </c>
      <c r="Q1650" t="s">
        <v>536</v>
      </c>
      <c r="S1650" t="s">
        <v>537</v>
      </c>
      <c r="U1650">
        <v>41101</v>
      </c>
      <c r="V1650" t="s">
        <v>192</v>
      </c>
      <c r="W1650" t="s">
        <v>56</v>
      </c>
      <c r="X1650" t="s">
        <v>538</v>
      </c>
      <c r="Y1650" t="s">
        <v>539</v>
      </c>
      <c r="Z1650" t="s">
        <v>65</v>
      </c>
    </row>
    <row r="1651" spans="1:26" x14ac:dyDescent="0.3">
      <c r="A1651">
        <v>10194</v>
      </c>
      <c r="B1651">
        <v>49</v>
      </c>
      <c r="C1651">
        <v>100</v>
      </c>
      <c r="D1651">
        <v>1</v>
      </c>
      <c r="E1651">
        <v>5760.93</v>
      </c>
      <c r="F1651" s="1">
        <v>37950</v>
      </c>
      <c r="G1651" t="s">
        <v>39</v>
      </c>
      <c r="H1651">
        <v>4</v>
      </c>
      <c r="I1651">
        <v>11</v>
      </c>
      <c r="J1651" t="str">
        <f>TEXT(DATE(2012,Table1[[#This Row],[MONTH_ID]],10),"mmm")</f>
        <v>Nov</v>
      </c>
      <c r="K1651">
        <v>2003</v>
      </c>
      <c r="L1651" t="s">
        <v>518</v>
      </c>
      <c r="M1651">
        <v>127</v>
      </c>
      <c r="N1651" t="s">
        <v>643</v>
      </c>
      <c r="O1651" t="s">
        <v>233</v>
      </c>
      <c r="P1651" t="s">
        <v>234</v>
      </c>
      <c r="Q1651" t="s">
        <v>235</v>
      </c>
      <c r="S1651" t="s">
        <v>236</v>
      </c>
      <c r="U1651">
        <v>69004</v>
      </c>
      <c r="V1651" t="s">
        <v>55</v>
      </c>
      <c r="W1651" t="s">
        <v>56</v>
      </c>
      <c r="X1651" t="s">
        <v>237</v>
      </c>
      <c r="Y1651" t="s">
        <v>238</v>
      </c>
      <c r="Z1651" t="s">
        <v>65</v>
      </c>
    </row>
    <row r="1652" spans="1:26" x14ac:dyDescent="0.3">
      <c r="A1652">
        <v>10207</v>
      </c>
      <c r="B1652">
        <v>46</v>
      </c>
      <c r="C1652">
        <v>100</v>
      </c>
      <c r="D1652">
        <v>12</v>
      </c>
      <c r="E1652">
        <v>6819.04</v>
      </c>
      <c r="F1652" s="1">
        <v>37964</v>
      </c>
      <c r="G1652" t="s">
        <v>39</v>
      </c>
      <c r="H1652">
        <v>4</v>
      </c>
      <c r="I1652">
        <v>12</v>
      </c>
      <c r="J1652" t="str">
        <f>TEXT(DATE(2012,Table1[[#This Row],[MONTH_ID]],10),"mmm")</f>
        <v>Dec</v>
      </c>
      <c r="K1652">
        <v>2003</v>
      </c>
      <c r="L1652" t="s">
        <v>518</v>
      </c>
      <c r="M1652">
        <v>127</v>
      </c>
      <c r="N1652" t="s">
        <v>643</v>
      </c>
      <c r="O1652" t="s">
        <v>429</v>
      </c>
      <c r="P1652">
        <v>6175552555</v>
      </c>
      <c r="Q1652" t="s">
        <v>430</v>
      </c>
      <c r="S1652" t="s">
        <v>395</v>
      </c>
      <c r="T1652" t="s">
        <v>137</v>
      </c>
      <c r="U1652">
        <v>51003</v>
      </c>
      <c r="V1652" t="s">
        <v>46</v>
      </c>
      <c r="W1652" t="s">
        <v>47</v>
      </c>
      <c r="X1652" t="s">
        <v>431</v>
      </c>
      <c r="Y1652" t="s">
        <v>290</v>
      </c>
      <c r="Z1652" t="s">
        <v>65</v>
      </c>
    </row>
    <row r="1653" spans="1:26" x14ac:dyDescent="0.3">
      <c r="A1653">
        <v>10217</v>
      </c>
      <c r="B1653">
        <v>28</v>
      </c>
      <c r="C1653">
        <v>100</v>
      </c>
      <c r="D1653">
        <v>1</v>
      </c>
      <c r="E1653">
        <v>3148.88</v>
      </c>
      <c r="F1653" s="1">
        <v>38021</v>
      </c>
      <c r="G1653" t="s">
        <v>39</v>
      </c>
      <c r="H1653">
        <v>1</v>
      </c>
      <c r="I1653">
        <v>2</v>
      </c>
      <c r="J1653" t="str">
        <f>TEXT(DATE(2012,Table1[[#This Row],[MONTH_ID]],10),"mmm")</f>
        <v>Feb</v>
      </c>
      <c r="K1653">
        <v>2004</v>
      </c>
      <c r="L1653" t="s">
        <v>518</v>
      </c>
      <c r="M1653">
        <v>127</v>
      </c>
      <c r="N1653" t="s">
        <v>643</v>
      </c>
      <c r="O1653" t="s">
        <v>432</v>
      </c>
      <c r="P1653" t="s">
        <v>433</v>
      </c>
      <c r="Q1653" t="s">
        <v>434</v>
      </c>
      <c r="R1653" t="s">
        <v>435</v>
      </c>
      <c r="S1653" t="s">
        <v>213</v>
      </c>
      <c r="U1653">
        <v>69045</v>
      </c>
      <c r="V1653" t="s">
        <v>213</v>
      </c>
      <c r="W1653" t="s">
        <v>110</v>
      </c>
      <c r="X1653" t="s">
        <v>436</v>
      </c>
      <c r="Y1653" t="s">
        <v>437</v>
      </c>
      <c r="Z1653" t="s">
        <v>65</v>
      </c>
    </row>
    <row r="1654" spans="1:26" x14ac:dyDescent="0.3">
      <c r="A1654">
        <v>10229</v>
      </c>
      <c r="B1654">
        <v>48</v>
      </c>
      <c r="C1654">
        <v>100</v>
      </c>
      <c r="D1654">
        <v>6</v>
      </c>
      <c r="E1654">
        <v>5704.32</v>
      </c>
      <c r="F1654" s="1">
        <v>38057</v>
      </c>
      <c r="G1654" t="s">
        <v>39</v>
      </c>
      <c r="H1654">
        <v>1</v>
      </c>
      <c r="I1654">
        <v>3</v>
      </c>
      <c r="J1654" t="str">
        <f>TEXT(DATE(2012,Table1[[#This Row],[MONTH_ID]],10),"mmm")</f>
        <v>Mar</v>
      </c>
      <c r="K1654">
        <v>2004</v>
      </c>
      <c r="L1654" t="s">
        <v>518</v>
      </c>
      <c r="M1654">
        <v>127</v>
      </c>
      <c r="N1654" t="s">
        <v>643</v>
      </c>
      <c r="O1654" t="s">
        <v>286</v>
      </c>
      <c r="P1654">
        <v>4155551450</v>
      </c>
      <c r="Q1654" t="s">
        <v>287</v>
      </c>
      <c r="S1654" t="s">
        <v>288</v>
      </c>
      <c r="T1654" t="s">
        <v>69</v>
      </c>
      <c r="U1654">
        <v>97562</v>
      </c>
      <c r="V1654" t="s">
        <v>46</v>
      </c>
      <c r="W1654" t="s">
        <v>47</v>
      </c>
      <c r="X1654" t="s">
        <v>289</v>
      </c>
      <c r="Y1654" t="s">
        <v>290</v>
      </c>
      <c r="Z1654" t="s">
        <v>65</v>
      </c>
    </row>
    <row r="1655" spans="1:26" x14ac:dyDescent="0.3">
      <c r="A1655">
        <v>10246</v>
      </c>
      <c r="B1655">
        <v>29</v>
      </c>
      <c r="C1655">
        <v>100</v>
      </c>
      <c r="D1655">
        <v>10</v>
      </c>
      <c r="E1655">
        <v>3520.6</v>
      </c>
      <c r="F1655" s="1">
        <v>38112</v>
      </c>
      <c r="G1655" t="s">
        <v>39</v>
      </c>
      <c r="H1655">
        <v>2</v>
      </c>
      <c r="I1655">
        <v>5</v>
      </c>
      <c r="J1655" t="str">
        <f>TEXT(DATE(2012,Table1[[#This Row],[MONTH_ID]],10),"mmm")</f>
        <v>May</v>
      </c>
      <c r="K1655">
        <v>2004</v>
      </c>
      <c r="L1655" t="s">
        <v>518</v>
      </c>
      <c r="M1655">
        <v>127</v>
      </c>
      <c r="N1655" t="s">
        <v>643</v>
      </c>
      <c r="O1655" t="s">
        <v>188</v>
      </c>
      <c r="P1655" t="s">
        <v>189</v>
      </c>
      <c r="Q1655" t="s">
        <v>190</v>
      </c>
      <c r="S1655" t="s">
        <v>191</v>
      </c>
      <c r="U1655">
        <v>28034</v>
      </c>
      <c r="V1655" t="s">
        <v>192</v>
      </c>
      <c r="W1655" t="s">
        <v>56</v>
      </c>
      <c r="X1655" t="s">
        <v>193</v>
      </c>
      <c r="Y1655" t="s">
        <v>194</v>
      </c>
      <c r="Z1655" t="s">
        <v>65</v>
      </c>
    </row>
    <row r="1656" spans="1:26" x14ac:dyDescent="0.3">
      <c r="A1656">
        <v>10259</v>
      </c>
      <c r="B1656">
        <v>47</v>
      </c>
      <c r="C1656">
        <v>100</v>
      </c>
      <c r="D1656">
        <v>9</v>
      </c>
      <c r="E1656">
        <v>5285.62</v>
      </c>
      <c r="F1656" s="1">
        <v>38153</v>
      </c>
      <c r="G1656" t="s">
        <v>39</v>
      </c>
      <c r="H1656">
        <v>2</v>
      </c>
      <c r="I1656">
        <v>6</v>
      </c>
      <c r="J1656" t="str">
        <f>TEXT(DATE(2012,Table1[[#This Row],[MONTH_ID]],10),"mmm")</f>
        <v>Jun</v>
      </c>
      <c r="K1656">
        <v>2004</v>
      </c>
      <c r="L1656" t="s">
        <v>518</v>
      </c>
      <c r="M1656">
        <v>127</v>
      </c>
      <c r="N1656" t="s">
        <v>643</v>
      </c>
      <c r="O1656" t="s">
        <v>432</v>
      </c>
      <c r="P1656" t="s">
        <v>433</v>
      </c>
      <c r="Q1656" t="s">
        <v>434</v>
      </c>
      <c r="R1656" t="s">
        <v>435</v>
      </c>
      <c r="S1656" t="s">
        <v>213</v>
      </c>
      <c r="U1656">
        <v>69045</v>
      </c>
      <c r="V1656" t="s">
        <v>213</v>
      </c>
      <c r="W1656" t="s">
        <v>110</v>
      </c>
      <c r="X1656" t="s">
        <v>436</v>
      </c>
      <c r="Y1656" t="s">
        <v>437</v>
      </c>
      <c r="Z1656" t="s">
        <v>65</v>
      </c>
    </row>
    <row r="1657" spans="1:26" x14ac:dyDescent="0.3">
      <c r="A1657">
        <v>10271</v>
      </c>
      <c r="B1657">
        <v>43</v>
      </c>
      <c r="C1657">
        <v>100</v>
      </c>
      <c r="D1657">
        <v>10</v>
      </c>
      <c r="E1657">
        <v>5605.05</v>
      </c>
      <c r="F1657" s="1">
        <v>38188</v>
      </c>
      <c r="G1657" t="s">
        <v>39</v>
      </c>
      <c r="H1657">
        <v>3</v>
      </c>
      <c r="I1657">
        <v>7</v>
      </c>
      <c r="J1657" t="str">
        <f>TEXT(DATE(2012,Table1[[#This Row],[MONTH_ID]],10),"mmm")</f>
        <v>Jul</v>
      </c>
      <c r="K1657">
        <v>2004</v>
      </c>
      <c r="L1657" t="s">
        <v>518</v>
      </c>
      <c r="M1657">
        <v>127</v>
      </c>
      <c r="N1657" t="s">
        <v>643</v>
      </c>
      <c r="O1657" t="s">
        <v>286</v>
      </c>
      <c r="P1657">
        <v>4155551450</v>
      </c>
      <c r="Q1657" t="s">
        <v>287</v>
      </c>
      <c r="S1657" t="s">
        <v>288</v>
      </c>
      <c r="T1657" t="s">
        <v>69</v>
      </c>
      <c r="U1657">
        <v>97562</v>
      </c>
      <c r="V1657" t="s">
        <v>46</v>
      </c>
      <c r="W1657" t="s">
        <v>47</v>
      </c>
      <c r="X1657" t="s">
        <v>289</v>
      </c>
      <c r="Y1657" t="s">
        <v>290</v>
      </c>
      <c r="Z1657" t="s">
        <v>65</v>
      </c>
    </row>
    <row r="1658" spans="1:26" x14ac:dyDescent="0.3">
      <c r="A1658">
        <v>10281</v>
      </c>
      <c r="B1658">
        <v>25</v>
      </c>
      <c r="C1658">
        <v>100</v>
      </c>
      <c r="D1658">
        <v>6</v>
      </c>
      <c r="E1658">
        <v>2779.5</v>
      </c>
      <c r="F1658" s="1">
        <v>38218</v>
      </c>
      <c r="G1658" t="s">
        <v>39</v>
      </c>
      <c r="H1658">
        <v>3</v>
      </c>
      <c r="I1658">
        <v>8</v>
      </c>
      <c r="J1658" t="str">
        <f>TEXT(DATE(2012,Table1[[#This Row],[MONTH_ID]],10),"mmm")</f>
        <v>Aug</v>
      </c>
      <c r="K1658">
        <v>2004</v>
      </c>
      <c r="L1658" t="s">
        <v>518</v>
      </c>
      <c r="M1658">
        <v>127</v>
      </c>
      <c r="N1658" t="s">
        <v>643</v>
      </c>
      <c r="O1658" t="s">
        <v>153</v>
      </c>
      <c r="P1658">
        <v>2155551555</v>
      </c>
      <c r="Q1658" t="s">
        <v>154</v>
      </c>
      <c r="S1658" t="s">
        <v>155</v>
      </c>
      <c r="T1658" t="s">
        <v>156</v>
      </c>
      <c r="U1658">
        <v>70267</v>
      </c>
      <c r="V1658" t="s">
        <v>46</v>
      </c>
      <c r="W1658" t="s">
        <v>47</v>
      </c>
      <c r="X1658" t="s">
        <v>48</v>
      </c>
      <c r="Y1658" t="s">
        <v>157</v>
      </c>
      <c r="Z1658" t="s">
        <v>50</v>
      </c>
    </row>
    <row r="1659" spans="1:26" x14ac:dyDescent="0.3">
      <c r="A1659">
        <v>10291</v>
      </c>
      <c r="B1659">
        <v>48</v>
      </c>
      <c r="C1659">
        <v>100</v>
      </c>
      <c r="D1659">
        <v>1</v>
      </c>
      <c r="E1659">
        <v>5398.08</v>
      </c>
      <c r="F1659" s="1">
        <v>38238</v>
      </c>
      <c r="G1659" t="s">
        <v>39</v>
      </c>
      <c r="H1659">
        <v>3</v>
      </c>
      <c r="I1659">
        <v>9</v>
      </c>
      <c r="J1659" t="str">
        <f>TEXT(DATE(2012,Table1[[#This Row],[MONTH_ID]],10),"mmm")</f>
        <v>Sep</v>
      </c>
      <c r="K1659">
        <v>2004</v>
      </c>
      <c r="L1659" t="s">
        <v>518</v>
      </c>
      <c r="M1659">
        <v>127</v>
      </c>
      <c r="N1659" t="s">
        <v>643</v>
      </c>
      <c r="O1659" t="s">
        <v>275</v>
      </c>
      <c r="P1659" t="s">
        <v>276</v>
      </c>
      <c r="Q1659" t="s">
        <v>277</v>
      </c>
      <c r="S1659" t="s">
        <v>278</v>
      </c>
      <c r="U1659" t="s">
        <v>279</v>
      </c>
      <c r="V1659" t="s">
        <v>202</v>
      </c>
      <c r="W1659" t="s">
        <v>56</v>
      </c>
      <c r="X1659" t="s">
        <v>280</v>
      </c>
      <c r="Y1659" t="s">
        <v>220</v>
      </c>
      <c r="Z1659" t="s">
        <v>65</v>
      </c>
    </row>
    <row r="1660" spans="1:26" x14ac:dyDescent="0.3">
      <c r="A1660">
        <v>10305</v>
      </c>
      <c r="B1660">
        <v>24</v>
      </c>
      <c r="C1660">
        <v>100</v>
      </c>
      <c r="D1660">
        <v>10</v>
      </c>
      <c r="E1660">
        <v>3189.6</v>
      </c>
      <c r="F1660" s="1">
        <v>38273</v>
      </c>
      <c r="G1660" t="s">
        <v>39</v>
      </c>
      <c r="H1660">
        <v>4</v>
      </c>
      <c r="I1660">
        <v>10</v>
      </c>
      <c r="J1660" t="str">
        <f>TEXT(DATE(2012,Table1[[#This Row],[MONTH_ID]],10),"mmm")</f>
        <v>Oct</v>
      </c>
      <c r="K1660">
        <v>2004</v>
      </c>
      <c r="L1660" t="s">
        <v>518</v>
      </c>
      <c r="M1660">
        <v>127</v>
      </c>
      <c r="N1660" t="s">
        <v>643</v>
      </c>
      <c r="O1660" t="s">
        <v>134</v>
      </c>
      <c r="P1660">
        <v>6175558555</v>
      </c>
      <c r="Q1660" t="s">
        <v>135</v>
      </c>
      <c r="S1660" t="s">
        <v>136</v>
      </c>
      <c r="T1660" t="s">
        <v>137</v>
      </c>
      <c r="U1660">
        <v>51247</v>
      </c>
      <c r="V1660" t="s">
        <v>46</v>
      </c>
      <c r="W1660" t="s">
        <v>47</v>
      </c>
      <c r="X1660" t="s">
        <v>138</v>
      </c>
      <c r="Y1660" t="s">
        <v>139</v>
      </c>
      <c r="Z1660" t="s">
        <v>65</v>
      </c>
    </row>
    <row r="1661" spans="1:26" x14ac:dyDescent="0.3">
      <c r="A1661">
        <v>10313</v>
      </c>
      <c r="B1661">
        <v>42</v>
      </c>
      <c r="C1661">
        <v>100</v>
      </c>
      <c r="D1661">
        <v>4</v>
      </c>
      <c r="E1661">
        <v>5581.8</v>
      </c>
      <c r="F1661" s="1">
        <v>38282</v>
      </c>
      <c r="G1661" t="s">
        <v>39</v>
      </c>
      <c r="H1661">
        <v>4</v>
      </c>
      <c r="I1661">
        <v>10</v>
      </c>
      <c r="J1661" t="str">
        <f>TEXT(DATE(2012,Table1[[#This Row],[MONTH_ID]],10),"mmm")</f>
        <v>Oct</v>
      </c>
      <c r="K1661">
        <v>2004</v>
      </c>
      <c r="L1661" t="s">
        <v>518</v>
      </c>
      <c r="M1661">
        <v>127</v>
      </c>
      <c r="N1661" t="s">
        <v>643</v>
      </c>
      <c r="O1661" t="s">
        <v>239</v>
      </c>
      <c r="P1661" t="s">
        <v>240</v>
      </c>
      <c r="Q1661" t="s">
        <v>241</v>
      </c>
      <c r="S1661" t="s">
        <v>242</v>
      </c>
      <c r="T1661" t="s">
        <v>243</v>
      </c>
      <c r="U1661" t="s">
        <v>244</v>
      </c>
      <c r="V1661" t="s">
        <v>245</v>
      </c>
      <c r="W1661" t="s">
        <v>47</v>
      </c>
      <c r="X1661" t="s">
        <v>246</v>
      </c>
      <c r="Y1661" t="s">
        <v>247</v>
      </c>
      <c r="Z1661" t="s">
        <v>65</v>
      </c>
    </row>
    <row r="1662" spans="1:26" x14ac:dyDescent="0.3">
      <c r="A1662">
        <v>10324</v>
      </c>
      <c r="B1662">
        <v>31</v>
      </c>
      <c r="C1662">
        <v>100</v>
      </c>
      <c r="D1662">
        <v>2</v>
      </c>
      <c r="E1662">
        <v>3820.44</v>
      </c>
      <c r="F1662" s="1">
        <v>38296</v>
      </c>
      <c r="G1662" t="s">
        <v>39</v>
      </c>
      <c r="H1662">
        <v>4</v>
      </c>
      <c r="I1662">
        <v>11</v>
      </c>
      <c r="J1662" t="str">
        <f>TEXT(DATE(2012,Table1[[#This Row],[MONTH_ID]],10),"mmm")</f>
        <v>Nov</v>
      </c>
      <c r="K1662">
        <v>2004</v>
      </c>
      <c r="L1662" t="s">
        <v>518</v>
      </c>
      <c r="M1662">
        <v>127</v>
      </c>
      <c r="N1662" t="s">
        <v>643</v>
      </c>
      <c r="O1662" t="s">
        <v>113</v>
      </c>
      <c r="P1662">
        <v>2125551500</v>
      </c>
      <c r="Q1662" t="s">
        <v>114</v>
      </c>
      <c r="R1662" t="s">
        <v>115</v>
      </c>
      <c r="S1662" t="s">
        <v>44</v>
      </c>
      <c r="T1662" t="s">
        <v>45</v>
      </c>
      <c r="U1662">
        <v>10022</v>
      </c>
      <c r="V1662" t="s">
        <v>46</v>
      </c>
      <c r="W1662" t="s">
        <v>47</v>
      </c>
      <c r="X1662" t="s">
        <v>116</v>
      </c>
      <c r="Y1662" t="s">
        <v>117</v>
      </c>
      <c r="Z1662" t="s">
        <v>65</v>
      </c>
    </row>
    <row r="1663" spans="1:26" x14ac:dyDescent="0.3">
      <c r="A1663">
        <v>10334</v>
      </c>
      <c r="B1663">
        <v>42</v>
      </c>
      <c r="C1663">
        <v>100</v>
      </c>
      <c r="D1663">
        <v>5</v>
      </c>
      <c r="E1663">
        <v>5528.04</v>
      </c>
      <c r="F1663" s="1">
        <v>38310</v>
      </c>
      <c r="G1663" t="s">
        <v>415</v>
      </c>
      <c r="H1663">
        <v>4</v>
      </c>
      <c r="I1663">
        <v>11</v>
      </c>
      <c r="J1663" t="str">
        <f>TEXT(DATE(2012,Table1[[#This Row],[MONTH_ID]],10),"mmm")</f>
        <v>Nov</v>
      </c>
      <c r="K1663">
        <v>2004</v>
      </c>
      <c r="L1663" t="s">
        <v>518</v>
      </c>
      <c r="M1663">
        <v>127</v>
      </c>
      <c r="N1663" t="s">
        <v>643</v>
      </c>
      <c r="O1663" t="s">
        <v>197</v>
      </c>
      <c r="P1663" t="s">
        <v>198</v>
      </c>
      <c r="Q1663" t="s">
        <v>199</v>
      </c>
      <c r="S1663" t="s">
        <v>200</v>
      </c>
      <c r="U1663" t="s">
        <v>201</v>
      </c>
      <c r="V1663" t="s">
        <v>202</v>
      </c>
      <c r="W1663" t="s">
        <v>56</v>
      </c>
      <c r="X1663" t="s">
        <v>203</v>
      </c>
      <c r="Y1663" t="s">
        <v>204</v>
      </c>
      <c r="Z1663" t="s">
        <v>65</v>
      </c>
    </row>
    <row r="1664" spans="1:26" x14ac:dyDescent="0.3">
      <c r="A1664">
        <v>10348</v>
      </c>
      <c r="B1664">
        <v>37</v>
      </c>
      <c r="C1664">
        <v>100</v>
      </c>
      <c r="D1664">
        <v>1</v>
      </c>
      <c r="E1664">
        <v>5981.42</v>
      </c>
      <c r="F1664" s="1">
        <v>38292</v>
      </c>
      <c r="G1664" t="s">
        <v>39</v>
      </c>
      <c r="H1664">
        <v>4</v>
      </c>
      <c r="I1664">
        <v>11</v>
      </c>
      <c r="J1664" t="str">
        <f>TEXT(DATE(2012,Table1[[#This Row],[MONTH_ID]],10),"mmm")</f>
        <v>Nov</v>
      </c>
      <c r="K1664">
        <v>2004</v>
      </c>
      <c r="L1664" t="s">
        <v>518</v>
      </c>
      <c r="M1664">
        <v>127</v>
      </c>
      <c r="N1664" t="s">
        <v>643</v>
      </c>
      <c r="O1664" t="s">
        <v>205</v>
      </c>
      <c r="P1664" t="s">
        <v>206</v>
      </c>
      <c r="Q1664" t="s">
        <v>207</v>
      </c>
      <c r="S1664" t="s">
        <v>191</v>
      </c>
      <c r="U1664">
        <v>28023</v>
      </c>
      <c r="V1664" t="s">
        <v>192</v>
      </c>
      <c r="W1664" t="s">
        <v>56</v>
      </c>
      <c r="X1664" t="s">
        <v>208</v>
      </c>
      <c r="Y1664" t="s">
        <v>209</v>
      </c>
      <c r="Z1664" t="s">
        <v>65</v>
      </c>
    </row>
    <row r="1665" spans="1:26" x14ac:dyDescent="0.3">
      <c r="A1665">
        <v>10358</v>
      </c>
      <c r="B1665">
        <v>41</v>
      </c>
      <c r="C1665">
        <v>100</v>
      </c>
      <c r="D1665">
        <v>7</v>
      </c>
      <c r="E1665">
        <v>5684.65</v>
      </c>
      <c r="F1665" s="1">
        <v>38331</v>
      </c>
      <c r="G1665" t="s">
        <v>39</v>
      </c>
      <c r="H1665">
        <v>4</v>
      </c>
      <c r="I1665">
        <v>12</v>
      </c>
      <c r="J1665" t="str">
        <f>TEXT(DATE(2012,Table1[[#This Row],[MONTH_ID]],10),"mmm")</f>
        <v>Dec</v>
      </c>
      <c r="K1665">
        <v>2004</v>
      </c>
      <c r="L1665" t="s">
        <v>518</v>
      </c>
      <c r="M1665">
        <v>127</v>
      </c>
      <c r="N1665" t="s">
        <v>643</v>
      </c>
      <c r="O1665" t="s">
        <v>188</v>
      </c>
      <c r="P1665" t="s">
        <v>189</v>
      </c>
      <c r="Q1665" t="s">
        <v>190</v>
      </c>
      <c r="S1665" t="s">
        <v>191</v>
      </c>
      <c r="U1665">
        <v>28034</v>
      </c>
      <c r="V1665" t="s">
        <v>192</v>
      </c>
      <c r="W1665" t="s">
        <v>56</v>
      </c>
      <c r="X1665" t="s">
        <v>193</v>
      </c>
      <c r="Y1665" t="s">
        <v>194</v>
      </c>
      <c r="Z1665" t="s">
        <v>65</v>
      </c>
    </row>
    <row r="1666" spans="1:26" x14ac:dyDescent="0.3">
      <c r="A1666">
        <v>10371</v>
      </c>
      <c r="B1666">
        <v>20</v>
      </c>
      <c r="C1666">
        <v>100</v>
      </c>
      <c r="D1666">
        <v>5</v>
      </c>
      <c r="E1666">
        <v>3449.4</v>
      </c>
      <c r="F1666" s="1">
        <v>38375</v>
      </c>
      <c r="G1666" t="s">
        <v>39</v>
      </c>
      <c r="H1666">
        <v>1</v>
      </c>
      <c r="I1666">
        <v>1</v>
      </c>
      <c r="J1666" t="str">
        <f>TEXT(DATE(2012,Table1[[#This Row],[MONTH_ID]],10),"mmm")</f>
        <v>Jan</v>
      </c>
      <c r="K1666">
        <v>2005</v>
      </c>
      <c r="L1666" t="s">
        <v>518</v>
      </c>
      <c r="M1666">
        <v>127</v>
      </c>
      <c r="N1666" t="s">
        <v>643</v>
      </c>
      <c r="O1666" t="s">
        <v>286</v>
      </c>
      <c r="P1666">
        <v>4155551450</v>
      </c>
      <c r="Q1666" t="s">
        <v>287</v>
      </c>
      <c r="S1666" t="s">
        <v>288</v>
      </c>
      <c r="T1666" t="s">
        <v>69</v>
      </c>
      <c r="U1666">
        <v>97562</v>
      </c>
      <c r="V1666" t="s">
        <v>46</v>
      </c>
      <c r="W1666" t="s">
        <v>47</v>
      </c>
      <c r="X1666" t="s">
        <v>289</v>
      </c>
      <c r="Y1666" t="s">
        <v>290</v>
      </c>
      <c r="Z1666" t="s">
        <v>65</v>
      </c>
    </row>
    <row r="1667" spans="1:26" x14ac:dyDescent="0.3">
      <c r="A1667">
        <v>10382</v>
      </c>
      <c r="B1667">
        <v>20</v>
      </c>
      <c r="C1667">
        <v>100</v>
      </c>
      <c r="D1667">
        <v>3</v>
      </c>
      <c r="E1667">
        <v>2654.4</v>
      </c>
      <c r="F1667" s="1">
        <v>38400</v>
      </c>
      <c r="G1667" t="s">
        <v>39</v>
      </c>
      <c r="H1667">
        <v>1</v>
      </c>
      <c r="I1667">
        <v>2</v>
      </c>
      <c r="J1667" t="str">
        <f>TEXT(DATE(2012,Table1[[#This Row],[MONTH_ID]],10),"mmm")</f>
        <v>Feb</v>
      </c>
      <c r="K1667">
        <v>2005</v>
      </c>
      <c r="L1667" t="s">
        <v>518</v>
      </c>
      <c r="M1667">
        <v>127</v>
      </c>
      <c r="N1667" t="s">
        <v>643</v>
      </c>
      <c r="O1667" t="s">
        <v>286</v>
      </c>
      <c r="P1667">
        <v>4155551450</v>
      </c>
      <c r="Q1667" t="s">
        <v>287</v>
      </c>
      <c r="S1667" t="s">
        <v>288</v>
      </c>
      <c r="T1667" t="s">
        <v>69</v>
      </c>
      <c r="U1667">
        <v>97562</v>
      </c>
      <c r="V1667" t="s">
        <v>46</v>
      </c>
      <c r="W1667" t="s">
        <v>47</v>
      </c>
      <c r="X1667" t="s">
        <v>289</v>
      </c>
      <c r="Y1667" t="s">
        <v>290</v>
      </c>
      <c r="Z1667" t="s">
        <v>50</v>
      </c>
    </row>
    <row r="1668" spans="1:26" x14ac:dyDescent="0.3">
      <c r="A1668">
        <v>10412</v>
      </c>
      <c r="B1668">
        <v>70</v>
      </c>
      <c r="C1668">
        <v>100</v>
      </c>
      <c r="D1668">
        <v>10</v>
      </c>
      <c r="E1668">
        <v>8498</v>
      </c>
      <c r="F1668" s="1">
        <v>38475</v>
      </c>
      <c r="G1668" t="s">
        <v>39</v>
      </c>
      <c r="H1668">
        <v>2</v>
      </c>
      <c r="I1668">
        <v>5</v>
      </c>
      <c r="J1668" t="str">
        <f>TEXT(DATE(2012,Table1[[#This Row],[MONTH_ID]],10),"mmm")</f>
        <v>May</v>
      </c>
      <c r="K1668">
        <v>2005</v>
      </c>
      <c r="L1668" t="s">
        <v>518</v>
      </c>
      <c r="M1668">
        <v>127</v>
      </c>
      <c r="N1668" t="s">
        <v>643</v>
      </c>
      <c r="O1668" t="s">
        <v>188</v>
      </c>
      <c r="P1668" t="s">
        <v>189</v>
      </c>
      <c r="Q1668" t="s">
        <v>190</v>
      </c>
      <c r="S1668" t="s">
        <v>191</v>
      </c>
      <c r="U1668">
        <v>28034</v>
      </c>
      <c r="V1668" t="s">
        <v>192</v>
      </c>
      <c r="W1668" t="s">
        <v>56</v>
      </c>
      <c r="X1668" t="s">
        <v>193</v>
      </c>
      <c r="Y1668" t="s">
        <v>194</v>
      </c>
      <c r="Z1668" t="s">
        <v>165</v>
      </c>
    </row>
    <row r="1669" spans="1:26" x14ac:dyDescent="0.3">
      <c r="A1669">
        <v>10425</v>
      </c>
      <c r="B1669">
        <v>49</v>
      </c>
      <c r="C1669">
        <v>100</v>
      </c>
      <c r="D1669">
        <v>9</v>
      </c>
      <c r="E1669">
        <v>5510.54</v>
      </c>
      <c r="F1669" s="1">
        <v>38503</v>
      </c>
      <c r="G1669" t="s">
        <v>314</v>
      </c>
      <c r="H1669">
        <v>2</v>
      </c>
      <c r="I1669">
        <v>5</v>
      </c>
      <c r="J1669" t="str">
        <f>TEXT(DATE(2012,Table1[[#This Row],[MONTH_ID]],10),"mmm")</f>
        <v>May</v>
      </c>
      <c r="K1669">
        <v>2005</v>
      </c>
      <c r="L1669" t="s">
        <v>518</v>
      </c>
      <c r="M1669">
        <v>127</v>
      </c>
      <c r="N1669" t="s">
        <v>643</v>
      </c>
      <c r="O1669" t="s">
        <v>128</v>
      </c>
      <c r="P1669" t="s">
        <v>129</v>
      </c>
      <c r="Q1669" t="s">
        <v>130</v>
      </c>
      <c r="S1669" t="s">
        <v>131</v>
      </c>
      <c r="U1669">
        <v>44000</v>
      </c>
      <c r="V1669" t="s">
        <v>55</v>
      </c>
      <c r="W1669" t="s">
        <v>56</v>
      </c>
      <c r="X1669" t="s">
        <v>132</v>
      </c>
      <c r="Y1669" t="s">
        <v>133</v>
      </c>
      <c r="Z1669" t="s">
        <v>65</v>
      </c>
    </row>
    <row r="1670" spans="1:26" x14ac:dyDescent="0.3">
      <c r="A1670">
        <v>10108</v>
      </c>
      <c r="B1670">
        <v>35</v>
      </c>
      <c r="C1670">
        <v>58.87</v>
      </c>
      <c r="D1670">
        <v>15</v>
      </c>
      <c r="E1670">
        <v>2060.4499999999998</v>
      </c>
      <c r="F1670" s="1">
        <v>37683</v>
      </c>
      <c r="G1670" t="s">
        <v>39</v>
      </c>
      <c r="H1670">
        <v>1</v>
      </c>
      <c r="I1670">
        <v>3</v>
      </c>
      <c r="J1670" t="str">
        <f>TEXT(DATE(2012,Table1[[#This Row],[MONTH_ID]],10),"mmm")</f>
        <v>Mar</v>
      </c>
      <c r="K1670">
        <v>2003</v>
      </c>
      <c r="L1670" t="s">
        <v>40</v>
      </c>
      <c r="M1670">
        <v>69</v>
      </c>
      <c r="N1670" t="s">
        <v>644</v>
      </c>
      <c r="O1670" t="s">
        <v>439</v>
      </c>
      <c r="P1670" t="s">
        <v>440</v>
      </c>
      <c r="Q1670" t="s">
        <v>441</v>
      </c>
      <c r="S1670" t="s">
        <v>442</v>
      </c>
      <c r="U1670" t="s">
        <v>443</v>
      </c>
      <c r="V1670" t="s">
        <v>444</v>
      </c>
      <c r="W1670" t="s">
        <v>214</v>
      </c>
      <c r="X1670" t="s">
        <v>445</v>
      </c>
      <c r="Y1670" t="s">
        <v>446</v>
      </c>
      <c r="Z1670" t="s">
        <v>50</v>
      </c>
    </row>
    <row r="1671" spans="1:26" x14ac:dyDescent="0.3">
      <c r="A1671">
        <v>10121</v>
      </c>
      <c r="B1671">
        <v>32</v>
      </c>
      <c r="C1671">
        <v>76.88</v>
      </c>
      <c r="D1671">
        <v>2</v>
      </c>
      <c r="E1671">
        <v>2460.16</v>
      </c>
      <c r="F1671" s="1">
        <v>37748</v>
      </c>
      <c r="G1671" t="s">
        <v>39</v>
      </c>
      <c r="H1671">
        <v>2</v>
      </c>
      <c r="I1671">
        <v>5</v>
      </c>
      <c r="J1671" t="str">
        <f>TEXT(DATE(2012,Table1[[#This Row],[MONTH_ID]],10),"mmm")</f>
        <v>May</v>
      </c>
      <c r="K1671">
        <v>2003</v>
      </c>
      <c r="L1671" t="s">
        <v>40</v>
      </c>
      <c r="M1671">
        <v>69</v>
      </c>
      <c r="N1671" t="s">
        <v>644</v>
      </c>
      <c r="O1671" t="s">
        <v>51</v>
      </c>
      <c r="P1671" t="s">
        <v>52</v>
      </c>
      <c r="Q1671" t="s">
        <v>53</v>
      </c>
      <c r="S1671" t="s">
        <v>54</v>
      </c>
      <c r="U1671">
        <v>51100</v>
      </c>
      <c r="V1671" t="s">
        <v>55</v>
      </c>
      <c r="W1671" t="s">
        <v>56</v>
      </c>
      <c r="X1671" t="s">
        <v>57</v>
      </c>
      <c r="Y1671" t="s">
        <v>58</v>
      </c>
      <c r="Z1671" t="s">
        <v>50</v>
      </c>
    </row>
    <row r="1672" spans="1:26" x14ac:dyDescent="0.3">
      <c r="A1672">
        <v>10135</v>
      </c>
      <c r="B1672">
        <v>29</v>
      </c>
      <c r="C1672">
        <v>61.64</v>
      </c>
      <c r="D1672">
        <v>16</v>
      </c>
      <c r="E1672">
        <v>1787.56</v>
      </c>
      <c r="F1672" s="1">
        <v>37804</v>
      </c>
      <c r="G1672" t="s">
        <v>39</v>
      </c>
      <c r="H1672">
        <v>3</v>
      </c>
      <c r="I1672">
        <v>7</v>
      </c>
      <c r="J1672" t="str">
        <f>TEXT(DATE(2012,Table1[[#This Row],[MONTH_ID]],10),"mmm")</f>
        <v>Jul</v>
      </c>
      <c r="K1672">
        <v>2003</v>
      </c>
      <c r="L1672" t="s">
        <v>40</v>
      </c>
      <c r="M1672">
        <v>69</v>
      </c>
      <c r="N1672" t="s">
        <v>644</v>
      </c>
      <c r="O1672" t="s">
        <v>286</v>
      </c>
      <c r="P1672">
        <v>4155551450</v>
      </c>
      <c r="Q1672" t="s">
        <v>287</v>
      </c>
      <c r="S1672" t="s">
        <v>288</v>
      </c>
      <c r="T1672" t="s">
        <v>69</v>
      </c>
      <c r="U1672">
        <v>97562</v>
      </c>
      <c r="V1672" t="s">
        <v>46</v>
      </c>
      <c r="W1672" t="s">
        <v>47</v>
      </c>
      <c r="X1672" t="s">
        <v>289</v>
      </c>
      <c r="Y1672" t="s">
        <v>290</v>
      </c>
      <c r="Z1672" t="s">
        <v>50</v>
      </c>
    </row>
    <row r="1673" spans="1:26" x14ac:dyDescent="0.3">
      <c r="A1673">
        <v>10145</v>
      </c>
      <c r="B1673">
        <v>27</v>
      </c>
      <c r="C1673">
        <v>60.95</v>
      </c>
      <c r="D1673">
        <v>3</v>
      </c>
      <c r="E1673">
        <v>1645.65</v>
      </c>
      <c r="F1673" s="1">
        <v>37858</v>
      </c>
      <c r="G1673" t="s">
        <v>39</v>
      </c>
      <c r="H1673">
        <v>3</v>
      </c>
      <c r="I1673">
        <v>8</v>
      </c>
      <c r="J1673" t="str">
        <f>TEXT(DATE(2012,Table1[[#This Row],[MONTH_ID]],10),"mmm")</f>
        <v>Aug</v>
      </c>
      <c r="K1673">
        <v>2003</v>
      </c>
      <c r="L1673" t="s">
        <v>40</v>
      </c>
      <c r="M1673">
        <v>69</v>
      </c>
      <c r="N1673" t="s">
        <v>644</v>
      </c>
      <c r="O1673" t="s">
        <v>66</v>
      </c>
      <c r="P1673">
        <v>6265557265</v>
      </c>
      <c r="Q1673" t="s">
        <v>67</v>
      </c>
      <c r="S1673" t="s">
        <v>68</v>
      </c>
      <c r="T1673" t="s">
        <v>69</v>
      </c>
      <c r="U1673">
        <v>90003</v>
      </c>
      <c r="V1673" t="s">
        <v>46</v>
      </c>
      <c r="W1673" t="s">
        <v>47</v>
      </c>
      <c r="X1673" t="s">
        <v>70</v>
      </c>
      <c r="Y1673" t="s">
        <v>71</v>
      </c>
      <c r="Z1673" t="s">
        <v>50</v>
      </c>
    </row>
    <row r="1674" spans="1:26" x14ac:dyDescent="0.3">
      <c r="A1674">
        <v>10159</v>
      </c>
      <c r="B1674">
        <v>27</v>
      </c>
      <c r="C1674">
        <v>80.34</v>
      </c>
      <c r="D1674">
        <v>11</v>
      </c>
      <c r="E1674">
        <v>2169.1799999999998</v>
      </c>
      <c r="F1674" s="1">
        <v>37904</v>
      </c>
      <c r="G1674" t="s">
        <v>39</v>
      </c>
      <c r="H1674">
        <v>4</v>
      </c>
      <c r="I1674">
        <v>10</v>
      </c>
      <c r="J1674" t="str">
        <f>TEXT(DATE(2012,Table1[[#This Row],[MONTH_ID]],10),"mmm")</f>
        <v>Oct</v>
      </c>
      <c r="K1674">
        <v>2003</v>
      </c>
      <c r="L1674" t="s">
        <v>40</v>
      </c>
      <c r="M1674">
        <v>69</v>
      </c>
      <c r="N1674" t="s">
        <v>644</v>
      </c>
      <c r="O1674" t="s">
        <v>72</v>
      </c>
      <c r="P1674">
        <v>6505551386</v>
      </c>
      <c r="Q1674" t="s">
        <v>73</v>
      </c>
      <c r="S1674" t="s">
        <v>74</v>
      </c>
      <c r="T1674" t="s">
        <v>69</v>
      </c>
      <c r="V1674" t="s">
        <v>46</v>
      </c>
      <c r="W1674" t="s">
        <v>47</v>
      </c>
      <c r="X1674" t="s">
        <v>75</v>
      </c>
      <c r="Y1674" t="s">
        <v>71</v>
      </c>
      <c r="Z1674" t="s">
        <v>50</v>
      </c>
    </row>
    <row r="1675" spans="1:26" x14ac:dyDescent="0.3">
      <c r="A1675">
        <v>10169</v>
      </c>
      <c r="B1675">
        <v>38</v>
      </c>
      <c r="C1675">
        <v>74.11</v>
      </c>
      <c r="D1675">
        <v>11</v>
      </c>
      <c r="E1675">
        <v>2816.18</v>
      </c>
      <c r="F1675" s="1">
        <v>37929</v>
      </c>
      <c r="G1675" t="s">
        <v>39</v>
      </c>
      <c r="H1675">
        <v>4</v>
      </c>
      <c r="I1675">
        <v>11</v>
      </c>
      <c r="J1675" t="str">
        <f>TEXT(DATE(2012,Table1[[#This Row],[MONTH_ID]],10),"mmm")</f>
        <v>Nov</v>
      </c>
      <c r="K1675">
        <v>2003</v>
      </c>
      <c r="L1675" t="s">
        <v>40</v>
      </c>
      <c r="M1675">
        <v>69</v>
      </c>
      <c r="N1675" t="s">
        <v>644</v>
      </c>
      <c r="O1675" t="s">
        <v>299</v>
      </c>
      <c r="P1675" t="s">
        <v>300</v>
      </c>
      <c r="Q1675" t="s">
        <v>301</v>
      </c>
      <c r="R1675" t="s">
        <v>302</v>
      </c>
      <c r="S1675" t="s">
        <v>303</v>
      </c>
      <c r="T1675" t="s">
        <v>171</v>
      </c>
      <c r="U1675">
        <v>2060</v>
      </c>
      <c r="V1675" t="s">
        <v>109</v>
      </c>
      <c r="W1675" t="s">
        <v>110</v>
      </c>
      <c r="X1675" t="s">
        <v>304</v>
      </c>
      <c r="Y1675" t="s">
        <v>305</v>
      </c>
      <c r="Z1675" t="s">
        <v>50</v>
      </c>
    </row>
    <row r="1676" spans="1:26" x14ac:dyDescent="0.3">
      <c r="A1676">
        <v>10180</v>
      </c>
      <c r="B1676">
        <v>35</v>
      </c>
      <c r="C1676">
        <v>72.03</v>
      </c>
      <c r="D1676">
        <v>6</v>
      </c>
      <c r="E1676">
        <v>2521.0500000000002</v>
      </c>
      <c r="F1676" s="1">
        <v>37936</v>
      </c>
      <c r="G1676" t="s">
        <v>39</v>
      </c>
      <c r="H1676">
        <v>4</v>
      </c>
      <c r="I1676">
        <v>11</v>
      </c>
      <c r="J1676" t="str">
        <f>TEXT(DATE(2012,Table1[[#This Row],[MONTH_ID]],10),"mmm")</f>
        <v>Nov</v>
      </c>
      <c r="K1676">
        <v>2003</v>
      </c>
      <c r="L1676" t="s">
        <v>40</v>
      </c>
      <c r="M1676">
        <v>69</v>
      </c>
      <c r="N1676" t="s">
        <v>644</v>
      </c>
      <c r="O1676" t="s">
        <v>81</v>
      </c>
      <c r="P1676" t="s">
        <v>82</v>
      </c>
      <c r="Q1676" t="s">
        <v>83</v>
      </c>
      <c r="S1676" t="s">
        <v>84</v>
      </c>
      <c r="U1676">
        <v>59000</v>
      </c>
      <c r="V1676" t="s">
        <v>55</v>
      </c>
      <c r="W1676" t="s">
        <v>56</v>
      </c>
      <c r="X1676" t="s">
        <v>85</v>
      </c>
      <c r="Y1676" t="s">
        <v>86</v>
      </c>
      <c r="Z1676" t="s">
        <v>50</v>
      </c>
    </row>
    <row r="1677" spans="1:26" x14ac:dyDescent="0.3">
      <c r="A1677">
        <v>10190</v>
      </c>
      <c r="B1677">
        <v>42</v>
      </c>
      <c r="C1677">
        <v>76.19</v>
      </c>
      <c r="D1677">
        <v>3</v>
      </c>
      <c r="E1677">
        <v>3199.98</v>
      </c>
      <c r="F1677" s="1">
        <v>37944</v>
      </c>
      <c r="G1677" t="s">
        <v>39</v>
      </c>
      <c r="H1677">
        <v>4</v>
      </c>
      <c r="I1677">
        <v>11</v>
      </c>
      <c r="J1677" t="str">
        <f>TEXT(DATE(2012,Table1[[#This Row],[MONTH_ID]],10),"mmm")</f>
        <v>Nov</v>
      </c>
      <c r="K1677">
        <v>2003</v>
      </c>
      <c r="L1677" t="s">
        <v>40</v>
      </c>
      <c r="M1677">
        <v>69</v>
      </c>
      <c r="N1677" t="s">
        <v>644</v>
      </c>
      <c r="O1677" t="s">
        <v>188</v>
      </c>
      <c r="P1677" t="s">
        <v>189</v>
      </c>
      <c r="Q1677" t="s">
        <v>190</v>
      </c>
      <c r="S1677" t="s">
        <v>191</v>
      </c>
      <c r="U1677">
        <v>28034</v>
      </c>
      <c r="V1677" t="s">
        <v>192</v>
      </c>
      <c r="W1677" t="s">
        <v>56</v>
      </c>
      <c r="X1677" t="s">
        <v>193</v>
      </c>
      <c r="Y1677" t="s">
        <v>194</v>
      </c>
      <c r="Z1677" t="s">
        <v>65</v>
      </c>
    </row>
    <row r="1678" spans="1:26" x14ac:dyDescent="0.3">
      <c r="A1678">
        <v>10211</v>
      </c>
      <c r="B1678">
        <v>21</v>
      </c>
      <c r="C1678">
        <v>63.72</v>
      </c>
      <c r="D1678">
        <v>11</v>
      </c>
      <c r="E1678">
        <v>1338.12</v>
      </c>
      <c r="F1678" s="1">
        <v>38001</v>
      </c>
      <c r="G1678" t="s">
        <v>39</v>
      </c>
      <c r="H1678">
        <v>1</v>
      </c>
      <c r="I1678">
        <v>1</v>
      </c>
      <c r="J1678" t="str">
        <f>TEXT(DATE(2012,Table1[[#This Row],[MONTH_ID]],10),"mmm")</f>
        <v>Jan</v>
      </c>
      <c r="K1678">
        <v>2004</v>
      </c>
      <c r="L1678" t="s">
        <v>40</v>
      </c>
      <c r="M1678">
        <v>69</v>
      </c>
      <c r="N1678" t="s">
        <v>644</v>
      </c>
      <c r="O1678" t="s">
        <v>98</v>
      </c>
      <c r="P1678" t="s">
        <v>99</v>
      </c>
      <c r="Q1678" t="s">
        <v>100</v>
      </c>
      <c r="S1678" t="s">
        <v>62</v>
      </c>
      <c r="U1678">
        <v>75016</v>
      </c>
      <c r="V1678" t="s">
        <v>55</v>
      </c>
      <c r="W1678" t="s">
        <v>56</v>
      </c>
      <c r="X1678" t="s">
        <v>101</v>
      </c>
      <c r="Y1678" t="s">
        <v>102</v>
      </c>
      <c r="Z1678" t="s">
        <v>50</v>
      </c>
    </row>
    <row r="1679" spans="1:26" x14ac:dyDescent="0.3">
      <c r="A1679">
        <v>10224</v>
      </c>
      <c r="B1679">
        <v>37</v>
      </c>
      <c r="C1679">
        <v>80.34</v>
      </c>
      <c r="D1679">
        <v>4</v>
      </c>
      <c r="E1679">
        <v>2972.58</v>
      </c>
      <c r="F1679" s="1">
        <v>38038</v>
      </c>
      <c r="G1679" t="s">
        <v>39</v>
      </c>
      <c r="H1679">
        <v>1</v>
      </c>
      <c r="I1679">
        <v>2</v>
      </c>
      <c r="J1679" t="str">
        <f>TEXT(DATE(2012,Table1[[#This Row],[MONTH_ID]],10),"mmm")</f>
        <v>Feb</v>
      </c>
      <c r="K1679">
        <v>2004</v>
      </c>
      <c r="L1679" t="s">
        <v>40</v>
      </c>
      <c r="M1679">
        <v>69</v>
      </c>
      <c r="N1679" t="s">
        <v>644</v>
      </c>
      <c r="O1679" t="s">
        <v>81</v>
      </c>
      <c r="P1679" t="s">
        <v>82</v>
      </c>
      <c r="Q1679" t="s">
        <v>83</v>
      </c>
      <c r="S1679" t="s">
        <v>84</v>
      </c>
      <c r="U1679">
        <v>59000</v>
      </c>
      <c r="V1679" t="s">
        <v>55</v>
      </c>
      <c r="W1679" t="s">
        <v>56</v>
      </c>
      <c r="X1679" t="s">
        <v>85</v>
      </c>
      <c r="Y1679" t="s">
        <v>86</v>
      </c>
      <c r="Z1679" t="s">
        <v>50</v>
      </c>
    </row>
    <row r="1680" spans="1:26" x14ac:dyDescent="0.3">
      <c r="A1680">
        <v>10237</v>
      </c>
      <c r="B1680">
        <v>26</v>
      </c>
      <c r="C1680">
        <v>79.650000000000006</v>
      </c>
      <c r="D1680">
        <v>4</v>
      </c>
      <c r="E1680">
        <v>2070.9</v>
      </c>
      <c r="F1680" s="1">
        <v>38082</v>
      </c>
      <c r="G1680" t="s">
        <v>39</v>
      </c>
      <c r="H1680">
        <v>2</v>
      </c>
      <c r="I1680">
        <v>4</v>
      </c>
      <c r="J1680" t="str">
        <f>TEXT(DATE(2012,Table1[[#This Row],[MONTH_ID]],10),"mmm")</f>
        <v>Apr</v>
      </c>
      <c r="K1680">
        <v>2004</v>
      </c>
      <c r="L1680" t="s">
        <v>40</v>
      </c>
      <c r="M1680">
        <v>69</v>
      </c>
      <c r="N1680" t="s">
        <v>644</v>
      </c>
      <c r="O1680" t="s">
        <v>113</v>
      </c>
      <c r="P1680">
        <v>2125551500</v>
      </c>
      <c r="Q1680" t="s">
        <v>114</v>
      </c>
      <c r="R1680" t="s">
        <v>115</v>
      </c>
      <c r="S1680" t="s">
        <v>44</v>
      </c>
      <c r="T1680" t="s">
        <v>45</v>
      </c>
      <c r="U1680">
        <v>10022</v>
      </c>
      <c r="V1680" t="s">
        <v>46</v>
      </c>
      <c r="W1680" t="s">
        <v>47</v>
      </c>
      <c r="X1680" t="s">
        <v>116</v>
      </c>
      <c r="Y1680" t="s">
        <v>117</v>
      </c>
      <c r="Z1680" t="s">
        <v>50</v>
      </c>
    </row>
    <row r="1681" spans="1:26" x14ac:dyDescent="0.3">
      <c r="A1681">
        <v>10252</v>
      </c>
      <c r="B1681">
        <v>47</v>
      </c>
      <c r="C1681">
        <v>65.8</v>
      </c>
      <c r="D1681">
        <v>8</v>
      </c>
      <c r="E1681">
        <v>3092.6</v>
      </c>
      <c r="F1681" s="1">
        <v>38133</v>
      </c>
      <c r="G1681" t="s">
        <v>39</v>
      </c>
      <c r="H1681">
        <v>2</v>
      </c>
      <c r="I1681">
        <v>5</v>
      </c>
      <c r="J1681" t="str">
        <f>TEXT(DATE(2012,Table1[[#This Row],[MONTH_ID]],10),"mmm")</f>
        <v>May</v>
      </c>
      <c r="K1681">
        <v>2004</v>
      </c>
      <c r="L1681" t="s">
        <v>40</v>
      </c>
      <c r="M1681">
        <v>69</v>
      </c>
      <c r="N1681" t="s">
        <v>644</v>
      </c>
      <c r="O1681" t="s">
        <v>98</v>
      </c>
      <c r="P1681" t="s">
        <v>99</v>
      </c>
      <c r="Q1681" t="s">
        <v>100</v>
      </c>
      <c r="S1681" t="s">
        <v>62</v>
      </c>
      <c r="U1681">
        <v>75016</v>
      </c>
      <c r="V1681" t="s">
        <v>55</v>
      </c>
      <c r="W1681" t="s">
        <v>56</v>
      </c>
      <c r="X1681" t="s">
        <v>101</v>
      </c>
      <c r="Y1681" t="s">
        <v>102</v>
      </c>
      <c r="Z1681" t="s">
        <v>65</v>
      </c>
    </row>
    <row r="1682" spans="1:26" x14ac:dyDescent="0.3">
      <c r="A1682">
        <v>10264</v>
      </c>
      <c r="B1682">
        <v>37</v>
      </c>
      <c r="C1682">
        <v>65.099999999999994</v>
      </c>
      <c r="D1682">
        <v>6</v>
      </c>
      <c r="E1682">
        <v>2408.6999999999998</v>
      </c>
      <c r="F1682" s="1">
        <v>38168</v>
      </c>
      <c r="G1682" t="s">
        <v>39</v>
      </c>
      <c r="H1682">
        <v>2</v>
      </c>
      <c r="I1682">
        <v>6</v>
      </c>
      <c r="J1682" t="str">
        <f>TEXT(DATE(2012,Table1[[#This Row],[MONTH_ID]],10),"mmm")</f>
        <v>Jun</v>
      </c>
      <c r="K1682">
        <v>2004</v>
      </c>
      <c r="L1682" t="s">
        <v>40</v>
      </c>
      <c r="M1682">
        <v>69</v>
      </c>
      <c r="N1682" t="s">
        <v>644</v>
      </c>
      <c r="O1682" t="s">
        <v>393</v>
      </c>
      <c r="P1682">
        <v>6175559555</v>
      </c>
      <c r="Q1682" t="s">
        <v>394</v>
      </c>
      <c r="S1682" t="s">
        <v>395</v>
      </c>
      <c r="T1682" t="s">
        <v>137</v>
      </c>
      <c r="U1682">
        <v>51003</v>
      </c>
      <c r="V1682" t="s">
        <v>46</v>
      </c>
      <c r="W1682" t="s">
        <v>47</v>
      </c>
      <c r="X1682" t="s">
        <v>396</v>
      </c>
      <c r="Y1682" t="s">
        <v>80</v>
      </c>
      <c r="Z1682" t="s">
        <v>50</v>
      </c>
    </row>
    <row r="1683" spans="1:26" x14ac:dyDescent="0.3">
      <c r="A1683">
        <v>10276</v>
      </c>
      <c r="B1683">
        <v>46</v>
      </c>
      <c r="C1683">
        <v>75.489999999999995</v>
      </c>
      <c r="D1683">
        <v>12</v>
      </c>
      <c r="E1683">
        <v>3472.54</v>
      </c>
      <c r="F1683" s="1">
        <v>38201</v>
      </c>
      <c r="G1683" t="s">
        <v>39</v>
      </c>
      <c r="H1683">
        <v>3</v>
      </c>
      <c r="I1683">
        <v>8</v>
      </c>
      <c r="J1683" t="str">
        <f>TEXT(DATE(2012,Table1[[#This Row],[MONTH_ID]],10),"mmm")</f>
        <v>Aug</v>
      </c>
      <c r="K1683">
        <v>2004</v>
      </c>
      <c r="L1683" t="s">
        <v>40</v>
      </c>
      <c r="M1683">
        <v>69</v>
      </c>
      <c r="N1683" t="s">
        <v>644</v>
      </c>
      <c r="O1683" t="s">
        <v>472</v>
      </c>
      <c r="P1683">
        <v>6175557555</v>
      </c>
      <c r="Q1683" t="s">
        <v>473</v>
      </c>
      <c r="S1683" t="s">
        <v>297</v>
      </c>
      <c r="T1683" t="s">
        <v>137</v>
      </c>
      <c r="U1683">
        <v>58339</v>
      </c>
      <c r="V1683" t="s">
        <v>46</v>
      </c>
      <c r="W1683" t="s">
        <v>47</v>
      </c>
      <c r="X1683" t="s">
        <v>474</v>
      </c>
      <c r="Y1683" t="s">
        <v>475</v>
      </c>
      <c r="Z1683" t="s">
        <v>65</v>
      </c>
    </row>
    <row r="1684" spans="1:26" x14ac:dyDescent="0.3">
      <c r="A1684">
        <v>10285</v>
      </c>
      <c r="B1684">
        <v>38</v>
      </c>
      <c r="C1684">
        <v>59.56</v>
      </c>
      <c r="D1684">
        <v>3</v>
      </c>
      <c r="E1684">
        <v>2263.2800000000002</v>
      </c>
      <c r="F1684" s="1">
        <v>38226</v>
      </c>
      <c r="G1684" t="s">
        <v>39</v>
      </c>
      <c r="H1684">
        <v>3</v>
      </c>
      <c r="I1684">
        <v>8</v>
      </c>
      <c r="J1684" t="str">
        <f>TEXT(DATE(2012,Table1[[#This Row],[MONTH_ID]],10),"mmm")</f>
        <v>Aug</v>
      </c>
      <c r="K1684">
        <v>2004</v>
      </c>
      <c r="L1684" t="s">
        <v>40</v>
      </c>
      <c r="M1684">
        <v>69</v>
      </c>
      <c r="N1684" t="s">
        <v>644</v>
      </c>
      <c r="O1684" t="s">
        <v>134</v>
      </c>
      <c r="P1684">
        <v>6175558555</v>
      </c>
      <c r="Q1684" t="s">
        <v>135</v>
      </c>
      <c r="S1684" t="s">
        <v>136</v>
      </c>
      <c r="T1684" t="s">
        <v>137</v>
      </c>
      <c r="U1684">
        <v>51247</v>
      </c>
      <c r="V1684" t="s">
        <v>46</v>
      </c>
      <c r="W1684" t="s">
        <v>47</v>
      </c>
      <c r="X1684" t="s">
        <v>138</v>
      </c>
      <c r="Y1684" t="s">
        <v>139</v>
      </c>
      <c r="Z1684" t="s">
        <v>50</v>
      </c>
    </row>
    <row r="1685" spans="1:26" x14ac:dyDescent="0.3">
      <c r="A1685">
        <v>10299</v>
      </c>
      <c r="B1685">
        <v>33</v>
      </c>
      <c r="C1685">
        <v>66.489999999999995</v>
      </c>
      <c r="D1685">
        <v>6</v>
      </c>
      <c r="E1685">
        <v>2194.17</v>
      </c>
      <c r="F1685" s="1">
        <v>38260</v>
      </c>
      <c r="G1685" t="s">
        <v>39</v>
      </c>
      <c r="H1685">
        <v>3</v>
      </c>
      <c r="I1685">
        <v>9</v>
      </c>
      <c r="J1685" t="str">
        <f>TEXT(DATE(2012,Table1[[#This Row],[MONTH_ID]],10),"mmm")</f>
        <v>Sep</v>
      </c>
      <c r="K1685">
        <v>2004</v>
      </c>
      <c r="L1685" t="s">
        <v>40</v>
      </c>
      <c r="M1685">
        <v>69</v>
      </c>
      <c r="N1685" t="s">
        <v>644</v>
      </c>
      <c r="O1685" t="s">
        <v>140</v>
      </c>
      <c r="P1685" t="s">
        <v>141</v>
      </c>
      <c r="Q1685" t="s">
        <v>142</v>
      </c>
      <c r="S1685" t="s">
        <v>143</v>
      </c>
      <c r="U1685">
        <v>21240</v>
      </c>
      <c r="V1685" t="s">
        <v>144</v>
      </c>
      <c r="W1685" t="s">
        <v>56</v>
      </c>
      <c r="X1685" t="s">
        <v>145</v>
      </c>
      <c r="Y1685" t="s">
        <v>146</v>
      </c>
      <c r="Z1685" t="s">
        <v>50</v>
      </c>
    </row>
    <row r="1686" spans="1:26" x14ac:dyDescent="0.3">
      <c r="A1686">
        <v>10309</v>
      </c>
      <c r="B1686">
        <v>24</v>
      </c>
      <c r="C1686">
        <v>56.1</v>
      </c>
      <c r="D1686">
        <v>2</v>
      </c>
      <c r="E1686">
        <v>1346.4</v>
      </c>
      <c r="F1686" s="1">
        <v>38275</v>
      </c>
      <c r="G1686" t="s">
        <v>39</v>
      </c>
      <c r="H1686">
        <v>4</v>
      </c>
      <c r="I1686">
        <v>10</v>
      </c>
      <c r="J1686" t="str">
        <f>TEXT(DATE(2012,Table1[[#This Row],[MONTH_ID]],10),"mmm")</f>
        <v>Oct</v>
      </c>
      <c r="K1686">
        <v>2004</v>
      </c>
      <c r="L1686" t="s">
        <v>40</v>
      </c>
      <c r="M1686">
        <v>69</v>
      </c>
      <c r="N1686" t="s">
        <v>644</v>
      </c>
      <c r="O1686" t="s">
        <v>147</v>
      </c>
      <c r="P1686" t="s">
        <v>148</v>
      </c>
      <c r="Q1686" t="s">
        <v>149</v>
      </c>
      <c r="S1686" t="s">
        <v>150</v>
      </c>
      <c r="U1686">
        <v>4110</v>
      </c>
      <c r="V1686" t="s">
        <v>92</v>
      </c>
      <c r="W1686" t="s">
        <v>56</v>
      </c>
      <c r="X1686" t="s">
        <v>151</v>
      </c>
      <c r="Y1686" t="s">
        <v>152</v>
      </c>
      <c r="Z1686" t="s">
        <v>50</v>
      </c>
    </row>
    <row r="1687" spans="1:26" x14ac:dyDescent="0.3">
      <c r="A1687">
        <v>10319</v>
      </c>
      <c r="B1687">
        <v>31</v>
      </c>
      <c r="C1687">
        <v>81.73</v>
      </c>
      <c r="D1687">
        <v>7</v>
      </c>
      <c r="E1687">
        <v>2533.63</v>
      </c>
      <c r="F1687" s="1">
        <v>38294</v>
      </c>
      <c r="G1687" t="s">
        <v>39</v>
      </c>
      <c r="H1687">
        <v>4</v>
      </c>
      <c r="I1687">
        <v>11</v>
      </c>
      <c r="J1687" t="str">
        <f>TEXT(DATE(2012,Table1[[#This Row],[MONTH_ID]],10),"mmm")</f>
        <v>Nov</v>
      </c>
      <c r="K1687">
        <v>2004</v>
      </c>
      <c r="L1687" t="s">
        <v>40</v>
      </c>
      <c r="M1687">
        <v>69</v>
      </c>
      <c r="N1687" t="s">
        <v>644</v>
      </c>
      <c r="O1687" t="s">
        <v>521</v>
      </c>
      <c r="P1687">
        <v>2125551957</v>
      </c>
      <c r="Q1687" t="s">
        <v>522</v>
      </c>
      <c r="R1687" t="s">
        <v>523</v>
      </c>
      <c r="S1687" t="s">
        <v>44</v>
      </c>
      <c r="T1687" t="s">
        <v>45</v>
      </c>
      <c r="U1687">
        <v>10022</v>
      </c>
      <c r="V1687" t="s">
        <v>46</v>
      </c>
      <c r="W1687" t="s">
        <v>47</v>
      </c>
      <c r="X1687" t="s">
        <v>524</v>
      </c>
      <c r="Y1687" t="s">
        <v>525</v>
      </c>
      <c r="Z1687" t="s">
        <v>50</v>
      </c>
    </row>
    <row r="1688" spans="1:26" x14ac:dyDescent="0.3">
      <c r="A1688">
        <v>10330</v>
      </c>
      <c r="B1688">
        <v>42</v>
      </c>
      <c r="C1688">
        <v>81.03</v>
      </c>
      <c r="D1688">
        <v>1</v>
      </c>
      <c r="E1688">
        <v>3403.26</v>
      </c>
      <c r="F1688" s="1">
        <v>38307</v>
      </c>
      <c r="G1688" t="s">
        <v>39</v>
      </c>
      <c r="H1688">
        <v>4</v>
      </c>
      <c r="I1688">
        <v>11</v>
      </c>
      <c r="J1688" t="str">
        <f>TEXT(DATE(2012,Table1[[#This Row],[MONTH_ID]],10),"mmm")</f>
        <v>Nov</v>
      </c>
      <c r="K1688">
        <v>2004</v>
      </c>
      <c r="L1688" t="s">
        <v>40</v>
      </c>
      <c r="M1688">
        <v>69</v>
      </c>
      <c r="N1688" t="s">
        <v>644</v>
      </c>
      <c r="O1688" t="s">
        <v>439</v>
      </c>
      <c r="P1688" t="s">
        <v>440</v>
      </c>
      <c r="Q1688" t="s">
        <v>441</v>
      </c>
      <c r="S1688" t="s">
        <v>442</v>
      </c>
      <c r="U1688" t="s">
        <v>443</v>
      </c>
      <c r="V1688" t="s">
        <v>444</v>
      </c>
      <c r="W1688" t="s">
        <v>214</v>
      </c>
      <c r="X1688" t="s">
        <v>445</v>
      </c>
      <c r="Y1688" t="s">
        <v>446</v>
      </c>
      <c r="Z1688" t="s">
        <v>65</v>
      </c>
    </row>
    <row r="1689" spans="1:26" x14ac:dyDescent="0.3">
      <c r="A1689">
        <v>10341</v>
      </c>
      <c r="B1689">
        <v>32</v>
      </c>
      <c r="C1689">
        <v>100</v>
      </c>
      <c r="D1689">
        <v>6</v>
      </c>
      <c r="E1689">
        <v>3307.2</v>
      </c>
      <c r="F1689" s="1">
        <v>38315</v>
      </c>
      <c r="G1689" t="s">
        <v>39</v>
      </c>
      <c r="H1689">
        <v>4</v>
      </c>
      <c r="I1689">
        <v>11</v>
      </c>
      <c r="J1689" t="str">
        <f>TEXT(DATE(2012,Table1[[#This Row],[MONTH_ID]],10),"mmm")</f>
        <v>Nov</v>
      </c>
      <c r="K1689">
        <v>2004</v>
      </c>
      <c r="L1689" t="s">
        <v>40</v>
      </c>
      <c r="M1689">
        <v>69</v>
      </c>
      <c r="N1689" t="s">
        <v>644</v>
      </c>
      <c r="O1689" t="s">
        <v>158</v>
      </c>
      <c r="P1689" t="s">
        <v>159</v>
      </c>
      <c r="Q1689" t="s">
        <v>160</v>
      </c>
      <c r="S1689" t="s">
        <v>161</v>
      </c>
      <c r="U1689">
        <v>5020</v>
      </c>
      <c r="V1689" t="s">
        <v>162</v>
      </c>
      <c r="W1689" t="s">
        <v>56</v>
      </c>
      <c r="X1689" t="s">
        <v>163</v>
      </c>
      <c r="Y1689" t="s">
        <v>164</v>
      </c>
      <c r="Z1689" t="s">
        <v>65</v>
      </c>
    </row>
    <row r="1690" spans="1:26" x14ac:dyDescent="0.3">
      <c r="A1690">
        <v>10355</v>
      </c>
      <c r="B1690">
        <v>41</v>
      </c>
      <c r="C1690">
        <v>70.650000000000006</v>
      </c>
      <c r="D1690">
        <v>3</v>
      </c>
      <c r="E1690">
        <v>2896.65</v>
      </c>
      <c r="F1690" s="1">
        <v>38328</v>
      </c>
      <c r="G1690" t="s">
        <v>39</v>
      </c>
      <c r="H1690">
        <v>4</v>
      </c>
      <c r="I1690">
        <v>12</v>
      </c>
      <c r="J1690" t="str">
        <f>TEXT(DATE(2012,Table1[[#This Row],[MONTH_ID]],10),"mmm")</f>
        <v>Dec</v>
      </c>
      <c r="K1690">
        <v>2004</v>
      </c>
      <c r="L1690" t="s">
        <v>40</v>
      </c>
      <c r="M1690">
        <v>69</v>
      </c>
      <c r="N1690" t="s">
        <v>644</v>
      </c>
      <c r="O1690" t="s">
        <v>188</v>
      </c>
      <c r="P1690" t="s">
        <v>189</v>
      </c>
      <c r="Q1690" t="s">
        <v>190</v>
      </c>
      <c r="S1690" t="s">
        <v>191</v>
      </c>
      <c r="U1690">
        <v>28034</v>
      </c>
      <c r="V1690" t="s">
        <v>192</v>
      </c>
      <c r="W1690" t="s">
        <v>56</v>
      </c>
      <c r="X1690" t="s">
        <v>193</v>
      </c>
      <c r="Y1690" t="s">
        <v>194</v>
      </c>
      <c r="Z1690" t="s">
        <v>50</v>
      </c>
    </row>
    <row r="1691" spans="1:26" x14ac:dyDescent="0.3">
      <c r="A1691">
        <v>10363</v>
      </c>
      <c r="B1691">
        <v>43</v>
      </c>
      <c r="C1691">
        <v>61.23</v>
      </c>
      <c r="D1691">
        <v>14</v>
      </c>
      <c r="E1691">
        <v>2632.89</v>
      </c>
      <c r="F1691" s="1">
        <v>38358</v>
      </c>
      <c r="G1691" t="s">
        <v>39</v>
      </c>
      <c r="H1691">
        <v>1</v>
      </c>
      <c r="I1691">
        <v>1</v>
      </c>
      <c r="J1691" t="str">
        <f>TEXT(DATE(2012,Table1[[#This Row],[MONTH_ID]],10),"mmm")</f>
        <v>Jan</v>
      </c>
      <c r="K1691">
        <v>2005</v>
      </c>
      <c r="L1691" t="s">
        <v>40</v>
      </c>
      <c r="M1691">
        <v>69</v>
      </c>
      <c r="N1691" t="s">
        <v>644</v>
      </c>
      <c r="O1691" t="s">
        <v>481</v>
      </c>
      <c r="P1691" t="s">
        <v>482</v>
      </c>
      <c r="Q1691" t="s">
        <v>483</v>
      </c>
      <c r="S1691" t="s">
        <v>484</v>
      </c>
      <c r="U1691" t="s">
        <v>485</v>
      </c>
      <c r="V1691" t="s">
        <v>144</v>
      </c>
      <c r="W1691" t="s">
        <v>56</v>
      </c>
      <c r="X1691" t="s">
        <v>486</v>
      </c>
      <c r="Y1691" t="s">
        <v>487</v>
      </c>
      <c r="Z1691" t="s">
        <v>50</v>
      </c>
    </row>
    <row r="1692" spans="1:26" x14ac:dyDescent="0.3">
      <c r="A1692">
        <v>10375</v>
      </c>
      <c r="B1692">
        <v>20</v>
      </c>
      <c r="C1692">
        <v>100</v>
      </c>
      <c r="D1692">
        <v>14</v>
      </c>
      <c r="E1692">
        <v>2046</v>
      </c>
      <c r="F1692" s="1">
        <v>38386</v>
      </c>
      <c r="G1692" t="s">
        <v>39</v>
      </c>
      <c r="H1692">
        <v>1</v>
      </c>
      <c r="I1692">
        <v>2</v>
      </c>
      <c r="J1692" t="str">
        <f>TEXT(DATE(2012,Table1[[#This Row],[MONTH_ID]],10),"mmm")</f>
        <v>Feb</v>
      </c>
      <c r="K1692">
        <v>2005</v>
      </c>
      <c r="L1692" t="s">
        <v>40</v>
      </c>
      <c r="M1692">
        <v>69</v>
      </c>
      <c r="N1692" t="s">
        <v>644</v>
      </c>
      <c r="O1692" t="s">
        <v>128</v>
      </c>
      <c r="P1692" t="s">
        <v>129</v>
      </c>
      <c r="Q1692" t="s">
        <v>130</v>
      </c>
      <c r="S1692" t="s">
        <v>131</v>
      </c>
      <c r="U1692">
        <v>44000</v>
      </c>
      <c r="V1692" t="s">
        <v>55</v>
      </c>
      <c r="W1692" t="s">
        <v>56</v>
      </c>
      <c r="X1692" t="s">
        <v>132</v>
      </c>
      <c r="Y1692" t="s">
        <v>133</v>
      </c>
      <c r="Z1692" t="s">
        <v>50</v>
      </c>
    </row>
    <row r="1693" spans="1:26" x14ac:dyDescent="0.3">
      <c r="A1693">
        <v>10390</v>
      </c>
      <c r="B1693">
        <v>35</v>
      </c>
      <c r="C1693">
        <v>65.13</v>
      </c>
      <c r="D1693">
        <v>4</v>
      </c>
      <c r="E1693">
        <v>2279.5500000000002</v>
      </c>
      <c r="F1693" s="1">
        <v>38415</v>
      </c>
      <c r="G1693" t="s">
        <v>39</v>
      </c>
      <c r="H1693">
        <v>1</v>
      </c>
      <c r="I1693">
        <v>3</v>
      </c>
      <c r="J1693" t="str">
        <f>TEXT(DATE(2012,Table1[[#This Row],[MONTH_ID]],10),"mmm")</f>
        <v>Mar</v>
      </c>
      <c r="K1693">
        <v>2005</v>
      </c>
      <c r="L1693" t="s">
        <v>40</v>
      </c>
      <c r="M1693">
        <v>69</v>
      </c>
      <c r="N1693" t="s">
        <v>644</v>
      </c>
      <c r="O1693" t="s">
        <v>286</v>
      </c>
      <c r="P1693">
        <v>4155551450</v>
      </c>
      <c r="Q1693" t="s">
        <v>287</v>
      </c>
      <c r="S1693" t="s">
        <v>288</v>
      </c>
      <c r="T1693" t="s">
        <v>69</v>
      </c>
      <c r="U1693">
        <v>97562</v>
      </c>
      <c r="V1693" t="s">
        <v>46</v>
      </c>
      <c r="W1693" t="s">
        <v>47</v>
      </c>
      <c r="X1693" t="s">
        <v>289</v>
      </c>
      <c r="Y1693" t="s">
        <v>290</v>
      </c>
      <c r="Z1693" t="s">
        <v>50</v>
      </c>
    </row>
    <row r="1694" spans="1:26" x14ac:dyDescent="0.3">
      <c r="A1694">
        <v>10403</v>
      </c>
      <c r="B1694">
        <v>27</v>
      </c>
      <c r="C1694">
        <v>79.650000000000006</v>
      </c>
      <c r="D1694">
        <v>4</v>
      </c>
      <c r="E1694">
        <v>2150.5500000000002</v>
      </c>
      <c r="F1694" s="1">
        <v>38450</v>
      </c>
      <c r="G1694" t="s">
        <v>39</v>
      </c>
      <c r="H1694">
        <v>2</v>
      </c>
      <c r="I1694">
        <v>4</v>
      </c>
      <c r="J1694" t="str">
        <f>TEXT(DATE(2012,Table1[[#This Row],[MONTH_ID]],10),"mmm")</f>
        <v>Apr</v>
      </c>
      <c r="K1694">
        <v>2005</v>
      </c>
      <c r="L1694" t="s">
        <v>40</v>
      </c>
      <c r="M1694">
        <v>69</v>
      </c>
      <c r="N1694" t="s">
        <v>644</v>
      </c>
      <c r="O1694" t="s">
        <v>179</v>
      </c>
      <c r="P1694" t="s">
        <v>180</v>
      </c>
      <c r="Q1694" t="s">
        <v>181</v>
      </c>
      <c r="S1694" t="s">
        <v>182</v>
      </c>
      <c r="U1694" t="s">
        <v>183</v>
      </c>
      <c r="V1694" t="s">
        <v>184</v>
      </c>
      <c r="W1694" t="s">
        <v>56</v>
      </c>
      <c r="X1694" t="s">
        <v>185</v>
      </c>
      <c r="Y1694" t="s">
        <v>186</v>
      </c>
      <c r="Z1694" t="s">
        <v>50</v>
      </c>
    </row>
    <row r="1695" spans="1:26" x14ac:dyDescent="0.3">
      <c r="A1695">
        <v>10110</v>
      </c>
      <c r="B1695">
        <v>43</v>
      </c>
      <c r="C1695">
        <v>78.150000000000006</v>
      </c>
      <c r="D1695">
        <v>11</v>
      </c>
      <c r="E1695">
        <v>3360.45</v>
      </c>
      <c r="F1695" s="1">
        <v>37698</v>
      </c>
      <c r="G1695" t="s">
        <v>39</v>
      </c>
      <c r="H1695">
        <v>1</v>
      </c>
      <c r="I1695">
        <v>3</v>
      </c>
      <c r="J1695" t="str">
        <f>TEXT(DATE(2012,Table1[[#This Row],[MONTH_ID]],10),"mmm")</f>
        <v>Mar</v>
      </c>
      <c r="K1695">
        <v>2003</v>
      </c>
      <c r="L1695" t="s">
        <v>195</v>
      </c>
      <c r="M1695">
        <v>90</v>
      </c>
      <c r="N1695" t="s">
        <v>645</v>
      </c>
      <c r="O1695" t="s">
        <v>506</v>
      </c>
      <c r="P1695" t="s">
        <v>507</v>
      </c>
      <c r="Q1695" t="s">
        <v>508</v>
      </c>
      <c r="S1695" t="s">
        <v>509</v>
      </c>
      <c r="U1695" t="s">
        <v>510</v>
      </c>
      <c r="V1695" t="s">
        <v>184</v>
      </c>
      <c r="W1695" t="s">
        <v>56</v>
      </c>
      <c r="X1695" t="s">
        <v>511</v>
      </c>
      <c r="Y1695" t="s">
        <v>108</v>
      </c>
      <c r="Z1695" t="s">
        <v>65</v>
      </c>
    </row>
    <row r="1696" spans="1:26" x14ac:dyDescent="0.3">
      <c r="A1696">
        <v>10124</v>
      </c>
      <c r="B1696">
        <v>32</v>
      </c>
      <c r="C1696">
        <v>72.7</v>
      </c>
      <c r="D1696">
        <v>10</v>
      </c>
      <c r="E1696">
        <v>2326.4</v>
      </c>
      <c r="F1696" s="1">
        <v>37762</v>
      </c>
      <c r="G1696" t="s">
        <v>39</v>
      </c>
      <c r="H1696">
        <v>2</v>
      </c>
      <c r="I1696">
        <v>5</v>
      </c>
      <c r="J1696" t="str">
        <f>TEXT(DATE(2012,Table1[[#This Row],[MONTH_ID]],10),"mmm")</f>
        <v>May</v>
      </c>
      <c r="K1696">
        <v>2003</v>
      </c>
      <c r="L1696" t="s">
        <v>195</v>
      </c>
      <c r="M1696">
        <v>90</v>
      </c>
      <c r="N1696" t="s">
        <v>645</v>
      </c>
      <c r="O1696" t="s">
        <v>553</v>
      </c>
      <c r="P1696">
        <v>7025551838</v>
      </c>
      <c r="Q1696" t="s">
        <v>554</v>
      </c>
      <c r="S1696" t="s">
        <v>555</v>
      </c>
      <c r="T1696" t="s">
        <v>556</v>
      </c>
      <c r="U1696">
        <v>83030</v>
      </c>
      <c r="V1696" t="s">
        <v>46</v>
      </c>
      <c r="W1696" t="s">
        <v>47</v>
      </c>
      <c r="X1696" t="s">
        <v>127</v>
      </c>
      <c r="Y1696" t="s">
        <v>414</v>
      </c>
      <c r="Z1696" t="s">
        <v>50</v>
      </c>
    </row>
    <row r="1697" spans="1:26" x14ac:dyDescent="0.3">
      <c r="A1697">
        <v>10148</v>
      </c>
      <c r="B1697">
        <v>21</v>
      </c>
      <c r="C1697">
        <v>73.599999999999994</v>
      </c>
      <c r="D1697">
        <v>4</v>
      </c>
      <c r="E1697">
        <v>1545.6</v>
      </c>
      <c r="F1697" s="1">
        <v>37875</v>
      </c>
      <c r="G1697" t="s">
        <v>39</v>
      </c>
      <c r="H1697">
        <v>3</v>
      </c>
      <c r="I1697">
        <v>9</v>
      </c>
      <c r="J1697" t="str">
        <f>TEXT(DATE(2012,Table1[[#This Row],[MONTH_ID]],10),"mmm")</f>
        <v>Sep</v>
      </c>
      <c r="K1697">
        <v>2003</v>
      </c>
      <c r="L1697" t="s">
        <v>195</v>
      </c>
      <c r="M1697">
        <v>90</v>
      </c>
      <c r="N1697" t="s">
        <v>645</v>
      </c>
      <c r="O1697" t="s">
        <v>299</v>
      </c>
      <c r="P1697" t="s">
        <v>300</v>
      </c>
      <c r="Q1697" t="s">
        <v>301</v>
      </c>
      <c r="R1697" t="s">
        <v>302</v>
      </c>
      <c r="S1697" t="s">
        <v>303</v>
      </c>
      <c r="T1697" t="s">
        <v>171</v>
      </c>
      <c r="U1697">
        <v>2060</v>
      </c>
      <c r="V1697" t="s">
        <v>109</v>
      </c>
      <c r="W1697" t="s">
        <v>110</v>
      </c>
      <c r="X1697" t="s">
        <v>304</v>
      </c>
      <c r="Y1697" t="s">
        <v>305</v>
      </c>
      <c r="Z1697" t="s">
        <v>50</v>
      </c>
    </row>
    <row r="1698" spans="1:26" x14ac:dyDescent="0.3">
      <c r="A1698">
        <v>10161</v>
      </c>
      <c r="B1698">
        <v>20</v>
      </c>
      <c r="C1698">
        <v>100</v>
      </c>
      <c r="D1698">
        <v>3</v>
      </c>
      <c r="E1698">
        <v>2144.6</v>
      </c>
      <c r="F1698" s="1">
        <v>37911</v>
      </c>
      <c r="G1698" t="s">
        <v>39</v>
      </c>
      <c r="H1698">
        <v>4</v>
      </c>
      <c r="I1698">
        <v>10</v>
      </c>
      <c r="J1698" t="str">
        <f>TEXT(DATE(2012,Table1[[#This Row],[MONTH_ID]],10),"mmm")</f>
        <v>Oct</v>
      </c>
      <c r="K1698">
        <v>2003</v>
      </c>
      <c r="L1698" t="s">
        <v>195</v>
      </c>
      <c r="M1698">
        <v>90</v>
      </c>
      <c r="N1698" t="s">
        <v>645</v>
      </c>
      <c r="O1698" t="s">
        <v>512</v>
      </c>
      <c r="P1698" t="s">
        <v>513</v>
      </c>
      <c r="Q1698" t="s">
        <v>514</v>
      </c>
      <c r="S1698" t="s">
        <v>515</v>
      </c>
      <c r="U1698">
        <v>8200</v>
      </c>
      <c r="V1698" t="s">
        <v>340</v>
      </c>
      <c r="W1698" t="s">
        <v>56</v>
      </c>
      <c r="X1698" t="s">
        <v>516</v>
      </c>
      <c r="Y1698" t="s">
        <v>517</v>
      </c>
      <c r="Z1698" t="s">
        <v>50</v>
      </c>
    </row>
    <row r="1699" spans="1:26" x14ac:dyDescent="0.3">
      <c r="A1699">
        <v>10172</v>
      </c>
      <c r="B1699">
        <v>22</v>
      </c>
      <c r="C1699">
        <v>74.510000000000005</v>
      </c>
      <c r="D1699">
        <v>1</v>
      </c>
      <c r="E1699">
        <v>1639.22</v>
      </c>
      <c r="F1699" s="1">
        <v>37930</v>
      </c>
      <c r="G1699" t="s">
        <v>39</v>
      </c>
      <c r="H1699">
        <v>4</v>
      </c>
      <c r="I1699">
        <v>11</v>
      </c>
      <c r="J1699" t="str">
        <f>TEXT(DATE(2012,Table1[[#This Row],[MONTH_ID]],10),"mmm")</f>
        <v>Nov</v>
      </c>
      <c r="K1699">
        <v>2003</v>
      </c>
      <c r="L1699" t="s">
        <v>195</v>
      </c>
      <c r="M1699">
        <v>90</v>
      </c>
      <c r="N1699" t="s">
        <v>645</v>
      </c>
      <c r="O1699" t="s">
        <v>123</v>
      </c>
      <c r="P1699">
        <v>2035552570</v>
      </c>
      <c r="Q1699" t="s">
        <v>124</v>
      </c>
      <c r="S1699" t="s">
        <v>125</v>
      </c>
      <c r="T1699" t="s">
        <v>126</v>
      </c>
      <c r="U1699">
        <v>97562</v>
      </c>
      <c r="V1699" t="s">
        <v>46</v>
      </c>
      <c r="W1699" t="s">
        <v>47</v>
      </c>
      <c r="X1699" t="s">
        <v>127</v>
      </c>
      <c r="Y1699" t="s">
        <v>71</v>
      </c>
      <c r="Z1699" t="s">
        <v>50</v>
      </c>
    </row>
    <row r="1700" spans="1:26" x14ac:dyDescent="0.3">
      <c r="A1700">
        <v>10182</v>
      </c>
      <c r="B1700">
        <v>36</v>
      </c>
      <c r="C1700">
        <v>73.599999999999994</v>
      </c>
      <c r="D1700">
        <v>14</v>
      </c>
      <c r="E1700">
        <v>2649.6</v>
      </c>
      <c r="F1700" s="1">
        <v>37937</v>
      </c>
      <c r="G1700" t="s">
        <v>39</v>
      </c>
      <c r="H1700">
        <v>4</v>
      </c>
      <c r="I1700">
        <v>11</v>
      </c>
      <c r="J1700" t="str">
        <f>TEXT(DATE(2012,Table1[[#This Row],[MONTH_ID]],10),"mmm")</f>
        <v>Nov</v>
      </c>
      <c r="K1700">
        <v>2003</v>
      </c>
      <c r="L1700" t="s">
        <v>195</v>
      </c>
      <c r="M1700">
        <v>90</v>
      </c>
      <c r="N1700" t="s">
        <v>645</v>
      </c>
      <c r="O1700" t="s">
        <v>286</v>
      </c>
      <c r="P1700">
        <v>4155551450</v>
      </c>
      <c r="Q1700" t="s">
        <v>287</v>
      </c>
      <c r="S1700" t="s">
        <v>288</v>
      </c>
      <c r="T1700" t="s">
        <v>69</v>
      </c>
      <c r="U1700">
        <v>97562</v>
      </c>
      <c r="V1700" t="s">
        <v>46</v>
      </c>
      <c r="W1700" t="s">
        <v>47</v>
      </c>
      <c r="X1700" t="s">
        <v>289</v>
      </c>
      <c r="Y1700" t="s">
        <v>290</v>
      </c>
      <c r="Z1700" t="s">
        <v>50</v>
      </c>
    </row>
    <row r="1701" spans="1:26" x14ac:dyDescent="0.3">
      <c r="A1701">
        <v>10192</v>
      </c>
      <c r="B1701">
        <v>46</v>
      </c>
      <c r="C1701">
        <v>83.6</v>
      </c>
      <c r="D1701">
        <v>2</v>
      </c>
      <c r="E1701">
        <v>3845.6</v>
      </c>
      <c r="F1701" s="1">
        <v>37945</v>
      </c>
      <c r="G1701" t="s">
        <v>39</v>
      </c>
      <c r="H1701">
        <v>4</v>
      </c>
      <c r="I1701">
        <v>11</v>
      </c>
      <c r="J1701" t="str">
        <f>TEXT(DATE(2012,Table1[[#This Row],[MONTH_ID]],10),"mmm")</f>
        <v>Nov</v>
      </c>
      <c r="K1701">
        <v>2003</v>
      </c>
      <c r="L1701" t="s">
        <v>195</v>
      </c>
      <c r="M1701">
        <v>90</v>
      </c>
      <c r="N1701" t="s">
        <v>645</v>
      </c>
      <c r="O1701" t="s">
        <v>291</v>
      </c>
      <c r="P1701">
        <v>6035558647</v>
      </c>
      <c r="Q1701" t="s">
        <v>292</v>
      </c>
      <c r="S1701" t="s">
        <v>293</v>
      </c>
      <c r="T1701" t="s">
        <v>294</v>
      </c>
      <c r="U1701">
        <v>62005</v>
      </c>
      <c r="V1701" t="s">
        <v>46</v>
      </c>
      <c r="W1701" t="s">
        <v>47</v>
      </c>
      <c r="X1701" t="s">
        <v>70</v>
      </c>
      <c r="Y1701" t="s">
        <v>290</v>
      </c>
      <c r="Z1701" t="s">
        <v>65</v>
      </c>
    </row>
    <row r="1702" spans="1:26" x14ac:dyDescent="0.3">
      <c r="A1702">
        <v>10204</v>
      </c>
      <c r="B1702">
        <v>47</v>
      </c>
      <c r="C1702">
        <v>96.32</v>
      </c>
      <c r="D1702">
        <v>8</v>
      </c>
      <c r="E1702">
        <v>4527.04</v>
      </c>
      <c r="F1702" s="1">
        <v>37957</v>
      </c>
      <c r="G1702" t="s">
        <v>39</v>
      </c>
      <c r="H1702">
        <v>4</v>
      </c>
      <c r="I1702">
        <v>12</v>
      </c>
      <c r="J1702" t="str">
        <f>TEXT(DATE(2012,Table1[[#This Row],[MONTH_ID]],10),"mmm")</f>
        <v>Dec</v>
      </c>
      <c r="K1702">
        <v>2003</v>
      </c>
      <c r="L1702" t="s">
        <v>195</v>
      </c>
      <c r="M1702">
        <v>90</v>
      </c>
      <c r="N1702" t="s">
        <v>645</v>
      </c>
      <c r="O1702" t="s">
        <v>489</v>
      </c>
      <c r="P1702">
        <v>2125557413</v>
      </c>
      <c r="Q1702" t="s">
        <v>490</v>
      </c>
      <c r="R1702" t="s">
        <v>491</v>
      </c>
      <c r="S1702" t="s">
        <v>44</v>
      </c>
      <c r="T1702" t="s">
        <v>45</v>
      </c>
      <c r="U1702">
        <v>10022</v>
      </c>
      <c r="V1702" t="s">
        <v>46</v>
      </c>
      <c r="W1702" t="s">
        <v>47</v>
      </c>
      <c r="X1702" t="s">
        <v>70</v>
      </c>
      <c r="Y1702" t="s">
        <v>492</v>
      </c>
      <c r="Z1702" t="s">
        <v>65</v>
      </c>
    </row>
    <row r="1703" spans="1:26" x14ac:dyDescent="0.3">
      <c r="A1703">
        <v>10212</v>
      </c>
      <c r="B1703">
        <v>45</v>
      </c>
      <c r="C1703">
        <v>88.14</v>
      </c>
      <c r="D1703">
        <v>1</v>
      </c>
      <c r="E1703">
        <v>3966.3</v>
      </c>
      <c r="F1703" s="1">
        <v>38002</v>
      </c>
      <c r="G1703" t="s">
        <v>39</v>
      </c>
      <c r="H1703">
        <v>1</v>
      </c>
      <c r="I1703">
        <v>1</v>
      </c>
      <c r="J1703" t="str">
        <f>TEXT(DATE(2012,Table1[[#This Row],[MONTH_ID]],10),"mmm")</f>
        <v>Jan</v>
      </c>
      <c r="K1703">
        <v>2004</v>
      </c>
      <c r="L1703" t="s">
        <v>195</v>
      </c>
      <c r="M1703">
        <v>90</v>
      </c>
      <c r="N1703" t="s">
        <v>645</v>
      </c>
      <c r="O1703" t="s">
        <v>188</v>
      </c>
      <c r="P1703" t="s">
        <v>189</v>
      </c>
      <c r="Q1703" t="s">
        <v>190</v>
      </c>
      <c r="S1703" t="s">
        <v>191</v>
      </c>
      <c r="U1703">
        <v>28034</v>
      </c>
      <c r="V1703" t="s">
        <v>192</v>
      </c>
      <c r="W1703" t="s">
        <v>56</v>
      </c>
      <c r="X1703" t="s">
        <v>193</v>
      </c>
      <c r="Y1703" t="s">
        <v>194</v>
      </c>
      <c r="Z1703" t="s">
        <v>65</v>
      </c>
    </row>
    <row r="1704" spans="1:26" x14ac:dyDescent="0.3">
      <c r="A1704">
        <v>10227</v>
      </c>
      <c r="B1704">
        <v>47</v>
      </c>
      <c r="C1704">
        <v>88.14</v>
      </c>
      <c r="D1704">
        <v>14</v>
      </c>
      <c r="E1704">
        <v>4142.58</v>
      </c>
      <c r="F1704" s="1">
        <v>38048</v>
      </c>
      <c r="G1704" t="s">
        <v>39</v>
      </c>
      <c r="H1704">
        <v>1</v>
      </c>
      <c r="I1704">
        <v>3</v>
      </c>
      <c r="J1704" t="str">
        <f>TEXT(DATE(2012,Table1[[#This Row],[MONTH_ID]],10),"mmm")</f>
        <v>Mar</v>
      </c>
      <c r="K1704">
        <v>2004</v>
      </c>
      <c r="L1704" t="s">
        <v>195</v>
      </c>
      <c r="M1704">
        <v>90</v>
      </c>
      <c r="N1704" t="s">
        <v>645</v>
      </c>
      <c r="O1704" t="s">
        <v>233</v>
      </c>
      <c r="P1704" t="s">
        <v>234</v>
      </c>
      <c r="Q1704" t="s">
        <v>235</v>
      </c>
      <c r="S1704" t="s">
        <v>236</v>
      </c>
      <c r="U1704">
        <v>69004</v>
      </c>
      <c r="V1704" t="s">
        <v>55</v>
      </c>
      <c r="W1704" t="s">
        <v>56</v>
      </c>
      <c r="X1704" t="s">
        <v>237</v>
      </c>
      <c r="Y1704" t="s">
        <v>238</v>
      </c>
      <c r="Z1704" t="s">
        <v>65</v>
      </c>
    </row>
    <row r="1705" spans="1:26" x14ac:dyDescent="0.3">
      <c r="A1705">
        <v>10241</v>
      </c>
      <c r="B1705">
        <v>47</v>
      </c>
      <c r="C1705">
        <v>94.5</v>
      </c>
      <c r="D1705">
        <v>6</v>
      </c>
      <c r="E1705">
        <v>4441.5</v>
      </c>
      <c r="F1705" s="1">
        <v>38090</v>
      </c>
      <c r="G1705" t="s">
        <v>39</v>
      </c>
      <c r="H1705">
        <v>2</v>
      </c>
      <c r="I1705">
        <v>4</v>
      </c>
      <c r="J1705" t="str">
        <f>TEXT(DATE(2012,Table1[[#This Row],[MONTH_ID]],10),"mmm")</f>
        <v>Apr</v>
      </c>
      <c r="K1705">
        <v>2004</v>
      </c>
      <c r="L1705" t="s">
        <v>195</v>
      </c>
      <c r="M1705">
        <v>90</v>
      </c>
      <c r="N1705" t="s">
        <v>645</v>
      </c>
      <c r="O1705" t="s">
        <v>545</v>
      </c>
      <c r="P1705" t="s">
        <v>546</v>
      </c>
      <c r="Q1705" t="s">
        <v>547</v>
      </c>
      <c r="S1705" t="s">
        <v>548</v>
      </c>
      <c r="U1705">
        <v>67000</v>
      </c>
      <c r="V1705" t="s">
        <v>55</v>
      </c>
      <c r="W1705" t="s">
        <v>56</v>
      </c>
      <c r="X1705" t="s">
        <v>549</v>
      </c>
      <c r="Y1705" t="s">
        <v>550</v>
      </c>
      <c r="Z1705" t="s">
        <v>65</v>
      </c>
    </row>
    <row r="1706" spans="1:26" x14ac:dyDescent="0.3">
      <c r="A1706">
        <v>10267</v>
      </c>
      <c r="B1706">
        <v>38</v>
      </c>
      <c r="C1706">
        <v>87.24</v>
      </c>
      <c r="D1706">
        <v>3</v>
      </c>
      <c r="E1706">
        <v>3315.12</v>
      </c>
      <c r="F1706" s="1">
        <v>38175</v>
      </c>
      <c r="G1706" t="s">
        <v>39</v>
      </c>
      <c r="H1706">
        <v>3</v>
      </c>
      <c r="I1706">
        <v>7</v>
      </c>
      <c r="J1706" t="str">
        <f>TEXT(DATE(2012,Table1[[#This Row],[MONTH_ID]],10),"mmm")</f>
        <v>Jul</v>
      </c>
      <c r="K1706">
        <v>2004</v>
      </c>
      <c r="L1706" t="s">
        <v>195</v>
      </c>
      <c r="M1706">
        <v>90</v>
      </c>
      <c r="N1706" t="s">
        <v>645</v>
      </c>
      <c r="O1706" t="s">
        <v>489</v>
      </c>
      <c r="P1706">
        <v>2125557413</v>
      </c>
      <c r="Q1706" t="s">
        <v>490</v>
      </c>
      <c r="R1706" t="s">
        <v>491</v>
      </c>
      <c r="S1706" t="s">
        <v>44</v>
      </c>
      <c r="T1706" t="s">
        <v>45</v>
      </c>
      <c r="U1706">
        <v>10022</v>
      </c>
      <c r="V1706" t="s">
        <v>46</v>
      </c>
      <c r="W1706" t="s">
        <v>47</v>
      </c>
      <c r="X1706" t="s">
        <v>70</v>
      </c>
      <c r="Y1706" t="s">
        <v>492</v>
      </c>
      <c r="Z1706" t="s">
        <v>65</v>
      </c>
    </row>
    <row r="1707" spans="1:26" x14ac:dyDescent="0.3">
      <c r="A1707">
        <v>10279</v>
      </c>
      <c r="B1707">
        <v>49</v>
      </c>
      <c r="C1707">
        <v>79.97</v>
      </c>
      <c r="D1707">
        <v>3</v>
      </c>
      <c r="E1707">
        <v>3918.53</v>
      </c>
      <c r="F1707" s="1">
        <v>38208</v>
      </c>
      <c r="G1707" t="s">
        <v>39</v>
      </c>
      <c r="H1707">
        <v>3</v>
      </c>
      <c r="I1707">
        <v>8</v>
      </c>
      <c r="J1707" t="str">
        <f>TEXT(DATE(2012,Table1[[#This Row],[MONTH_ID]],10),"mmm")</f>
        <v>Aug</v>
      </c>
      <c r="K1707">
        <v>2004</v>
      </c>
      <c r="L1707" t="s">
        <v>195</v>
      </c>
      <c r="M1707">
        <v>90</v>
      </c>
      <c r="N1707" t="s">
        <v>645</v>
      </c>
      <c r="O1707" t="s">
        <v>188</v>
      </c>
      <c r="P1707" t="s">
        <v>189</v>
      </c>
      <c r="Q1707" t="s">
        <v>190</v>
      </c>
      <c r="S1707" t="s">
        <v>191</v>
      </c>
      <c r="U1707">
        <v>28034</v>
      </c>
      <c r="V1707" t="s">
        <v>192</v>
      </c>
      <c r="W1707" t="s">
        <v>56</v>
      </c>
      <c r="X1707" t="s">
        <v>193</v>
      </c>
      <c r="Y1707" t="s">
        <v>194</v>
      </c>
      <c r="Z1707" t="s">
        <v>65</v>
      </c>
    </row>
    <row r="1708" spans="1:26" x14ac:dyDescent="0.3">
      <c r="A1708">
        <v>10288</v>
      </c>
      <c r="B1708">
        <v>35</v>
      </c>
      <c r="C1708">
        <v>80.87</v>
      </c>
      <c r="D1708">
        <v>9</v>
      </c>
      <c r="E1708">
        <v>2830.45</v>
      </c>
      <c r="F1708" s="1">
        <v>38231</v>
      </c>
      <c r="G1708" t="s">
        <v>39</v>
      </c>
      <c r="H1708">
        <v>3</v>
      </c>
      <c r="I1708">
        <v>9</v>
      </c>
      <c r="J1708" t="str">
        <f>TEXT(DATE(2012,Table1[[#This Row],[MONTH_ID]],10),"mmm")</f>
        <v>Sep</v>
      </c>
      <c r="K1708">
        <v>2004</v>
      </c>
      <c r="L1708" t="s">
        <v>195</v>
      </c>
      <c r="M1708">
        <v>90</v>
      </c>
      <c r="N1708" t="s">
        <v>645</v>
      </c>
      <c r="O1708" t="s">
        <v>432</v>
      </c>
      <c r="P1708" t="s">
        <v>433</v>
      </c>
      <c r="Q1708" t="s">
        <v>434</v>
      </c>
      <c r="R1708" t="s">
        <v>435</v>
      </c>
      <c r="S1708" t="s">
        <v>213</v>
      </c>
      <c r="U1708">
        <v>69045</v>
      </c>
      <c r="V1708" t="s">
        <v>213</v>
      </c>
      <c r="W1708" t="s">
        <v>110</v>
      </c>
      <c r="X1708" t="s">
        <v>436</v>
      </c>
      <c r="Y1708" t="s">
        <v>437</v>
      </c>
      <c r="Z1708" t="s">
        <v>50</v>
      </c>
    </row>
    <row r="1709" spans="1:26" x14ac:dyDescent="0.3">
      <c r="A1709">
        <v>10302</v>
      </c>
      <c r="B1709">
        <v>49</v>
      </c>
      <c r="C1709">
        <v>100</v>
      </c>
      <c r="D1709">
        <v>5</v>
      </c>
      <c r="E1709">
        <v>5298.86</v>
      </c>
      <c r="F1709" s="1">
        <v>37900</v>
      </c>
      <c r="G1709" t="s">
        <v>39</v>
      </c>
      <c r="H1709">
        <v>4</v>
      </c>
      <c r="I1709">
        <v>10</v>
      </c>
      <c r="J1709" t="str">
        <f>TEXT(DATE(2012,Table1[[#This Row],[MONTH_ID]],10),"mmm")</f>
        <v>Oct</v>
      </c>
      <c r="K1709">
        <v>2003</v>
      </c>
      <c r="L1709" t="s">
        <v>195</v>
      </c>
      <c r="M1709">
        <v>90</v>
      </c>
      <c r="N1709" t="s">
        <v>645</v>
      </c>
      <c r="O1709" t="s">
        <v>179</v>
      </c>
      <c r="P1709" t="s">
        <v>180</v>
      </c>
      <c r="Q1709" t="s">
        <v>181</v>
      </c>
      <c r="S1709" t="s">
        <v>182</v>
      </c>
      <c r="U1709" t="s">
        <v>183</v>
      </c>
      <c r="V1709" t="s">
        <v>184</v>
      </c>
      <c r="W1709" t="s">
        <v>56</v>
      </c>
      <c r="X1709" t="s">
        <v>185</v>
      </c>
      <c r="Y1709" t="s">
        <v>186</v>
      </c>
      <c r="Z1709" t="s">
        <v>65</v>
      </c>
    </row>
    <row r="1710" spans="1:26" x14ac:dyDescent="0.3">
      <c r="A1710">
        <v>10311</v>
      </c>
      <c r="B1710">
        <v>28</v>
      </c>
      <c r="C1710">
        <v>93.6</v>
      </c>
      <c r="D1710">
        <v>4</v>
      </c>
      <c r="E1710">
        <v>2620.8000000000002</v>
      </c>
      <c r="F1710" s="1">
        <v>38276</v>
      </c>
      <c r="G1710" t="s">
        <v>39</v>
      </c>
      <c r="H1710">
        <v>4</v>
      </c>
      <c r="I1710">
        <v>10</v>
      </c>
      <c r="J1710" t="str">
        <f>TEXT(DATE(2012,Table1[[#This Row],[MONTH_ID]],10),"mmm")</f>
        <v>Oct</v>
      </c>
      <c r="K1710">
        <v>2004</v>
      </c>
      <c r="L1710" t="s">
        <v>195</v>
      </c>
      <c r="M1710">
        <v>90</v>
      </c>
      <c r="N1710" t="s">
        <v>645</v>
      </c>
      <c r="O1710" t="s">
        <v>188</v>
      </c>
      <c r="P1710" t="s">
        <v>189</v>
      </c>
      <c r="Q1710" t="s">
        <v>190</v>
      </c>
      <c r="S1710" t="s">
        <v>191</v>
      </c>
      <c r="U1710">
        <v>28034</v>
      </c>
      <c r="V1710" t="s">
        <v>192</v>
      </c>
      <c r="W1710" t="s">
        <v>56</v>
      </c>
      <c r="X1710" t="s">
        <v>193</v>
      </c>
      <c r="Y1710" t="s">
        <v>194</v>
      </c>
      <c r="Z1710" t="s">
        <v>50</v>
      </c>
    </row>
    <row r="1711" spans="1:26" x14ac:dyDescent="0.3">
      <c r="A1711">
        <v>10321</v>
      </c>
      <c r="B1711">
        <v>30</v>
      </c>
      <c r="C1711">
        <v>72.7</v>
      </c>
      <c r="D1711">
        <v>1</v>
      </c>
      <c r="E1711">
        <v>2181</v>
      </c>
      <c r="F1711" s="1">
        <v>38295</v>
      </c>
      <c r="G1711" t="s">
        <v>39</v>
      </c>
      <c r="H1711">
        <v>4</v>
      </c>
      <c r="I1711">
        <v>11</v>
      </c>
      <c r="J1711" t="str">
        <f>TEXT(DATE(2012,Table1[[#This Row],[MONTH_ID]],10),"mmm")</f>
        <v>Nov</v>
      </c>
      <c r="K1711">
        <v>2004</v>
      </c>
      <c r="L1711" t="s">
        <v>195</v>
      </c>
      <c r="M1711">
        <v>90</v>
      </c>
      <c r="N1711" t="s">
        <v>645</v>
      </c>
      <c r="O1711" t="s">
        <v>174</v>
      </c>
      <c r="P1711">
        <v>5085552555</v>
      </c>
      <c r="Q1711" t="s">
        <v>175</v>
      </c>
      <c r="S1711" t="s">
        <v>176</v>
      </c>
      <c r="T1711" t="s">
        <v>137</v>
      </c>
      <c r="U1711">
        <v>50553</v>
      </c>
      <c r="V1711" t="s">
        <v>46</v>
      </c>
      <c r="W1711" t="s">
        <v>47</v>
      </c>
      <c r="X1711" t="s">
        <v>177</v>
      </c>
      <c r="Y1711" t="s">
        <v>178</v>
      </c>
      <c r="Z1711" t="s">
        <v>50</v>
      </c>
    </row>
    <row r="1712" spans="1:26" x14ac:dyDescent="0.3">
      <c r="A1712">
        <v>10332</v>
      </c>
      <c r="B1712">
        <v>39</v>
      </c>
      <c r="C1712">
        <v>86.72</v>
      </c>
      <c r="D1712">
        <v>7</v>
      </c>
      <c r="E1712">
        <v>3382.08</v>
      </c>
      <c r="F1712" s="1">
        <v>38308</v>
      </c>
      <c r="G1712" t="s">
        <v>39</v>
      </c>
      <c r="H1712">
        <v>4</v>
      </c>
      <c r="I1712">
        <v>11</v>
      </c>
      <c r="J1712" t="str">
        <f>TEXT(DATE(2012,Table1[[#This Row],[MONTH_ID]],10),"mmm")</f>
        <v>Nov</v>
      </c>
      <c r="K1712">
        <v>2004</v>
      </c>
      <c r="L1712" t="s">
        <v>195</v>
      </c>
      <c r="M1712">
        <v>90</v>
      </c>
      <c r="N1712" t="s">
        <v>645</v>
      </c>
      <c r="O1712" t="s">
        <v>506</v>
      </c>
      <c r="P1712" t="s">
        <v>507</v>
      </c>
      <c r="Q1712" t="s">
        <v>508</v>
      </c>
      <c r="S1712" t="s">
        <v>509</v>
      </c>
      <c r="U1712" t="s">
        <v>510</v>
      </c>
      <c r="V1712" t="s">
        <v>184</v>
      </c>
      <c r="W1712" t="s">
        <v>56</v>
      </c>
      <c r="X1712" t="s">
        <v>511</v>
      </c>
      <c r="Y1712" t="s">
        <v>108</v>
      </c>
      <c r="Z1712" t="s">
        <v>65</v>
      </c>
    </row>
    <row r="1713" spans="1:26" x14ac:dyDescent="0.3">
      <c r="A1713">
        <v>10346</v>
      </c>
      <c r="B1713">
        <v>25</v>
      </c>
      <c r="C1713">
        <v>100</v>
      </c>
      <c r="D1713">
        <v>1</v>
      </c>
      <c r="E1713">
        <v>2876.75</v>
      </c>
      <c r="F1713" s="1">
        <v>38320</v>
      </c>
      <c r="G1713" t="s">
        <v>39</v>
      </c>
      <c r="H1713">
        <v>4</v>
      </c>
      <c r="I1713">
        <v>11</v>
      </c>
      <c r="J1713" t="str">
        <f>TEXT(DATE(2012,Table1[[#This Row],[MONTH_ID]],10),"mmm")</f>
        <v>Nov</v>
      </c>
      <c r="K1713">
        <v>2004</v>
      </c>
      <c r="L1713" t="s">
        <v>195</v>
      </c>
      <c r="M1713">
        <v>90</v>
      </c>
      <c r="N1713" t="s">
        <v>645</v>
      </c>
      <c r="O1713" t="s">
        <v>553</v>
      </c>
      <c r="P1713">
        <v>7025551838</v>
      </c>
      <c r="Q1713" t="s">
        <v>554</v>
      </c>
      <c r="S1713" t="s">
        <v>555</v>
      </c>
      <c r="T1713" t="s">
        <v>556</v>
      </c>
      <c r="U1713">
        <v>83030</v>
      </c>
      <c r="V1713" t="s">
        <v>46</v>
      </c>
      <c r="W1713" t="s">
        <v>47</v>
      </c>
      <c r="X1713" t="s">
        <v>127</v>
      </c>
      <c r="Y1713" t="s">
        <v>414</v>
      </c>
      <c r="Z1713" t="s">
        <v>50</v>
      </c>
    </row>
    <row r="1714" spans="1:26" x14ac:dyDescent="0.3">
      <c r="A1714">
        <v>10368</v>
      </c>
      <c r="B1714">
        <v>40</v>
      </c>
      <c r="C1714">
        <v>100</v>
      </c>
      <c r="D1714">
        <v>2</v>
      </c>
      <c r="E1714">
        <v>4107.2</v>
      </c>
      <c r="F1714" s="1">
        <v>38371</v>
      </c>
      <c r="G1714" t="s">
        <v>39</v>
      </c>
      <c r="H1714">
        <v>1</v>
      </c>
      <c r="I1714">
        <v>1</v>
      </c>
      <c r="J1714" t="str">
        <f>TEXT(DATE(2012,Table1[[#This Row],[MONTH_ID]],10),"mmm")</f>
        <v>Jan</v>
      </c>
      <c r="K1714">
        <v>2005</v>
      </c>
      <c r="L1714" t="s">
        <v>195</v>
      </c>
      <c r="M1714">
        <v>90</v>
      </c>
      <c r="N1714" t="s">
        <v>645</v>
      </c>
      <c r="O1714" t="s">
        <v>286</v>
      </c>
      <c r="P1714">
        <v>4155551450</v>
      </c>
      <c r="Q1714" t="s">
        <v>287</v>
      </c>
      <c r="S1714" t="s">
        <v>288</v>
      </c>
      <c r="T1714" t="s">
        <v>69</v>
      </c>
      <c r="U1714">
        <v>97562</v>
      </c>
      <c r="V1714" t="s">
        <v>46</v>
      </c>
      <c r="W1714" t="s">
        <v>47</v>
      </c>
      <c r="X1714" t="s">
        <v>289</v>
      </c>
      <c r="Y1714" t="s">
        <v>290</v>
      </c>
      <c r="Z1714" t="s">
        <v>65</v>
      </c>
    </row>
    <row r="1715" spans="1:26" x14ac:dyDescent="0.3">
      <c r="A1715">
        <v>10380</v>
      </c>
      <c r="B1715">
        <v>36</v>
      </c>
      <c r="C1715">
        <v>37.5</v>
      </c>
      <c r="D1715">
        <v>6</v>
      </c>
      <c r="E1715">
        <v>1350</v>
      </c>
      <c r="F1715" s="1">
        <v>38399</v>
      </c>
      <c r="G1715" t="s">
        <v>39</v>
      </c>
      <c r="H1715">
        <v>1</v>
      </c>
      <c r="I1715">
        <v>2</v>
      </c>
      <c r="J1715" t="str">
        <f>TEXT(DATE(2012,Table1[[#This Row],[MONTH_ID]],10),"mmm")</f>
        <v>Feb</v>
      </c>
      <c r="K1715">
        <v>2005</v>
      </c>
      <c r="L1715" t="s">
        <v>195</v>
      </c>
      <c r="M1715">
        <v>90</v>
      </c>
      <c r="N1715" t="s">
        <v>645</v>
      </c>
      <c r="O1715" t="s">
        <v>188</v>
      </c>
      <c r="P1715" t="s">
        <v>189</v>
      </c>
      <c r="Q1715" t="s">
        <v>190</v>
      </c>
      <c r="S1715" t="s">
        <v>191</v>
      </c>
      <c r="U1715">
        <v>28034</v>
      </c>
      <c r="V1715" t="s">
        <v>192</v>
      </c>
      <c r="W1715" t="s">
        <v>56</v>
      </c>
      <c r="X1715" t="s">
        <v>193</v>
      </c>
      <c r="Y1715" t="s">
        <v>194</v>
      </c>
      <c r="Z1715" t="s">
        <v>50</v>
      </c>
    </row>
    <row r="1716" spans="1:26" x14ac:dyDescent="0.3">
      <c r="A1716">
        <v>10407</v>
      </c>
      <c r="B1716">
        <v>76</v>
      </c>
      <c r="C1716">
        <v>94.5</v>
      </c>
      <c r="D1716">
        <v>6</v>
      </c>
      <c r="E1716">
        <v>7182</v>
      </c>
      <c r="F1716" s="1">
        <v>38464</v>
      </c>
      <c r="G1716" t="s">
        <v>415</v>
      </c>
      <c r="H1716">
        <v>2</v>
      </c>
      <c r="I1716">
        <v>4</v>
      </c>
      <c r="J1716" t="str">
        <f>TEXT(DATE(2012,Table1[[#This Row],[MONTH_ID]],10),"mmm")</f>
        <v>Apr</v>
      </c>
      <c r="K1716">
        <v>2005</v>
      </c>
      <c r="L1716" t="s">
        <v>195</v>
      </c>
      <c r="M1716">
        <v>90</v>
      </c>
      <c r="N1716" t="s">
        <v>645</v>
      </c>
      <c r="O1716" t="s">
        <v>411</v>
      </c>
      <c r="P1716">
        <v>4085553659</v>
      </c>
      <c r="Q1716" t="s">
        <v>412</v>
      </c>
      <c r="S1716" t="s">
        <v>413</v>
      </c>
      <c r="T1716" t="s">
        <v>69</v>
      </c>
      <c r="U1716">
        <v>94217</v>
      </c>
      <c r="V1716" t="s">
        <v>46</v>
      </c>
      <c r="W1716" t="s">
        <v>47</v>
      </c>
      <c r="X1716" t="s">
        <v>116</v>
      </c>
      <c r="Y1716" t="s">
        <v>414</v>
      </c>
      <c r="Z1716" t="s">
        <v>165</v>
      </c>
    </row>
    <row r="1717" spans="1:26" x14ac:dyDescent="0.3">
      <c r="A1717">
        <v>10420</v>
      </c>
      <c r="B1717">
        <v>39</v>
      </c>
      <c r="C1717">
        <v>100</v>
      </c>
      <c r="D1717">
        <v>9</v>
      </c>
      <c r="E1717">
        <v>3933.93</v>
      </c>
      <c r="F1717" s="1">
        <v>38501</v>
      </c>
      <c r="G1717" t="s">
        <v>314</v>
      </c>
      <c r="H1717">
        <v>2</v>
      </c>
      <c r="I1717">
        <v>5</v>
      </c>
      <c r="J1717" t="str">
        <f>TEXT(DATE(2012,Table1[[#This Row],[MONTH_ID]],10),"mmm")</f>
        <v>May</v>
      </c>
      <c r="K1717">
        <v>2005</v>
      </c>
      <c r="L1717" t="s">
        <v>195</v>
      </c>
      <c r="M1717">
        <v>90</v>
      </c>
      <c r="N1717" t="s">
        <v>645</v>
      </c>
      <c r="O1717" t="s">
        <v>166</v>
      </c>
      <c r="P1717" t="s">
        <v>167</v>
      </c>
      <c r="Q1717" t="s">
        <v>168</v>
      </c>
      <c r="R1717" t="s">
        <v>169</v>
      </c>
      <c r="S1717" t="s">
        <v>170</v>
      </c>
      <c r="T1717" t="s">
        <v>171</v>
      </c>
      <c r="U1717">
        <v>2067</v>
      </c>
      <c r="V1717" t="s">
        <v>109</v>
      </c>
      <c r="W1717" t="s">
        <v>110</v>
      </c>
      <c r="X1717" t="s">
        <v>172</v>
      </c>
      <c r="Y1717" t="s">
        <v>173</v>
      </c>
      <c r="Z1717" t="s">
        <v>65</v>
      </c>
    </row>
    <row r="1718" spans="1:26" x14ac:dyDescent="0.3">
      <c r="A1718">
        <v>10104</v>
      </c>
      <c r="B1718">
        <v>44</v>
      </c>
      <c r="C1718">
        <v>39.6</v>
      </c>
      <c r="D1718">
        <v>10</v>
      </c>
      <c r="E1718">
        <v>1742.4</v>
      </c>
      <c r="F1718" s="1">
        <v>37652</v>
      </c>
      <c r="G1718" t="s">
        <v>39</v>
      </c>
      <c r="H1718">
        <v>1</v>
      </c>
      <c r="I1718">
        <v>1</v>
      </c>
      <c r="J1718" t="str">
        <f>TEXT(DATE(2012,Table1[[#This Row],[MONTH_ID]],10),"mmm")</f>
        <v>Jan</v>
      </c>
      <c r="K1718">
        <v>2003</v>
      </c>
      <c r="L1718" t="s">
        <v>195</v>
      </c>
      <c r="M1718">
        <v>35</v>
      </c>
      <c r="N1718" t="s">
        <v>646</v>
      </c>
      <c r="O1718" t="s">
        <v>188</v>
      </c>
      <c r="P1718" t="s">
        <v>189</v>
      </c>
      <c r="Q1718" t="s">
        <v>190</v>
      </c>
      <c r="S1718" t="s">
        <v>191</v>
      </c>
      <c r="U1718">
        <v>28034</v>
      </c>
      <c r="V1718" t="s">
        <v>192</v>
      </c>
      <c r="W1718" t="s">
        <v>56</v>
      </c>
      <c r="X1718" t="s">
        <v>193</v>
      </c>
      <c r="Y1718" t="s">
        <v>194</v>
      </c>
      <c r="Z1718" t="s">
        <v>50</v>
      </c>
    </row>
    <row r="1719" spans="1:26" x14ac:dyDescent="0.3">
      <c r="A1719">
        <v>10114</v>
      </c>
      <c r="B1719">
        <v>24</v>
      </c>
      <c r="C1719">
        <v>30.06</v>
      </c>
      <c r="D1719">
        <v>1</v>
      </c>
      <c r="E1719">
        <v>721.44</v>
      </c>
      <c r="F1719" s="1">
        <v>37712</v>
      </c>
      <c r="G1719" t="s">
        <v>39</v>
      </c>
      <c r="H1719">
        <v>2</v>
      </c>
      <c r="I1719">
        <v>4</v>
      </c>
      <c r="J1719" t="str">
        <f>TEXT(DATE(2012,Table1[[#This Row],[MONTH_ID]],10),"mmm")</f>
        <v>Apr</v>
      </c>
      <c r="K1719">
        <v>2003</v>
      </c>
      <c r="L1719" t="s">
        <v>195</v>
      </c>
      <c r="M1719">
        <v>35</v>
      </c>
      <c r="N1719" t="s">
        <v>646</v>
      </c>
      <c r="O1719" t="s">
        <v>417</v>
      </c>
      <c r="P1719" t="s">
        <v>418</v>
      </c>
      <c r="Q1719" t="s">
        <v>419</v>
      </c>
      <c r="S1719" t="s">
        <v>62</v>
      </c>
      <c r="U1719">
        <v>75012</v>
      </c>
      <c r="V1719" t="s">
        <v>55</v>
      </c>
      <c r="W1719" t="s">
        <v>56</v>
      </c>
      <c r="X1719" t="s">
        <v>420</v>
      </c>
      <c r="Y1719" t="s">
        <v>421</v>
      </c>
      <c r="Z1719" t="s">
        <v>50</v>
      </c>
    </row>
    <row r="1720" spans="1:26" x14ac:dyDescent="0.3">
      <c r="A1720">
        <v>10127</v>
      </c>
      <c r="B1720">
        <v>39</v>
      </c>
      <c r="C1720">
        <v>38.19</v>
      </c>
      <c r="D1720">
        <v>12</v>
      </c>
      <c r="E1720">
        <v>1489.41</v>
      </c>
      <c r="F1720" s="1">
        <v>37775</v>
      </c>
      <c r="G1720" t="s">
        <v>39</v>
      </c>
      <c r="H1720">
        <v>2</v>
      </c>
      <c r="I1720">
        <v>6</v>
      </c>
      <c r="J1720" t="str">
        <f>TEXT(DATE(2012,Table1[[#This Row],[MONTH_ID]],10),"mmm")</f>
        <v>Jun</v>
      </c>
      <c r="K1720">
        <v>2003</v>
      </c>
      <c r="L1720" t="s">
        <v>195</v>
      </c>
      <c r="M1720">
        <v>35</v>
      </c>
      <c r="N1720" t="s">
        <v>646</v>
      </c>
      <c r="O1720" t="s">
        <v>489</v>
      </c>
      <c r="P1720">
        <v>2125557413</v>
      </c>
      <c r="Q1720" t="s">
        <v>490</v>
      </c>
      <c r="R1720" t="s">
        <v>491</v>
      </c>
      <c r="S1720" t="s">
        <v>44</v>
      </c>
      <c r="T1720" t="s">
        <v>45</v>
      </c>
      <c r="U1720">
        <v>10022</v>
      </c>
      <c r="V1720" t="s">
        <v>46</v>
      </c>
      <c r="W1720" t="s">
        <v>47</v>
      </c>
      <c r="X1720" t="s">
        <v>70</v>
      </c>
      <c r="Y1720" t="s">
        <v>492</v>
      </c>
      <c r="Z1720" t="s">
        <v>50</v>
      </c>
    </row>
    <row r="1721" spans="1:26" x14ac:dyDescent="0.3">
      <c r="A1721">
        <v>10141</v>
      </c>
      <c r="B1721">
        <v>21</v>
      </c>
      <c r="C1721">
        <v>42.43</v>
      </c>
      <c r="D1721">
        <v>6</v>
      </c>
      <c r="E1721">
        <v>891.03</v>
      </c>
      <c r="F1721" s="1">
        <v>37834</v>
      </c>
      <c r="G1721" t="s">
        <v>39</v>
      </c>
      <c r="H1721">
        <v>3</v>
      </c>
      <c r="I1721">
        <v>8</v>
      </c>
      <c r="J1721" t="str">
        <f>TEXT(DATE(2012,Table1[[#This Row],[MONTH_ID]],10),"mmm")</f>
        <v>Aug</v>
      </c>
      <c r="K1721">
        <v>2003</v>
      </c>
      <c r="L1721" t="s">
        <v>195</v>
      </c>
      <c r="M1721">
        <v>35</v>
      </c>
      <c r="N1721" t="s">
        <v>646</v>
      </c>
      <c r="O1721" t="s">
        <v>481</v>
      </c>
      <c r="P1721" t="s">
        <v>482</v>
      </c>
      <c r="Q1721" t="s">
        <v>483</v>
      </c>
      <c r="S1721" t="s">
        <v>484</v>
      </c>
      <c r="U1721" t="s">
        <v>485</v>
      </c>
      <c r="V1721" t="s">
        <v>144</v>
      </c>
      <c r="W1721" t="s">
        <v>56</v>
      </c>
      <c r="X1721" t="s">
        <v>486</v>
      </c>
      <c r="Y1721" t="s">
        <v>487</v>
      </c>
      <c r="Z1721" t="s">
        <v>50</v>
      </c>
    </row>
    <row r="1722" spans="1:26" x14ac:dyDescent="0.3">
      <c r="A1722">
        <v>10151</v>
      </c>
      <c r="B1722">
        <v>30</v>
      </c>
      <c r="C1722">
        <v>40.31</v>
      </c>
      <c r="D1722">
        <v>4</v>
      </c>
      <c r="E1722">
        <v>1209.3</v>
      </c>
      <c r="F1722" s="1">
        <v>37885</v>
      </c>
      <c r="G1722" t="s">
        <v>39</v>
      </c>
      <c r="H1722">
        <v>3</v>
      </c>
      <c r="I1722">
        <v>9</v>
      </c>
      <c r="J1722" t="str">
        <f>TEXT(DATE(2012,Table1[[#This Row],[MONTH_ID]],10),"mmm")</f>
        <v>Sep</v>
      </c>
      <c r="K1722">
        <v>2003</v>
      </c>
      <c r="L1722" t="s">
        <v>195</v>
      </c>
      <c r="M1722">
        <v>35</v>
      </c>
      <c r="N1722" t="s">
        <v>646</v>
      </c>
      <c r="O1722" t="s">
        <v>405</v>
      </c>
      <c r="P1722" t="s">
        <v>406</v>
      </c>
      <c r="Q1722" t="s">
        <v>407</v>
      </c>
      <c r="S1722" t="s">
        <v>408</v>
      </c>
      <c r="U1722">
        <v>90110</v>
      </c>
      <c r="V1722" t="s">
        <v>144</v>
      </c>
      <c r="W1722" t="s">
        <v>56</v>
      </c>
      <c r="X1722" t="s">
        <v>409</v>
      </c>
      <c r="Y1722" t="s">
        <v>410</v>
      </c>
      <c r="Z1722" t="s">
        <v>50</v>
      </c>
    </row>
    <row r="1723" spans="1:26" x14ac:dyDescent="0.3">
      <c r="A1723">
        <v>10165</v>
      </c>
      <c r="B1723">
        <v>27</v>
      </c>
      <c r="C1723">
        <v>31.82</v>
      </c>
      <c r="D1723">
        <v>13</v>
      </c>
      <c r="E1723">
        <v>859.14</v>
      </c>
      <c r="F1723" s="1">
        <v>37916</v>
      </c>
      <c r="G1723" t="s">
        <v>39</v>
      </c>
      <c r="H1723">
        <v>4</v>
      </c>
      <c r="I1723">
        <v>10</v>
      </c>
      <c r="J1723" t="str">
        <f>TEXT(DATE(2012,Table1[[#This Row],[MONTH_ID]],10),"mmm")</f>
        <v>Oct</v>
      </c>
      <c r="K1723">
        <v>2003</v>
      </c>
      <c r="L1723" t="s">
        <v>195</v>
      </c>
      <c r="M1723">
        <v>35</v>
      </c>
      <c r="N1723" t="s">
        <v>646</v>
      </c>
      <c r="O1723" t="s">
        <v>210</v>
      </c>
      <c r="P1723" t="s">
        <v>211</v>
      </c>
      <c r="Q1723" t="s">
        <v>212</v>
      </c>
      <c r="S1723" t="s">
        <v>213</v>
      </c>
      <c r="U1723">
        <v>79903</v>
      </c>
      <c r="V1723" t="s">
        <v>213</v>
      </c>
      <c r="W1723" t="s">
        <v>214</v>
      </c>
      <c r="X1723" t="s">
        <v>215</v>
      </c>
      <c r="Y1723" t="s">
        <v>216</v>
      </c>
      <c r="Z1723" t="s">
        <v>50</v>
      </c>
    </row>
    <row r="1724" spans="1:26" x14ac:dyDescent="0.3">
      <c r="A1724">
        <v>10175</v>
      </c>
      <c r="B1724">
        <v>37</v>
      </c>
      <c r="C1724">
        <v>31.12</v>
      </c>
      <c r="D1724">
        <v>2</v>
      </c>
      <c r="E1724">
        <v>1151.44</v>
      </c>
      <c r="F1724" s="1">
        <v>37931</v>
      </c>
      <c r="G1724" t="s">
        <v>39</v>
      </c>
      <c r="H1724">
        <v>4</v>
      </c>
      <c r="I1724">
        <v>11</v>
      </c>
      <c r="J1724" t="str">
        <f>TEXT(DATE(2012,Table1[[#This Row],[MONTH_ID]],10),"mmm")</f>
        <v>Nov</v>
      </c>
      <c r="K1724">
        <v>2003</v>
      </c>
      <c r="L1724" t="s">
        <v>195</v>
      </c>
      <c r="M1724">
        <v>35</v>
      </c>
      <c r="N1724" t="s">
        <v>646</v>
      </c>
      <c r="O1724" t="s">
        <v>343</v>
      </c>
      <c r="P1724" t="s">
        <v>344</v>
      </c>
      <c r="Q1724" t="s">
        <v>345</v>
      </c>
      <c r="S1724" t="s">
        <v>346</v>
      </c>
      <c r="U1724" t="s">
        <v>347</v>
      </c>
      <c r="V1724" t="s">
        <v>184</v>
      </c>
      <c r="W1724" t="s">
        <v>56</v>
      </c>
      <c r="X1724" t="s">
        <v>75</v>
      </c>
      <c r="Y1724" t="s">
        <v>348</v>
      </c>
      <c r="Z1724" t="s">
        <v>50</v>
      </c>
    </row>
    <row r="1725" spans="1:26" x14ac:dyDescent="0.3">
      <c r="A1725">
        <v>10184</v>
      </c>
      <c r="B1725">
        <v>42</v>
      </c>
      <c r="C1725">
        <v>31.82</v>
      </c>
      <c r="D1725">
        <v>7</v>
      </c>
      <c r="E1725">
        <v>1336.44</v>
      </c>
      <c r="F1725" s="1">
        <v>37939</v>
      </c>
      <c r="G1725" t="s">
        <v>39</v>
      </c>
      <c r="H1725">
        <v>4</v>
      </c>
      <c r="I1725">
        <v>11</v>
      </c>
      <c r="J1725" t="str">
        <f>TEXT(DATE(2012,Table1[[#This Row],[MONTH_ID]],10),"mmm")</f>
        <v>Nov</v>
      </c>
      <c r="K1725">
        <v>2003</v>
      </c>
      <c r="L1725" t="s">
        <v>195</v>
      </c>
      <c r="M1725">
        <v>35</v>
      </c>
      <c r="N1725" t="s">
        <v>646</v>
      </c>
      <c r="O1725" t="s">
        <v>534</v>
      </c>
      <c r="P1725" t="s">
        <v>535</v>
      </c>
      <c r="Q1725" t="s">
        <v>536</v>
      </c>
      <c r="S1725" t="s">
        <v>537</v>
      </c>
      <c r="U1725">
        <v>41101</v>
      </c>
      <c r="V1725" t="s">
        <v>192</v>
      </c>
      <c r="W1725" t="s">
        <v>56</v>
      </c>
      <c r="X1725" t="s">
        <v>538</v>
      </c>
      <c r="Y1725" t="s">
        <v>539</v>
      </c>
      <c r="Z1725" t="s">
        <v>50</v>
      </c>
    </row>
    <row r="1726" spans="1:26" x14ac:dyDescent="0.3">
      <c r="A1726">
        <v>10195</v>
      </c>
      <c r="B1726">
        <v>32</v>
      </c>
      <c r="C1726">
        <v>28.29</v>
      </c>
      <c r="D1726">
        <v>7</v>
      </c>
      <c r="E1726">
        <v>905.28</v>
      </c>
      <c r="F1726" s="1">
        <v>37950</v>
      </c>
      <c r="G1726" t="s">
        <v>39</v>
      </c>
      <c r="H1726">
        <v>4</v>
      </c>
      <c r="I1726">
        <v>11</v>
      </c>
      <c r="J1726" t="str">
        <f>TEXT(DATE(2012,Table1[[#This Row],[MONTH_ID]],10),"mmm")</f>
        <v>Nov</v>
      </c>
      <c r="K1726">
        <v>2003</v>
      </c>
      <c r="L1726" t="s">
        <v>195</v>
      </c>
      <c r="M1726">
        <v>35</v>
      </c>
      <c r="N1726" t="s">
        <v>646</v>
      </c>
      <c r="O1726" t="s">
        <v>331</v>
      </c>
      <c r="P1726">
        <v>9145554562</v>
      </c>
      <c r="Q1726" t="s">
        <v>332</v>
      </c>
      <c r="S1726" t="s">
        <v>333</v>
      </c>
      <c r="T1726" t="s">
        <v>45</v>
      </c>
      <c r="U1726">
        <v>24067</v>
      </c>
      <c r="V1726" t="s">
        <v>46</v>
      </c>
      <c r="W1726" t="s">
        <v>47</v>
      </c>
      <c r="X1726" t="s">
        <v>116</v>
      </c>
      <c r="Y1726" t="s">
        <v>252</v>
      </c>
      <c r="Z1726" t="s">
        <v>50</v>
      </c>
    </row>
    <row r="1727" spans="1:26" x14ac:dyDescent="0.3">
      <c r="A1727">
        <v>10207</v>
      </c>
      <c r="B1727">
        <v>42</v>
      </c>
      <c r="C1727">
        <v>29.7</v>
      </c>
      <c r="D1727">
        <v>8</v>
      </c>
      <c r="E1727">
        <v>1247.4000000000001</v>
      </c>
      <c r="F1727" s="1">
        <v>37964</v>
      </c>
      <c r="G1727" t="s">
        <v>39</v>
      </c>
      <c r="H1727">
        <v>4</v>
      </c>
      <c r="I1727">
        <v>12</v>
      </c>
      <c r="J1727" t="str">
        <f>TEXT(DATE(2012,Table1[[#This Row],[MONTH_ID]],10),"mmm")</f>
        <v>Dec</v>
      </c>
      <c r="K1727">
        <v>2003</v>
      </c>
      <c r="L1727" t="s">
        <v>195</v>
      </c>
      <c r="M1727">
        <v>35</v>
      </c>
      <c r="N1727" t="s">
        <v>646</v>
      </c>
      <c r="O1727" t="s">
        <v>429</v>
      </c>
      <c r="P1727">
        <v>6175552555</v>
      </c>
      <c r="Q1727" t="s">
        <v>430</v>
      </c>
      <c r="S1727" t="s">
        <v>395</v>
      </c>
      <c r="T1727" t="s">
        <v>137</v>
      </c>
      <c r="U1727">
        <v>51003</v>
      </c>
      <c r="V1727" t="s">
        <v>46</v>
      </c>
      <c r="W1727" t="s">
        <v>47</v>
      </c>
      <c r="X1727" t="s">
        <v>431</v>
      </c>
      <c r="Y1727" t="s">
        <v>290</v>
      </c>
      <c r="Z1727" t="s">
        <v>50</v>
      </c>
    </row>
    <row r="1728" spans="1:26" x14ac:dyDescent="0.3">
      <c r="A1728">
        <v>10219</v>
      </c>
      <c r="B1728">
        <v>21</v>
      </c>
      <c r="C1728">
        <v>40.31</v>
      </c>
      <c r="D1728">
        <v>3</v>
      </c>
      <c r="E1728">
        <v>846.51</v>
      </c>
      <c r="F1728" s="1">
        <v>38027</v>
      </c>
      <c r="G1728" t="s">
        <v>39</v>
      </c>
      <c r="H1728">
        <v>1</v>
      </c>
      <c r="I1728">
        <v>2</v>
      </c>
      <c r="J1728" t="str">
        <f>TEXT(DATE(2012,Table1[[#This Row],[MONTH_ID]],10),"mmm")</f>
        <v>Feb</v>
      </c>
      <c r="K1728">
        <v>2004</v>
      </c>
      <c r="L1728" t="s">
        <v>195</v>
      </c>
      <c r="M1728">
        <v>35</v>
      </c>
      <c r="N1728" t="s">
        <v>646</v>
      </c>
      <c r="O1728" t="s">
        <v>540</v>
      </c>
      <c r="P1728">
        <v>4155554312</v>
      </c>
      <c r="Q1728" t="s">
        <v>541</v>
      </c>
      <c r="S1728" t="s">
        <v>542</v>
      </c>
      <c r="T1728" t="s">
        <v>69</v>
      </c>
      <c r="U1728">
        <v>94217</v>
      </c>
      <c r="V1728" t="s">
        <v>46</v>
      </c>
      <c r="W1728" t="s">
        <v>47</v>
      </c>
      <c r="X1728" t="s">
        <v>543</v>
      </c>
      <c r="Y1728" t="s">
        <v>414</v>
      </c>
      <c r="Z1728" t="s">
        <v>50</v>
      </c>
    </row>
    <row r="1729" spans="1:26" x14ac:dyDescent="0.3">
      <c r="A1729">
        <v>10229</v>
      </c>
      <c r="B1729">
        <v>33</v>
      </c>
      <c r="C1729">
        <v>32.880000000000003</v>
      </c>
      <c r="D1729">
        <v>2</v>
      </c>
      <c r="E1729">
        <v>1085.04</v>
      </c>
      <c r="F1729" s="1">
        <v>38057</v>
      </c>
      <c r="G1729" t="s">
        <v>39</v>
      </c>
      <c r="H1729">
        <v>1</v>
      </c>
      <c r="I1729">
        <v>3</v>
      </c>
      <c r="J1729" t="str">
        <f>TEXT(DATE(2012,Table1[[#This Row],[MONTH_ID]],10),"mmm")</f>
        <v>Mar</v>
      </c>
      <c r="K1729">
        <v>2004</v>
      </c>
      <c r="L1729" t="s">
        <v>195</v>
      </c>
      <c r="M1729">
        <v>35</v>
      </c>
      <c r="N1729" t="s">
        <v>646</v>
      </c>
      <c r="O1729" t="s">
        <v>286</v>
      </c>
      <c r="P1729">
        <v>4155551450</v>
      </c>
      <c r="Q1729" t="s">
        <v>287</v>
      </c>
      <c r="S1729" t="s">
        <v>288</v>
      </c>
      <c r="T1729" t="s">
        <v>69</v>
      </c>
      <c r="U1729">
        <v>97562</v>
      </c>
      <c r="V1729" t="s">
        <v>46</v>
      </c>
      <c r="W1729" t="s">
        <v>47</v>
      </c>
      <c r="X1729" t="s">
        <v>289</v>
      </c>
      <c r="Y1729" t="s">
        <v>290</v>
      </c>
      <c r="Z1729" t="s">
        <v>50</v>
      </c>
    </row>
    <row r="1730" spans="1:26" x14ac:dyDescent="0.3">
      <c r="A1730">
        <v>10246</v>
      </c>
      <c r="B1730">
        <v>49</v>
      </c>
      <c r="C1730">
        <v>36.07</v>
      </c>
      <c r="D1730">
        <v>6</v>
      </c>
      <c r="E1730">
        <v>1767.43</v>
      </c>
      <c r="F1730" s="1">
        <v>38112</v>
      </c>
      <c r="G1730" t="s">
        <v>39</v>
      </c>
      <c r="H1730">
        <v>2</v>
      </c>
      <c r="I1730">
        <v>5</v>
      </c>
      <c r="J1730" t="str">
        <f>TEXT(DATE(2012,Table1[[#This Row],[MONTH_ID]],10),"mmm")</f>
        <v>May</v>
      </c>
      <c r="K1730">
        <v>2004</v>
      </c>
      <c r="L1730" t="s">
        <v>195</v>
      </c>
      <c r="M1730">
        <v>35</v>
      </c>
      <c r="N1730" t="s">
        <v>646</v>
      </c>
      <c r="O1730" t="s">
        <v>188</v>
      </c>
      <c r="P1730" t="s">
        <v>189</v>
      </c>
      <c r="Q1730" t="s">
        <v>190</v>
      </c>
      <c r="S1730" t="s">
        <v>191</v>
      </c>
      <c r="U1730">
        <v>28034</v>
      </c>
      <c r="V1730" t="s">
        <v>192</v>
      </c>
      <c r="W1730" t="s">
        <v>56</v>
      </c>
      <c r="X1730" t="s">
        <v>193</v>
      </c>
      <c r="Y1730" t="s">
        <v>194</v>
      </c>
      <c r="Z1730" t="s">
        <v>50</v>
      </c>
    </row>
    <row r="1731" spans="1:26" x14ac:dyDescent="0.3">
      <c r="A1731">
        <v>10259</v>
      </c>
      <c r="B1731">
        <v>31</v>
      </c>
      <c r="C1731">
        <v>33.24</v>
      </c>
      <c r="D1731">
        <v>5</v>
      </c>
      <c r="E1731">
        <v>1030.44</v>
      </c>
      <c r="F1731" s="1">
        <v>38153</v>
      </c>
      <c r="G1731" t="s">
        <v>39</v>
      </c>
      <c r="H1731">
        <v>2</v>
      </c>
      <c r="I1731">
        <v>6</v>
      </c>
      <c r="J1731" t="str">
        <f>TEXT(DATE(2012,Table1[[#This Row],[MONTH_ID]],10),"mmm")</f>
        <v>Jun</v>
      </c>
      <c r="K1731">
        <v>2004</v>
      </c>
      <c r="L1731" t="s">
        <v>195</v>
      </c>
      <c r="M1731">
        <v>35</v>
      </c>
      <c r="N1731" t="s">
        <v>646</v>
      </c>
      <c r="O1731" t="s">
        <v>432</v>
      </c>
      <c r="P1731" t="s">
        <v>433</v>
      </c>
      <c r="Q1731" t="s">
        <v>434</v>
      </c>
      <c r="R1731" t="s">
        <v>435</v>
      </c>
      <c r="S1731" t="s">
        <v>213</v>
      </c>
      <c r="U1731">
        <v>69045</v>
      </c>
      <c r="V1731" t="s">
        <v>213</v>
      </c>
      <c r="W1731" t="s">
        <v>110</v>
      </c>
      <c r="X1731" t="s">
        <v>436</v>
      </c>
      <c r="Y1731" t="s">
        <v>437</v>
      </c>
      <c r="Z1731" t="s">
        <v>50</v>
      </c>
    </row>
    <row r="1732" spans="1:26" x14ac:dyDescent="0.3">
      <c r="A1732">
        <v>10271</v>
      </c>
      <c r="B1732">
        <v>38</v>
      </c>
      <c r="C1732">
        <v>41.72</v>
      </c>
      <c r="D1732">
        <v>6</v>
      </c>
      <c r="E1732">
        <v>1585.36</v>
      </c>
      <c r="F1732" s="1">
        <v>38188</v>
      </c>
      <c r="G1732" t="s">
        <v>39</v>
      </c>
      <c r="H1732">
        <v>3</v>
      </c>
      <c r="I1732">
        <v>7</v>
      </c>
      <c r="J1732" t="str">
        <f>TEXT(DATE(2012,Table1[[#This Row],[MONTH_ID]],10),"mmm")</f>
        <v>Jul</v>
      </c>
      <c r="K1732">
        <v>2004</v>
      </c>
      <c r="L1732" t="s">
        <v>195</v>
      </c>
      <c r="M1732">
        <v>35</v>
      </c>
      <c r="N1732" t="s">
        <v>646</v>
      </c>
      <c r="O1732" t="s">
        <v>286</v>
      </c>
      <c r="P1732">
        <v>4155551450</v>
      </c>
      <c r="Q1732" t="s">
        <v>287</v>
      </c>
      <c r="S1732" t="s">
        <v>288</v>
      </c>
      <c r="T1732" t="s">
        <v>69</v>
      </c>
      <c r="U1732">
        <v>97562</v>
      </c>
      <c r="V1732" t="s">
        <v>46</v>
      </c>
      <c r="W1732" t="s">
        <v>47</v>
      </c>
      <c r="X1732" t="s">
        <v>289</v>
      </c>
      <c r="Y1732" t="s">
        <v>290</v>
      </c>
      <c r="Z1732" t="s">
        <v>50</v>
      </c>
    </row>
    <row r="1733" spans="1:26" x14ac:dyDescent="0.3">
      <c r="A1733">
        <v>10281</v>
      </c>
      <c r="B1733">
        <v>20</v>
      </c>
      <c r="C1733">
        <v>40.659999999999997</v>
      </c>
      <c r="D1733">
        <v>2</v>
      </c>
      <c r="E1733">
        <v>813.2</v>
      </c>
      <c r="F1733" s="1">
        <v>38218</v>
      </c>
      <c r="G1733" t="s">
        <v>39</v>
      </c>
      <c r="H1733">
        <v>3</v>
      </c>
      <c r="I1733">
        <v>8</v>
      </c>
      <c r="J1733" t="str">
        <f>TEXT(DATE(2012,Table1[[#This Row],[MONTH_ID]],10),"mmm")</f>
        <v>Aug</v>
      </c>
      <c r="K1733">
        <v>2004</v>
      </c>
      <c r="L1733" t="s">
        <v>195</v>
      </c>
      <c r="M1733">
        <v>35</v>
      </c>
      <c r="N1733" t="s">
        <v>646</v>
      </c>
      <c r="O1733" t="s">
        <v>153</v>
      </c>
      <c r="P1733">
        <v>2155551555</v>
      </c>
      <c r="Q1733" t="s">
        <v>154</v>
      </c>
      <c r="S1733" t="s">
        <v>155</v>
      </c>
      <c r="T1733" t="s">
        <v>156</v>
      </c>
      <c r="U1733">
        <v>70267</v>
      </c>
      <c r="V1733" t="s">
        <v>46</v>
      </c>
      <c r="W1733" t="s">
        <v>47</v>
      </c>
      <c r="X1733" t="s">
        <v>48</v>
      </c>
      <c r="Y1733" t="s">
        <v>157</v>
      </c>
      <c r="Z1733" t="s">
        <v>50</v>
      </c>
    </row>
    <row r="1734" spans="1:26" x14ac:dyDescent="0.3">
      <c r="A1734">
        <v>10292</v>
      </c>
      <c r="B1734">
        <v>39</v>
      </c>
      <c r="C1734">
        <v>30.06</v>
      </c>
      <c r="D1734">
        <v>9</v>
      </c>
      <c r="E1734">
        <v>1172.3399999999999</v>
      </c>
      <c r="F1734" s="1">
        <v>38238</v>
      </c>
      <c r="G1734" t="s">
        <v>39</v>
      </c>
      <c r="H1734">
        <v>3</v>
      </c>
      <c r="I1734">
        <v>9</v>
      </c>
      <c r="J1734" t="str">
        <f>TEXT(DATE(2012,Table1[[#This Row],[MONTH_ID]],10),"mmm")</f>
        <v>Sep</v>
      </c>
      <c r="K1734">
        <v>2004</v>
      </c>
      <c r="L1734" t="s">
        <v>195</v>
      </c>
      <c r="M1734">
        <v>35</v>
      </c>
      <c r="N1734" t="s">
        <v>646</v>
      </c>
      <c r="O1734" t="s">
        <v>42</v>
      </c>
      <c r="P1734">
        <v>2125557818</v>
      </c>
      <c r="Q1734" t="s">
        <v>43</v>
      </c>
      <c r="S1734" t="s">
        <v>44</v>
      </c>
      <c r="T1734" t="s">
        <v>45</v>
      </c>
      <c r="U1734">
        <v>10022</v>
      </c>
      <c r="V1734" t="s">
        <v>46</v>
      </c>
      <c r="W1734" t="s">
        <v>47</v>
      </c>
      <c r="X1734" t="s">
        <v>48</v>
      </c>
      <c r="Y1734" t="s">
        <v>49</v>
      </c>
      <c r="Z1734" t="s">
        <v>50</v>
      </c>
    </row>
    <row r="1735" spans="1:26" x14ac:dyDescent="0.3">
      <c r="A1735">
        <v>10305</v>
      </c>
      <c r="B1735">
        <v>48</v>
      </c>
      <c r="C1735">
        <v>31.47</v>
      </c>
      <c r="D1735">
        <v>6</v>
      </c>
      <c r="E1735">
        <v>1510.56</v>
      </c>
      <c r="F1735" s="1">
        <v>38273</v>
      </c>
      <c r="G1735" t="s">
        <v>39</v>
      </c>
      <c r="H1735">
        <v>4</v>
      </c>
      <c r="I1735">
        <v>10</v>
      </c>
      <c r="J1735" t="str">
        <f>TEXT(DATE(2012,Table1[[#This Row],[MONTH_ID]],10),"mmm")</f>
        <v>Oct</v>
      </c>
      <c r="K1735">
        <v>2004</v>
      </c>
      <c r="L1735" t="s">
        <v>195</v>
      </c>
      <c r="M1735">
        <v>35</v>
      </c>
      <c r="N1735" t="s">
        <v>646</v>
      </c>
      <c r="O1735" t="s">
        <v>134</v>
      </c>
      <c r="P1735">
        <v>6175558555</v>
      </c>
      <c r="Q1735" t="s">
        <v>135</v>
      </c>
      <c r="S1735" t="s">
        <v>136</v>
      </c>
      <c r="T1735" t="s">
        <v>137</v>
      </c>
      <c r="U1735">
        <v>51247</v>
      </c>
      <c r="V1735" t="s">
        <v>46</v>
      </c>
      <c r="W1735" t="s">
        <v>47</v>
      </c>
      <c r="X1735" t="s">
        <v>138</v>
      </c>
      <c r="Y1735" t="s">
        <v>139</v>
      </c>
      <c r="Z1735" t="s">
        <v>50</v>
      </c>
    </row>
    <row r="1736" spans="1:26" x14ac:dyDescent="0.3">
      <c r="A1736">
        <v>10314</v>
      </c>
      <c r="B1736">
        <v>39</v>
      </c>
      <c r="C1736">
        <v>37.130000000000003</v>
      </c>
      <c r="D1736">
        <v>15</v>
      </c>
      <c r="E1736">
        <v>1448.07</v>
      </c>
      <c r="F1736" s="1">
        <v>38282</v>
      </c>
      <c r="G1736" t="s">
        <v>39</v>
      </c>
      <c r="H1736">
        <v>4</v>
      </c>
      <c r="I1736">
        <v>10</v>
      </c>
      <c r="J1736" t="str">
        <f>TEXT(DATE(2012,Table1[[#This Row],[MONTH_ID]],10),"mmm")</f>
        <v>Oct</v>
      </c>
      <c r="K1736">
        <v>2004</v>
      </c>
      <c r="L1736" t="s">
        <v>195</v>
      </c>
      <c r="M1736">
        <v>35</v>
      </c>
      <c r="N1736" t="s">
        <v>646</v>
      </c>
      <c r="O1736" t="s">
        <v>512</v>
      </c>
      <c r="P1736" t="s">
        <v>513</v>
      </c>
      <c r="Q1736" t="s">
        <v>514</v>
      </c>
      <c r="S1736" t="s">
        <v>515</v>
      </c>
      <c r="U1736">
        <v>8200</v>
      </c>
      <c r="V1736" t="s">
        <v>340</v>
      </c>
      <c r="W1736" t="s">
        <v>56</v>
      </c>
      <c r="X1736" t="s">
        <v>516</v>
      </c>
      <c r="Y1736" t="s">
        <v>517</v>
      </c>
      <c r="Z1736" t="s">
        <v>50</v>
      </c>
    </row>
    <row r="1737" spans="1:26" x14ac:dyDescent="0.3">
      <c r="A1737">
        <v>10324</v>
      </c>
      <c r="B1737">
        <v>30</v>
      </c>
      <c r="C1737">
        <v>100</v>
      </c>
      <c r="D1737">
        <v>9</v>
      </c>
      <c r="E1737">
        <v>3338.1</v>
      </c>
      <c r="F1737" s="1">
        <v>38296</v>
      </c>
      <c r="G1737" t="s">
        <v>39</v>
      </c>
      <c r="H1737">
        <v>4</v>
      </c>
      <c r="I1737">
        <v>11</v>
      </c>
      <c r="J1737" t="str">
        <f>TEXT(DATE(2012,Table1[[#This Row],[MONTH_ID]],10),"mmm")</f>
        <v>Nov</v>
      </c>
      <c r="K1737">
        <v>2004</v>
      </c>
      <c r="L1737" t="s">
        <v>195</v>
      </c>
      <c r="M1737">
        <v>35</v>
      </c>
      <c r="N1737" t="s">
        <v>646</v>
      </c>
      <c r="O1737" t="s">
        <v>113</v>
      </c>
      <c r="P1737">
        <v>2125551500</v>
      </c>
      <c r="Q1737" t="s">
        <v>114</v>
      </c>
      <c r="R1737" t="s">
        <v>115</v>
      </c>
      <c r="S1737" t="s">
        <v>44</v>
      </c>
      <c r="T1737" t="s">
        <v>45</v>
      </c>
      <c r="U1737">
        <v>10022</v>
      </c>
      <c r="V1737" t="s">
        <v>46</v>
      </c>
      <c r="W1737" t="s">
        <v>47</v>
      </c>
      <c r="X1737" t="s">
        <v>116</v>
      </c>
      <c r="Y1737" t="s">
        <v>117</v>
      </c>
      <c r="Z1737" t="s">
        <v>65</v>
      </c>
    </row>
    <row r="1738" spans="1:26" x14ac:dyDescent="0.3">
      <c r="A1738">
        <v>10335</v>
      </c>
      <c r="B1738">
        <v>33</v>
      </c>
      <c r="C1738">
        <v>37.130000000000003</v>
      </c>
      <c r="D1738">
        <v>2</v>
      </c>
      <c r="E1738">
        <v>1225.29</v>
      </c>
      <c r="F1738" s="1">
        <v>38310</v>
      </c>
      <c r="G1738" t="s">
        <v>39</v>
      </c>
      <c r="H1738">
        <v>4</v>
      </c>
      <c r="I1738">
        <v>11</v>
      </c>
      <c r="J1738" t="str">
        <f>TEXT(DATE(2012,Table1[[#This Row],[MONTH_ID]],10),"mmm")</f>
        <v>Nov</v>
      </c>
      <c r="K1738">
        <v>2004</v>
      </c>
      <c r="L1738" t="s">
        <v>195</v>
      </c>
      <c r="M1738">
        <v>35</v>
      </c>
      <c r="N1738" t="s">
        <v>646</v>
      </c>
      <c r="O1738" t="s">
        <v>286</v>
      </c>
      <c r="P1738">
        <v>4155551450</v>
      </c>
      <c r="Q1738" t="s">
        <v>287</v>
      </c>
      <c r="S1738" t="s">
        <v>288</v>
      </c>
      <c r="T1738" t="s">
        <v>69</v>
      </c>
      <c r="U1738">
        <v>97562</v>
      </c>
      <c r="V1738" t="s">
        <v>46</v>
      </c>
      <c r="W1738" t="s">
        <v>47</v>
      </c>
      <c r="X1738" t="s">
        <v>289</v>
      </c>
      <c r="Y1738" t="s">
        <v>290</v>
      </c>
      <c r="Z1738" t="s">
        <v>50</v>
      </c>
    </row>
    <row r="1739" spans="1:26" x14ac:dyDescent="0.3">
      <c r="A1739">
        <v>10349</v>
      </c>
      <c r="B1739">
        <v>36</v>
      </c>
      <c r="C1739">
        <v>37.130000000000003</v>
      </c>
      <c r="D1739">
        <v>3</v>
      </c>
      <c r="E1739">
        <v>1336.68</v>
      </c>
      <c r="F1739" s="1">
        <v>38322</v>
      </c>
      <c r="G1739" t="s">
        <v>39</v>
      </c>
      <c r="H1739">
        <v>4</v>
      </c>
      <c r="I1739">
        <v>12</v>
      </c>
      <c r="J1739" t="str">
        <f>TEXT(DATE(2012,Table1[[#This Row],[MONTH_ID]],10),"mmm")</f>
        <v>Dec</v>
      </c>
      <c r="K1739">
        <v>2004</v>
      </c>
      <c r="L1739" t="s">
        <v>195</v>
      </c>
      <c r="M1739">
        <v>35</v>
      </c>
      <c r="N1739" t="s">
        <v>646</v>
      </c>
      <c r="O1739" t="s">
        <v>489</v>
      </c>
      <c r="P1739">
        <v>2125557413</v>
      </c>
      <c r="Q1739" t="s">
        <v>490</v>
      </c>
      <c r="R1739" t="s">
        <v>491</v>
      </c>
      <c r="S1739" t="s">
        <v>44</v>
      </c>
      <c r="T1739" t="s">
        <v>45</v>
      </c>
      <c r="U1739">
        <v>10022</v>
      </c>
      <c r="V1739" t="s">
        <v>46</v>
      </c>
      <c r="W1739" t="s">
        <v>47</v>
      </c>
      <c r="X1739" t="s">
        <v>70</v>
      </c>
      <c r="Y1739" t="s">
        <v>492</v>
      </c>
      <c r="Z1739" t="s">
        <v>50</v>
      </c>
    </row>
    <row r="1740" spans="1:26" x14ac:dyDescent="0.3">
      <c r="A1740">
        <v>10358</v>
      </c>
      <c r="B1740">
        <v>36</v>
      </c>
      <c r="C1740">
        <v>82.94</v>
      </c>
      <c r="D1740">
        <v>4</v>
      </c>
      <c r="E1740">
        <v>2985.84</v>
      </c>
      <c r="F1740" s="1">
        <v>38331</v>
      </c>
      <c r="G1740" t="s">
        <v>39</v>
      </c>
      <c r="H1740">
        <v>4</v>
      </c>
      <c r="I1740">
        <v>12</v>
      </c>
      <c r="J1740" t="str">
        <f>TEXT(DATE(2012,Table1[[#This Row],[MONTH_ID]],10),"mmm")</f>
        <v>Dec</v>
      </c>
      <c r="K1740">
        <v>2004</v>
      </c>
      <c r="L1740" t="s">
        <v>195</v>
      </c>
      <c r="M1740">
        <v>35</v>
      </c>
      <c r="N1740" t="s">
        <v>646</v>
      </c>
      <c r="O1740" t="s">
        <v>188</v>
      </c>
      <c r="P1740" t="s">
        <v>189</v>
      </c>
      <c r="Q1740" t="s">
        <v>190</v>
      </c>
      <c r="S1740" t="s">
        <v>191</v>
      </c>
      <c r="U1740">
        <v>28034</v>
      </c>
      <c r="V1740" t="s">
        <v>192</v>
      </c>
      <c r="W1740" t="s">
        <v>56</v>
      </c>
      <c r="X1740" t="s">
        <v>193</v>
      </c>
      <c r="Y1740" t="s">
        <v>194</v>
      </c>
      <c r="Z1740" t="s">
        <v>50</v>
      </c>
    </row>
    <row r="1741" spans="1:26" x14ac:dyDescent="0.3">
      <c r="A1741">
        <v>10371</v>
      </c>
      <c r="B1741">
        <v>45</v>
      </c>
      <c r="C1741">
        <v>100</v>
      </c>
      <c r="D1741">
        <v>8</v>
      </c>
      <c r="E1741">
        <v>5545.8</v>
      </c>
      <c r="F1741" s="1">
        <v>38375</v>
      </c>
      <c r="G1741" t="s">
        <v>39</v>
      </c>
      <c r="H1741">
        <v>1</v>
      </c>
      <c r="I1741">
        <v>1</v>
      </c>
      <c r="J1741" t="str">
        <f>TEXT(DATE(2012,Table1[[#This Row],[MONTH_ID]],10),"mmm")</f>
        <v>Jan</v>
      </c>
      <c r="K1741">
        <v>2005</v>
      </c>
      <c r="L1741" t="s">
        <v>195</v>
      </c>
      <c r="M1741">
        <v>35</v>
      </c>
      <c r="N1741" t="s">
        <v>646</v>
      </c>
      <c r="O1741" t="s">
        <v>286</v>
      </c>
      <c r="P1741">
        <v>4155551450</v>
      </c>
      <c r="Q1741" t="s">
        <v>287</v>
      </c>
      <c r="S1741" t="s">
        <v>288</v>
      </c>
      <c r="T1741" t="s">
        <v>69</v>
      </c>
      <c r="U1741">
        <v>97562</v>
      </c>
      <c r="V1741" t="s">
        <v>46</v>
      </c>
      <c r="W1741" t="s">
        <v>47</v>
      </c>
      <c r="X1741" t="s">
        <v>289</v>
      </c>
      <c r="Y1741" t="s">
        <v>290</v>
      </c>
      <c r="Z1741" t="s">
        <v>65</v>
      </c>
    </row>
    <row r="1742" spans="1:26" x14ac:dyDescent="0.3">
      <c r="A1742">
        <v>10383</v>
      </c>
      <c r="B1742">
        <v>40</v>
      </c>
      <c r="C1742">
        <v>100</v>
      </c>
      <c r="D1742">
        <v>3</v>
      </c>
      <c r="E1742">
        <v>6089.6</v>
      </c>
      <c r="F1742" s="1">
        <v>38405</v>
      </c>
      <c r="G1742" t="s">
        <v>39</v>
      </c>
      <c r="H1742">
        <v>1</v>
      </c>
      <c r="I1742">
        <v>2</v>
      </c>
      <c r="J1742" t="str">
        <f>TEXT(DATE(2012,Table1[[#This Row],[MONTH_ID]],10),"mmm")</f>
        <v>Feb</v>
      </c>
      <c r="K1742">
        <v>2005</v>
      </c>
      <c r="L1742" t="s">
        <v>195</v>
      </c>
      <c r="M1742">
        <v>35</v>
      </c>
      <c r="N1742" t="s">
        <v>646</v>
      </c>
      <c r="O1742" t="s">
        <v>188</v>
      </c>
      <c r="P1742" t="s">
        <v>189</v>
      </c>
      <c r="Q1742" t="s">
        <v>190</v>
      </c>
      <c r="S1742" t="s">
        <v>191</v>
      </c>
      <c r="U1742">
        <v>28034</v>
      </c>
      <c r="V1742" t="s">
        <v>192</v>
      </c>
      <c r="W1742" t="s">
        <v>56</v>
      </c>
      <c r="X1742" t="s">
        <v>193</v>
      </c>
      <c r="Y1742" t="s">
        <v>194</v>
      </c>
      <c r="Z1742" t="s">
        <v>65</v>
      </c>
    </row>
    <row r="1743" spans="1:26" x14ac:dyDescent="0.3">
      <c r="A1743">
        <v>10394</v>
      </c>
      <c r="B1743">
        <v>46</v>
      </c>
      <c r="C1743">
        <v>38.9</v>
      </c>
      <c r="D1743">
        <v>6</v>
      </c>
      <c r="E1743">
        <v>1789.4</v>
      </c>
      <c r="F1743" s="1">
        <v>38426</v>
      </c>
      <c r="G1743" t="s">
        <v>39</v>
      </c>
      <c r="H1743">
        <v>1</v>
      </c>
      <c r="I1743">
        <v>3</v>
      </c>
      <c r="J1743" t="str">
        <f>TEXT(DATE(2012,Table1[[#This Row],[MONTH_ID]],10),"mmm")</f>
        <v>Mar</v>
      </c>
      <c r="K1743">
        <v>2005</v>
      </c>
      <c r="L1743" t="s">
        <v>195</v>
      </c>
      <c r="M1743">
        <v>35</v>
      </c>
      <c r="N1743" t="s">
        <v>646</v>
      </c>
      <c r="O1743" t="s">
        <v>188</v>
      </c>
      <c r="P1743" t="s">
        <v>189</v>
      </c>
      <c r="Q1743" t="s">
        <v>190</v>
      </c>
      <c r="S1743" t="s">
        <v>191</v>
      </c>
      <c r="U1743">
        <v>28034</v>
      </c>
      <c r="V1743" t="s">
        <v>192</v>
      </c>
      <c r="W1743" t="s">
        <v>56</v>
      </c>
      <c r="X1743" t="s">
        <v>193</v>
      </c>
      <c r="Y1743" t="s">
        <v>194</v>
      </c>
      <c r="Z1743" t="s">
        <v>50</v>
      </c>
    </row>
    <row r="1744" spans="1:26" x14ac:dyDescent="0.3">
      <c r="A1744">
        <v>10412</v>
      </c>
      <c r="B1744">
        <v>30</v>
      </c>
      <c r="C1744">
        <v>36.07</v>
      </c>
      <c r="D1744">
        <v>6</v>
      </c>
      <c r="E1744">
        <v>1082.0999999999999</v>
      </c>
      <c r="F1744" s="1">
        <v>38475</v>
      </c>
      <c r="G1744" t="s">
        <v>39</v>
      </c>
      <c r="H1744">
        <v>2</v>
      </c>
      <c r="I1744">
        <v>5</v>
      </c>
      <c r="J1744" t="str">
        <f>TEXT(DATE(2012,Table1[[#This Row],[MONTH_ID]],10),"mmm")</f>
        <v>May</v>
      </c>
      <c r="K1744">
        <v>2005</v>
      </c>
      <c r="L1744" t="s">
        <v>195</v>
      </c>
      <c r="M1744">
        <v>35</v>
      </c>
      <c r="N1744" t="s">
        <v>646</v>
      </c>
      <c r="O1744" t="s">
        <v>188</v>
      </c>
      <c r="P1744" t="s">
        <v>189</v>
      </c>
      <c r="Q1744" t="s">
        <v>190</v>
      </c>
      <c r="S1744" t="s">
        <v>191</v>
      </c>
      <c r="U1744">
        <v>28034</v>
      </c>
      <c r="V1744" t="s">
        <v>192</v>
      </c>
      <c r="W1744" t="s">
        <v>56</v>
      </c>
      <c r="X1744" t="s">
        <v>193</v>
      </c>
      <c r="Y1744" t="s">
        <v>194</v>
      </c>
      <c r="Z1744" t="s">
        <v>50</v>
      </c>
    </row>
    <row r="1745" spans="1:26" x14ac:dyDescent="0.3">
      <c r="A1745">
        <v>10425</v>
      </c>
      <c r="B1745">
        <v>31</v>
      </c>
      <c r="C1745">
        <v>33.24</v>
      </c>
      <c r="D1745">
        <v>5</v>
      </c>
      <c r="E1745">
        <v>1030.44</v>
      </c>
      <c r="F1745" s="1">
        <v>38503</v>
      </c>
      <c r="G1745" t="s">
        <v>314</v>
      </c>
      <c r="H1745">
        <v>2</v>
      </c>
      <c r="I1745">
        <v>5</v>
      </c>
      <c r="J1745" t="str">
        <f>TEXT(DATE(2012,Table1[[#This Row],[MONTH_ID]],10),"mmm")</f>
        <v>May</v>
      </c>
      <c r="K1745">
        <v>2005</v>
      </c>
      <c r="L1745" t="s">
        <v>195</v>
      </c>
      <c r="M1745">
        <v>35</v>
      </c>
      <c r="N1745" t="s">
        <v>646</v>
      </c>
      <c r="O1745" t="s">
        <v>128</v>
      </c>
      <c r="P1745" t="s">
        <v>129</v>
      </c>
      <c r="Q1745" t="s">
        <v>130</v>
      </c>
      <c r="S1745" t="s">
        <v>131</v>
      </c>
      <c r="U1745">
        <v>44000</v>
      </c>
      <c r="V1745" t="s">
        <v>55</v>
      </c>
      <c r="W1745" t="s">
        <v>56</v>
      </c>
      <c r="X1745" t="s">
        <v>132</v>
      </c>
      <c r="Y1745" t="s">
        <v>133</v>
      </c>
      <c r="Z1745" t="s">
        <v>50</v>
      </c>
    </row>
    <row r="1746" spans="1:26" x14ac:dyDescent="0.3">
      <c r="A1746">
        <v>10106</v>
      </c>
      <c r="B1746">
        <v>49</v>
      </c>
      <c r="C1746">
        <v>74.680000000000007</v>
      </c>
      <c r="D1746">
        <v>13</v>
      </c>
      <c r="E1746">
        <v>3659.32</v>
      </c>
      <c r="F1746" s="1">
        <v>37669</v>
      </c>
      <c r="G1746" t="s">
        <v>39</v>
      </c>
      <c r="H1746">
        <v>1</v>
      </c>
      <c r="I1746">
        <v>2</v>
      </c>
      <c r="J1746" t="str">
        <f>TEXT(DATE(2012,Table1[[#This Row],[MONTH_ID]],10),"mmm")</f>
        <v>Feb</v>
      </c>
      <c r="K1746">
        <v>2003</v>
      </c>
      <c r="L1746" t="s">
        <v>580</v>
      </c>
      <c r="M1746">
        <v>68</v>
      </c>
      <c r="N1746" t="s">
        <v>647</v>
      </c>
      <c r="O1746" t="s">
        <v>566</v>
      </c>
      <c r="P1746" t="s">
        <v>567</v>
      </c>
      <c r="Q1746" t="s">
        <v>568</v>
      </c>
      <c r="S1746" t="s">
        <v>569</v>
      </c>
      <c r="U1746">
        <v>24100</v>
      </c>
      <c r="V1746" t="s">
        <v>272</v>
      </c>
      <c r="W1746" t="s">
        <v>56</v>
      </c>
      <c r="X1746" t="s">
        <v>570</v>
      </c>
      <c r="Y1746" t="s">
        <v>571</v>
      </c>
      <c r="Z1746" t="s">
        <v>65</v>
      </c>
    </row>
    <row r="1747" spans="1:26" x14ac:dyDescent="0.3">
      <c r="A1747">
        <v>10119</v>
      </c>
      <c r="B1747">
        <v>41</v>
      </c>
      <c r="C1747">
        <v>59.6</v>
      </c>
      <c r="D1747">
        <v>4</v>
      </c>
      <c r="E1747">
        <v>2443.6</v>
      </c>
      <c r="F1747" s="1">
        <v>37739</v>
      </c>
      <c r="G1747" t="s">
        <v>39</v>
      </c>
      <c r="H1747">
        <v>2</v>
      </c>
      <c r="I1747">
        <v>4</v>
      </c>
      <c r="J1747" t="str">
        <f>TEXT(DATE(2012,Table1[[#This Row],[MONTH_ID]],10),"mmm")</f>
        <v>Apr</v>
      </c>
      <c r="K1747">
        <v>2003</v>
      </c>
      <c r="L1747" t="s">
        <v>580</v>
      </c>
      <c r="M1747">
        <v>68</v>
      </c>
      <c r="N1747" t="s">
        <v>647</v>
      </c>
      <c r="O1747" t="s">
        <v>158</v>
      </c>
      <c r="P1747" t="s">
        <v>159</v>
      </c>
      <c r="Q1747" t="s">
        <v>160</v>
      </c>
      <c r="S1747" t="s">
        <v>161</v>
      </c>
      <c r="U1747">
        <v>5020</v>
      </c>
      <c r="V1747" t="s">
        <v>162</v>
      </c>
      <c r="W1747" t="s">
        <v>56</v>
      </c>
      <c r="X1747" t="s">
        <v>163</v>
      </c>
      <c r="Y1747" t="s">
        <v>164</v>
      </c>
      <c r="Z1747" t="s">
        <v>50</v>
      </c>
    </row>
    <row r="1748" spans="1:26" x14ac:dyDescent="0.3">
      <c r="A1748">
        <v>10131</v>
      </c>
      <c r="B1748">
        <v>35</v>
      </c>
      <c r="C1748">
        <v>67.14</v>
      </c>
      <c r="D1748">
        <v>5</v>
      </c>
      <c r="E1748">
        <v>2349.9</v>
      </c>
      <c r="F1748" s="1">
        <v>37788</v>
      </c>
      <c r="G1748" t="s">
        <v>39</v>
      </c>
      <c r="H1748">
        <v>2</v>
      </c>
      <c r="I1748">
        <v>6</v>
      </c>
      <c r="J1748" t="str">
        <f>TEXT(DATE(2012,Table1[[#This Row],[MONTH_ID]],10),"mmm")</f>
        <v>Jun</v>
      </c>
      <c r="K1748">
        <v>2003</v>
      </c>
      <c r="L1748" t="s">
        <v>580</v>
      </c>
      <c r="M1748">
        <v>68</v>
      </c>
      <c r="N1748" t="s">
        <v>647</v>
      </c>
      <c r="O1748" t="s">
        <v>582</v>
      </c>
      <c r="P1748">
        <v>2035554407</v>
      </c>
      <c r="Q1748" t="s">
        <v>583</v>
      </c>
      <c r="S1748" t="s">
        <v>530</v>
      </c>
      <c r="T1748" t="s">
        <v>126</v>
      </c>
      <c r="U1748">
        <v>97561</v>
      </c>
      <c r="V1748" t="s">
        <v>46</v>
      </c>
      <c r="W1748" t="s">
        <v>47</v>
      </c>
      <c r="X1748" t="s">
        <v>584</v>
      </c>
      <c r="Y1748" t="s">
        <v>585</v>
      </c>
      <c r="Z1748" t="s">
        <v>50</v>
      </c>
    </row>
    <row r="1749" spans="1:26" x14ac:dyDescent="0.3">
      <c r="A1749">
        <v>10143</v>
      </c>
      <c r="B1749">
        <v>27</v>
      </c>
      <c r="C1749">
        <v>60.97</v>
      </c>
      <c r="D1749">
        <v>8</v>
      </c>
      <c r="E1749">
        <v>1646.19</v>
      </c>
      <c r="F1749" s="1">
        <v>37843</v>
      </c>
      <c r="G1749" t="s">
        <v>39</v>
      </c>
      <c r="H1749">
        <v>3</v>
      </c>
      <c r="I1749">
        <v>8</v>
      </c>
      <c r="J1749" t="str">
        <f>TEXT(DATE(2012,Table1[[#This Row],[MONTH_ID]],10),"mmm")</f>
        <v>Aug</v>
      </c>
      <c r="K1749">
        <v>2003</v>
      </c>
      <c r="L1749" t="s">
        <v>580</v>
      </c>
      <c r="M1749">
        <v>68</v>
      </c>
      <c r="N1749" t="s">
        <v>647</v>
      </c>
      <c r="O1749" t="s">
        <v>349</v>
      </c>
      <c r="P1749">
        <v>5085559555</v>
      </c>
      <c r="Q1749" t="s">
        <v>350</v>
      </c>
      <c r="S1749" t="s">
        <v>176</v>
      </c>
      <c r="T1749" t="s">
        <v>137</v>
      </c>
      <c r="U1749">
        <v>50553</v>
      </c>
      <c r="V1749" t="s">
        <v>46</v>
      </c>
      <c r="W1749" t="s">
        <v>47</v>
      </c>
      <c r="X1749" t="s">
        <v>351</v>
      </c>
      <c r="Y1749" t="s">
        <v>352</v>
      </c>
      <c r="Z1749" t="s">
        <v>50</v>
      </c>
    </row>
    <row r="1750" spans="1:26" x14ac:dyDescent="0.3">
      <c r="A1750">
        <v>10155</v>
      </c>
      <c r="B1750">
        <v>23</v>
      </c>
      <c r="C1750">
        <v>72.62</v>
      </c>
      <c r="D1750">
        <v>6</v>
      </c>
      <c r="E1750">
        <v>1670.26</v>
      </c>
      <c r="F1750" s="1">
        <v>37900</v>
      </c>
      <c r="G1750" t="s">
        <v>39</v>
      </c>
      <c r="H1750">
        <v>4</v>
      </c>
      <c r="I1750">
        <v>10</v>
      </c>
      <c r="J1750" t="str">
        <f>TEXT(DATE(2012,Table1[[#This Row],[MONTH_ID]],10),"mmm")</f>
        <v>Oct</v>
      </c>
      <c r="K1750">
        <v>2003</v>
      </c>
      <c r="L1750" t="s">
        <v>580</v>
      </c>
      <c r="M1750">
        <v>68</v>
      </c>
      <c r="N1750" t="s">
        <v>647</v>
      </c>
      <c r="O1750" t="s">
        <v>140</v>
      </c>
      <c r="P1750" t="s">
        <v>141</v>
      </c>
      <c r="Q1750" t="s">
        <v>142</v>
      </c>
      <c r="S1750" t="s">
        <v>143</v>
      </c>
      <c r="U1750">
        <v>21240</v>
      </c>
      <c r="V1750" t="s">
        <v>144</v>
      </c>
      <c r="W1750" t="s">
        <v>56</v>
      </c>
      <c r="X1750" t="s">
        <v>145</v>
      </c>
      <c r="Y1750" t="s">
        <v>146</v>
      </c>
      <c r="Z1750" t="s">
        <v>50</v>
      </c>
    </row>
    <row r="1751" spans="1:26" x14ac:dyDescent="0.3">
      <c r="A1751">
        <v>10167</v>
      </c>
      <c r="B1751">
        <v>21</v>
      </c>
      <c r="C1751">
        <v>69.88</v>
      </c>
      <c r="D1751">
        <v>2</v>
      </c>
      <c r="E1751">
        <v>1467.48</v>
      </c>
      <c r="F1751" s="1">
        <v>37917</v>
      </c>
      <c r="G1751" t="s">
        <v>353</v>
      </c>
      <c r="H1751">
        <v>4</v>
      </c>
      <c r="I1751">
        <v>10</v>
      </c>
      <c r="J1751" t="str">
        <f>TEXT(DATE(2012,Table1[[#This Row],[MONTH_ID]],10),"mmm")</f>
        <v>Oct</v>
      </c>
      <c r="K1751">
        <v>2003</v>
      </c>
      <c r="L1751" t="s">
        <v>580</v>
      </c>
      <c r="M1751">
        <v>68</v>
      </c>
      <c r="N1751" t="s">
        <v>647</v>
      </c>
      <c r="O1751" t="s">
        <v>275</v>
      </c>
      <c r="P1751" t="s">
        <v>276</v>
      </c>
      <c r="Q1751" t="s">
        <v>277</v>
      </c>
      <c r="S1751" t="s">
        <v>278</v>
      </c>
      <c r="U1751" t="s">
        <v>279</v>
      </c>
      <c r="V1751" t="s">
        <v>202</v>
      </c>
      <c r="W1751" t="s">
        <v>56</v>
      </c>
      <c r="X1751" t="s">
        <v>280</v>
      </c>
      <c r="Y1751" t="s">
        <v>220</v>
      </c>
      <c r="Z1751" t="s">
        <v>50</v>
      </c>
    </row>
    <row r="1752" spans="1:26" x14ac:dyDescent="0.3">
      <c r="A1752">
        <v>10178</v>
      </c>
      <c r="B1752">
        <v>34</v>
      </c>
      <c r="C1752">
        <v>80.84</v>
      </c>
      <c r="D1752">
        <v>5</v>
      </c>
      <c r="E1752">
        <v>2748.56</v>
      </c>
      <c r="F1752" s="1">
        <v>37933</v>
      </c>
      <c r="G1752" t="s">
        <v>39</v>
      </c>
      <c r="H1752">
        <v>4</v>
      </c>
      <c r="I1752">
        <v>11</v>
      </c>
      <c r="J1752" t="str">
        <f>TEXT(DATE(2012,Table1[[#This Row],[MONTH_ID]],10),"mmm")</f>
        <v>Nov</v>
      </c>
      <c r="K1752">
        <v>2003</v>
      </c>
      <c r="L1752" t="s">
        <v>580</v>
      </c>
      <c r="M1752">
        <v>68</v>
      </c>
      <c r="N1752" t="s">
        <v>647</v>
      </c>
      <c r="O1752" t="s">
        <v>354</v>
      </c>
      <c r="P1752" t="s">
        <v>355</v>
      </c>
      <c r="Q1752" t="s">
        <v>356</v>
      </c>
      <c r="S1752" t="s">
        <v>357</v>
      </c>
      <c r="U1752">
        <v>31000</v>
      </c>
      <c r="V1752" t="s">
        <v>55</v>
      </c>
      <c r="W1752" t="s">
        <v>56</v>
      </c>
      <c r="X1752" t="s">
        <v>358</v>
      </c>
      <c r="Y1752" t="s">
        <v>359</v>
      </c>
      <c r="Z1752" t="s">
        <v>50</v>
      </c>
    </row>
    <row r="1753" spans="1:26" x14ac:dyDescent="0.3">
      <c r="A1753">
        <v>10186</v>
      </c>
      <c r="B1753">
        <v>22</v>
      </c>
      <c r="C1753">
        <v>69.2</v>
      </c>
      <c r="D1753">
        <v>2</v>
      </c>
      <c r="E1753">
        <v>1522.4</v>
      </c>
      <c r="F1753" s="1">
        <v>37939</v>
      </c>
      <c r="G1753" t="s">
        <v>39</v>
      </c>
      <c r="H1753">
        <v>4</v>
      </c>
      <c r="I1753">
        <v>11</v>
      </c>
      <c r="J1753" t="str">
        <f>TEXT(DATE(2012,Table1[[#This Row],[MONTH_ID]],10),"mmm")</f>
        <v>Nov</v>
      </c>
      <c r="K1753">
        <v>2003</v>
      </c>
      <c r="L1753" t="s">
        <v>580</v>
      </c>
      <c r="M1753">
        <v>68</v>
      </c>
      <c r="N1753" t="s">
        <v>647</v>
      </c>
      <c r="O1753" t="s">
        <v>360</v>
      </c>
      <c r="P1753" t="s">
        <v>361</v>
      </c>
      <c r="Q1753" t="s">
        <v>362</v>
      </c>
      <c r="S1753" t="s">
        <v>346</v>
      </c>
      <c r="U1753" t="s">
        <v>363</v>
      </c>
      <c r="V1753" t="s">
        <v>184</v>
      </c>
      <c r="W1753" t="s">
        <v>56</v>
      </c>
      <c r="X1753" t="s">
        <v>364</v>
      </c>
      <c r="Y1753" t="s">
        <v>365</v>
      </c>
      <c r="Z1753" t="s">
        <v>50</v>
      </c>
    </row>
    <row r="1754" spans="1:26" x14ac:dyDescent="0.3">
      <c r="A1754">
        <v>10198</v>
      </c>
      <c r="B1754">
        <v>48</v>
      </c>
      <c r="C1754">
        <v>67.819999999999993</v>
      </c>
      <c r="D1754">
        <v>5</v>
      </c>
      <c r="E1754">
        <v>3255.36</v>
      </c>
      <c r="F1754" s="1">
        <v>37952</v>
      </c>
      <c r="G1754" t="s">
        <v>39</v>
      </c>
      <c r="H1754">
        <v>4</v>
      </c>
      <c r="I1754">
        <v>11</v>
      </c>
      <c r="J1754" t="str">
        <f>TEXT(DATE(2012,Table1[[#This Row],[MONTH_ID]],10),"mmm")</f>
        <v>Nov</v>
      </c>
      <c r="K1754">
        <v>2003</v>
      </c>
      <c r="L1754" t="s">
        <v>580</v>
      </c>
      <c r="M1754">
        <v>68</v>
      </c>
      <c r="N1754" t="s">
        <v>647</v>
      </c>
      <c r="O1754" t="s">
        <v>439</v>
      </c>
      <c r="P1754" t="s">
        <v>440</v>
      </c>
      <c r="Q1754" t="s">
        <v>441</v>
      </c>
      <c r="S1754" t="s">
        <v>442</v>
      </c>
      <c r="U1754" t="s">
        <v>443</v>
      </c>
      <c r="V1754" t="s">
        <v>444</v>
      </c>
      <c r="W1754" t="s">
        <v>214</v>
      </c>
      <c r="X1754" t="s">
        <v>445</v>
      </c>
      <c r="Y1754" t="s">
        <v>446</v>
      </c>
      <c r="Z1754" t="s">
        <v>65</v>
      </c>
    </row>
    <row r="1755" spans="1:26" x14ac:dyDescent="0.3">
      <c r="A1755">
        <v>10209</v>
      </c>
      <c r="B1755">
        <v>43</v>
      </c>
      <c r="C1755">
        <v>82.21</v>
      </c>
      <c r="D1755">
        <v>1</v>
      </c>
      <c r="E1755">
        <v>3535.03</v>
      </c>
      <c r="F1755" s="1">
        <v>37995</v>
      </c>
      <c r="G1755" t="s">
        <v>39</v>
      </c>
      <c r="H1755">
        <v>1</v>
      </c>
      <c r="I1755">
        <v>1</v>
      </c>
      <c r="J1755" t="str">
        <f>TEXT(DATE(2012,Table1[[#This Row],[MONTH_ID]],10),"mmm")</f>
        <v>Jan</v>
      </c>
      <c r="K1755">
        <v>2004</v>
      </c>
      <c r="L1755" t="s">
        <v>580</v>
      </c>
      <c r="M1755">
        <v>68</v>
      </c>
      <c r="N1755" t="s">
        <v>647</v>
      </c>
      <c r="O1755" t="s">
        <v>372</v>
      </c>
      <c r="P1755">
        <v>2155554369</v>
      </c>
      <c r="Q1755" t="s">
        <v>373</v>
      </c>
      <c r="S1755" t="s">
        <v>374</v>
      </c>
      <c r="T1755" t="s">
        <v>69</v>
      </c>
      <c r="V1755" t="s">
        <v>46</v>
      </c>
      <c r="W1755" t="s">
        <v>47</v>
      </c>
      <c r="X1755" t="s">
        <v>375</v>
      </c>
      <c r="Y1755" t="s">
        <v>117</v>
      </c>
      <c r="Z1755" t="s">
        <v>65</v>
      </c>
    </row>
    <row r="1756" spans="1:26" x14ac:dyDescent="0.3">
      <c r="A1756">
        <v>10222</v>
      </c>
      <c r="B1756">
        <v>32</v>
      </c>
      <c r="C1756">
        <v>81.53</v>
      </c>
      <c r="D1756">
        <v>5</v>
      </c>
      <c r="E1756">
        <v>2608.96</v>
      </c>
      <c r="F1756" s="1">
        <v>38036</v>
      </c>
      <c r="G1756" t="s">
        <v>39</v>
      </c>
      <c r="H1756">
        <v>1</v>
      </c>
      <c r="I1756">
        <v>2</v>
      </c>
      <c r="J1756" t="str">
        <f>TEXT(DATE(2012,Table1[[#This Row],[MONTH_ID]],10),"mmm")</f>
        <v>Feb</v>
      </c>
      <c r="K1756">
        <v>2004</v>
      </c>
      <c r="L1756" t="s">
        <v>580</v>
      </c>
      <c r="M1756">
        <v>68</v>
      </c>
      <c r="N1756" t="s">
        <v>647</v>
      </c>
      <c r="O1756" t="s">
        <v>376</v>
      </c>
      <c r="P1756">
        <v>7605558146</v>
      </c>
      <c r="Q1756" t="s">
        <v>377</v>
      </c>
      <c r="S1756" t="s">
        <v>378</v>
      </c>
      <c r="T1756" t="s">
        <v>69</v>
      </c>
      <c r="U1756">
        <v>91217</v>
      </c>
      <c r="V1756" t="s">
        <v>46</v>
      </c>
      <c r="W1756" t="s">
        <v>47</v>
      </c>
      <c r="X1756" t="s">
        <v>251</v>
      </c>
      <c r="Y1756" t="s">
        <v>290</v>
      </c>
      <c r="Z1756" t="s">
        <v>50</v>
      </c>
    </row>
    <row r="1757" spans="1:26" x14ac:dyDescent="0.3">
      <c r="A1757">
        <v>10249</v>
      </c>
      <c r="B1757">
        <v>20</v>
      </c>
      <c r="C1757">
        <v>67.819999999999993</v>
      </c>
      <c r="D1757">
        <v>1</v>
      </c>
      <c r="E1757">
        <v>1356.4</v>
      </c>
      <c r="F1757" s="1">
        <v>38115</v>
      </c>
      <c r="G1757" t="s">
        <v>39</v>
      </c>
      <c r="H1757">
        <v>2</v>
      </c>
      <c r="I1757">
        <v>5</v>
      </c>
      <c r="J1757" t="str">
        <f>TEXT(DATE(2012,Table1[[#This Row],[MONTH_ID]],10),"mmm")</f>
        <v>May</v>
      </c>
      <c r="K1757">
        <v>2004</v>
      </c>
      <c r="L1757" t="s">
        <v>580</v>
      </c>
      <c r="M1757">
        <v>68</v>
      </c>
      <c r="N1757" t="s">
        <v>647</v>
      </c>
      <c r="O1757" t="s">
        <v>253</v>
      </c>
      <c r="P1757">
        <v>6175555555</v>
      </c>
      <c r="Q1757" t="s">
        <v>254</v>
      </c>
      <c r="S1757" t="s">
        <v>136</v>
      </c>
      <c r="T1757" t="s">
        <v>137</v>
      </c>
      <c r="U1757">
        <v>51247</v>
      </c>
      <c r="V1757" t="s">
        <v>46</v>
      </c>
      <c r="W1757" t="s">
        <v>47</v>
      </c>
      <c r="X1757" t="s">
        <v>255</v>
      </c>
      <c r="Y1757" t="s">
        <v>157</v>
      </c>
      <c r="Z1757" t="s">
        <v>50</v>
      </c>
    </row>
    <row r="1758" spans="1:26" x14ac:dyDescent="0.3">
      <c r="A1758">
        <v>10262</v>
      </c>
      <c r="B1758">
        <v>24</v>
      </c>
      <c r="C1758">
        <v>67.14</v>
      </c>
      <c r="D1758">
        <v>10</v>
      </c>
      <c r="E1758">
        <v>1611.36</v>
      </c>
      <c r="F1758" s="1">
        <v>38162</v>
      </c>
      <c r="G1758" t="s">
        <v>353</v>
      </c>
      <c r="H1758">
        <v>2</v>
      </c>
      <c r="I1758">
        <v>6</v>
      </c>
      <c r="J1758" t="str">
        <f>TEXT(DATE(2012,Table1[[#This Row],[MONTH_ID]],10),"mmm")</f>
        <v>Jun</v>
      </c>
      <c r="K1758">
        <v>2004</v>
      </c>
      <c r="L1758" t="s">
        <v>580</v>
      </c>
      <c r="M1758">
        <v>68</v>
      </c>
      <c r="N1758" t="s">
        <v>647</v>
      </c>
      <c r="O1758" t="s">
        <v>188</v>
      </c>
      <c r="P1758" t="s">
        <v>189</v>
      </c>
      <c r="Q1758" t="s">
        <v>190</v>
      </c>
      <c r="S1758" t="s">
        <v>191</v>
      </c>
      <c r="U1758">
        <v>28034</v>
      </c>
      <c r="V1758" t="s">
        <v>192</v>
      </c>
      <c r="W1758" t="s">
        <v>56</v>
      </c>
      <c r="X1758" t="s">
        <v>193</v>
      </c>
      <c r="Y1758" t="s">
        <v>194</v>
      </c>
      <c r="Z1758" t="s">
        <v>50</v>
      </c>
    </row>
    <row r="1759" spans="1:26" x14ac:dyDescent="0.3">
      <c r="A1759">
        <v>10274</v>
      </c>
      <c r="B1759">
        <v>40</v>
      </c>
      <c r="C1759">
        <v>65.08</v>
      </c>
      <c r="D1759">
        <v>2</v>
      </c>
      <c r="E1759">
        <v>2603.1999999999998</v>
      </c>
      <c r="F1759" s="1">
        <v>38189</v>
      </c>
      <c r="G1759" t="s">
        <v>39</v>
      </c>
      <c r="H1759">
        <v>3</v>
      </c>
      <c r="I1759">
        <v>7</v>
      </c>
      <c r="J1759" t="str">
        <f>TEXT(DATE(2012,Table1[[#This Row],[MONTH_ID]],10),"mmm")</f>
        <v>Jul</v>
      </c>
      <c r="K1759">
        <v>2004</v>
      </c>
      <c r="L1759" t="s">
        <v>580</v>
      </c>
      <c r="M1759">
        <v>68</v>
      </c>
      <c r="N1759" t="s">
        <v>647</v>
      </c>
      <c r="O1759" t="s">
        <v>295</v>
      </c>
      <c r="P1759">
        <v>6175558555</v>
      </c>
      <c r="Q1759" t="s">
        <v>296</v>
      </c>
      <c r="S1759" t="s">
        <v>297</v>
      </c>
      <c r="T1759" t="s">
        <v>137</v>
      </c>
      <c r="U1759">
        <v>58339</v>
      </c>
      <c r="V1759" t="s">
        <v>46</v>
      </c>
      <c r="W1759" t="s">
        <v>47</v>
      </c>
      <c r="X1759" t="s">
        <v>289</v>
      </c>
      <c r="Y1759" t="s">
        <v>298</v>
      </c>
      <c r="Z1759" t="s">
        <v>50</v>
      </c>
    </row>
    <row r="1760" spans="1:26" x14ac:dyDescent="0.3">
      <c r="A1760">
        <v>10284</v>
      </c>
      <c r="B1760">
        <v>30</v>
      </c>
      <c r="C1760">
        <v>73.989999999999995</v>
      </c>
      <c r="D1760">
        <v>12</v>
      </c>
      <c r="E1760">
        <v>2219.6999999999998</v>
      </c>
      <c r="F1760" s="1">
        <v>38220</v>
      </c>
      <c r="G1760" t="s">
        <v>39</v>
      </c>
      <c r="H1760">
        <v>3</v>
      </c>
      <c r="I1760">
        <v>8</v>
      </c>
      <c r="J1760" t="str">
        <f>TEXT(DATE(2012,Table1[[#This Row],[MONTH_ID]],10),"mmm")</f>
        <v>Aug</v>
      </c>
      <c r="K1760">
        <v>2004</v>
      </c>
      <c r="L1760" t="s">
        <v>580</v>
      </c>
      <c r="M1760">
        <v>68</v>
      </c>
      <c r="N1760" t="s">
        <v>647</v>
      </c>
      <c r="O1760" t="s">
        <v>557</v>
      </c>
      <c r="P1760" t="s">
        <v>558</v>
      </c>
      <c r="Q1760" t="s">
        <v>559</v>
      </c>
      <c r="S1760" t="s">
        <v>560</v>
      </c>
      <c r="U1760" t="s">
        <v>561</v>
      </c>
      <c r="V1760" t="s">
        <v>92</v>
      </c>
      <c r="W1760" t="s">
        <v>56</v>
      </c>
      <c r="X1760" t="s">
        <v>562</v>
      </c>
      <c r="Y1760" t="s">
        <v>563</v>
      </c>
      <c r="Z1760" t="s">
        <v>50</v>
      </c>
    </row>
    <row r="1761" spans="1:26" x14ac:dyDescent="0.3">
      <c r="A1761">
        <v>10296</v>
      </c>
      <c r="B1761">
        <v>21</v>
      </c>
      <c r="C1761">
        <v>71.25</v>
      </c>
      <c r="D1761">
        <v>8</v>
      </c>
      <c r="E1761">
        <v>1496.25</v>
      </c>
      <c r="F1761" s="1">
        <v>38245</v>
      </c>
      <c r="G1761" t="s">
        <v>39</v>
      </c>
      <c r="H1761">
        <v>3</v>
      </c>
      <c r="I1761">
        <v>9</v>
      </c>
      <c r="J1761" t="str">
        <f>TEXT(DATE(2012,Table1[[#This Row],[MONTH_ID]],10),"mmm")</f>
        <v>Sep</v>
      </c>
      <c r="K1761">
        <v>2004</v>
      </c>
      <c r="L1761" t="s">
        <v>580</v>
      </c>
      <c r="M1761">
        <v>68</v>
      </c>
      <c r="N1761" t="s">
        <v>647</v>
      </c>
      <c r="O1761" t="s">
        <v>586</v>
      </c>
      <c r="P1761" t="s">
        <v>587</v>
      </c>
      <c r="Q1761" t="s">
        <v>588</v>
      </c>
      <c r="S1761" t="s">
        <v>589</v>
      </c>
      <c r="U1761">
        <v>80686</v>
      </c>
      <c r="V1761" t="s">
        <v>457</v>
      </c>
      <c r="W1761" t="s">
        <v>56</v>
      </c>
      <c r="X1761" t="s">
        <v>590</v>
      </c>
      <c r="Y1761" t="s">
        <v>117</v>
      </c>
      <c r="Z1761" t="s">
        <v>50</v>
      </c>
    </row>
    <row r="1762" spans="1:26" x14ac:dyDescent="0.3">
      <c r="A1762">
        <v>10307</v>
      </c>
      <c r="B1762">
        <v>25</v>
      </c>
      <c r="C1762">
        <v>75.36</v>
      </c>
      <c r="D1762">
        <v>2</v>
      </c>
      <c r="E1762">
        <v>1884</v>
      </c>
      <c r="F1762" s="1">
        <v>38274</v>
      </c>
      <c r="G1762" t="s">
        <v>39</v>
      </c>
      <c r="H1762">
        <v>4</v>
      </c>
      <c r="I1762">
        <v>10</v>
      </c>
      <c r="J1762" t="str">
        <f>TEXT(DATE(2012,Table1[[#This Row],[MONTH_ID]],10),"mmm")</f>
        <v>Oct</v>
      </c>
      <c r="K1762">
        <v>2004</v>
      </c>
      <c r="L1762" t="s">
        <v>580</v>
      </c>
      <c r="M1762">
        <v>68</v>
      </c>
      <c r="N1762" t="s">
        <v>647</v>
      </c>
      <c r="O1762" t="s">
        <v>228</v>
      </c>
      <c r="P1762">
        <v>2155554695</v>
      </c>
      <c r="Q1762" t="s">
        <v>229</v>
      </c>
      <c r="S1762" t="s">
        <v>230</v>
      </c>
      <c r="T1762" t="s">
        <v>156</v>
      </c>
      <c r="U1762">
        <v>71270</v>
      </c>
      <c r="V1762" t="s">
        <v>46</v>
      </c>
      <c r="W1762" t="s">
        <v>47</v>
      </c>
      <c r="X1762" t="s">
        <v>231</v>
      </c>
      <c r="Y1762" t="s">
        <v>232</v>
      </c>
      <c r="Z1762" t="s">
        <v>50</v>
      </c>
    </row>
    <row r="1763" spans="1:26" x14ac:dyDescent="0.3">
      <c r="A1763">
        <v>10316</v>
      </c>
      <c r="B1763">
        <v>34</v>
      </c>
      <c r="C1763">
        <v>63.71</v>
      </c>
      <c r="D1763">
        <v>10</v>
      </c>
      <c r="E1763">
        <v>2166.14</v>
      </c>
      <c r="F1763" s="1">
        <v>38292</v>
      </c>
      <c r="G1763" t="s">
        <v>39</v>
      </c>
      <c r="H1763">
        <v>4</v>
      </c>
      <c r="I1763">
        <v>11</v>
      </c>
      <c r="J1763" t="str">
        <f>TEXT(DATE(2012,Table1[[#This Row],[MONTH_ID]],10),"mmm")</f>
        <v>Nov</v>
      </c>
      <c r="K1763">
        <v>2004</v>
      </c>
      <c r="L1763" t="s">
        <v>580</v>
      </c>
      <c r="M1763">
        <v>68</v>
      </c>
      <c r="N1763" t="s">
        <v>647</v>
      </c>
      <c r="O1763" t="s">
        <v>397</v>
      </c>
      <c r="P1763" t="s">
        <v>398</v>
      </c>
      <c r="Q1763" t="s">
        <v>399</v>
      </c>
      <c r="S1763" t="s">
        <v>400</v>
      </c>
      <c r="T1763" t="s">
        <v>401</v>
      </c>
      <c r="U1763" t="s">
        <v>402</v>
      </c>
      <c r="V1763" t="s">
        <v>184</v>
      </c>
      <c r="W1763" t="s">
        <v>56</v>
      </c>
      <c r="X1763" t="s">
        <v>403</v>
      </c>
      <c r="Y1763" t="s">
        <v>404</v>
      </c>
      <c r="Z1763" t="s">
        <v>50</v>
      </c>
    </row>
    <row r="1764" spans="1:26" x14ac:dyDescent="0.3">
      <c r="A1764">
        <v>10328</v>
      </c>
      <c r="B1764">
        <v>48</v>
      </c>
      <c r="C1764">
        <v>58.92</v>
      </c>
      <c r="D1764">
        <v>1</v>
      </c>
      <c r="E1764">
        <v>2828.16</v>
      </c>
      <c r="F1764" s="1">
        <v>38303</v>
      </c>
      <c r="G1764" t="s">
        <v>39</v>
      </c>
      <c r="H1764">
        <v>4</v>
      </c>
      <c r="I1764">
        <v>11</v>
      </c>
      <c r="J1764" t="str">
        <f>TEXT(DATE(2012,Table1[[#This Row],[MONTH_ID]],10),"mmm")</f>
        <v>Nov</v>
      </c>
      <c r="K1764">
        <v>2004</v>
      </c>
      <c r="L1764" t="s">
        <v>580</v>
      </c>
      <c r="M1764">
        <v>68</v>
      </c>
      <c r="N1764" t="s">
        <v>647</v>
      </c>
      <c r="O1764" t="s">
        <v>566</v>
      </c>
      <c r="P1764" t="s">
        <v>567</v>
      </c>
      <c r="Q1764" t="s">
        <v>568</v>
      </c>
      <c r="S1764" t="s">
        <v>569</v>
      </c>
      <c r="U1764">
        <v>24100</v>
      </c>
      <c r="V1764" t="s">
        <v>272</v>
      </c>
      <c r="W1764" t="s">
        <v>56</v>
      </c>
      <c r="X1764" t="s">
        <v>570</v>
      </c>
      <c r="Y1764" t="s">
        <v>571</v>
      </c>
      <c r="Z1764" t="s">
        <v>50</v>
      </c>
    </row>
    <row r="1765" spans="1:26" x14ac:dyDescent="0.3">
      <c r="A1765">
        <v>10339</v>
      </c>
      <c r="B1765">
        <v>55</v>
      </c>
      <c r="C1765">
        <v>100</v>
      </c>
      <c r="D1765">
        <v>12</v>
      </c>
      <c r="E1765">
        <v>6214.45</v>
      </c>
      <c r="F1765" s="1">
        <v>38314</v>
      </c>
      <c r="G1765" t="s">
        <v>39</v>
      </c>
      <c r="H1765">
        <v>4</v>
      </c>
      <c r="I1765">
        <v>11</v>
      </c>
      <c r="J1765" t="str">
        <f>TEXT(DATE(2012,Table1[[#This Row],[MONTH_ID]],10),"mmm")</f>
        <v>Nov</v>
      </c>
      <c r="K1765">
        <v>2004</v>
      </c>
      <c r="L1765" t="s">
        <v>580</v>
      </c>
      <c r="M1765">
        <v>68</v>
      </c>
      <c r="N1765" t="s">
        <v>647</v>
      </c>
      <c r="O1765" t="s">
        <v>260</v>
      </c>
      <c r="P1765" t="s">
        <v>261</v>
      </c>
      <c r="Q1765" t="s">
        <v>262</v>
      </c>
      <c r="S1765" t="s">
        <v>263</v>
      </c>
      <c r="T1765" t="s">
        <v>264</v>
      </c>
      <c r="U1765" t="s">
        <v>265</v>
      </c>
      <c r="V1765" t="s">
        <v>214</v>
      </c>
      <c r="W1765" t="s">
        <v>214</v>
      </c>
      <c r="X1765" t="s">
        <v>266</v>
      </c>
      <c r="Y1765" t="s">
        <v>267</v>
      </c>
      <c r="Z1765" t="s">
        <v>65</v>
      </c>
    </row>
    <row r="1766" spans="1:26" x14ac:dyDescent="0.3">
      <c r="A1766">
        <v>10351</v>
      </c>
      <c r="B1766">
        <v>25</v>
      </c>
      <c r="C1766">
        <v>74.680000000000007</v>
      </c>
      <c r="D1766">
        <v>5</v>
      </c>
      <c r="E1766">
        <v>1867</v>
      </c>
      <c r="F1766" s="1">
        <v>38324</v>
      </c>
      <c r="G1766" t="s">
        <v>39</v>
      </c>
      <c r="H1766">
        <v>4</v>
      </c>
      <c r="I1766">
        <v>12</v>
      </c>
      <c r="J1766" t="str">
        <f>TEXT(DATE(2012,Table1[[#This Row],[MONTH_ID]],10),"mmm")</f>
        <v>Dec</v>
      </c>
      <c r="K1766">
        <v>2004</v>
      </c>
      <c r="L1766" t="s">
        <v>580</v>
      </c>
      <c r="M1766">
        <v>68</v>
      </c>
      <c r="N1766" t="s">
        <v>647</v>
      </c>
      <c r="O1766" t="s">
        <v>343</v>
      </c>
      <c r="P1766" t="s">
        <v>344</v>
      </c>
      <c r="Q1766" t="s">
        <v>345</v>
      </c>
      <c r="S1766" t="s">
        <v>346</v>
      </c>
      <c r="U1766" t="s">
        <v>347</v>
      </c>
      <c r="V1766" t="s">
        <v>184</v>
      </c>
      <c r="W1766" t="s">
        <v>56</v>
      </c>
      <c r="X1766" t="s">
        <v>75</v>
      </c>
      <c r="Y1766" t="s">
        <v>348</v>
      </c>
      <c r="Z1766" t="s">
        <v>50</v>
      </c>
    </row>
    <row r="1767" spans="1:26" x14ac:dyDescent="0.3">
      <c r="A1767">
        <v>10373</v>
      </c>
      <c r="B1767">
        <v>38</v>
      </c>
      <c r="C1767">
        <v>70.44</v>
      </c>
      <c r="D1767">
        <v>7</v>
      </c>
      <c r="E1767">
        <v>2676.72</v>
      </c>
      <c r="F1767" s="1">
        <v>38383</v>
      </c>
      <c r="G1767" t="s">
        <v>39</v>
      </c>
      <c r="H1767">
        <v>1</v>
      </c>
      <c r="I1767">
        <v>1</v>
      </c>
      <c r="J1767" t="str">
        <f>TEXT(DATE(2012,Table1[[#This Row],[MONTH_ID]],10),"mmm")</f>
        <v>Jan</v>
      </c>
      <c r="K1767">
        <v>2005</v>
      </c>
      <c r="L1767" t="s">
        <v>580</v>
      </c>
      <c r="M1767">
        <v>68</v>
      </c>
      <c r="N1767" t="s">
        <v>647</v>
      </c>
      <c r="O1767" t="s">
        <v>405</v>
      </c>
      <c r="P1767" t="s">
        <v>406</v>
      </c>
      <c r="Q1767" t="s">
        <v>407</v>
      </c>
      <c r="S1767" t="s">
        <v>408</v>
      </c>
      <c r="U1767">
        <v>90110</v>
      </c>
      <c r="V1767" t="s">
        <v>144</v>
      </c>
      <c r="W1767" t="s">
        <v>56</v>
      </c>
      <c r="X1767" t="s">
        <v>409</v>
      </c>
      <c r="Y1767" t="s">
        <v>410</v>
      </c>
      <c r="Z1767" t="s">
        <v>50</v>
      </c>
    </row>
    <row r="1768" spans="1:26" x14ac:dyDescent="0.3">
      <c r="A1768">
        <v>10386</v>
      </c>
      <c r="B1768">
        <v>39</v>
      </c>
      <c r="C1768">
        <v>55.96</v>
      </c>
      <c r="D1768">
        <v>1</v>
      </c>
      <c r="E1768">
        <v>2182.44</v>
      </c>
      <c r="F1768" s="1">
        <v>38412</v>
      </c>
      <c r="G1768" t="s">
        <v>422</v>
      </c>
      <c r="H1768">
        <v>1</v>
      </c>
      <c r="I1768">
        <v>3</v>
      </c>
      <c r="J1768" t="str">
        <f>TEXT(DATE(2012,Table1[[#This Row],[MONTH_ID]],10),"mmm")</f>
        <v>Mar</v>
      </c>
      <c r="K1768">
        <v>2005</v>
      </c>
      <c r="L1768" t="s">
        <v>580</v>
      </c>
      <c r="M1768">
        <v>68</v>
      </c>
      <c r="N1768" t="s">
        <v>647</v>
      </c>
      <c r="O1768" t="s">
        <v>188</v>
      </c>
      <c r="P1768" t="s">
        <v>189</v>
      </c>
      <c r="Q1768" t="s">
        <v>190</v>
      </c>
      <c r="S1768" t="s">
        <v>191</v>
      </c>
      <c r="U1768">
        <v>28034</v>
      </c>
      <c r="V1768" t="s">
        <v>192</v>
      </c>
      <c r="W1768" t="s">
        <v>56</v>
      </c>
      <c r="X1768" t="s">
        <v>193</v>
      </c>
      <c r="Y1768" t="s">
        <v>194</v>
      </c>
      <c r="Z1768" t="s">
        <v>50</v>
      </c>
    </row>
    <row r="1769" spans="1:26" x14ac:dyDescent="0.3">
      <c r="A1769">
        <v>10398</v>
      </c>
      <c r="B1769">
        <v>28</v>
      </c>
      <c r="C1769">
        <v>57.55</v>
      </c>
      <c r="D1769">
        <v>3</v>
      </c>
      <c r="E1769">
        <v>1611.4</v>
      </c>
      <c r="F1769" s="1">
        <v>38441</v>
      </c>
      <c r="G1769" t="s">
        <v>39</v>
      </c>
      <c r="H1769">
        <v>1</v>
      </c>
      <c r="I1769">
        <v>3</v>
      </c>
      <c r="J1769" t="str">
        <f>TEXT(DATE(2012,Table1[[#This Row],[MONTH_ID]],10),"mmm")</f>
        <v>Mar</v>
      </c>
      <c r="K1769">
        <v>2005</v>
      </c>
      <c r="L1769" t="s">
        <v>580</v>
      </c>
      <c r="M1769">
        <v>68</v>
      </c>
      <c r="N1769" t="s">
        <v>647</v>
      </c>
      <c r="O1769" t="s">
        <v>51</v>
      </c>
      <c r="P1769" t="s">
        <v>52</v>
      </c>
      <c r="Q1769" t="s">
        <v>53</v>
      </c>
      <c r="S1769" t="s">
        <v>54</v>
      </c>
      <c r="U1769">
        <v>51100</v>
      </c>
      <c r="V1769" t="s">
        <v>55</v>
      </c>
      <c r="W1769" t="s">
        <v>56</v>
      </c>
      <c r="X1769" t="s">
        <v>57</v>
      </c>
      <c r="Y1769" t="s">
        <v>58</v>
      </c>
      <c r="Z1769" t="s">
        <v>50</v>
      </c>
    </row>
    <row r="1770" spans="1:26" x14ac:dyDescent="0.3">
      <c r="A1770">
        <v>10400</v>
      </c>
      <c r="B1770">
        <v>24</v>
      </c>
      <c r="C1770">
        <v>61.66</v>
      </c>
      <c r="D1770">
        <v>2</v>
      </c>
      <c r="E1770">
        <v>1479.84</v>
      </c>
      <c r="F1770" s="1">
        <v>38443</v>
      </c>
      <c r="G1770" t="s">
        <v>39</v>
      </c>
      <c r="H1770">
        <v>2</v>
      </c>
      <c r="I1770">
        <v>4</v>
      </c>
      <c r="J1770" t="str">
        <f>TEXT(DATE(2012,Table1[[#This Row],[MONTH_ID]],10),"mmm")</f>
        <v>Apr</v>
      </c>
      <c r="K1770">
        <v>2005</v>
      </c>
      <c r="L1770" t="s">
        <v>580</v>
      </c>
      <c r="M1770">
        <v>68</v>
      </c>
      <c r="N1770" t="s">
        <v>647</v>
      </c>
      <c r="O1770" t="s">
        <v>411</v>
      </c>
      <c r="P1770">
        <v>4085553659</v>
      </c>
      <c r="Q1770" t="s">
        <v>412</v>
      </c>
      <c r="S1770" t="s">
        <v>413</v>
      </c>
      <c r="T1770" t="s">
        <v>69</v>
      </c>
      <c r="U1770">
        <v>94217</v>
      </c>
      <c r="V1770" t="s">
        <v>46</v>
      </c>
      <c r="W1770" t="s">
        <v>47</v>
      </c>
      <c r="X1770" t="s">
        <v>116</v>
      </c>
      <c r="Y1770" t="s">
        <v>414</v>
      </c>
      <c r="Z1770" t="s">
        <v>50</v>
      </c>
    </row>
    <row r="1771" spans="1:26" x14ac:dyDescent="0.3">
      <c r="A1771">
        <v>10415</v>
      </c>
      <c r="B1771">
        <v>21</v>
      </c>
      <c r="C1771">
        <v>67.819999999999993</v>
      </c>
      <c r="D1771">
        <v>1</v>
      </c>
      <c r="E1771">
        <v>1424.22</v>
      </c>
      <c r="F1771" s="1">
        <v>38481</v>
      </c>
      <c r="G1771" t="s">
        <v>187</v>
      </c>
      <c r="H1771">
        <v>2</v>
      </c>
      <c r="I1771">
        <v>5</v>
      </c>
      <c r="J1771" t="str">
        <f>TEXT(DATE(2012,Table1[[#This Row],[MONTH_ID]],10),"mmm")</f>
        <v>May</v>
      </c>
      <c r="K1771">
        <v>2005</v>
      </c>
      <c r="L1771" t="s">
        <v>580</v>
      </c>
      <c r="M1771">
        <v>68</v>
      </c>
      <c r="N1771" t="s">
        <v>647</v>
      </c>
      <c r="O1771" t="s">
        <v>572</v>
      </c>
      <c r="P1771" t="s">
        <v>573</v>
      </c>
      <c r="Q1771" t="s">
        <v>574</v>
      </c>
      <c r="S1771" t="s">
        <v>575</v>
      </c>
      <c r="T1771" t="s">
        <v>108</v>
      </c>
      <c r="U1771">
        <v>3150</v>
      </c>
      <c r="V1771" t="s">
        <v>109</v>
      </c>
      <c r="W1771" t="s">
        <v>110</v>
      </c>
      <c r="X1771" t="s">
        <v>576</v>
      </c>
      <c r="Y1771" t="s">
        <v>577</v>
      </c>
      <c r="Z1771" t="s">
        <v>50</v>
      </c>
    </row>
    <row r="1772" spans="1:26" x14ac:dyDescent="0.3">
      <c r="A1772">
        <v>10110</v>
      </c>
      <c r="B1772">
        <v>46</v>
      </c>
      <c r="C1772">
        <v>100</v>
      </c>
      <c r="D1772">
        <v>10</v>
      </c>
      <c r="E1772">
        <v>5942.28</v>
      </c>
      <c r="F1772" s="1">
        <v>37698</v>
      </c>
      <c r="G1772" t="s">
        <v>39</v>
      </c>
      <c r="H1772">
        <v>1</v>
      </c>
      <c r="I1772">
        <v>3</v>
      </c>
      <c r="J1772" t="str">
        <f>TEXT(DATE(2012,Table1[[#This Row],[MONTH_ID]],10),"mmm")</f>
        <v>Mar</v>
      </c>
      <c r="K1772">
        <v>2003</v>
      </c>
      <c r="L1772" t="s">
        <v>195</v>
      </c>
      <c r="M1772">
        <v>117</v>
      </c>
      <c r="N1772" t="s">
        <v>648</v>
      </c>
      <c r="O1772" t="s">
        <v>506</v>
      </c>
      <c r="P1772" t="s">
        <v>507</v>
      </c>
      <c r="Q1772" t="s">
        <v>508</v>
      </c>
      <c r="S1772" t="s">
        <v>509</v>
      </c>
      <c r="U1772" t="s">
        <v>510</v>
      </c>
      <c r="V1772" t="s">
        <v>184</v>
      </c>
      <c r="W1772" t="s">
        <v>56</v>
      </c>
      <c r="X1772" t="s">
        <v>511</v>
      </c>
      <c r="Y1772" t="s">
        <v>108</v>
      </c>
      <c r="Z1772" t="s">
        <v>65</v>
      </c>
    </row>
    <row r="1773" spans="1:26" x14ac:dyDescent="0.3">
      <c r="A1773">
        <v>10124</v>
      </c>
      <c r="B1773">
        <v>25</v>
      </c>
      <c r="C1773">
        <v>93.95</v>
      </c>
      <c r="D1773">
        <v>9</v>
      </c>
      <c r="E1773">
        <v>2348.75</v>
      </c>
      <c r="F1773" s="1">
        <v>37762</v>
      </c>
      <c r="G1773" t="s">
        <v>39</v>
      </c>
      <c r="H1773">
        <v>2</v>
      </c>
      <c r="I1773">
        <v>5</v>
      </c>
      <c r="J1773" t="str">
        <f>TEXT(DATE(2012,Table1[[#This Row],[MONTH_ID]],10),"mmm")</f>
        <v>May</v>
      </c>
      <c r="K1773">
        <v>2003</v>
      </c>
      <c r="L1773" t="s">
        <v>195</v>
      </c>
      <c r="M1773">
        <v>117</v>
      </c>
      <c r="N1773" t="s">
        <v>648</v>
      </c>
      <c r="O1773" t="s">
        <v>553</v>
      </c>
      <c r="P1773">
        <v>7025551838</v>
      </c>
      <c r="Q1773" t="s">
        <v>554</v>
      </c>
      <c r="S1773" t="s">
        <v>555</v>
      </c>
      <c r="T1773" t="s">
        <v>556</v>
      </c>
      <c r="U1773">
        <v>83030</v>
      </c>
      <c r="V1773" t="s">
        <v>46</v>
      </c>
      <c r="W1773" t="s">
        <v>47</v>
      </c>
      <c r="X1773" t="s">
        <v>127</v>
      </c>
      <c r="Y1773" t="s">
        <v>414</v>
      </c>
      <c r="Z1773" t="s">
        <v>50</v>
      </c>
    </row>
    <row r="1774" spans="1:26" x14ac:dyDescent="0.3">
      <c r="A1774">
        <v>10148</v>
      </c>
      <c r="B1774">
        <v>34</v>
      </c>
      <c r="C1774">
        <v>100</v>
      </c>
      <c r="D1774">
        <v>3</v>
      </c>
      <c r="E1774">
        <v>4392.12</v>
      </c>
      <c r="F1774" s="1">
        <v>37875</v>
      </c>
      <c r="G1774" t="s">
        <v>39</v>
      </c>
      <c r="H1774">
        <v>3</v>
      </c>
      <c r="I1774">
        <v>9</v>
      </c>
      <c r="J1774" t="str">
        <f>TEXT(DATE(2012,Table1[[#This Row],[MONTH_ID]],10),"mmm")</f>
        <v>Sep</v>
      </c>
      <c r="K1774">
        <v>2003</v>
      </c>
      <c r="L1774" t="s">
        <v>195</v>
      </c>
      <c r="M1774">
        <v>117</v>
      </c>
      <c r="N1774" t="s">
        <v>648</v>
      </c>
      <c r="O1774" t="s">
        <v>299</v>
      </c>
      <c r="P1774" t="s">
        <v>300</v>
      </c>
      <c r="Q1774" t="s">
        <v>301</v>
      </c>
      <c r="R1774" t="s">
        <v>302</v>
      </c>
      <c r="S1774" t="s">
        <v>303</v>
      </c>
      <c r="T1774" t="s">
        <v>171</v>
      </c>
      <c r="U1774">
        <v>2060</v>
      </c>
      <c r="V1774" t="s">
        <v>109</v>
      </c>
      <c r="W1774" t="s">
        <v>110</v>
      </c>
      <c r="X1774" t="s">
        <v>304</v>
      </c>
      <c r="Y1774" t="s">
        <v>305</v>
      </c>
      <c r="Z1774" t="s">
        <v>65</v>
      </c>
    </row>
    <row r="1775" spans="1:26" x14ac:dyDescent="0.3">
      <c r="A1775">
        <v>10161</v>
      </c>
      <c r="B1775">
        <v>25</v>
      </c>
      <c r="C1775">
        <v>100</v>
      </c>
      <c r="D1775">
        <v>2</v>
      </c>
      <c r="E1775">
        <v>2759.75</v>
      </c>
      <c r="F1775" s="1">
        <v>37911</v>
      </c>
      <c r="G1775" t="s">
        <v>39</v>
      </c>
      <c r="H1775">
        <v>4</v>
      </c>
      <c r="I1775">
        <v>10</v>
      </c>
      <c r="J1775" t="str">
        <f>TEXT(DATE(2012,Table1[[#This Row],[MONTH_ID]],10),"mmm")</f>
        <v>Oct</v>
      </c>
      <c r="K1775">
        <v>2003</v>
      </c>
      <c r="L1775" t="s">
        <v>195</v>
      </c>
      <c r="M1775">
        <v>117</v>
      </c>
      <c r="N1775" t="s">
        <v>648</v>
      </c>
      <c r="O1775" t="s">
        <v>512</v>
      </c>
      <c r="P1775" t="s">
        <v>513</v>
      </c>
      <c r="Q1775" t="s">
        <v>514</v>
      </c>
      <c r="S1775" t="s">
        <v>515</v>
      </c>
      <c r="U1775">
        <v>8200</v>
      </c>
      <c r="V1775" t="s">
        <v>340</v>
      </c>
      <c r="W1775" t="s">
        <v>56</v>
      </c>
      <c r="X1775" t="s">
        <v>516</v>
      </c>
      <c r="Y1775" t="s">
        <v>517</v>
      </c>
      <c r="Z1775" t="s">
        <v>50</v>
      </c>
    </row>
    <row r="1776" spans="1:26" x14ac:dyDescent="0.3">
      <c r="A1776">
        <v>10173</v>
      </c>
      <c r="B1776">
        <v>23</v>
      </c>
      <c r="C1776">
        <v>100</v>
      </c>
      <c r="D1776">
        <v>16</v>
      </c>
      <c r="E1776">
        <v>2728.03</v>
      </c>
      <c r="F1776" s="1">
        <v>37930</v>
      </c>
      <c r="G1776" t="s">
        <v>39</v>
      </c>
      <c r="H1776">
        <v>4</v>
      </c>
      <c r="I1776">
        <v>11</v>
      </c>
      <c r="J1776" t="str">
        <f>TEXT(DATE(2012,Table1[[#This Row],[MONTH_ID]],10),"mmm")</f>
        <v>Nov</v>
      </c>
      <c r="K1776">
        <v>2003</v>
      </c>
      <c r="L1776" t="s">
        <v>195</v>
      </c>
      <c r="M1776">
        <v>117</v>
      </c>
      <c r="N1776" t="s">
        <v>648</v>
      </c>
      <c r="O1776" t="s">
        <v>566</v>
      </c>
      <c r="P1776" t="s">
        <v>567</v>
      </c>
      <c r="Q1776" t="s">
        <v>568</v>
      </c>
      <c r="S1776" t="s">
        <v>569</v>
      </c>
      <c r="U1776">
        <v>24100</v>
      </c>
      <c r="V1776" t="s">
        <v>272</v>
      </c>
      <c r="W1776" t="s">
        <v>56</v>
      </c>
      <c r="X1776" t="s">
        <v>570</v>
      </c>
      <c r="Y1776" t="s">
        <v>571</v>
      </c>
      <c r="Z1776" t="s">
        <v>50</v>
      </c>
    </row>
    <row r="1777" spans="1:26" x14ac:dyDescent="0.3">
      <c r="A1777">
        <v>10182</v>
      </c>
      <c r="B1777">
        <v>20</v>
      </c>
      <c r="C1777">
        <v>100</v>
      </c>
      <c r="D1777">
        <v>13</v>
      </c>
      <c r="E1777">
        <v>2395.8000000000002</v>
      </c>
      <c r="F1777" s="1">
        <v>37937</v>
      </c>
      <c r="G1777" t="s">
        <v>39</v>
      </c>
      <c r="H1777">
        <v>4</v>
      </c>
      <c r="I1777">
        <v>11</v>
      </c>
      <c r="J1777" t="str">
        <f>TEXT(DATE(2012,Table1[[#This Row],[MONTH_ID]],10),"mmm")</f>
        <v>Nov</v>
      </c>
      <c r="K1777">
        <v>2003</v>
      </c>
      <c r="L1777" t="s">
        <v>195</v>
      </c>
      <c r="M1777">
        <v>117</v>
      </c>
      <c r="N1777" t="s">
        <v>648</v>
      </c>
      <c r="O1777" t="s">
        <v>286</v>
      </c>
      <c r="P1777">
        <v>4155551450</v>
      </c>
      <c r="Q1777" t="s">
        <v>287</v>
      </c>
      <c r="S1777" t="s">
        <v>288</v>
      </c>
      <c r="T1777" t="s">
        <v>69</v>
      </c>
      <c r="U1777">
        <v>97562</v>
      </c>
      <c r="V1777" t="s">
        <v>46</v>
      </c>
      <c r="W1777" t="s">
        <v>47</v>
      </c>
      <c r="X1777" t="s">
        <v>289</v>
      </c>
      <c r="Y1777" t="s">
        <v>290</v>
      </c>
      <c r="Z1777" t="s">
        <v>50</v>
      </c>
    </row>
    <row r="1778" spans="1:26" x14ac:dyDescent="0.3">
      <c r="A1778">
        <v>10192</v>
      </c>
      <c r="B1778">
        <v>23</v>
      </c>
      <c r="C1778">
        <v>100</v>
      </c>
      <c r="D1778">
        <v>1</v>
      </c>
      <c r="E1778">
        <v>3052.33</v>
      </c>
      <c r="F1778" s="1">
        <v>37945</v>
      </c>
      <c r="G1778" t="s">
        <v>39</v>
      </c>
      <c r="H1778">
        <v>4</v>
      </c>
      <c r="I1778">
        <v>11</v>
      </c>
      <c r="J1778" t="str">
        <f>TEXT(DATE(2012,Table1[[#This Row],[MONTH_ID]],10),"mmm")</f>
        <v>Nov</v>
      </c>
      <c r="K1778">
        <v>2003</v>
      </c>
      <c r="L1778" t="s">
        <v>195</v>
      </c>
      <c r="M1778">
        <v>117</v>
      </c>
      <c r="N1778" t="s">
        <v>648</v>
      </c>
      <c r="O1778" t="s">
        <v>291</v>
      </c>
      <c r="P1778">
        <v>6035558647</v>
      </c>
      <c r="Q1778" t="s">
        <v>292</v>
      </c>
      <c r="S1778" t="s">
        <v>293</v>
      </c>
      <c r="T1778" t="s">
        <v>294</v>
      </c>
      <c r="U1778">
        <v>62005</v>
      </c>
      <c r="V1778" t="s">
        <v>46</v>
      </c>
      <c r="W1778" t="s">
        <v>47</v>
      </c>
      <c r="X1778" t="s">
        <v>70</v>
      </c>
      <c r="Y1778" t="s">
        <v>290</v>
      </c>
      <c r="Z1778" t="s">
        <v>65</v>
      </c>
    </row>
    <row r="1779" spans="1:26" x14ac:dyDescent="0.3">
      <c r="A1779">
        <v>10204</v>
      </c>
      <c r="B1779">
        <v>42</v>
      </c>
      <c r="C1779">
        <v>100</v>
      </c>
      <c r="D1779">
        <v>7</v>
      </c>
      <c r="E1779">
        <v>4242</v>
      </c>
      <c r="F1779" s="1">
        <v>37957</v>
      </c>
      <c r="G1779" t="s">
        <v>39</v>
      </c>
      <c r="H1779">
        <v>4</v>
      </c>
      <c r="I1779">
        <v>12</v>
      </c>
      <c r="J1779" t="str">
        <f>TEXT(DATE(2012,Table1[[#This Row],[MONTH_ID]],10),"mmm")</f>
        <v>Dec</v>
      </c>
      <c r="K1779">
        <v>2003</v>
      </c>
      <c r="L1779" t="s">
        <v>195</v>
      </c>
      <c r="M1779">
        <v>117</v>
      </c>
      <c r="N1779" t="s">
        <v>648</v>
      </c>
      <c r="O1779" t="s">
        <v>489</v>
      </c>
      <c r="P1779">
        <v>2125557413</v>
      </c>
      <c r="Q1779" t="s">
        <v>490</v>
      </c>
      <c r="R1779" t="s">
        <v>491</v>
      </c>
      <c r="S1779" t="s">
        <v>44</v>
      </c>
      <c r="T1779" t="s">
        <v>45</v>
      </c>
      <c r="U1779">
        <v>10022</v>
      </c>
      <c r="V1779" t="s">
        <v>46</v>
      </c>
      <c r="W1779" t="s">
        <v>47</v>
      </c>
      <c r="X1779" t="s">
        <v>70</v>
      </c>
      <c r="Y1779" t="s">
        <v>492</v>
      </c>
      <c r="Z1779" t="s">
        <v>65</v>
      </c>
    </row>
    <row r="1780" spans="1:26" x14ac:dyDescent="0.3">
      <c r="A1780">
        <v>10213</v>
      </c>
      <c r="B1780">
        <v>27</v>
      </c>
      <c r="C1780">
        <v>100</v>
      </c>
      <c r="D1780">
        <v>3</v>
      </c>
      <c r="E1780">
        <v>2790.45</v>
      </c>
      <c r="F1780" s="1">
        <v>38008</v>
      </c>
      <c r="G1780" t="s">
        <v>39</v>
      </c>
      <c r="H1780">
        <v>1</v>
      </c>
      <c r="I1780">
        <v>1</v>
      </c>
      <c r="J1780" t="str">
        <f>TEXT(DATE(2012,Table1[[#This Row],[MONTH_ID]],10),"mmm")</f>
        <v>Jan</v>
      </c>
      <c r="K1780">
        <v>2004</v>
      </c>
      <c r="L1780" t="s">
        <v>195</v>
      </c>
      <c r="M1780">
        <v>117</v>
      </c>
      <c r="N1780" t="s">
        <v>648</v>
      </c>
      <c r="O1780" t="s">
        <v>360</v>
      </c>
      <c r="P1780" t="s">
        <v>361</v>
      </c>
      <c r="Q1780" t="s">
        <v>362</v>
      </c>
      <c r="S1780" t="s">
        <v>346</v>
      </c>
      <c r="U1780" t="s">
        <v>363</v>
      </c>
      <c r="V1780" t="s">
        <v>184</v>
      </c>
      <c r="W1780" t="s">
        <v>56</v>
      </c>
      <c r="X1780" t="s">
        <v>364</v>
      </c>
      <c r="Y1780" t="s">
        <v>365</v>
      </c>
      <c r="Z1780" t="s">
        <v>50</v>
      </c>
    </row>
    <row r="1781" spans="1:26" x14ac:dyDescent="0.3">
      <c r="A1781">
        <v>10227</v>
      </c>
      <c r="B1781">
        <v>33</v>
      </c>
      <c r="C1781">
        <v>100</v>
      </c>
      <c r="D1781">
        <v>13</v>
      </c>
      <c r="E1781">
        <v>4340.49</v>
      </c>
      <c r="F1781" s="1">
        <v>38048</v>
      </c>
      <c r="G1781" t="s">
        <v>39</v>
      </c>
      <c r="H1781">
        <v>1</v>
      </c>
      <c r="I1781">
        <v>3</v>
      </c>
      <c r="J1781" t="str">
        <f>TEXT(DATE(2012,Table1[[#This Row],[MONTH_ID]],10),"mmm")</f>
        <v>Mar</v>
      </c>
      <c r="K1781">
        <v>2004</v>
      </c>
      <c r="L1781" t="s">
        <v>195</v>
      </c>
      <c r="M1781">
        <v>117</v>
      </c>
      <c r="N1781" t="s">
        <v>648</v>
      </c>
      <c r="O1781" t="s">
        <v>233</v>
      </c>
      <c r="P1781" t="s">
        <v>234</v>
      </c>
      <c r="Q1781" t="s">
        <v>235</v>
      </c>
      <c r="S1781" t="s">
        <v>236</v>
      </c>
      <c r="U1781">
        <v>69004</v>
      </c>
      <c r="V1781" t="s">
        <v>55</v>
      </c>
      <c r="W1781" t="s">
        <v>56</v>
      </c>
      <c r="X1781" t="s">
        <v>237</v>
      </c>
      <c r="Y1781" t="s">
        <v>238</v>
      </c>
      <c r="Z1781" t="s">
        <v>65</v>
      </c>
    </row>
    <row r="1782" spans="1:26" x14ac:dyDescent="0.3">
      <c r="A1782">
        <v>10241</v>
      </c>
      <c r="B1782">
        <v>28</v>
      </c>
      <c r="C1782">
        <v>98.65</v>
      </c>
      <c r="D1782">
        <v>5</v>
      </c>
      <c r="E1782">
        <v>2762.2</v>
      </c>
      <c r="F1782" s="1">
        <v>38090</v>
      </c>
      <c r="G1782" t="s">
        <v>39</v>
      </c>
      <c r="H1782">
        <v>2</v>
      </c>
      <c r="I1782">
        <v>4</v>
      </c>
      <c r="J1782" t="str">
        <f>TEXT(DATE(2012,Table1[[#This Row],[MONTH_ID]],10),"mmm")</f>
        <v>Apr</v>
      </c>
      <c r="K1782">
        <v>2004</v>
      </c>
      <c r="L1782" t="s">
        <v>195</v>
      </c>
      <c r="M1782">
        <v>117</v>
      </c>
      <c r="N1782" t="s">
        <v>648</v>
      </c>
      <c r="O1782" t="s">
        <v>545</v>
      </c>
      <c r="P1782" t="s">
        <v>546</v>
      </c>
      <c r="Q1782" t="s">
        <v>547</v>
      </c>
      <c r="S1782" t="s">
        <v>548</v>
      </c>
      <c r="U1782">
        <v>67000</v>
      </c>
      <c r="V1782" t="s">
        <v>55</v>
      </c>
      <c r="W1782" t="s">
        <v>56</v>
      </c>
      <c r="X1782" t="s">
        <v>549</v>
      </c>
      <c r="Y1782" t="s">
        <v>550</v>
      </c>
      <c r="Z1782" t="s">
        <v>50</v>
      </c>
    </row>
    <row r="1783" spans="1:26" x14ac:dyDescent="0.3">
      <c r="A1783">
        <v>10267</v>
      </c>
      <c r="B1783">
        <v>43</v>
      </c>
      <c r="C1783">
        <v>100</v>
      </c>
      <c r="D1783">
        <v>2</v>
      </c>
      <c r="E1783">
        <v>4645.72</v>
      </c>
      <c r="F1783" s="1">
        <v>38175</v>
      </c>
      <c r="G1783" t="s">
        <v>39</v>
      </c>
      <c r="H1783">
        <v>3</v>
      </c>
      <c r="I1783">
        <v>7</v>
      </c>
      <c r="J1783" t="str">
        <f>TEXT(DATE(2012,Table1[[#This Row],[MONTH_ID]],10),"mmm")</f>
        <v>Jul</v>
      </c>
      <c r="K1783">
        <v>2004</v>
      </c>
      <c r="L1783" t="s">
        <v>195</v>
      </c>
      <c r="M1783">
        <v>117</v>
      </c>
      <c r="N1783" t="s">
        <v>648</v>
      </c>
      <c r="O1783" t="s">
        <v>489</v>
      </c>
      <c r="P1783">
        <v>2125557413</v>
      </c>
      <c r="Q1783" t="s">
        <v>490</v>
      </c>
      <c r="R1783" t="s">
        <v>491</v>
      </c>
      <c r="S1783" t="s">
        <v>44</v>
      </c>
      <c r="T1783" t="s">
        <v>45</v>
      </c>
      <c r="U1783">
        <v>10022</v>
      </c>
      <c r="V1783" t="s">
        <v>46</v>
      </c>
      <c r="W1783" t="s">
        <v>47</v>
      </c>
      <c r="X1783" t="s">
        <v>70</v>
      </c>
      <c r="Y1783" t="s">
        <v>492</v>
      </c>
      <c r="Z1783" t="s">
        <v>65</v>
      </c>
    </row>
    <row r="1784" spans="1:26" x14ac:dyDescent="0.3">
      <c r="A1784">
        <v>10279</v>
      </c>
      <c r="B1784">
        <v>48</v>
      </c>
      <c r="C1784">
        <v>100</v>
      </c>
      <c r="D1784">
        <v>2</v>
      </c>
      <c r="E1784">
        <v>5580.96</v>
      </c>
      <c r="F1784" s="1">
        <v>38208</v>
      </c>
      <c r="G1784" t="s">
        <v>39</v>
      </c>
      <c r="H1784">
        <v>3</v>
      </c>
      <c r="I1784">
        <v>8</v>
      </c>
      <c r="J1784" t="str">
        <f>TEXT(DATE(2012,Table1[[#This Row],[MONTH_ID]],10),"mmm")</f>
        <v>Aug</v>
      </c>
      <c r="K1784">
        <v>2004</v>
      </c>
      <c r="L1784" t="s">
        <v>195</v>
      </c>
      <c r="M1784">
        <v>117</v>
      </c>
      <c r="N1784" t="s">
        <v>648</v>
      </c>
      <c r="O1784" t="s">
        <v>188</v>
      </c>
      <c r="P1784" t="s">
        <v>189</v>
      </c>
      <c r="Q1784" t="s">
        <v>190</v>
      </c>
      <c r="S1784" t="s">
        <v>191</v>
      </c>
      <c r="U1784">
        <v>28034</v>
      </c>
      <c r="V1784" t="s">
        <v>192</v>
      </c>
      <c r="W1784" t="s">
        <v>56</v>
      </c>
      <c r="X1784" t="s">
        <v>193</v>
      </c>
      <c r="Y1784" t="s">
        <v>194</v>
      </c>
      <c r="Z1784" t="s">
        <v>65</v>
      </c>
    </row>
    <row r="1785" spans="1:26" x14ac:dyDescent="0.3">
      <c r="A1785">
        <v>10288</v>
      </c>
      <c r="B1785">
        <v>48</v>
      </c>
      <c r="C1785">
        <v>100</v>
      </c>
      <c r="D1785">
        <v>8</v>
      </c>
      <c r="E1785">
        <v>6539.04</v>
      </c>
      <c r="F1785" s="1">
        <v>38231</v>
      </c>
      <c r="G1785" t="s">
        <v>39</v>
      </c>
      <c r="H1785">
        <v>3</v>
      </c>
      <c r="I1785">
        <v>9</v>
      </c>
      <c r="J1785" t="str">
        <f>TEXT(DATE(2012,Table1[[#This Row],[MONTH_ID]],10),"mmm")</f>
        <v>Sep</v>
      </c>
      <c r="K1785">
        <v>2004</v>
      </c>
      <c r="L1785" t="s">
        <v>195</v>
      </c>
      <c r="M1785">
        <v>117</v>
      </c>
      <c r="N1785" t="s">
        <v>648</v>
      </c>
      <c r="O1785" t="s">
        <v>432</v>
      </c>
      <c r="P1785" t="s">
        <v>433</v>
      </c>
      <c r="Q1785" t="s">
        <v>434</v>
      </c>
      <c r="R1785" t="s">
        <v>435</v>
      </c>
      <c r="S1785" t="s">
        <v>213</v>
      </c>
      <c r="U1785">
        <v>69045</v>
      </c>
      <c r="V1785" t="s">
        <v>213</v>
      </c>
      <c r="W1785" t="s">
        <v>110</v>
      </c>
      <c r="X1785" t="s">
        <v>436</v>
      </c>
      <c r="Y1785" t="s">
        <v>437</v>
      </c>
      <c r="Z1785" t="s">
        <v>65</v>
      </c>
    </row>
    <row r="1786" spans="1:26" x14ac:dyDescent="0.3">
      <c r="A1786">
        <v>10302</v>
      </c>
      <c r="B1786">
        <v>45</v>
      </c>
      <c r="C1786">
        <v>100</v>
      </c>
      <c r="D1786">
        <v>4</v>
      </c>
      <c r="E1786">
        <v>5548.95</v>
      </c>
      <c r="F1786" s="1">
        <v>37900</v>
      </c>
      <c r="G1786" t="s">
        <v>39</v>
      </c>
      <c r="H1786">
        <v>4</v>
      </c>
      <c r="I1786">
        <v>10</v>
      </c>
      <c r="J1786" t="str">
        <f>TEXT(DATE(2012,Table1[[#This Row],[MONTH_ID]],10),"mmm")</f>
        <v>Oct</v>
      </c>
      <c r="K1786">
        <v>2003</v>
      </c>
      <c r="L1786" t="s">
        <v>195</v>
      </c>
      <c r="M1786">
        <v>117</v>
      </c>
      <c r="N1786" t="s">
        <v>648</v>
      </c>
      <c r="O1786" t="s">
        <v>179</v>
      </c>
      <c r="P1786" t="s">
        <v>180</v>
      </c>
      <c r="Q1786" t="s">
        <v>181</v>
      </c>
      <c r="S1786" t="s">
        <v>182</v>
      </c>
      <c r="U1786" t="s">
        <v>183</v>
      </c>
      <c r="V1786" t="s">
        <v>184</v>
      </c>
      <c r="W1786" t="s">
        <v>56</v>
      </c>
      <c r="X1786" t="s">
        <v>185</v>
      </c>
      <c r="Y1786" t="s">
        <v>186</v>
      </c>
      <c r="Z1786" t="s">
        <v>65</v>
      </c>
    </row>
    <row r="1787" spans="1:26" x14ac:dyDescent="0.3">
      <c r="A1787">
        <v>10311</v>
      </c>
      <c r="B1787">
        <v>43</v>
      </c>
      <c r="C1787">
        <v>100</v>
      </c>
      <c r="D1787">
        <v>3</v>
      </c>
      <c r="E1787">
        <v>4595.41</v>
      </c>
      <c r="F1787" s="1">
        <v>38276</v>
      </c>
      <c r="G1787" t="s">
        <v>39</v>
      </c>
      <c r="H1787">
        <v>4</v>
      </c>
      <c r="I1787">
        <v>10</v>
      </c>
      <c r="J1787" t="str">
        <f>TEXT(DATE(2012,Table1[[#This Row],[MONTH_ID]],10),"mmm")</f>
        <v>Oct</v>
      </c>
      <c r="K1787">
        <v>2004</v>
      </c>
      <c r="L1787" t="s">
        <v>195</v>
      </c>
      <c r="M1787">
        <v>117</v>
      </c>
      <c r="N1787" t="s">
        <v>648</v>
      </c>
      <c r="O1787" t="s">
        <v>188</v>
      </c>
      <c r="P1787" t="s">
        <v>189</v>
      </c>
      <c r="Q1787" t="s">
        <v>190</v>
      </c>
      <c r="S1787" t="s">
        <v>191</v>
      </c>
      <c r="U1787">
        <v>28034</v>
      </c>
      <c r="V1787" t="s">
        <v>192</v>
      </c>
      <c r="W1787" t="s">
        <v>56</v>
      </c>
      <c r="X1787" t="s">
        <v>193</v>
      </c>
      <c r="Y1787" t="s">
        <v>194</v>
      </c>
      <c r="Z1787" t="s">
        <v>65</v>
      </c>
    </row>
    <row r="1788" spans="1:26" x14ac:dyDescent="0.3">
      <c r="A1788">
        <v>10332</v>
      </c>
      <c r="B1788">
        <v>44</v>
      </c>
      <c r="C1788">
        <v>42.26</v>
      </c>
      <c r="D1788">
        <v>11</v>
      </c>
      <c r="E1788">
        <v>1859.44</v>
      </c>
      <c r="F1788" s="1">
        <v>38308</v>
      </c>
      <c r="G1788" t="s">
        <v>39</v>
      </c>
      <c r="H1788">
        <v>4</v>
      </c>
      <c r="I1788">
        <v>11</v>
      </c>
      <c r="J1788" t="str">
        <f>TEXT(DATE(2012,Table1[[#This Row],[MONTH_ID]],10),"mmm")</f>
        <v>Nov</v>
      </c>
      <c r="K1788">
        <v>2004</v>
      </c>
      <c r="L1788" t="s">
        <v>195</v>
      </c>
      <c r="M1788">
        <v>117</v>
      </c>
      <c r="N1788" t="s">
        <v>648</v>
      </c>
      <c r="O1788" t="s">
        <v>506</v>
      </c>
      <c r="P1788" t="s">
        <v>507</v>
      </c>
      <c r="Q1788" t="s">
        <v>508</v>
      </c>
      <c r="S1788" t="s">
        <v>509</v>
      </c>
      <c r="U1788" t="s">
        <v>510</v>
      </c>
      <c r="V1788" t="s">
        <v>184</v>
      </c>
      <c r="W1788" t="s">
        <v>56</v>
      </c>
      <c r="X1788" t="s">
        <v>511</v>
      </c>
      <c r="Y1788" t="s">
        <v>108</v>
      </c>
      <c r="Z1788" t="s">
        <v>50</v>
      </c>
    </row>
    <row r="1789" spans="1:26" x14ac:dyDescent="0.3">
      <c r="A1789">
        <v>10346</v>
      </c>
      <c r="B1789">
        <v>24</v>
      </c>
      <c r="C1789">
        <v>87.24</v>
      </c>
      <c r="D1789">
        <v>5</v>
      </c>
      <c r="E1789">
        <v>2093.7600000000002</v>
      </c>
      <c r="F1789" s="1">
        <v>38320</v>
      </c>
      <c r="G1789" t="s">
        <v>39</v>
      </c>
      <c r="H1789">
        <v>4</v>
      </c>
      <c r="I1789">
        <v>11</v>
      </c>
      <c r="J1789" t="str">
        <f>TEXT(DATE(2012,Table1[[#This Row],[MONTH_ID]],10),"mmm")</f>
        <v>Nov</v>
      </c>
      <c r="K1789">
        <v>2004</v>
      </c>
      <c r="L1789" t="s">
        <v>195</v>
      </c>
      <c r="M1789">
        <v>117</v>
      </c>
      <c r="N1789" t="s">
        <v>648</v>
      </c>
      <c r="O1789" t="s">
        <v>553</v>
      </c>
      <c r="P1789">
        <v>7025551838</v>
      </c>
      <c r="Q1789" t="s">
        <v>554</v>
      </c>
      <c r="S1789" t="s">
        <v>555</v>
      </c>
      <c r="T1789" t="s">
        <v>556</v>
      </c>
      <c r="U1789">
        <v>83030</v>
      </c>
      <c r="V1789" t="s">
        <v>46</v>
      </c>
      <c r="W1789" t="s">
        <v>47</v>
      </c>
      <c r="X1789" t="s">
        <v>127</v>
      </c>
      <c r="Y1789" t="s">
        <v>414</v>
      </c>
      <c r="Z1789" t="s">
        <v>50</v>
      </c>
    </row>
    <row r="1790" spans="1:26" x14ac:dyDescent="0.3">
      <c r="A1790">
        <v>10368</v>
      </c>
      <c r="B1790">
        <v>31</v>
      </c>
      <c r="C1790">
        <v>100</v>
      </c>
      <c r="D1790">
        <v>5</v>
      </c>
      <c r="E1790">
        <v>4223.13</v>
      </c>
      <c r="F1790" s="1">
        <v>38371</v>
      </c>
      <c r="G1790" t="s">
        <v>39</v>
      </c>
      <c r="H1790">
        <v>1</v>
      </c>
      <c r="I1790">
        <v>1</v>
      </c>
      <c r="J1790" t="str">
        <f>TEXT(DATE(2012,Table1[[#This Row],[MONTH_ID]],10),"mmm")</f>
        <v>Jan</v>
      </c>
      <c r="K1790">
        <v>2005</v>
      </c>
      <c r="L1790" t="s">
        <v>195</v>
      </c>
      <c r="M1790">
        <v>117</v>
      </c>
      <c r="N1790" t="s">
        <v>648</v>
      </c>
      <c r="O1790" t="s">
        <v>286</v>
      </c>
      <c r="P1790">
        <v>4155551450</v>
      </c>
      <c r="Q1790" t="s">
        <v>287</v>
      </c>
      <c r="S1790" t="s">
        <v>288</v>
      </c>
      <c r="T1790" t="s">
        <v>69</v>
      </c>
      <c r="U1790">
        <v>97562</v>
      </c>
      <c r="V1790" t="s">
        <v>46</v>
      </c>
      <c r="W1790" t="s">
        <v>47</v>
      </c>
      <c r="X1790" t="s">
        <v>289</v>
      </c>
      <c r="Y1790" t="s">
        <v>290</v>
      </c>
      <c r="Z1790" t="s">
        <v>65</v>
      </c>
    </row>
    <row r="1791" spans="1:26" x14ac:dyDescent="0.3">
      <c r="A1791">
        <v>10380</v>
      </c>
      <c r="B1791">
        <v>44</v>
      </c>
      <c r="C1791">
        <v>36.29</v>
      </c>
      <c r="D1791">
        <v>7</v>
      </c>
      <c r="E1791">
        <v>1596.76</v>
      </c>
      <c r="F1791" s="1">
        <v>38399</v>
      </c>
      <c r="G1791" t="s">
        <v>39</v>
      </c>
      <c r="H1791">
        <v>1</v>
      </c>
      <c r="I1791">
        <v>2</v>
      </c>
      <c r="J1791" t="str">
        <f>TEXT(DATE(2012,Table1[[#This Row],[MONTH_ID]],10),"mmm")</f>
        <v>Feb</v>
      </c>
      <c r="K1791">
        <v>2005</v>
      </c>
      <c r="L1791" t="s">
        <v>195</v>
      </c>
      <c r="M1791">
        <v>117</v>
      </c>
      <c r="N1791" t="s">
        <v>648</v>
      </c>
      <c r="O1791" t="s">
        <v>188</v>
      </c>
      <c r="P1791" t="s">
        <v>189</v>
      </c>
      <c r="Q1791" t="s">
        <v>190</v>
      </c>
      <c r="S1791" t="s">
        <v>191</v>
      </c>
      <c r="U1791">
        <v>28034</v>
      </c>
      <c r="V1791" t="s">
        <v>192</v>
      </c>
      <c r="W1791" t="s">
        <v>56</v>
      </c>
      <c r="X1791" t="s">
        <v>193</v>
      </c>
      <c r="Y1791" t="s">
        <v>194</v>
      </c>
      <c r="Z1791" t="s">
        <v>50</v>
      </c>
    </row>
    <row r="1792" spans="1:26" x14ac:dyDescent="0.3">
      <c r="A1792">
        <v>10407</v>
      </c>
      <c r="B1792">
        <v>59</v>
      </c>
      <c r="C1792">
        <v>98.65</v>
      </c>
      <c r="D1792">
        <v>5</v>
      </c>
      <c r="E1792">
        <v>5820.35</v>
      </c>
      <c r="F1792" s="1">
        <v>38464</v>
      </c>
      <c r="G1792" t="s">
        <v>415</v>
      </c>
      <c r="H1792">
        <v>2</v>
      </c>
      <c r="I1792">
        <v>4</v>
      </c>
      <c r="J1792" t="str">
        <f>TEXT(DATE(2012,Table1[[#This Row],[MONTH_ID]],10),"mmm")</f>
        <v>Apr</v>
      </c>
      <c r="K1792">
        <v>2005</v>
      </c>
      <c r="L1792" t="s">
        <v>195</v>
      </c>
      <c r="M1792">
        <v>117</v>
      </c>
      <c r="N1792" t="s">
        <v>648</v>
      </c>
      <c r="O1792" t="s">
        <v>411</v>
      </c>
      <c r="P1792">
        <v>4085553659</v>
      </c>
      <c r="Q1792" t="s">
        <v>412</v>
      </c>
      <c r="S1792" t="s">
        <v>413</v>
      </c>
      <c r="T1792" t="s">
        <v>69</v>
      </c>
      <c r="U1792">
        <v>94217</v>
      </c>
      <c r="V1792" t="s">
        <v>46</v>
      </c>
      <c r="W1792" t="s">
        <v>47</v>
      </c>
      <c r="X1792" t="s">
        <v>116</v>
      </c>
      <c r="Y1792" t="s">
        <v>414</v>
      </c>
      <c r="Z1792" t="s">
        <v>65</v>
      </c>
    </row>
    <row r="1793" spans="1:26" x14ac:dyDescent="0.3">
      <c r="A1793">
        <v>10420</v>
      </c>
      <c r="B1793">
        <v>55</v>
      </c>
      <c r="C1793">
        <v>96.3</v>
      </c>
      <c r="D1793">
        <v>8</v>
      </c>
      <c r="E1793">
        <v>5296.5</v>
      </c>
      <c r="F1793" s="1">
        <v>38501</v>
      </c>
      <c r="G1793" t="s">
        <v>314</v>
      </c>
      <c r="H1793">
        <v>2</v>
      </c>
      <c r="I1793">
        <v>5</v>
      </c>
      <c r="J1793" t="str">
        <f>TEXT(DATE(2012,Table1[[#This Row],[MONTH_ID]],10),"mmm")</f>
        <v>May</v>
      </c>
      <c r="K1793">
        <v>2005</v>
      </c>
      <c r="L1793" t="s">
        <v>195</v>
      </c>
      <c r="M1793">
        <v>117</v>
      </c>
      <c r="N1793" t="s">
        <v>648</v>
      </c>
      <c r="O1793" t="s">
        <v>166</v>
      </c>
      <c r="P1793" t="s">
        <v>167</v>
      </c>
      <c r="Q1793" t="s">
        <v>168</v>
      </c>
      <c r="R1793" t="s">
        <v>169</v>
      </c>
      <c r="S1793" t="s">
        <v>170</v>
      </c>
      <c r="T1793" t="s">
        <v>171</v>
      </c>
      <c r="U1793">
        <v>2067</v>
      </c>
      <c r="V1793" t="s">
        <v>109</v>
      </c>
      <c r="W1793" t="s">
        <v>110</v>
      </c>
      <c r="X1793" t="s">
        <v>172</v>
      </c>
      <c r="Y1793" t="s">
        <v>173</v>
      </c>
      <c r="Z1793" t="s">
        <v>65</v>
      </c>
    </row>
    <row r="1794" spans="1:26" x14ac:dyDescent="0.3">
      <c r="A1794">
        <v>10109</v>
      </c>
      <c r="B1794">
        <v>29</v>
      </c>
      <c r="C1794">
        <v>32.1</v>
      </c>
      <c r="D1794">
        <v>6</v>
      </c>
      <c r="E1794">
        <v>930.9</v>
      </c>
      <c r="F1794" s="1">
        <v>37690</v>
      </c>
      <c r="G1794" t="s">
        <v>39</v>
      </c>
      <c r="H1794">
        <v>1</v>
      </c>
      <c r="I1794">
        <v>3</v>
      </c>
      <c r="J1794" t="str">
        <f>TEXT(DATE(2012,Table1[[#This Row],[MONTH_ID]],10),"mmm")</f>
        <v>Mar</v>
      </c>
      <c r="K1794">
        <v>2003</v>
      </c>
      <c r="L1794" t="s">
        <v>195</v>
      </c>
      <c r="M1794">
        <v>37</v>
      </c>
      <c r="N1794" t="s">
        <v>649</v>
      </c>
      <c r="O1794" t="s">
        <v>323</v>
      </c>
      <c r="P1794">
        <v>2155559857</v>
      </c>
      <c r="Q1794" t="s">
        <v>324</v>
      </c>
      <c r="S1794" t="s">
        <v>230</v>
      </c>
      <c r="T1794" t="s">
        <v>156</v>
      </c>
      <c r="U1794">
        <v>71270</v>
      </c>
      <c r="V1794" t="s">
        <v>46</v>
      </c>
      <c r="W1794" t="s">
        <v>47</v>
      </c>
      <c r="X1794" t="s">
        <v>138</v>
      </c>
      <c r="Y1794" t="s">
        <v>325</v>
      </c>
      <c r="Z1794" t="s">
        <v>50</v>
      </c>
    </row>
    <row r="1795" spans="1:26" x14ac:dyDescent="0.3">
      <c r="A1795">
        <v>10122</v>
      </c>
      <c r="B1795">
        <v>39</v>
      </c>
      <c r="C1795">
        <v>30.96</v>
      </c>
      <c r="D1795">
        <v>4</v>
      </c>
      <c r="E1795">
        <v>1207.44</v>
      </c>
      <c r="F1795" s="1">
        <v>37749</v>
      </c>
      <c r="G1795" t="s">
        <v>39</v>
      </c>
      <c r="H1795">
        <v>2</v>
      </c>
      <c r="I1795">
        <v>5</v>
      </c>
      <c r="J1795" t="str">
        <f>TEXT(DATE(2012,Table1[[#This Row],[MONTH_ID]],10),"mmm")</f>
        <v>May</v>
      </c>
      <c r="K1795">
        <v>2003</v>
      </c>
      <c r="L1795" t="s">
        <v>195</v>
      </c>
      <c r="M1795">
        <v>37</v>
      </c>
      <c r="N1795" t="s">
        <v>649</v>
      </c>
      <c r="O1795" t="s">
        <v>447</v>
      </c>
      <c r="P1795" t="s">
        <v>448</v>
      </c>
      <c r="Q1795" t="s">
        <v>449</v>
      </c>
      <c r="S1795" t="s">
        <v>450</v>
      </c>
      <c r="U1795">
        <v>13008</v>
      </c>
      <c r="V1795" t="s">
        <v>55</v>
      </c>
      <c r="W1795" t="s">
        <v>56</v>
      </c>
      <c r="X1795" t="s">
        <v>451</v>
      </c>
      <c r="Y1795" t="s">
        <v>452</v>
      </c>
      <c r="Z1795" t="s">
        <v>50</v>
      </c>
    </row>
    <row r="1796" spans="1:26" x14ac:dyDescent="0.3">
      <c r="A1796">
        <v>10135</v>
      </c>
      <c r="B1796">
        <v>20</v>
      </c>
      <c r="C1796">
        <v>35.869999999999997</v>
      </c>
      <c r="D1796">
        <v>1</v>
      </c>
      <c r="E1796">
        <v>717.4</v>
      </c>
      <c r="F1796" s="1">
        <v>37804</v>
      </c>
      <c r="G1796" t="s">
        <v>39</v>
      </c>
      <c r="H1796">
        <v>3</v>
      </c>
      <c r="I1796">
        <v>7</v>
      </c>
      <c r="J1796" t="str">
        <f>TEXT(DATE(2012,Table1[[#This Row],[MONTH_ID]],10),"mmm")</f>
        <v>Jul</v>
      </c>
      <c r="K1796">
        <v>2003</v>
      </c>
      <c r="L1796" t="s">
        <v>195</v>
      </c>
      <c r="M1796">
        <v>37</v>
      </c>
      <c r="N1796" t="s">
        <v>649</v>
      </c>
      <c r="O1796" t="s">
        <v>286</v>
      </c>
      <c r="P1796">
        <v>4155551450</v>
      </c>
      <c r="Q1796" t="s">
        <v>287</v>
      </c>
      <c r="S1796" t="s">
        <v>288</v>
      </c>
      <c r="T1796" t="s">
        <v>69</v>
      </c>
      <c r="U1796">
        <v>97562</v>
      </c>
      <c r="V1796" t="s">
        <v>46</v>
      </c>
      <c r="W1796" t="s">
        <v>47</v>
      </c>
      <c r="X1796" t="s">
        <v>289</v>
      </c>
      <c r="Y1796" t="s">
        <v>290</v>
      </c>
      <c r="Z1796" t="s">
        <v>50</v>
      </c>
    </row>
    <row r="1797" spans="1:26" x14ac:dyDescent="0.3">
      <c r="A1797">
        <v>10147</v>
      </c>
      <c r="B1797">
        <v>25</v>
      </c>
      <c r="C1797">
        <v>42.67</v>
      </c>
      <c r="D1797">
        <v>1</v>
      </c>
      <c r="E1797">
        <v>1066.75</v>
      </c>
      <c r="F1797" s="1">
        <v>37869</v>
      </c>
      <c r="G1797" t="s">
        <v>39</v>
      </c>
      <c r="H1797">
        <v>3</v>
      </c>
      <c r="I1797">
        <v>9</v>
      </c>
      <c r="J1797" t="str">
        <f>TEXT(DATE(2012,Table1[[#This Row],[MONTH_ID]],10),"mmm")</f>
        <v>Sep</v>
      </c>
      <c r="K1797">
        <v>2003</v>
      </c>
      <c r="L1797" t="s">
        <v>195</v>
      </c>
      <c r="M1797">
        <v>37</v>
      </c>
      <c r="N1797" t="s">
        <v>649</v>
      </c>
      <c r="O1797" t="s">
        <v>295</v>
      </c>
      <c r="P1797">
        <v>6175558555</v>
      </c>
      <c r="Q1797" t="s">
        <v>296</v>
      </c>
      <c r="S1797" t="s">
        <v>297</v>
      </c>
      <c r="T1797" t="s">
        <v>137</v>
      </c>
      <c r="U1797">
        <v>58339</v>
      </c>
      <c r="V1797" t="s">
        <v>46</v>
      </c>
      <c r="W1797" t="s">
        <v>47</v>
      </c>
      <c r="X1797" t="s">
        <v>289</v>
      </c>
      <c r="Y1797" t="s">
        <v>298</v>
      </c>
      <c r="Z1797" t="s">
        <v>50</v>
      </c>
    </row>
    <row r="1798" spans="1:26" x14ac:dyDescent="0.3">
      <c r="A1798">
        <v>10160</v>
      </c>
      <c r="B1798">
        <v>42</v>
      </c>
      <c r="C1798">
        <v>37</v>
      </c>
      <c r="D1798">
        <v>2</v>
      </c>
      <c r="E1798">
        <v>1554</v>
      </c>
      <c r="F1798" s="1">
        <v>37905</v>
      </c>
      <c r="G1798" t="s">
        <v>39</v>
      </c>
      <c r="H1798">
        <v>4</v>
      </c>
      <c r="I1798">
        <v>10</v>
      </c>
      <c r="J1798" t="str">
        <f>TEXT(DATE(2012,Table1[[#This Row],[MONTH_ID]],10),"mmm")</f>
        <v>Oct</v>
      </c>
      <c r="K1798">
        <v>2003</v>
      </c>
      <c r="L1798" t="s">
        <v>195</v>
      </c>
      <c r="M1798">
        <v>37</v>
      </c>
      <c r="N1798" t="s">
        <v>649</v>
      </c>
      <c r="O1798" t="s">
        <v>372</v>
      </c>
      <c r="P1798">
        <v>2155554369</v>
      </c>
      <c r="Q1798" t="s">
        <v>373</v>
      </c>
      <c r="S1798" t="s">
        <v>374</v>
      </c>
      <c r="T1798" t="s">
        <v>69</v>
      </c>
      <c r="V1798" t="s">
        <v>46</v>
      </c>
      <c r="W1798" t="s">
        <v>47</v>
      </c>
      <c r="X1798" t="s">
        <v>375</v>
      </c>
      <c r="Y1798" t="s">
        <v>117</v>
      </c>
      <c r="Z1798" t="s">
        <v>50</v>
      </c>
    </row>
    <row r="1799" spans="1:26" x14ac:dyDescent="0.3">
      <c r="A1799">
        <v>10171</v>
      </c>
      <c r="B1799">
        <v>36</v>
      </c>
      <c r="C1799">
        <v>35.49</v>
      </c>
      <c r="D1799">
        <v>4</v>
      </c>
      <c r="E1799">
        <v>1277.6400000000001</v>
      </c>
      <c r="F1799" s="1">
        <v>37930</v>
      </c>
      <c r="G1799" t="s">
        <v>39</v>
      </c>
      <c r="H1799">
        <v>4</v>
      </c>
      <c r="I1799">
        <v>11</v>
      </c>
      <c r="J1799" t="str">
        <f>TEXT(DATE(2012,Table1[[#This Row],[MONTH_ID]],10),"mmm")</f>
        <v>Nov</v>
      </c>
      <c r="K1799">
        <v>2003</v>
      </c>
      <c r="L1799" t="s">
        <v>195</v>
      </c>
      <c r="M1799">
        <v>37</v>
      </c>
      <c r="N1799" t="s">
        <v>649</v>
      </c>
      <c r="O1799" t="s">
        <v>306</v>
      </c>
      <c r="P1799" t="s">
        <v>307</v>
      </c>
      <c r="Q1799" t="s">
        <v>308</v>
      </c>
      <c r="S1799" t="s">
        <v>309</v>
      </c>
      <c r="T1799" t="s">
        <v>310</v>
      </c>
      <c r="U1799" t="s">
        <v>311</v>
      </c>
      <c r="V1799" t="s">
        <v>245</v>
      </c>
      <c r="W1799" t="s">
        <v>47</v>
      </c>
      <c r="X1799" t="s">
        <v>312</v>
      </c>
      <c r="Y1799" t="s">
        <v>313</v>
      </c>
      <c r="Z1799" t="s">
        <v>50</v>
      </c>
    </row>
    <row r="1800" spans="1:26" x14ac:dyDescent="0.3">
      <c r="A1800">
        <v>10181</v>
      </c>
      <c r="B1800">
        <v>37</v>
      </c>
      <c r="C1800">
        <v>42.67</v>
      </c>
      <c r="D1800">
        <v>8</v>
      </c>
      <c r="E1800">
        <v>1578.79</v>
      </c>
      <c r="F1800" s="1">
        <v>37937</v>
      </c>
      <c r="G1800" t="s">
        <v>39</v>
      </c>
      <c r="H1800">
        <v>4</v>
      </c>
      <c r="I1800">
        <v>11</v>
      </c>
      <c r="J1800" t="str">
        <f>TEXT(DATE(2012,Table1[[#This Row],[MONTH_ID]],10),"mmm")</f>
        <v>Nov</v>
      </c>
      <c r="K1800">
        <v>2003</v>
      </c>
      <c r="L1800" t="s">
        <v>195</v>
      </c>
      <c r="M1800">
        <v>37</v>
      </c>
      <c r="N1800" t="s">
        <v>649</v>
      </c>
      <c r="O1800" t="s">
        <v>87</v>
      </c>
      <c r="P1800" t="s">
        <v>88</v>
      </c>
      <c r="Q1800" t="s">
        <v>89</v>
      </c>
      <c r="S1800" t="s">
        <v>90</v>
      </c>
      <c r="U1800" t="s">
        <v>91</v>
      </c>
      <c r="V1800" t="s">
        <v>92</v>
      </c>
      <c r="W1800" t="s">
        <v>56</v>
      </c>
      <c r="X1800" t="s">
        <v>93</v>
      </c>
      <c r="Y1800" t="s">
        <v>94</v>
      </c>
      <c r="Z1800" t="s">
        <v>50</v>
      </c>
    </row>
    <row r="1801" spans="1:26" x14ac:dyDescent="0.3">
      <c r="A1801">
        <v>10192</v>
      </c>
      <c r="B1801">
        <v>30</v>
      </c>
      <c r="C1801">
        <v>30.59</v>
      </c>
      <c r="D1801">
        <v>13</v>
      </c>
      <c r="E1801">
        <v>917.7</v>
      </c>
      <c r="F1801" s="1">
        <v>37945</v>
      </c>
      <c r="G1801" t="s">
        <v>39</v>
      </c>
      <c r="H1801">
        <v>4</v>
      </c>
      <c r="I1801">
        <v>11</v>
      </c>
      <c r="J1801" t="str">
        <f>TEXT(DATE(2012,Table1[[#This Row],[MONTH_ID]],10),"mmm")</f>
        <v>Nov</v>
      </c>
      <c r="K1801">
        <v>2003</v>
      </c>
      <c r="L1801" t="s">
        <v>195</v>
      </c>
      <c r="M1801">
        <v>37</v>
      </c>
      <c r="N1801" t="s">
        <v>649</v>
      </c>
      <c r="O1801" t="s">
        <v>291</v>
      </c>
      <c r="P1801">
        <v>6035558647</v>
      </c>
      <c r="Q1801" t="s">
        <v>292</v>
      </c>
      <c r="S1801" t="s">
        <v>293</v>
      </c>
      <c r="T1801" t="s">
        <v>294</v>
      </c>
      <c r="U1801">
        <v>62005</v>
      </c>
      <c r="V1801" t="s">
        <v>46</v>
      </c>
      <c r="W1801" t="s">
        <v>47</v>
      </c>
      <c r="X1801" t="s">
        <v>70</v>
      </c>
      <c r="Y1801" t="s">
        <v>290</v>
      </c>
      <c r="Z1801" t="s">
        <v>50</v>
      </c>
    </row>
    <row r="1802" spans="1:26" x14ac:dyDescent="0.3">
      <c r="A1802">
        <v>10203</v>
      </c>
      <c r="B1802">
        <v>21</v>
      </c>
      <c r="C1802">
        <v>37</v>
      </c>
      <c r="D1802">
        <v>2</v>
      </c>
      <c r="E1802">
        <v>777</v>
      </c>
      <c r="F1802" s="1">
        <v>37957</v>
      </c>
      <c r="G1802" t="s">
        <v>39</v>
      </c>
      <c r="H1802">
        <v>4</v>
      </c>
      <c r="I1802">
        <v>12</v>
      </c>
      <c r="J1802" t="str">
        <f>TEXT(DATE(2012,Table1[[#This Row],[MONTH_ID]],10),"mmm")</f>
        <v>Dec</v>
      </c>
      <c r="K1802">
        <v>2003</v>
      </c>
      <c r="L1802" t="s">
        <v>195</v>
      </c>
      <c r="M1802">
        <v>37</v>
      </c>
      <c r="N1802" t="s">
        <v>649</v>
      </c>
      <c r="O1802" t="s">
        <v>188</v>
      </c>
      <c r="P1802" t="s">
        <v>189</v>
      </c>
      <c r="Q1802" t="s">
        <v>190</v>
      </c>
      <c r="S1802" t="s">
        <v>191</v>
      </c>
      <c r="U1802">
        <v>28034</v>
      </c>
      <c r="V1802" t="s">
        <v>192</v>
      </c>
      <c r="W1802" t="s">
        <v>56</v>
      </c>
      <c r="X1802" t="s">
        <v>193</v>
      </c>
      <c r="Y1802" t="s">
        <v>194</v>
      </c>
      <c r="Z1802" t="s">
        <v>50</v>
      </c>
    </row>
    <row r="1803" spans="1:26" x14ac:dyDescent="0.3">
      <c r="A1803">
        <v>10212</v>
      </c>
      <c r="B1803">
        <v>34</v>
      </c>
      <c r="C1803">
        <v>43.42</v>
      </c>
      <c r="D1803">
        <v>12</v>
      </c>
      <c r="E1803">
        <v>1476.28</v>
      </c>
      <c r="F1803" s="1">
        <v>38002</v>
      </c>
      <c r="G1803" t="s">
        <v>39</v>
      </c>
      <c r="H1803">
        <v>1</v>
      </c>
      <c r="I1803">
        <v>1</v>
      </c>
      <c r="J1803" t="str">
        <f>TEXT(DATE(2012,Table1[[#This Row],[MONTH_ID]],10),"mmm")</f>
        <v>Jan</v>
      </c>
      <c r="K1803">
        <v>2004</v>
      </c>
      <c r="L1803" t="s">
        <v>195</v>
      </c>
      <c r="M1803">
        <v>37</v>
      </c>
      <c r="N1803" t="s">
        <v>649</v>
      </c>
      <c r="O1803" t="s">
        <v>188</v>
      </c>
      <c r="P1803" t="s">
        <v>189</v>
      </c>
      <c r="Q1803" t="s">
        <v>190</v>
      </c>
      <c r="S1803" t="s">
        <v>191</v>
      </c>
      <c r="U1803">
        <v>28034</v>
      </c>
      <c r="V1803" t="s">
        <v>192</v>
      </c>
      <c r="W1803" t="s">
        <v>56</v>
      </c>
      <c r="X1803" t="s">
        <v>193</v>
      </c>
      <c r="Y1803" t="s">
        <v>194</v>
      </c>
      <c r="Z1803" t="s">
        <v>50</v>
      </c>
    </row>
    <row r="1804" spans="1:26" x14ac:dyDescent="0.3">
      <c r="A1804">
        <v>10225</v>
      </c>
      <c r="B1804">
        <v>42</v>
      </c>
      <c r="C1804">
        <v>36.630000000000003</v>
      </c>
      <c r="D1804">
        <v>3</v>
      </c>
      <c r="E1804">
        <v>1538.46</v>
      </c>
      <c r="F1804" s="1">
        <v>38039</v>
      </c>
      <c r="G1804" t="s">
        <v>39</v>
      </c>
      <c r="H1804">
        <v>1</v>
      </c>
      <c r="I1804">
        <v>2</v>
      </c>
      <c r="J1804" t="str">
        <f>TEXT(DATE(2012,Table1[[#This Row],[MONTH_ID]],10),"mmm")</f>
        <v>Feb</v>
      </c>
      <c r="K1804">
        <v>2004</v>
      </c>
      <c r="L1804" t="s">
        <v>195</v>
      </c>
      <c r="M1804">
        <v>37</v>
      </c>
      <c r="N1804" t="s">
        <v>649</v>
      </c>
      <c r="O1804" t="s">
        <v>460</v>
      </c>
      <c r="P1804" t="s">
        <v>461</v>
      </c>
      <c r="Q1804" t="s">
        <v>462</v>
      </c>
      <c r="S1804" t="s">
        <v>463</v>
      </c>
      <c r="U1804">
        <v>1203</v>
      </c>
      <c r="V1804" t="s">
        <v>464</v>
      </c>
      <c r="W1804" t="s">
        <v>56</v>
      </c>
      <c r="X1804" t="s">
        <v>465</v>
      </c>
      <c r="Y1804" t="s">
        <v>117</v>
      </c>
      <c r="Z1804" t="s">
        <v>50</v>
      </c>
    </row>
    <row r="1805" spans="1:26" x14ac:dyDescent="0.3">
      <c r="A1805">
        <v>10239</v>
      </c>
      <c r="B1805">
        <v>20</v>
      </c>
      <c r="C1805">
        <v>44.56</v>
      </c>
      <c r="D1805">
        <v>2</v>
      </c>
      <c r="E1805">
        <v>891.2</v>
      </c>
      <c r="F1805" s="1">
        <v>38089</v>
      </c>
      <c r="G1805" t="s">
        <v>39</v>
      </c>
      <c r="H1805">
        <v>2</v>
      </c>
      <c r="I1805">
        <v>4</v>
      </c>
      <c r="J1805" t="str">
        <f>TEXT(DATE(2012,Table1[[#This Row],[MONTH_ID]],10),"mmm")</f>
        <v>Apr</v>
      </c>
      <c r="K1805">
        <v>2004</v>
      </c>
      <c r="L1805" t="s">
        <v>195</v>
      </c>
      <c r="M1805">
        <v>37</v>
      </c>
      <c r="N1805" t="s">
        <v>649</v>
      </c>
      <c r="O1805" t="s">
        <v>405</v>
      </c>
      <c r="P1805" t="s">
        <v>406</v>
      </c>
      <c r="Q1805" t="s">
        <v>407</v>
      </c>
      <c r="S1805" t="s">
        <v>408</v>
      </c>
      <c r="U1805">
        <v>90110</v>
      </c>
      <c r="V1805" t="s">
        <v>144</v>
      </c>
      <c r="W1805" t="s">
        <v>56</v>
      </c>
      <c r="X1805" t="s">
        <v>409</v>
      </c>
      <c r="Y1805" t="s">
        <v>410</v>
      </c>
      <c r="Z1805" t="s">
        <v>50</v>
      </c>
    </row>
    <row r="1806" spans="1:26" x14ac:dyDescent="0.3">
      <c r="A1806">
        <v>10253</v>
      </c>
      <c r="B1806">
        <v>40</v>
      </c>
      <c r="C1806">
        <v>42.67</v>
      </c>
      <c r="D1806">
        <v>7</v>
      </c>
      <c r="E1806">
        <v>1706.8</v>
      </c>
      <c r="F1806" s="1">
        <v>38139</v>
      </c>
      <c r="G1806" t="s">
        <v>353</v>
      </c>
      <c r="H1806">
        <v>2</v>
      </c>
      <c r="I1806">
        <v>6</v>
      </c>
      <c r="J1806" t="str">
        <f>TEXT(DATE(2012,Table1[[#This Row],[MONTH_ID]],10),"mmm")</f>
        <v>Jun</v>
      </c>
      <c r="K1806">
        <v>2004</v>
      </c>
      <c r="L1806" t="s">
        <v>195</v>
      </c>
      <c r="M1806">
        <v>37</v>
      </c>
      <c r="N1806" t="s">
        <v>649</v>
      </c>
      <c r="O1806" t="s">
        <v>179</v>
      </c>
      <c r="P1806" t="s">
        <v>180</v>
      </c>
      <c r="Q1806" t="s">
        <v>181</v>
      </c>
      <c r="S1806" t="s">
        <v>182</v>
      </c>
      <c r="U1806" t="s">
        <v>183</v>
      </c>
      <c r="V1806" t="s">
        <v>184</v>
      </c>
      <c r="W1806" t="s">
        <v>56</v>
      </c>
      <c r="X1806" t="s">
        <v>185</v>
      </c>
      <c r="Y1806" t="s">
        <v>186</v>
      </c>
      <c r="Z1806" t="s">
        <v>50</v>
      </c>
    </row>
    <row r="1807" spans="1:26" x14ac:dyDescent="0.3">
      <c r="A1807">
        <v>10266</v>
      </c>
      <c r="B1807">
        <v>34</v>
      </c>
      <c r="C1807">
        <v>40.4</v>
      </c>
      <c r="D1807">
        <v>8</v>
      </c>
      <c r="E1807">
        <v>1373.6</v>
      </c>
      <c r="F1807" s="1">
        <v>38174</v>
      </c>
      <c r="G1807" t="s">
        <v>39</v>
      </c>
      <c r="H1807">
        <v>3</v>
      </c>
      <c r="I1807">
        <v>7</v>
      </c>
      <c r="J1807" t="str">
        <f>TEXT(DATE(2012,Table1[[#This Row],[MONTH_ID]],10),"mmm")</f>
        <v>Jul</v>
      </c>
      <c r="K1807">
        <v>2004</v>
      </c>
      <c r="L1807" t="s">
        <v>195</v>
      </c>
      <c r="M1807">
        <v>37</v>
      </c>
      <c r="N1807" t="s">
        <v>649</v>
      </c>
      <c r="O1807" t="s">
        <v>466</v>
      </c>
      <c r="P1807" t="s">
        <v>467</v>
      </c>
      <c r="Q1807" t="s">
        <v>468</v>
      </c>
      <c r="S1807" t="s">
        <v>469</v>
      </c>
      <c r="U1807">
        <v>42100</v>
      </c>
      <c r="V1807" t="s">
        <v>272</v>
      </c>
      <c r="W1807" t="s">
        <v>56</v>
      </c>
      <c r="X1807" t="s">
        <v>470</v>
      </c>
      <c r="Y1807" t="s">
        <v>471</v>
      </c>
      <c r="Z1807" t="s">
        <v>50</v>
      </c>
    </row>
    <row r="1808" spans="1:26" x14ac:dyDescent="0.3">
      <c r="A1808">
        <v>10278</v>
      </c>
      <c r="B1808">
        <v>31</v>
      </c>
      <c r="C1808">
        <v>38.89</v>
      </c>
      <c r="D1808">
        <v>8</v>
      </c>
      <c r="E1808">
        <v>1205.5899999999999</v>
      </c>
      <c r="F1808" s="1">
        <v>38205</v>
      </c>
      <c r="G1808" t="s">
        <v>39</v>
      </c>
      <c r="H1808">
        <v>3</v>
      </c>
      <c r="I1808">
        <v>8</v>
      </c>
      <c r="J1808" t="str">
        <f>TEXT(DATE(2012,Table1[[#This Row],[MONTH_ID]],10),"mmm")</f>
        <v>Aug</v>
      </c>
      <c r="K1808">
        <v>2004</v>
      </c>
      <c r="L1808" t="s">
        <v>195</v>
      </c>
      <c r="M1808">
        <v>37</v>
      </c>
      <c r="N1808" t="s">
        <v>649</v>
      </c>
      <c r="O1808" t="s">
        <v>553</v>
      </c>
      <c r="P1808">
        <v>7025551838</v>
      </c>
      <c r="Q1808" t="s">
        <v>554</v>
      </c>
      <c r="S1808" t="s">
        <v>555</v>
      </c>
      <c r="T1808" t="s">
        <v>556</v>
      </c>
      <c r="U1808">
        <v>83030</v>
      </c>
      <c r="V1808" t="s">
        <v>46</v>
      </c>
      <c r="W1808" t="s">
        <v>47</v>
      </c>
      <c r="X1808" t="s">
        <v>127</v>
      </c>
      <c r="Y1808" t="s">
        <v>414</v>
      </c>
      <c r="Z1808" t="s">
        <v>50</v>
      </c>
    </row>
    <row r="1809" spans="1:26" x14ac:dyDescent="0.3">
      <c r="A1809">
        <v>10287</v>
      </c>
      <c r="B1809">
        <v>36</v>
      </c>
      <c r="C1809">
        <v>39.65</v>
      </c>
      <c r="D1809">
        <v>6</v>
      </c>
      <c r="E1809">
        <v>1427.4</v>
      </c>
      <c r="F1809" s="1">
        <v>38229</v>
      </c>
      <c r="G1809" t="s">
        <v>39</v>
      </c>
      <c r="H1809">
        <v>3</v>
      </c>
      <c r="I1809">
        <v>8</v>
      </c>
      <c r="J1809" t="str">
        <f>TEXT(DATE(2012,Table1[[#This Row],[MONTH_ID]],10),"mmm")</f>
        <v>Aug</v>
      </c>
      <c r="K1809">
        <v>2004</v>
      </c>
      <c r="L1809" t="s">
        <v>195</v>
      </c>
      <c r="M1809">
        <v>37</v>
      </c>
      <c r="N1809" t="s">
        <v>649</v>
      </c>
      <c r="O1809" t="s">
        <v>460</v>
      </c>
      <c r="P1809" t="s">
        <v>461</v>
      </c>
      <c r="Q1809" t="s">
        <v>462</v>
      </c>
      <c r="S1809" t="s">
        <v>463</v>
      </c>
      <c r="U1809">
        <v>1203</v>
      </c>
      <c r="V1809" t="s">
        <v>464</v>
      </c>
      <c r="W1809" t="s">
        <v>56</v>
      </c>
      <c r="X1809" t="s">
        <v>465</v>
      </c>
      <c r="Y1809" t="s">
        <v>117</v>
      </c>
      <c r="Z1809" t="s">
        <v>50</v>
      </c>
    </row>
    <row r="1810" spans="1:26" x14ac:dyDescent="0.3">
      <c r="A1810">
        <v>10301</v>
      </c>
      <c r="B1810">
        <v>48</v>
      </c>
      <c r="C1810">
        <v>34.36</v>
      </c>
      <c r="D1810">
        <v>10</v>
      </c>
      <c r="E1810">
        <v>1649.28</v>
      </c>
      <c r="F1810" s="1">
        <v>37899</v>
      </c>
      <c r="G1810" t="s">
        <v>39</v>
      </c>
      <c r="H1810">
        <v>4</v>
      </c>
      <c r="I1810">
        <v>10</v>
      </c>
      <c r="J1810" t="str">
        <f>TEXT(DATE(2012,Table1[[#This Row],[MONTH_ID]],10),"mmm")</f>
        <v>Oct</v>
      </c>
      <c r="K1810">
        <v>2003</v>
      </c>
      <c r="L1810" t="s">
        <v>195</v>
      </c>
      <c r="M1810">
        <v>37</v>
      </c>
      <c r="N1810" t="s">
        <v>649</v>
      </c>
      <c r="O1810" t="s">
        <v>557</v>
      </c>
      <c r="P1810" t="s">
        <v>558</v>
      </c>
      <c r="Q1810" t="s">
        <v>559</v>
      </c>
      <c r="S1810" t="s">
        <v>560</v>
      </c>
      <c r="U1810" t="s">
        <v>561</v>
      </c>
      <c r="V1810" t="s">
        <v>92</v>
      </c>
      <c r="W1810" t="s">
        <v>56</v>
      </c>
      <c r="X1810" t="s">
        <v>562</v>
      </c>
      <c r="Y1810" t="s">
        <v>563</v>
      </c>
      <c r="Z1810" t="s">
        <v>50</v>
      </c>
    </row>
    <row r="1811" spans="1:26" x14ac:dyDescent="0.3">
      <c r="A1811">
        <v>10310</v>
      </c>
      <c r="B1811">
        <v>33</v>
      </c>
      <c r="C1811">
        <v>41.91</v>
      </c>
      <c r="D1811">
        <v>4</v>
      </c>
      <c r="E1811">
        <v>1383.03</v>
      </c>
      <c r="F1811" s="1">
        <v>38276</v>
      </c>
      <c r="G1811" t="s">
        <v>39</v>
      </c>
      <c r="H1811">
        <v>4</v>
      </c>
      <c r="I1811">
        <v>10</v>
      </c>
      <c r="J1811" t="str">
        <f>TEXT(DATE(2012,Table1[[#This Row],[MONTH_ID]],10),"mmm")</f>
        <v>Oct</v>
      </c>
      <c r="K1811">
        <v>2004</v>
      </c>
      <c r="L1811" t="s">
        <v>195</v>
      </c>
      <c r="M1811">
        <v>37</v>
      </c>
      <c r="N1811" t="s">
        <v>649</v>
      </c>
      <c r="O1811" t="s">
        <v>453</v>
      </c>
      <c r="P1811" t="s">
        <v>454</v>
      </c>
      <c r="Q1811" t="s">
        <v>455</v>
      </c>
      <c r="S1811" t="s">
        <v>456</v>
      </c>
      <c r="U1811">
        <v>50739</v>
      </c>
      <c r="V1811" t="s">
        <v>457</v>
      </c>
      <c r="W1811" t="s">
        <v>56</v>
      </c>
      <c r="X1811" t="s">
        <v>458</v>
      </c>
      <c r="Y1811" t="s">
        <v>459</v>
      </c>
      <c r="Z1811" t="s">
        <v>50</v>
      </c>
    </row>
    <row r="1812" spans="1:26" x14ac:dyDescent="0.3">
      <c r="A1812">
        <v>10321</v>
      </c>
      <c r="B1812">
        <v>37</v>
      </c>
      <c r="C1812">
        <v>33.229999999999997</v>
      </c>
      <c r="D1812">
        <v>12</v>
      </c>
      <c r="E1812">
        <v>1229.51</v>
      </c>
      <c r="F1812" s="1">
        <v>38295</v>
      </c>
      <c r="G1812" t="s">
        <v>39</v>
      </c>
      <c r="H1812">
        <v>4</v>
      </c>
      <c r="I1812">
        <v>11</v>
      </c>
      <c r="J1812" t="str">
        <f>TEXT(DATE(2012,Table1[[#This Row],[MONTH_ID]],10),"mmm")</f>
        <v>Nov</v>
      </c>
      <c r="K1812">
        <v>2004</v>
      </c>
      <c r="L1812" t="s">
        <v>195</v>
      </c>
      <c r="M1812">
        <v>37</v>
      </c>
      <c r="N1812" t="s">
        <v>649</v>
      </c>
      <c r="O1812" t="s">
        <v>174</v>
      </c>
      <c r="P1812">
        <v>5085552555</v>
      </c>
      <c r="Q1812" t="s">
        <v>175</v>
      </c>
      <c r="S1812" t="s">
        <v>176</v>
      </c>
      <c r="T1812" t="s">
        <v>137</v>
      </c>
      <c r="U1812">
        <v>50553</v>
      </c>
      <c r="V1812" t="s">
        <v>46</v>
      </c>
      <c r="W1812" t="s">
        <v>47</v>
      </c>
      <c r="X1812" t="s">
        <v>177</v>
      </c>
      <c r="Y1812" t="s">
        <v>178</v>
      </c>
      <c r="Z1812" t="s">
        <v>50</v>
      </c>
    </row>
    <row r="1813" spans="1:26" x14ac:dyDescent="0.3">
      <c r="A1813">
        <v>10331</v>
      </c>
      <c r="B1813">
        <v>27</v>
      </c>
      <c r="C1813">
        <v>42.24</v>
      </c>
      <c r="D1813">
        <v>13</v>
      </c>
      <c r="E1813">
        <v>1140.48</v>
      </c>
      <c r="F1813" s="1">
        <v>38308</v>
      </c>
      <c r="G1813" t="s">
        <v>39</v>
      </c>
      <c r="H1813">
        <v>4</v>
      </c>
      <c r="I1813">
        <v>11</v>
      </c>
      <c r="J1813" t="str">
        <f>TEXT(DATE(2012,Table1[[#This Row],[MONTH_ID]],10),"mmm")</f>
        <v>Nov</v>
      </c>
      <c r="K1813">
        <v>2004</v>
      </c>
      <c r="L1813" t="s">
        <v>195</v>
      </c>
      <c r="M1813">
        <v>37</v>
      </c>
      <c r="N1813" t="s">
        <v>649</v>
      </c>
      <c r="O1813" t="s">
        <v>323</v>
      </c>
      <c r="P1813">
        <v>2155559857</v>
      </c>
      <c r="Q1813" t="s">
        <v>324</v>
      </c>
      <c r="S1813" t="s">
        <v>230</v>
      </c>
      <c r="T1813" t="s">
        <v>156</v>
      </c>
      <c r="U1813">
        <v>71270</v>
      </c>
      <c r="V1813" t="s">
        <v>46</v>
      </c>
      <c r="W1813" t="s">
        <v>47</v>
      </c>
      <c r="X1813" t="s">
        <v>138</v>
      </c>
      <c r="Y1813" t="s">
        <v>325</v>
      </c>
      <c r="Z1813" t="s">
        <v>50</v>
      </c>
    </row>
    <row r="1814" spans="1:26" x14ac:dyDescent="0.3">
      <c r="A1814">
        <v>10342</v>
      </c>
      <c r="B1814">
        <v>39</v>
      </c>
      <c r="C1814">
        <v>40.4</v>
      </c>
      <c r="D1814">
        <v>9</v>
      </c>
      <c r="E1814">
        <v>1575.6</v>
      </c>
      <c r="F1814" s="1">
        <v>38315</v>
      </c>
      <c r="G1814" t="s">
        <v>39</v>
      </c>
      <c r="H1814">
        <v>4</v>
      </c>
      <c r="I1814">
        <v>11</v>
      </c>
      <c r="J1814" t="str">
        <f>TEXT(DATE(2012,Table1[[#This Row],[MONTH_ID]],10),"mmm")</f>
        <v>Nov</v>
      </c>
      <c r="K1814">
        <v>2004</v>
      </c>
      <c r="L1814" t="s">
        <v>195</v>
      </c>
      <c r="M1814">
        <v>37</v>
      </c>
      <c r="N1814" t="s">
        <v>649</v>
      </c>
      <c r="O1814" t="s">
        <v>103</v>
      </c>
      <c r="P1814" t="s">
        <v>104</v>
      </c>
      <c r="Q1814" t="s">
        <v>105</v>
      </c>
      <c r="R1814" t="s">
        <v>106</v>
      </c>
      <c r="S1814" t="s">
        <v>107</v>
      </c>
      <c r="T1814" t="s">
        <v>108</v>
      </c>
      <c r="U1814">
        <v>3004</v>
      </c>
      <c r="V1814" t="s">
        <v>109</v>
      </c>
      <c r="W1814" t="s">
        <v>110</v>
      </c>
      <c r="X1814" t="s">
        <v>111</v>
      </c>
      <c r="Y1814" t="s">
        <v>112</v>
      </c>
      <c r="Z1814" t="s">
        <v>50</v>
      </c>
    </row>
    <row r="1815" spans="1:26" x14ac:dyDescent="0.3">
      <c r="A1815">
        <v>10355</v>
      </c>
      <c r="B1815">
        <v>36</v>
      </c>
      <c r="C1815">
        <v>38.520000000000003</v>
      </c>
      <c r="D1815">
        <v>4</v>
      </c>
      <c r="E1815">
        <v>1386.72</v>
      </c>
      <c r="F1815" s="1">
        <v>38328</v>
      </c>
      <c r="G1815" t="s">
        <v>39</v>
      </c>
      <c r="H1815">
        <v>4</v>
      </c>
      <c r="I1815">
        <v>12</v>
      </c>
      <c r="J1815" t="str">
        <f>TEXT(DATE(2012,Table1[[#This Row],[MONTH_ID]],10),"mmm")</f>
        <v>Dec</v>
      </c>
      <c r="K1815">
        <v>2004</v>
      </c>
      <c r="L1815" t="s">
        <v>195</v>
      </c>
      <c r="M1815">
        <v>37</v>
      </c>
      <c r="N1815" t="s">
        <v>649</v>
      </c>
      <c r="O1815" t="s">
        <v>188</v>
      </c>
      <c r="P1815" t="s">
        <v>189</v>
      </c>
      <c r="Q1815" t="s">
        <v>190</v>
      </c>
      <c r="S1815" t="s">
        <v>191</v>
      </c>
      <c r="U1815">
        <v>28034</v>
      </c>
      <c r="V1815" t="s">
        <v>192</v>
      </c>
      <c r="W1815" t="s">
        <v>56</v>
      </c>
      <c r="X1815" t="s">
        <v>193</v>
      </c>
      <c r="Y1815" t="s">
        <v>194</v>
      </c>
      <c r="Z1815" t="s">
        <v>50</v>
      </c>
    </row>
    <row r="1816" spans="1:26" x14ac:dyDescent="0.3">
      <c r="A1816">
        <v>10367</v>
      </c>
      <c r="B1816">
        <v>36</v>
      </c>
      <c r="C1816">
        <v>100</v>
      </c>
      <c r="D1816">
        <v>2</v>
      </c>
      <c r="E1816">
        <v>5018.3999999999996</v>
      </c>
      <c r="F1816" s="1">
        <v>38364</v>
      </c>
      <c r="G1816" t="s">
        <v>422</v>
      </c>
      <c r="H1816">
        <v>1</v>
      </c>
      <c r="I1816">
        <v>1</v>
      </c>
      <c r="J1816" t="str">
        <f>TEXT(DATE(2012,Table1[[#This Row],[MONTH_ID]],10),"mmm")</f>
        <v>Jan</v>
      </c>
      <c r="K1816">
        <v>2005</v>
      </c>
      <c r="L1816" t="s">
        <v>195</v>
      </c>
      <c r="M1816">
        <v>37</v>
      </c>
      <c r="N1816" t="s">
        <v>649</v>
      </c>
      <c r="O1816" t="s">
        <v>66</v>
      </c>
      <c r="P1816">
        <v>6265557265</v>
      </c>
      <c r="Q1816" t="s">
        <v>67</v>
      </c>
      <c r="S1816" t="s">
        <v>68</v>
      </c>
      <c r="T1816" t="s">
        <v>69</v>
      </c>
      <c r="U1816">
        <v>90003</v>
      </c>
      <c r="V1816" t="s">
        <v>46</v>
      </c>
      <c r="W1816" t="s">
        <v>47</v>
      </c>
      <c r="X1816" t="s">
        <v>70</v>
      </c>
      <c r="Y1816" t="s">
        <v>71</v>
      </c>
      <c r="Z1816" t="s">
        <v>65</v>
      </c>
    </row>
    <row r="1817" spans="1:26" x14ac:dyDescent="0.3">
      <c r="A1817">
        <v>10378</v>
      </c>
      <c r="B1817">
        <v>41</v>
      </c>
      <c r="C1817">
        <v>100</v>
      </c>
      <c r="D1817">
        <v>7</v>
      </c>
      <c r="E1817">
        <v>5856.85</v>
      </c>
      <c r="F1817" s="1">
        <v>38393</v>
      </c>
      <c r="G1817" t="s">
        <v>39</v>
      </c>
      <c r="H1817">
        <v>1</v>
      </c>
      <c r="I1817">
        <v>2</v>
      </c>
      <c r="J1817" t="str">
        <f>TEXT(DATE(2012,Table1[[#This Row],[MONTH_ID]],10),"mmm")</f>
        <v>Feb</v>
      </c>
      <c r="K1817">
        <v>2005</v>
      </c>
      <c r="L1817" t="s">
        <v>195</v>
      </c>
      <c r="M1817">
        <v>37</v>
      </c>
      <c r="N1817" t="s">
        <v>649</v>
      </c>
      <c r="O1817" t="s">
        <v>188</v>
      </c>
      <c r="P1817" t="s">
        <v>189</v>
      </c>
      <c r="Q1817" t="s">
        <v>190</v>
      </c>
      <c r="S1817" t="s">
        <v>191</v>
      </c>
      <c r="U1817">
        <v>28034</v>
      </c>
      <c r="V1817" t="s">
        <v>192</v>
      </c>
      <c r="W1817" t="s">
        <v>56</v>
      </c>
      <c r="X1817" t="s">
        <v>193</v>
      </c>
      <c r="Y1817" t="s">
        <v>194</v>
      </c>
      <c r="Z1817" t="s">
        <v>65</v>
      </c>
    </row>
    <row r="1818" spans="1:26" x14ac:dyDescent="0.3">
      <c r="A1818">
        <v>10390</v>
      </c>
      <c r="B1818">
        <v>37</v>
      </c>
      <c r="C1818">
        <v>100</v>
      </c>
      <c r="D1818">
        <v>5</v>
      </c>
      <c r="E1818">
        <v>4894.7299999999996</v>
      </c>
      <c r="F1818" s="1">
        <v>38415</v>
      </c>
      <c r="G1818" t="s">
        <v>39</v>
      </c>
      <c r="H1818">
        <v>1</v>
      </c>
      <c r="I1818">
        <v>3</v>
      </c>
      <c r="J1818" t="str">
        <f>TEXT(DATE(2012,Table1[[#This Row],[MONTH_ID]],10),"mmm")</f>
        <v>Mar</v>
      </c>
      <c r="K1818">
        <v>2005</v>
      </c>
      <c r="L1818" t="s">
        <v>195</v>
      </c>
      <c r="M1818">
        <v>37</v>
      </c>
      <c r="N1818" t="s">
        <v>649</v>
      </c>
      <c r="O1818" t="s">
        <v>286</v>
      </c>
      <c r="P1818">
        <v>4155551450</v>
      </c>
      <c r="Q1818" t="s">
        <v>287</v>
      </c>
      <c r="S1818" t="s">
        <v>288</v>
      </c>
      <c r="T1818" t="s">
        <v>69</v>
      </c>
      <c r="U1818">
        <v>97562</v>
      </c>
      <c r="V1818" t="s">
        <v>46</v>
      </c>
      <c r="W1818" t="s">
        <v>47</v>
      </c>
      <c r="X1818" t="s">
        <v>289</v>
      </c>
      <c r="Y1818" t="s">
        <v>290</v>
      </c>
      <c r="Z1818" t="s">
        <v>65</v>
      </c>
    </row>
    <row r="1819" spans="1:26" x14ac:dyDescent="0.3">
      <c r="A1819">
        <v>10405</v>
      </c>
      <c r="B1819">
        <v>47</v>
      </c>
      <c r="C1819">
        <v>44.56</v>
      </c>
      <c r="D1819">
        <v>2</v>
      </c>
      <c r="E1819">
        <v>2094.3200000000002</v>
      </c>
      <c r="F1819" s="1">
        <v>38456</v>
      </c>
      <c r="G1819" t="s">
        <v>39</v>
      </c>
      <c r="H1819">
        <v>2</v>
      </c>
      <c r="I1819">
        <v>4</v>
      </c>
      <c r="J1819" t="str">
        <f>TEXT(DATE(2012,Table1[[#This Row],[MONTH_ID]],10),"mmm")</f>
        <v>Apr</v>
      </c>
      <c r="K1819">
        <v>2005</v>
      </c>
      <c r="L1819" t="s">
        <v>195</v>
      </c>
      <c r="M1819">
        <v>37</v>
      </c>
      <c r="N1819" t="s">
        <v>649</v>
      </c>
      <c r="O1819" t="s">
        <v>545</v>
      </c>
      <c r="P1819" t="s">
        <v>546</v>
      </c>
      <c r="Q1819" t="s">
        <v>547</v>
      </c>
      <c r="S1819" t="s">
        <v>548</v>
      </c>
      <c r="U1819">
        <v>67000</v>
      </c>
      <c r="V1819" t="s">
        <v>55</v>
      </c>
      <c r="W1819" t="s">
        <v>56</v>
      </c>
      <c r="X1819" t="s">
        <v>549</v>
      </c>
      <c r="Y1819" t="s">
        <v>550</v>
      </c>
      <c r="Z1819" t="s">
        <v>50</v>
      </c>
    </row>
    <row r="1820" spans="1:26" x14ac:dyDescent="0.3">
      <c r="A1820">
        <v>10419</v>
      </c>
      <c r="B1820">
        <v>15</v>
      </c>
      <c r="C1820">
        <v>42.67</v>
      </c>
      <c r="D1820">
        <v>7</v>
      </c>
      <c r="E1820">
        <v>640.04999999999995</v>
      </c>
      <c r="F1820" s="1">
        <v>38489</v>
      </c>
      <c r="G1820" t="s">
        <v>39</v>
      </c>
      <c r="H1820">
        <v>2</v>
      </c>
      <c r="I1820">
        <v>5</v>
      </c>
      <c r="J1820" t="str">
        <f>TEXT(DATE(2012,Table1[[#This Row],[MONTH_ID]],10),"mmm")</f>
        <v>May</v>
      </c>
      <c r="K1820">
        <v>2005</v>
      </c>
      <c r="L1820" t="s">
        <v>195</v>
      </c>
      <c r="M1820">
        <v>37</v>
      </c>
      <c r="N1820" t="s">
        <v>649</v>
      </c>
      <c r="O1820" t="s">
        <v>158</v>
      </c>
      <c r="P1820" t="s">
        <v>159</v>
      </c>
      <c r="Q1820" t="s">
        <v>160</v>
      </c>
      <c r="S1820" t="s">
        <v>161</v>
      </c>
      <c r="U1820">
        <v>5020</v>
      </c>
      <c r="V1820" t="s">
        <v>162</v>
      </c>
      <c r="W1820" t="s">
        <v>56</v>
      </c>
      <c r="X1820" t="s">
        <v>163</v>
      </c>
      <c r="Y1820" t="s">
        <v>164</v>
      </c>
      <c r="Z1820" t="s">
        <v>50</v>
      </c>
    </row>
    <row r="1821" spans="1:26" x14ac:dyDescent="0.3">
      <c r="A1821">
        <v>10105</v>
      </c>
      <c r="B1821">
        <v>44</v>
      </c>
      <c r="C1821">
        <v>72.58</v>
      </c>
      <c r="D1821">
        <v>4</v>
      </c>
      <c r="E1821">
        <v>3193.52</v>
      </c>
      <c r="F1821" s="1">
        <v>37663</v>
      </c>
      <c r="G1821" t="s">
        <v>39</v>
      </c>
      <c r="H1821">
        <v>1</v>
      </c>
      <c r="I1821">
        <v>2</v>
      </c>
      <c r="J1821" t="str">
        <f>TEXT(DATE(2012,Table1[[#This Row],[MONTH_ID]],10),"mmm")</f>
        <v>Feb</v>
      </c>
      <c r="K1821">
        <v>2003</v>
      </c>
      <c r="L1821" t="s">
        <v>564</v>
      </c>
      <c r="M1821">
        <v>88</v>
      </c>
      <c r="N1821" t="s">
        <v>650</v>
      </c>
      <c r="O1821" t="s">
        <v>336</v>
      </c>
      <c r="P1821" t="s">
        <v>337</v>
      </c>
      <c r="Q1821" t="s">
        <v>338</v>
      </c>
      <c r="S1821" t="s">
        <v>339</v>
      </c>
      <c r="U1821">
        <v>1734</v>
      </c>
      <c r="V1821" t="s">
        <v>340</v>
      </c>
      <c r="W1821" t="s">
        <v>56</v>
      </c>
      <c r="X1821" t="s">
        <v>341</v>
      </c>
      <c r="Y1821" t="s">
        <v>342</v>
      </c>
      <c r="Z1821" t="s">
        <v>65</v>
      </c>
    </row>
    <row r="1822" spans="1:26" x14ac:dyDescent="0.3">
      <c r="A1822">
        <v>10119</v>
      </c>
      <c r="B1822">
        <v>35</v>
      </c>
      <c r="C1822">
        <v>87.62</v>
      </c>
      <c r="D1822">
        <v>13</v>
      </c>
      <c r="E1822">
        <v>3066.7</v>
      </c>
      <c r="F1822" s="1">
        <v>37739</v>
      </c>
      <c r="G1822" t="s">
        <v>39</v>
      </c>
      <c r="H1822">
        <v>2</v>
      </c>
      <c r="I1822">
        <v>4</v>
      </c>
      <c r="J1822" t="str">
        <f>TEXT(DATE(2012,Table1[[#This Row],[MONTH_ID]],10),"mmm")</f>
        <v>Apr</v>
      </c>
      <c r="K1822">
        <v>2003</v>
      </c>
      <c r="L1822" t="s">
        <v>564</v>
      </c>
      <c r="M1822">
        <v>88</v>
      </c>
      <c r="N1822" t="s">
        <v>650</v>
      </c>
      <c r="O1822" t="s">
        <v>158</v>
      </c>
      <c r="P1822" t="s">
        <v>159</v>
      </c>
      <c r="Q1822" t="s">
        <v>160</v>
      </c>
      <c r="S1822" t="s">
        <v>161</v>
      </c>
      <c r="U1822">
        <v>5020</v>
      </c>
      <c r="V1822" t="s">
        <v>162</v>
      </c>
      <c r="W1822" t="s">
        <v>56</v>
      </c>
      <c r="X1822" t="s">
        <v>163</v>
      </c>
      <c r="Y1822" t="s">
        <v>164</v>
      </c>
      <c r="Z1822" t="s">
        <v>65</v>
      </c>
    </row>
    <row r="1823" spans="1:26" x14ac:dyDescent="0.3">
      <c r="A1823">
        <v>10129</v>
      </c>
      <c r="B1823">
        <v>41</v>
      </c>
      <c r="C1823">
        <v>94.71</v>
      </c>
      <c r="D1823">
        <v>4</v>
      </c>
      <c r="E1823">
        <v>3883.11</v>
      </c>
      <c r="F1823" s="1">
        <v>37784</v>
      </c>
      <c r="G1823" t="s">
        <v>39</v>
      </c>
      <c r="H1823">
        <v>2</v>
      </c>
      <c r="I1823">
        <v>6</v>
      </c>
      <c r="J1823" t="str">
        <f>TEXT(DATE(2012,Table1[[#This Row],[MONTH_ID]],10),"mmm")</f>
        <v>Jun</v>
      </c>
      <c r="K1823">
        <v>2003</v>
      </c>
      <c r="L1823" t="s">
        <v>564</v>
      </c>
      <c r="M1823">
        <v>88</v>
      </c>
      <c r="N1823" t="s">
        <v>650</v>
      </c>
      <c r="O1823" t="s">
        <v>343</v>
      </c>
      <c r="P1823" t="s">
        <v>344</v>
      </c>
      <c r="Q1823" t="s">
        <v>345</v>
      </c>
      <c r="S1823" t="s">
        <v>346</v>
      </c>
      <c r="U1823" t="s">
        <v>347</v>
      </c>
      <c r="V1823" t="s">
        <v>184</v>
      </c>
      <c r="W1823" t="s">
        <v>56</v>
      </c>
      <c r="X1823" t="s">
        <v>75</v>
      </c>
      <c r="Y1823" t="s">
        <v>348</v>
      </c>
      <c r="Z1823" t="s">
        <v>65</v>
      </c>
    </row>
    <row r="1824" spans="1:26" x14ac:dyDescent="0.3">
      <c r="A1824">
        <v>10142</v>
      </c>
      <c r="B1824">
        <v>49</v>
      </c>
      <c r="C1824">
        <v>98.25</v>
      </c>
      <c r="D1824">
        <v>1</v>
      </c>
      <c r="E1824">
        <v>4814.25</v>
      </c>
      <c r="F1824" s="1">
        <v>37841</v>
      </c>
      <c r="G1824" t="s">
        <v>39</v>
      </c>
      <c r="H1824">
        <v>3</v>
      </c>
      <c r="I1824">
        <v>8</v>
      </c>
      <c r="J1824" t="str">
        <f>TEXT(DATE(2012,Table1[[#This Row],[MONTH_ID]],10),"mmm")</f>
        <v>Aug</v>
      </c>
      <c r="K1824">
        <v>2003</v>
      </c>
      <c r="L1824" t="s">
        <v>564</v>
      </c>
      <c r="M1824">
        <v>88</v>
      </c>
      <c r="N1824" t="s">
        <v>650</v>
      </c>
      <c r="O1824" t="s">
        <v>286</v>
      </c>
      <c r="P1824">
        <v>4155551450</v>
      </c>
      <c r="Q1824" t="s">
        <v>287</v>
      </c>
      <c r="S1824" t="s">
        <v>288</v>
      </c>
      <c r="T1824" t="s">
        <v>69</v>
      </c>
      <c r="U1824">
        <v>97562</v>
      </c>
      <c r="V1824" t="s">
        <v>46</v>
      </c>
      <c r="W1824" t="s">
        <v>47</v>
      </c>
      <c r="X1824" t="s">
        <v>289</v>
      </c>
      <c r="Y1824" t="s">
        <v>290</v>
      </c>
      <c r="Z1824" t="s">
        <v>65</v>
      </c>
    </row>
    <row r="1825" spans="1:26" x14ac:dyDescent="0.3">
      <c r="A1825">
        <v>10154</v>
      </c>
      <c r="B1825">
        <v>31</v>
      </c>
      <c r="C1825">
        <v>91.17</v>
      </c>
      <c r="D1825">
        <v>2</v>
      </c>
      <c r="E1825">
        <v>2826.27</v>
      </c>
      <c r="F1825" s="1">
        <v>37896</v>
      </c>
      <c r="G1825" t="s">
        <v>39</v>
      </c>
      <c r="H1825">
        <v>4</v>
      </c>
      <c r="I1825">
        <v>10</v>
      </c>
      <c r="J1825" t="str">
        <f>TEXT(DATE(2012,Table1[[#This Row],[MONTH_ID]],10),"mmm")</f>
        <v>Oct</v>
      </c>
      <c r="K1825">
        <v>2003</v>
      </c>
      <c r="L1825" t="s">
        <v>564</v>
      </c>
      <c r="M1825">
        <v>88</v>
      </c>
      <c r="N1825" t="s">
        <v>650</v>
      </c>
      <c r="O1825" t="s">
        <v>528</v>
      </c>
      <c r="P1825">
        <v>3105552373</v>
      </c>
      <c r="Q1825" t="s">
        <v>529</v>
      </c>
      <c r="S1825" t="s">
        <v>530</v>
      </c>
      <c r="T1825" t="s">
        <v>69</v>
      </c>
      <c r="U1825">
        <v>92561</v>
      </c>
      <c r="V1825" t="s">
        <v>46</v>
      </c>
      <c r="W1825" t="s">
        <v>47</v>
      </c>
      <c r="X1825" t="s">
        <v>70</v>
      </c>
      <c r="Y1825" t="s">
        <v>259</v>
      </c>
      <c r="Z1825" t="s">
        <v>50</v>
      </c>
    </row>
    <row r="1826" spans="1:26" x14ac:dyDescent="0.3">
      <c r="A1826">
        <v>10167</v>
      </c>
      <c r="B1826">
        <v>20</v>
      </c>
      <c r="C1826">
        <v>79.66</v>
      </c>
      <c r="D1826">
        <v>11</v>
      </c>
      <c r="E1826">
        <v>1593.2</v>
      </c>
      <c r="F1826" s="1">
        <v>37917</v>
      </c>
      <c r="G1826" t="s">
        <v>353</v>
      </c>
      <c r="H1826">
        <v>4</v>
      </c>
      <c r="I1826">
        <v>10</v>
      </c>
      <c r="J1826" t="str">
        <f>TEXT(DATE(2012,Table1[[#This Row],[MONTH_ID]],10),"mmm")</f>
        <v>Oct</v>
      </c>
      <c r="K1826">
        <v>2003</v>
      </c>
      <c r="L1826" t="s">
        <v>564</v>
      </c>
      <c r="M1826">
        <v>88</v>
      </c>
      <c r="N1826" t="s">
        <v>650</v>
      </c>
      <c r="O1826" t="s">
        <v>275</v>
      </c>
      <c r="P1826" t="s">
        <v>276</v>
      </c>
      <c r="Q1826" t="s">
        <v>277</v>
      </c>
      <c r="S1826" t="s">
        <v>278</v>
      </c>
      <c r="U1826" t="s">
        <v>279</v>
      </c>
      <c r="V1826" t="s">
        <v>202</v>
      </c>
      <c r="W1826" t="s">
        <v>56</v>
      </c>
      <c r="X1826" t="s">
        <v>280</v>
      </c>
      <c r="Y1826" t="s">
        <v>220</v>
      </c>
      <c r="Z1826" t="s">
        <v>50</v>
      </c>
    </row>
    <row r="1827" spans="1:26" x14ac:dyDescent="0.3">
      <c r="A1827">
        <v>10177</v>
      </c>
      <c r="B1827">
        <v>45</v>
      </c>
      <c r="C1827">
        <v>72.58</v>
      </c>
      <c r="D1827">
        <v>2</v>
      </c>
      <c r="E1827">
        <v>3266.1</v>
      </c>
      <c r="F1827" s="1">
        <v>37932</v>
      </c>
      <c r="G1827" t="s">
        <v>39</v>
      </c>
      <c r="H1827">
        <v>4</v>
      </c>
      <c r="I1827">
        <v>11</v>
      </c>
      <c r="J1827" t="str">
        <f>TEXT(DATE(2012,Table1[[#This Row],[MONTH_ID]],10),"mmm")</f>
        <v>Nov</v>
      </c>
      <c r="K1827">
        <v>2003</v>
      </c>
      <c r="L1827" t="s">
        <v>564</v>
      </c>
      <c r="M1827">
        <v>88</v>
      </c>
      <c r="N1827" t="s">
        <v>650</v>
      </c>
      <c r="O1827" t="s">
        <v>501</v>
      </c>
      <c r="P1827" t="s">
        <v>502</v>
      </c>
      <c r="Q1827" t="s">
        <v>503</v>
      </c>
      <c r="S1827" t="s">
        <v>191</v>
      </c>
      <c r="U1827">
        <v>28023</v>
      </c>
      <c r="V1827" t="s">
        <v>192</v>
      </c>
      <c r="W1827" t="s">
        <v>56</v>
      </c>
      <c r="X1827" t="s">
        <v>504</v>
      </c>
      <c r="Y1827" t="s">
        <v>505</v>
      </c>
      <c r="Z1827" t="s">
        <v>65</v>
      </c>
    </row>
    <row r="1828" spans="1:26" x14ac:dyDescent="0.3">
      <c r="A1828">
        <v>10185</v>
      </c>
      <c r="B1828">
        <v>33</v>
      </c>
      <c r="C1828">
        <v>74.349999999999994</v>
      </c>
      <c r="D1828">
        <v>2</v>
      </c>
      <c r="E1828">
        <v>2453.5500000000002</v>
      </c>
      <c r="F1828" s="1">
        <v>37939</v>
      </c>
      <c r="G1828" t="s">
        <v>39</v>
      </c>
      <c r="H1828">
        <v>4</v>
      </c>
      <c r="I1828">
        <v>11</v>
      </c>
      <c r="J1828" t="str">
        <f>TEXT(DATE(2012,Table1[[#This Row],[MONTH_ID]],10),"mmm")</f>
        <v>Nov</v>
      </c>
      <c r="K1828">
        <v>2003</v>
      </c>
      <c r="L1828" t="s">
        <v>564</v>
      </c>
      <c r="M1828">
        <v>88</v>
      </c>
      <c r="N1828" t="s">
        <v>650</v>
      </c>
      <c r="O1828" t="s">
        <v>349</v>
      </c>
      <c r="P1828">
        <v>5085559555</v>
      </c>
      <c r="Q1828" t="s">
        <v>350</v>
      </c>
      <c r="S1828" t="s">
        <v>176</v>
      </c>
      <c r="T1828" t="s">
        <v>137</v>
      </c>
      <c r="U1828">
        <v>50553</v>
      </c>
      <c r="V1828" t="s">
        <v>46</v>
      </c>
      <c r="W1828" t="s">
        <v>47</v>
      </c>
      <c r="X1828" t="s">
        <v>351</v>
      </c>
      <c r="Y1828" t="s">
        <v>352</v>
      </c>
      <c r="Z1828" t="s">
        <v>50</v>
      </c>
    </row>
    <row r="1829" spans="1:26" x14ac:dyDescent="0.3">
      <c r="A1829">
        <v>10197</v>
      </c>
      <c r="B1829">
        <v>47</v>
      </c>
      <c r="C1829">
        <v>83.2</v>
      </c>
      <c r="D1829">
        <v>8</v>
      </c>
      <c r="E1829">
        <v>3910.4</v>
      </c>
      <c r="F1829" s="1">
        <v>37951</v>
      </c>
      <c r="G1829" t="s">
        <v>39</v>
      </c>
      <c r="H1829">
        <v>4</v>
      </c>
      <c r="I1829">
        <v>11</v>
      </c>
      <c r="J1829" t="str">
        <f>TEXT(DATE(2012,Table1[[#This Row],[MONTH_ID]],10),"mmm")</f>
        <v>Nov</v>
      </c>
      <c r="K1829">
        <v>2003</v>
      </c>
      <c r="L1829" t="s">
        <v>564</v>
      </c>
      <c r="M1829">
        <v>88</v>
      </c>
      <c r="N1829" t="s">
        <v>650</v>
      </c>
      <c r="O1829" t="s">
        <v>366</v>
      </c>
      <c r="P1829" t="s">
        <v>367</v>
      </c>
      <c r="Q1829" t="s">
        <v>368</v>
      </c>
      <c r="S1829" t="s">
        <v>369</v>
      </c>
      <c r="U1829">
        <v>8022</v>
      </c>
      <c r="V1829" t="s">
        <v>192</v>
      </c>
      <c r="W1829" t="s">
        <v>56</v>
      </c>
      <c r="X1829" t="s">
        <v>370</v>
      </c>
      <c r="Y1829" t="s">
        <v>371</v>
      </c>
      <c r="Z1829" t="s">
        <v>65</v>
      </c>
    </row>
    <row r="1830" spans="1:26" x14ac:dyDescent="0.3">
      <c r="A1830">
        <v>10208</v>
      </c>
      <c r="B1830">
        <v>20</v>
      </c>
      <c r="C1830">
        <v>89.4</v>
      </c>
      <c r="D1830">
        <v>2</v>
      </c>
      <c r="E1830">
        <v>1788</v>
      </c>
      <c r="F1830" s="1">
        <v>37988</v>
      </c>
      <c r="G1830" t="s">
        <v>39</v>
      </c>
      <c r="H1830">
        <v>1</v>
      </c>
      <c r="I1830">
        <v>1</v>
      </c>
      <c r="J1830" t="str">
        <f>TEXT(DATE(2012,Table1[[#This Row],[MONTH_ID]],10),"mmm")</f>
        <v>Jan</v>
      </c>
      <c r="K1830">
        <v>2004</v>
      </c>
      <c r="L1830" t="s">
        <v>564</v>
      </c>
      <c r="M1830">
        <v>88</v>
      </c>
      <c r="N1830" t="s">
        <v>650</v>
      </c>
      <c r="O1830" t="s">
        <v>233</v>
      </c>
      <c r="P1830" t="s">
        <v>234</v>
      </c>
      <c r="Q1830" t="s">
        <v>235</v>
      </c>
      <c r="S1830" t="s">
        <v>236</v>
      </c>
      <c r="U1830">
        <v>69004</v>
      </c>
      <c r="V1830" t="s">
        <v>55</v>
      </c>
      <c r="W1830" t="s">
        <v>56</v>
      </c>
      <c r="X1830" t="s">
        <v>237</v>
      </c>
      <c r="Y1830" t="s">
        <v>238</v>
      </c>
      <c r="Z1830" t="s">
        <v>50</v>
      </c>
    </row>
    <row r="1831" spans="1:26" x14ac:dyDescent="0.3">
      <c r="A1831">
        <v>10222</v>
      </c>
      <c r="B1831">
        <v>47</v>
      </c>
      <c r="C1831">
        <v>70.81</v>
      </c>
      <c r="D1831">
        <v>14</v>
      </c>
      <c r="E1831">
        <v>3328.07</v>
      </c>
      <c r="F1831" s="1">
        <v>38036</v>
      </c>
      <c r="G1831" t="s">
        <v>39</v>
      </c>
      <c r="H1831">
        <v>1</v>
      </c>
      <c r="I1831">
        <v>2</v>
      </c>
      <c r="J1831" t="str">
        <f>TEXT(DATE(2012,Table1[[#This Row],[MONTH_ID]],10),"mmm")</f>
        <v>Feb</v>
      </c>
      <c r="K1831">
        <v>2004</v>
      </c>
      <c r="L1831" t="s">
        <v>564</v>
      </c>
      <c r="M1831">
        <v>88</v>
      </c>
      <c r="N1831" t="s">
        <v>650</v>
      </c>
      <c r="O1831" t="s">
        <v>376</v>
      </c>
      <c r="P1831">
        <v>7605558146</v>
      </c>
      <c r="Q1831" t="s">
        <v>377</v>
      </c>
      <c r="S1831" t="s">
        <v>378</v>
      </c>
      <c r="T1831" t="s">
        <v>69</v>
      </c>
      <c r="U1831">
        <v>91217</v>
      </c>
      <c r="V1831" t="s">
        <v>46</v>
      </c>
      <c r="W1831" t="s">
        <v>47</v>
      </c>
      <c r="X1831" t="s">
        <v>251</v>
      </c>
      <c r="Y1831" t="s">
        <v>290</v>
      </c>
      <c r="Z1831" t="s">
        <v>65</v>
      </c>
    </row>
    <row r="1832" spans="1:26" x14ac:dyDescent="0.3">
      <c r="A1832">
        <v>10233</v>
      </c>
      <c r="B1832">
        <v>40</v>
      </c>
      <c r="C1832">
        <v>94.71</v>
      </c>
      <c r="D1832">
        <v>2</v>
      </c>
      <c r="E1832">
        <v>3788.4</v>
      </c>
      <c r="F1832" s="1">
        <v>38075</v>
      </c>
      <c r="G1832" t="s">
        <v>39</v>
      </c>
      <c r="H1832">
        <v>1</v>
      </c>
      <c r="I1832">
        <v>3</v>
      </c>
      <c r="J1832" t="str">
        <f>TEXT(DATE(2012,Table1[[#This Row],[MONTH_ID]],10),"mmm")</f>
        <v>Mar</v>
      </c>
      <c r="K1832">
        <v>2004</v>
      </c>
      <c r="L1832" t="s">
        <v>564</v>
      </c>
      <c r="M1832">
        <v>88</v>
      </c>
      <c r="N1832" t="s">
        <v>650</v>
      </c>
      <c r="O1832" t="s">
        <v>118</v>
      </c>
      <c r="P1832">
        <v>2015559350</v>
      </c>
      <c r="Q1832" t="s">
        <v>119</v>
      </c>
      <c r="S1832" t="s">
        <v>120</v>
      </c>
      <c r="T1832" t="s">
        <v>121</v>
      </c>
      <c r="U1832">
        <v>94019</v>
      </c>
      <c r="V1832" t="s">
        <v>46</v>
      </c>
      <c r="W1832" t="s">
        <v>47</v>
      </c>
      <c r="X1832" t="s">
        <v>75</v>
      </c>
      <c r="Y1832" t="s">
        <v>122</v>
      </c>
      <c r="Z1832" t="s">
        <v>65</v>
      </c>
    </row>
    <row r="1833" spans="1:26" x14ac:dyDescent="0.3">
      <c r="A1833">
        <v>10248</v>
      </c>
      <c r="B1833">
        <v>30</v>
      </c>
      <c r="C1833">
        <v>100</v>
      </c>
      <c r="D1833">
        <v>5</v>
      </c>
      <c r="E1833">
        <v>3053.7</v>
      </c>
      <c r="F1833" s="1">
        <v>38114</v>
      </c>
      <c r="G1833" t="s">
        <v>353</v>
      </c>
      <c r="H1833">
        <v>2</v>
      </c>
      <c r="I1833">
        <v>5</v>
      </c>
      <c r="J1833" t="str">
        <f>TEXT(DATE(2012,Table1[[#This Row],[MONTH_ID]],10),"mmm")</f>
        <v>May</v>
      </c>
      <c r="K1833">
        <v>2004</v>
      </c>
      <c r="L1833" t="s">
        <v>564</v>
      </c>
      <c r="M1833">
        <v>88</v>
      </c>
      <c r="N1833" t="s">
        <v>650</v>
      </c>
      <c r="O1833" t="s">
        <v>42</v>
      </c>
      <c r="P1833">
        <v>2125557818</v>
      </c>
      <c r="Q1833" t="s">
        <v>43</v>
      </c>
      <c r="S1833" t="s">
        <v>44</v>
      </c>
      <c r="T1833" t="s">
        <v>45</v>
      </c>
      <c r="U1833">
        <v>10022</v>
      </c>
      <c r="V1833" t="s">
        <v>46</v>
      </c>
      <c r="W1833" t="s">
        <v>47</v>
      </c>
      <c r="X1833" t="s">
        <v>48</v>
      </c>
      <c r="Y1833" t="s">
        <v>49</v>
      </c>
      <c r="Z1833" t="s">
        <v>65</v>
      </c>
    </row>
    <row r="1834" spans="1:26" x14ac:dyDescent="0.3">
      <c r="A1834">
        <v>10261</v>
      </c>
      <c r="B1834">
        <v>22</v>
      </c>
      <c r="C1834">
        <v>91.17</v>
      </c>
      <c r="D1834">
        <v>3</v>
      </c>
      <c r="E1834">
        <v>2005.74</v>
      </c>
      <c r="F1834" s="1">
        <v>38155</v>
      </c>
      <c r="G1834" t="s">
        <v>39</v>
      </c>
      <c r="H1834">
        <v>2</v>
      </c>
      <c r="I1834">
        <v>6</v>
      </c>
      <c r="J1834" t="str">
        <f>TEXT(DATE(2012,Table1[[#This Row],[MONTH_ID]],10),"mmm")</f>
        <v>Jun</v>
      </c>
      <c r="K1834">
        <v>2004</v>
      </c>
      <c r="L1834" t="s">
        <v>564</v>
      </c>
      <c r="M1834">
        <v>88</v>
      </c>
      <c r="N1834" t="s">
        <v>650</v>
      </c>
      <c r="O1834" t="s">
        <v>306</v>
      </c>
      <c r="P1834" t="s">
        <v>307</v>
      </c>
      <c r="Q1834" t="s">
        <v>308</v>
      </c>
      <c r="S1834" t="s">
        <v>309</v>
      </c>
      <c r="T1834" t="s">
        <v>310</v>
      </c>
      <c r="U1834" t="s">
        <v>311</v>
      </c>
      <c r="V1834" t="s">
        <v>245</v>
      </c>
      <c r="W1834" t="s">
        <v>47</v>
      </c>
      <c r="X1834" t="s">
        <v>312</v>
      </c>
      <c r="Y1834" t="s">
        <v>313</v>
      </c>
      <c r="Z1834" t="s">
        <v>50</v>
      </c>
    </row>
    <row r="1835" spans="1:26" x14ac:dyDescent="0.3">
      <c r="A1835">
        <v>10273</v>
      </c>
      <c r="B1835">
        <v>27</v>
      </c>
      <c r="C1835">
        <v>100</v>
      </c>
      <c r="D1835">
        <v>6</v>
      </c>
      <c r="E1835">
        <v>2796.12</v>
      </c>
      <c r="F1835" s="1">
        <v>38189</v>
      </c>
      <c r="G1835" t="s">
        <v>39</v>
      </c>
      <c r="H1835">
        <v>3</v>
      </c>
      <c r="I1835">
        <v>7</v>
      </c>
      <c r="J1835" t="str">
        <f>TEXT(DATE(2012,Table1[[#This Row],[MONTH_ID]],10),"mmm")</f>
        <v>Jul</v>
      </c>
      <c r="K1835">
        <v>2004</v>
      </c>
      <c r="L1835" t="s">
        <v>564</v>
      </c>
      <c r="M1835">
        <v>88</v>
      </c>
      <c r="N1835" t="s">
        <v>650</v>
      </c>
      <c r="O1835" t="s">
        <v>379</v>
      </c>
      <c r="P1835" t="s">
        <v>380</v>
      </c>
      <c r="Q1835" t="s">
        <v>381</v>
      </c>
      <c r="S1835" t="s">
        <v>382</v>
      </c>
      <c r="U1835" t="s">
        <v>383</v>
      </c>
      <c r="V1835" t="s">
        <v>384</v>
      </c>
      <c r="W1835" t="s">
        <v>56</v>
      </c>
      <c r="X1835" t="s">
        <v>385</v>
      </c>
      <c r="Y1835" t="s">
        <v>386</v>
      </c>
      <c r="Z1835" t="s">
        <v>50</v>
      </c>
    </row>
    <row r="1836" spans="1:26" x14ac:dyDescent="0.3">
      <c r="A1836">
        <v>10283</v>
      </c>
      <c r="B1836">
        <v>34</v>
      </c>
      <c r="C1836">
        <v>92.94</v>
      </c>
      <c r="D1836">
        <v>8</v>
      </c>
      <c r="E1836">
        <v>3159.96</v>
      </c>
      <c r="F1836" s="1">
        <v>38219</v>
      </c>
      <c r="G1836" t="s">
        <v>39</v>
      </c>
      <c r="H1836">
        <v>3</v>
      </c>
      <c r="I1836">
        <v>8</v>
      </c>
      <c r="J1836" t="str">
        <f>TEXT(DATE(2012,Table1[[#This Row],[MONTH_ID]],10),"mmm")</f>
        <v>Aug</v>
      </c>
      <c r="K1836">
        <v>2004</v>
      </c>
      <c r="L1836" t="s">
        <v>564</v>
      </c>
      <c r="M1836">
        <v>88</v>
      </c>
      <c r="N1836" t="s">
        <v>650</v>
      </c>
      <c r="O1836" t="s">
        <v>387</v>
      </c>
      <c r="P1836" t="s">
        <v>388</v>
      </c>
      <c r="Q1836" t="s">
        <v>389</v>
      </c>
      <c r="S1836" t="s">
        <v>390</v>
      </c>
      <c r="T1836" t="s">
        <v>243</v>
      </c>
      <c r="U1836" t="s">
        <v>391</v>
      </c>
      <c r="V1836" t="s">
        <v>245</v>
      </c>
      <c r="W1836" t="s">
        <v>47</v>
      </c>
      <c r="X1836" t="s">
        <v>392</v>
      </c>
      <c r="Y1836" t="s">
        <v>186</v>
      </c>
      <c r="Z1836" t="s">
        <v>65</v>
      </c>
    </row>
    <row r="1837" spans="1:26" x14ac:dyDescent="0.3">
      <c r="A1837">
        <v>10295</v>
      </c>
      <c r="B1837">
        <v>46</v>
      </c>
      <c r="C1837">
        <v>84.97</v>
      </c>
      <c r="D1837">
        <v>3</v>
      </c>
      <c r="E1837">
        <v>3908.62</v>
      </c>
      <c r="F1837" s="1">
        <v>38240</v>
      </c>
      <c r="G1837" t="s">
        <v>39</v>
      </c>
      <c r="H1837">
        <v>3</v>
      </c>
      <c r="I1837">
        <v>9</v>
      </c>
      <c r="J1837" t="str">
        <f>TEXT(DATE(2012,Table1[[#This Row],[MONTH_ID]],10),"mmm")</f>
        <v>Sep</v>
      </c>
      <c r="K1837">
        <v>2004</v>
      </c>
      <c r="L1837" t="s">
        <v>564</v>
      </c>
      <c r="M1837">
        <v>88</v>
      </c>
      <c r="N1837" t="s">
        <v>650</v>
      </c>
      <c r="O1837" t="s">
        <v>393</v>
      </c>
      <c r="P1837">
        <v>6175559555</v>
      </c>
      <c r="Q1837" t="s">
        <v>394</v>
      </c>
      <c r="S1837" t="s">
        <v>395</v>
      </c>
      <c r="T1837" t="s">
        <v>137</v>
      </c>
      <c r="U1837">
        <v>51003</v>
      </c>
      <c r="V1837" t="s">
        <v>46</v>
      </c>
      <c r="W1837" t="s">
        <v>47</v>
      </c>
      <c r="X1837" t="s">
        <v>396</v>
      </c>
      <c r="Y1837" t="s">
        <v>80</v>
      </c>
      <c r="Z1837" t="s">
        <v>65</v>
      </c>
    </row>
    <row r="1838" spans="1:26" x14ac:dyDescent="0.3">
      <c r="A1838">
        <v>10306</v>
      </c>
      <c r="B1838">
        <v>31</v>
      </c>
      <c r="C1838">
        <v>84.08</v>
      </c>
      <c r="D1838">
        <v>2</v>
      </c>
      <c r="E1838">
        <v>2606.48</v>
      </c>
      <c r="F1838" s="1">
        <v>38274</v>
      </c>
      <c r="G1838" t="s">
        <v>39</v>
      </c>
      <c r="H1838">
        <v>4</v>
      </c>
      <c r="I1838">
        <v>10</v>
      </c>
      <c r="J1838" t="str">
        <f>TEXT(DATE(2012,Table1[[#This Row],[MONTH_ID]],10),"mmm")</f>
        <v>Oct</v>
      </c>
      <c r="K1838">
        <v>2004</v>
      </c>
      <c r="L1838" t="s">
        <v>564</v>
      </c>
      <c r="M1838">
        <v>88</v>
      </c>
      <c r="N1838" t="s">
        <v>650</v>
      </c>
      <c r="O1838" t="s">
        <v>506</v>
      </c>
      <c r="P1838" t="s">
        <v>507</v>
      </c>
      <c r="Q1838" t="s">
        <v>508</v>
      </c>
      <c r="S1838" t="s">
        <v>509</v>
      </c>
      <c r="U1838" t="s">
        <v>510</v>
      </c>
      <c r="V1838" t="s">
        <v>184</v>
      </c>
      <c r="W1838" t="s">
        <v>56</v>
      </c>
      <c r="X1838" t="s">
        <v>511</v>
      </c>
      <c r="Y1838" t="s">
        <v>108</v>
      </c>
      <c r="Z1838" t="s">
        <v>50</v>
      </c>
    </row>
    <row r="1839" spans="1:26" x14ac:dyDescent="0.3">
      <c r="A1839">
        <v>10315</v>
      </c>
      <c r="B1839">
        <v>24</v>
      </c>
      <c r="C1839">
        <v>86.74</v>
      </c>
      <c r="D1839">
        <v>1</v>
      </c>
      <c r="E1839">
        <v>2081.7600000000002</v>
      </c>
      <c r="F1839" s="1">
        <v>38289</v>
      </c>
      <c r="G1839" t="s">
        <v>39</v>
      </c>
      <c r="H1839">
        <v>4</v>
      </c>
      <c r="I1839">
        <v>10</v>
      </c>
      <c r="J1839" t="str">
        <f>TEXT(DATE(2012,Table1[[#This Row],[MONTH_ID]],10),"mmm")</f>
        <v>Oct</v>
      </c>
      <c r="K1839">
        <v>2004</v>
      </c>
      <c r="L1839" t="s">
        <v>564</v>
      </c>
      <c r="M1839">
        <v>88</v>
      </c>
      <c r="N1839" t="s">
        <v>650</v>
      </c>
      <c r="O1839" t="s">
        <v>128</v>
      </c>
      <c r="P1839" t="s">
        <v>129</v>
      </c>
      <c r="Q1839" t="s">
        <v>130</v>
      </c>
      <c r="S1839" t="s">
        <v>131</v>
      </c>
      <c r="U1839">
        <v>44000</v>
      </c>
      <c r="V1839" t="s">
        <v>55</v>
      </c>
      <c r="W1839" t="s">
        <v>56</v>
      </c>
      <c r="X1839" t="s">
        <v>132</v>
      </c>
      <c r="Y1839" t="s">
        <v>133</v>
      </c>
      <c r="Z1839" t="s">
        <v>50</v>
      </c>
    </row>
    <row r="1840" spans="1:26" x14ac:dyDescent="0.3">
      <c r="A1840">
        <v>10326</v>
      </c>
      <c r="B1840">
        <v>41</v>
      </c>
      <c r="C1840">
        <v>85.85</v>
      </c>
      <c r="D1840">
        <v>3</v>
      </c>
      <c r="E1840">
        <v>3519.85</v>
      </c>
      <c r="F1840" s="1">
        <v>38300</v>
      </c>
      <c r="G1840" t="s">
        <v>39</v>
      </c>
      <c r="H1840">
        <v>4</v>
      </c>
      <c r="I1840">
        <v>11</v>
      </c>
      <c r="J1840" t="str">
        <f>TEXT(DATE(2012,Table1[[#This Row],[MONTH_ID]],10),"mmm")</f>
        <v>Nov</v>
      </c>
      <c r="K1840">
        <v>2004</v>
      </c>
      <c r="L1840" t="s">
        <v>564</v>
      </c>
      <c r="M1840">
        <v>88</v>
      </c>
      <c r="N1840" t="s">
        <v>650</v>
      </c>
      <c r="O1840" t="s">
        <v>197</v>
      </c>
      <c r="P1840" t="s">
        <v>198</v>
      </c>
      <c r="Q1840" t="s">
        <v>199</v>
      </c>
      <c r="S1840" t="s">
        <v>200</v>
      </c>
      <c r="U1840" t="s">
        <v>201</v>
      </c>
      <c r="V1840" t="s">
        <v>202</v>
      </c>
      <c r="W1840" t="s">
        <v>56</v>
      </c>
      <c r="X1840" t="s">
        <v>203</v>
      </c>
      <c r="Y1840" t="s">
        <v>204</v>
      </c>
      <c r="Z1840" t="s">
        <v>65</v>
      </c>
    </row>
    <row r="1841" spans="1:26" x14ac:dyDescent="0.3">
      <c r="A1841">
        <v>10339</v>
      </c>
      <c r="B1841">
        <v>55</v>
      </c>
      <c r="C1841">
        <v>100</v>
      </c>
      <c r="D1841">
        <v>13</v>
      </c>
      <c r="E1841">
        <v>10758</v>
      </c>
      <c r="F1841" s="1">
        <v>38314</v>
      </c>
      <c r="G1841" t="s">
        <v>39</v>
      </c>
      <c r="H1841">
        <v>4</v>
      </c>
      <c r="I1841">
        <v>11</v>
      </c>
      <c r="J1841" t="str">
        <f>TEXT(DATE(2012,Table1[[#This Row],[MONTH_ID]],10),"mmm")</f>
        <v>Nov</v>
      </c>
      <c r="K1841">
        <v>2004</v>
      </c>
      <c r="L1841" t="s">
        <v>564</v>
      </c>
      <c r="M1841">
        <v>88</v>
      </c>
      <c r="N1841" t="s">
        <v>650</v>
      </c>
      <c r="O1841" t="s">
        <v>260</v>
      </c>
      <c r="P1841" t="s">
        <v>261</v>
      </c>
      <c r="Q1841" t="s">
        <v>262</v>
      </c>
      <c r="S1841" t="s">
        <v>263</v>
      </c>
      <c r="T1841" t="s">
        <v>264</v>
      </c>
      <c r="U1841" t="s">
        <v>265</v>
      </c>
      <c r="V1841" t="s">
        <v>214</v>
      </c>
      <c r="W1841" t="s">
        <v>214</v>
      </c>
      <c r="X1841" t="s">
        <v>266</v>
      </c>
      <c r="Y1841" t="s">
        <v>267</v>
      </c>
      <c r="Z1841" t="s">
        <v>165</v>
      </c>
    </row>
    <row r="1842" spans="1:26" x14ac:dyDescent="0.3">
      <c r="A1842">
        <v>10350</v>
      </c>
      <c r="B1842">
        <v>30</v>
      </c>
      <c r="C1842">
        <v>100</v>
      </c>
      <c r="D1842">
        <v>9</v>
      </c>
      <c r="E1842">
        <v>3021</v>
      </c>
      <c r="F1842" s="1">
        <v>38323</v>
      </c>
      <c r="G1842" t="s">
        <v>39</v>
      </c>
      <c r="H1842">
        <v>4</v>
      </c>
      <c r="I1842">
        <v>12</v>
      </c>
      <c r="J1842" t="str">
        <f>TEXT(DATE(2012,Table1[[#This Row],[MONTH_ID]],10),"mmm")</f>
        <v>Dec</v>
      </c>
      <c r="K1842">
        <v>2004</v>
      </c>
      <c r="L1842" t="s">
        <v>564</v>
      </c>
      <c r="M1842">
        <v>88</v>
      </c>
      <c r="N1842" t="s">
        <v>650</v>
      </c>
      <c r="O1842" t="s">
        <v>188</v>
      </c>
      <c r="P1842" t="s">
        <v>189</v>
      </c>
      <c r="Q1842" t="s">
        <v>190</v>
      </c>
      <c r="S1842" t="s">
        <v>191</v>
      </c>
      <c r="U1842">
        <v>28034</v>
      </c>
      <c r="V1842" t="s">
        <v>192</v>
      </c>
      <c r="W1842" t="s">
        <v>56</v>
      </c>
      <c r="X1842" t="s">
        <v>193</v>
      </c>
      <c r="Y1842" t="s">
        <v>194</v>
      </c>
      <c r="Z1842" t="s">
        <v>65</v>
      </c>
    </row>
    <row r="1843" spans="1:26" x14ac:dyDescent="0.3">
      <c r="A1843">
        <v>10373</v>
      </c>
      <c r="B1843">
        <v>33</v>
      </c>
      <c r="C1843">
        <v>57.32</v>
      </c>
      <c r="D1843">
        <v>12</v>
      </c>
      <c r="E1843">
        <v>1891.56</v>
      </c>
      <c r="F1843" s="1">
        <v>38383</v>
      </c>
      <c r="G1843" t="s">
        <v>39</v>
      </c>
      <c r="H1843">
        <v>1</v>
      </c>
      <c r="I1843">
        <v>1</v>
      </c>
      <c r="J1843" t="str">
        <f>TEXT(DATE(2012,Table1[[#This Row],[MONTH_ID]],10),"mmm")</f>
        <v>Jan</v>
      </c>
      <c r="K1843">
        <v>2005</v>
      </c>
      <c r="L1843" t="s">
        <v>564</v>
      </c>
      <c r="M1843">
        <v>88</v>
      </c>
      <c r="N1843" t="s">
        <v>650</v>
      </c>
      <c r="O1843" t="s">
        <v>405</v>
      </c>
      <c r="P1843" t="s">
        <v>406</v>
      </c>
      <c r="Q1843" t="s">
        <v>407</v>
      </c>
      <c r="S1843" t="s">
        <v>408</v>
      </c>
      <c r="U1843">
        <v>90110</v>
      </c>
      <c r="V1843" t="s">
        <v>144</v>
      </c>
      <c r="W1843" t="s">
        <v>56</v>
      </c>
      <c r="X1843" t="s">
        <v>409</v>
      </c>
      <c r="Y1843" t="s">
        <v>410</v>
      </c>
      <c r="Z1843" t="s">
        <v>50</v>
      </c>
    </row>
    <row r="1844" spans="1:26" x14ac:dyDescent="0.3">
      <c r="A1844">
        <v>10384</v>
      </c>
      <c r="B1844">
        <v>43</v>
      </c>
      <c r="C1844">
        <v>97.87</v>
      </c>
      <c r="D1844">
        <v>2</v>
      </c>
      <c r="E1844">
        <v>4208.41</v>
      </c>
      <c r="F1844" s="1">
        <v>38406</v>
      </c>
      <c r="G1844" t="s">
        <v>39</v>
      </c>
      <c r="H1844">
        <v>1</v>
      </c>
      <c r="I1844">
        <v>2</v>
      </c>
      <c r="J1844" t="str">
        <f>TEXT(DATE(2012,Table1[[#This Row],[MONTH_ID]],10),"mmm")</f>
        <v>Feb</v>
      </c>
      <c r="K1844">
        <v>2005</v>
      </c>
      <c r="L1844" t="s">
        <v>564</v>
      </c>
      <c r="M1844">
        <v>88</v>
      </c>
      <c r="N1844" t="s">
        <v>650</v>
      </c>
      <c r="O1844" t="s">
        <v>72</v>
      </c>
      <c r="P1844">
        <v>6505551386</v>
      </c>
      <c r="Q1844" t="s">
        <v>73</v>
      </c>
      <c r="S1844" t="s">
        <v>74</v>
      </c>
      <c r="T1844" t="s">
        <v>69</v>
      </c>
      <c r="V1844" t="s">
        <v>46</v>
      </c>
      <c r="W1844" t="s">
        <v>47</v>
      </c>
      <c r="X1844" t="s">
        <v>75</v>
      </c>
      <c r="Y1844" t="s">
        <v>71</v>
      </c>
      <c r="Z1844" t="s">
        <v>65</v>
      </c>
    </row>
    <row r="1845" spans="1:26" x14ac:dyDescent="0.3">
      <c r="A1845">
        <v>10396</v>
      </c>
      <c r="B1845">
        <v>27</v>
      </c>
      <c r="C1845">
        <v>83.2</v>
      </c>
      <c r="D1845">
        <v>7</v>
      </c>
      <c r="E1845">
        <v>2246.4</v>
      </c>
      <c r="F1845" s="1">
        <v>38434</v>
      </c>
      <c r="G1845" t="s">
        <v>39</v>
      </c>
      <c r="H1845">
        <v>1</v>
      </c>
      <c r="I1845">
        <v>3</v>
      </c>
      <c r="J1845" t="str">
        <f>TEXT(DATE(2012,Table1[[#This Row],[MONTH_ID]],10),"mmm")</f>
        <v>Mar</v>
      </c>
      <c r="K1845">
        <v>2005</v>
      </c>
      <c r="L1845" t="s">
        <v>564</v>
      </c>
      <c r="M1845">
        <v>88</v>
      </c>
      <c r="N1845" t="s">
        <v>650</v>
      </c>
      <c r="O1845" t="s">
        <v>286</v>
      </c>
      <c r="P1845">
        <v>4155551450</v>
      </c>
      <c r="Q1845" t="s">
        <v>287</v>
      </c>
      <c r="S1845" t="s">
        <v>288</v>
      </c>
      <c r="T1845" t="s">
        <v>69</v>
      </c>
      <c r="U1845">
        <v>97562</v>
      </c>
      <c r="V1845" t="s">
        <v>46</v>
      </c>
      <c r="W1845" t="s">
        <v>47</v>
      </c>
      <c r="X1845" t="s">
        <v>289</v>
      </c>
      <c r="Y1845" t="s">
        <v>290</v>
      </c>
      <c r="Z1845" t="s">
        <v>50</v>
      </c>
    </row>
    <row r="1846" spans="1:26" x14ac:dyDescent="0.3">
      <c r="A1846">
        <v>10414</v>
      </c>
      <c r="B1846">
        <v>60</v>
      </c>
      <c r="C1846">
        <v>100</v>
      </c>
      <c r="D1846">
        <v>5</v>
      </c>
      <c r="E1846">
        <v>6107.4</v>
      </c>
      <c r="F1846" s="1">
        <v>38478</v>
      </c>
      <c r="G1846" t="s">
        <v>415</v>
      </c>
      <c r="H1846">
        <v>2</v>
      </c>
      <c r="I1846">
        <v>5</v>
      </c>
      <c r="J1846" t="str">
        <f>TEXT(DATE(2012,Table1[[#This Row],[MONTH_ID]],10),"mmm")</f>
        <v>May</v>
      </c>
      <c r="K1846">
        <v>2005</v>
      </c>
      <c r="L1846" t="s">
        <v>564</v>
      </c>
      <c r="M1846">
        <v>88</v>
      </c>
      <c r="N1846" t="s">
        <v>650</v>
      </c>
      <c r="O1846" t="s">
        <v>393</v>
      </c>
      <c r="P1846">
        <v>6175559555</v>
      </c>
      <c r="Q1846" t="s">
        <v>394</v>
      </c>
      <c r="S1846" t="s">
        <v>395</v>
      </c>
      <c r="T1846" t="s">
        <v>137</v>
      </c>
      <c r="U1846">
        <v>51003</v>
      </c>
      <c r="V1846" t="s">
        <v>46</v>
      </c>
      <c r="W1846" t="s">
        <v>47</v>
      </c>
      <c r="X1846" t="s">
        <v>396</v>
      </c>
      <c r="Y1846" t="s">
        <v>80</v>
      </c>
      <c r="Z1846" t="s">
        <v>65</v>
      </c>
    </row>
    <row r="1847" spans="1:26" x14ac:dyDescent="0.3">
      <c r="A1847">
        <v>10110</v>
      </c>
      <c r="B1847">
        <v>27</v>
      </c>
      <c r="C1847">
        <v>73.62</v>
      </c>
      <c r="D1847">
        <v>12</v>
      </c>
      <c r="E1847">
        <v>1987.74</v>
      </c>
      <c r="F1847" s="1">
        <v>37698</v>
      </c>
      <c r="G1847" t="s">
        <v>39</v>
      </c>
      <c r="H1847">
        <v>1</v>
      </c>
      <c r="I1847">
        <v>3</v>
      </c>
      <c r="J1847" t="str">
        <f>TEXT(DATE(2012,Table1[[#This Row],[MONTH_ID]],10),"mmm")</f>
        <v>Mar</v>
      </c>
      <c r="K1847">
        <v>2003</v>
      </c>
      <c r="L1847" t="s">
        <v>195</v>
      </c>
      <c r="M1847">
        <v>85</v>
      </c>
      <c r="N1847" t="s">
        <v>651</v>
      </c>
      <c r="O1847" t="s">
        <v>506</v>
      </c>
      <c r="P1847" t="s">
        <v>507</v>
      </c>
      <c r="Q1847" t="s">
        <v>508</v>
      </c>
      <c r="S1847" t="s">
        <v>509</v>
      </c>
      <c r="U1847" t="s">
        <v>510</v>
      </c>
      <c r="V1847" t="s">
        <v>184</v>
      </c>
      <c r="W1847" t="s">
        <v>56</v>
      </c>
      <c r="X1847" t="s">
        <v>511</v>
      </c>
      <c r="Y1847" t="s">
        <v>108</v>
      </c>
      <c r="Z1847" t="s">
        <v>50</v>
      </c>
    </row>
    <row r="1848" spans="1:26" x14ac:dyDescent="0.3">
      <c r="A1848">
        <v>10124</v>
      </c>
      <c r="B1848">
        <v>49</v>
      </c>
      <c r="C1848">
        <v>83.04</v>
      </c>
      <c r="D1848">
        <v>11</v>
      </c>
      <c r="E1848">
        <v>4068.96</v>
      </c>
      <c r="F1848" s="1">
        <v>37762</v>
      </c>
      <c r="G1848" t="s">
        <v>39</v>
      </c>
      <c r="H1848">
        <v>2</v>
      </c>
      <c r="I1848">
        <v>5</v>
      </c>
      <c r="J1848" t="str">
        <f>TEXT(DATE(2012,Table1[[#This Row],[MONTH_ID]],10),"mmm")</f>
        <v>May</v>
      </c>
      <c r="K1848">
        <v>2003</v>
      </c>
      <c r="L1848" t="s">
        <v>195</v>
      </c>
      <c r="M1848">
        <v>85</v>
      </c>
      <c r="N1848" t="s">
        <v>651</v>
      </c>
      <c r="O1848" t="s">
        <v>553</v>
      </c>
      <c r="P1848">
        <v>7025551838</v>
      </c>
      <c r="Q1848" t="s">
        <v>554</v>
      </c>
      <c r="S1848" t="s">
        <v>555</v>
      </c>
      <c r="T1848" t="s">
        <v>556</v>
      </c>
      <c r="U1848">
        <v>83030</v>
      </c>
      <c r="V1848" t="s">
        <v>46</v>
      </c>
      <c r="W1848" t="s">
        <v>47</v>
      </c>
      <c r="X1848" t="s">
        <v>127</v>
      </c>
      <c r="Y1848" t="s">
        <v>414</v>
      </c>
      <c r="Z1848" t="s">
        <v>65</v>
      </c>
    </row>
    <row r="1849" spans="1:26" x14ac:dyDescent="0.3">
      <c r="A1849">
        <v>10148</v>
      </c>
      <c r="B1849">
        <v>31</v>
      </c>
      <c r="C1849">
        <v>73.62</v>
      </c>
      <c r="D1849">
        <v>5</v>
      </c>
      <c r="E1849">
        <v>2282.2199999999998</v>
      </c>
      <c r="F1849" s="1">
        <v>37875</v>
      </c>
      <c r="G1849" t="s">
        <v>39</v>
      </c>
      <c r="H1849">
        <v>3</v>
      </c>
      <c r="I1849">
        <v>9</v>
      </c>
      <c r="J1849" t="str">
        <f>TEXT(DATE(2012,Table1[[#This Row],[MONTH_ID]],10),"mmm")</f>
        <v>Sep</v>
      </c>
      <c r="K1849">
        <v>2003</v>
      </c>
      <c r="L1849" t="s">
        <v>195</v>
      </c>
      <c r="M1849">
        <v>85</v>
      </c>
      <c r="N1849" t="s">
        <v>651</v>
      </c>
      <c r="O1849" t="s">
        <v>299</v>
      </c>
      <c r="P1849" t="s">
        <v>300</v>
      </c>
      <c r="Q1849" t="s">
        <v>301</v>
      </c>
      <c r="R1849" t="s">
        <v>302</v>
      </c>
      <c r="S1849" t="s">
        <v>303</v>
      </c>
      <c r="T1849" t="s">
        <v>171</v>
      </c>
      <c r="U1849">
        <v>2060</v>
      </c>
      <c r="V1849" t="s">
        <v>109</v>
      </c>
      <c r="W1849" t="s">
        <v>110</v>
      </c>
      <c r="X1849" t="s">
        <v>304</v>
      </c>
      <c r="Y1849" t="s">
        <v>305</v>
      </c>
      <c r="Z1849" t="s">
        <v>50</v>
      </c>
    </row>
    <row r="1850" spans="1:26" x14ac:dyDescent="0.3">
      <c r="A1850">
        <v>10161</v>
      </c>
      <c r="B1850">
        <v>20</v>
      </c>
      <c r="C1850">
        <v>77.05</v>
      </c>
      <c r="D1850">
        <v>4</v>
      </c>
      <c r="E1850">
        <v>1541</v>
      </c>
      <c r="F1850" s="1">
        <v>37911</v>
      </c>
      <c r="G1850" t="s">
        <v>39</v>
      </c>
      <c r="H1850">
        <v>4</v>
      </c>
      <c r="I1850">
        <v>10</v>
      </c>
      <c r="J1850" t="str">
        <f>TEXT(DATE(2012,Table1[[#This Row],[MONTH_ID]],10),"mmm")</f>
        <v>Oct</v>
      </c>
      <c r="K1850">
        <v>2003</v>
      </c>
      <c r="L1850" t="s">
        <v>195</v>
      </c>
      <c r="M1850">
        <v>85</v>
      </c>
      <c r="N1850" t="s">
        <v>651</v>
      </c>
      <c r="O1850" t="s">
        <v>512</v>
      </c>
      <c r="P1850" t="s">
        <v>513</v>
      </c>
      <c r="Q1850" t="s">
        <v>514</v>
      </c>
      <c r="S1850" t="s">
        <v>515</v>
      </c>
      <c r="U1850">
        <v>8200</v>
      </c>
      <c r="V1850" t="s">
        <v>340</v>
      </c>
      <c r="W1850" t="s">
        <v>56</v>
      </c>
      <c r="X1850" t="s">
        <v>516</v>
      </c>
      <c r="Y1850" t="s">
        <v>517</v>
      </c>
      <c r="Z1850" t="s">
        <v>50</v>
      </c>
    </row>
    <row r="1851" spans="1:26" x14ac:dyDescent="0.3">
      <c r="A1851">
        <v>10172</v>
      </c>
      <c r="B1851">
        <v>24</v>
      </c>
      <c r="C1851">
        <v>81.33</v>
      </c>
      <c r="D1851">
        <v>2</v>
      </c>
      <c r="E1851">
        <v>1951.92</v>
      </c>
      <c r="F1851" s="1">
        <v>37930</v>
      </c>
      <c r="G1851" t="s">
        <v>39</v>
      </c>
      <c r="H1851">
        <v>4</v>
      </c>
      <c r="I1851">
        <v>11</v>
      </c>
      <c r="J1851" t="str">
        <f>TEXT(DATE(2012,Table1[[#This Row],[MONTH_ID]],10),"mmm")</f>
        <v>Nov</v>
      </c>
      <c r="K1851">
        <v>2003</v>
      </c>
      <c r="L1851" t="s">
        <v>195</v>
      </c>
      <c r="M1851">
        <v>85</v>
      </c>
      <c r="N1851" t="s">
        <v>651</v>
      </c>
      <c r="O1851" t="s">
        <v>123</v>
      </c>
      <c r="P1851">
        <v>2035552570</v>
      </c>
      <c r="Q1851" t="s">
        <v>124</v>
      </c>
      <c r="S1851" t="s">
        <v>125</v>
      </c>
      <c r="T1851" t="s">
        <v>126</v>
      </c>
      <c r="U1851">
        <v>97562</v>
      </c>
      <c r="V1851" t="s">
        <v>46</v>
      </c>
      <c r="W1851" t="s">
        <v>47</v>
      </c>
      <c r="X1851" t="s">
        <v>127</v>
      </c>
      <c r="Y1851" t="s">
        <v>71</v>
      </c>
      <c r="Z1851" t="s">
        <v>50</v>
      </c>
    </row>
    <row r="1852" spans="1:26" x14ac:dyDescent="0.3">
      <c r="A1852">
        <v>10182</v>
      </c>
      <c r="B1852">
        <v>33</v>
      </c>
      <c r="C1852">
        <v>94.17</v>
      </c>
      <c r="D1852">
        <v>15</v>
      </c>
      <c r="E1852">
        <v>3107.61</v>
      </c>
      <c r="F1852" s="1">
        <v>37937</v>
      </c>
      <c r="G1852" t="s">
        <v>39</v>
      </c>
      <c r="H1852">
        <v>4</v>
      </c>
      <c r="I1852">
        <v>11</v>
      </c>
      <c r="J1852" t="str">
        <f>TEXT(DATE(2012,Table1[[#This Row],[MONTH_ID]],10),"mmm")</f>
        <v>Nov</v>
      </c>
      <c r="K1852">
        <v>2003</v>
      </c>
      <c r="L1852" t="s">
        <v>195</v>
      </c>
      <c r="M1852">
        <v>85</v>
      </c>
      <c r="N1852" t="s">
        <v>651</v>
      </c>
      <c r="O1852" t="s">
        <v>286</v>
      </c>
      <c r="P1852">
        <v>4155551450</v>
      </c>
      <c r="Q1852" t="s">
        <v>287</v>
      </c>
      <c r="S1852" t="s">
        <v>288</v>
      </c>
      <c r="T1852" t="s">
        <v>69</v>
      </c>
      <c r="U1852">
        <v>97562</v>
      </c>
      <c r="V1852" t="s">
        <v>46</v>
      </c>
      <c r="W1852" t="s">
        <v>47</v>
      </c>
      <c r="X1852" t="s">
        <v>289</v>
      </c>
      <c r="Y1852" t="s">
        <v>290</v>
      </c>
      <c r="Z1852" t="s">
        <v>65</v>
      </c>
    </row>
    <row r="1853" spans="1:26" x14ac:dyDescent="0.3">
      <c r="A1853">
        <v>10192</v>
      </c>
      <c r="B1853">
        <v>32</v>
      </c>
      <c r="C1853">
        <v>72.77</v>
      </c>
      <c r="D1853">
        <v>3</v>
      </c>
      <c r="E1853">
        <v>2328.64</v>
      </c>
      <c r="F1853" s="1">
        <v>37945</v>
      </c>
      <c r="G1853" t="s">
        <v>39</v>
      </c>
      <c r="H1853">
        <v>4</v>
      </c>
      <c r="I1853">
        <v>11</v>
      </c>
      <c r="J1853" t="str">
        <f>TEXT(DATE(2012,Table1[[#This Row],[MONTH_ID]],10),"mmm")</f>
        <v>Nov</v>
      </c>
      <c r="K1853">
        <v>2003</v>
      </c>
      <c r="L1853" t="s">
        <v>195</v>
      </c>
      <c r="M1853">
        <v>85</v>
      </c>
      <c r="N1853" t="s">
        <v>651</v>
      </c>
      <c r="O1853" t="s">
        <v>291</v>
      </c>
      <c r="P1853">
        <v>6035558647</v>
      </c>
      <c r="Q1853" t="s">
        <v>292</v>
      </c>
      <c r="S1853" t="s">
        <v>293</v>
      </c>
      <c r="T1853" t="s">
        <v>294</v>
      </c>
      <c r="U1853">
        <v>62005</v>
      </c>
      <c r="V1853" t="s">
        <v>46</v>
      </c>
      <c r="W1853" t="s">
        <v>47</v>
      </c>
      <c r="X1853" t="s">
        <v>70</v>
      </c>
      <c r="Y1853" t="s">
        <v>290</v>
      </c>
      <c r="Z1853" t="s">
        <v>50</v>
      </c>
    </row>
    <row r="1854" spans="1:26" x14ac:dyDescent="0.3">
      <c r="A1854">
        <v>10204</v>
      </c>
      <c r="B1854">
        <v>40</v>
      </c>
      <c r="C1854">
        <v>79.62</v>
      </c>
      <c r="D1854">
        <v>9</v>
      </c>
      <c r="E1854">
        <v>3184.8</v>
      </c>
      <c r="F1854" s="1">
        <v>37957</v>
      </c>
      <c r="G1854" t="s">
        <v>39</v>
      </c>
      <c r="H1854">
        <v>4</v>
      </c>
      <c r="I1854">
        <v>12</v>
      </c>
      <c r="J1854" t="str">
        <f>TEXT(DATE(2012,Table1[[#This Row],[MONTH_ID]],10),"mmm")</f>
        <v>Dec</v>
      </c>
      <c r="K1854">
        <v>2003</v>
      </c>
      <c r="L1854" t="s">
        <v>195</v>
      </c>
      <c r="M1854">
        <v>85</v>
      </c>
      <c r="N1854" t="s">
        <v>651</v>
      </c>
      <c r="O1854" t="s">
        <v>489</v>
      </c>
      <c r="P1854">
        <v>2125557413</v>
      </c>
      <c r="Q1854" t="s">
        <v>490</v>
      </c>
      <c r="R1854" t="s">
        <v>491</v>
      </c>
      <c r="S1854" t="s">
        <v>44</v>
      </c>
      <c r="T1854" t="s">
        <v>45</v>
      </c>
      <c r="U1854">
        <v>10022</v>
      </c>
      <c r="V1854" t="s">
        <v>46</v>
      </c>
      <c r="W1854" t="s">
        <v>47</v>
      </c>
      <c r="X1854" t="s">
        <v>70</v>
      </c>
      <c r="Y1854" t="s">
        <v>492</v>
      </c>
      <c r="Z1854" t="s">
        <v>65</v>
      </c>
    </row>
    <row r="1855" spans="1:26" x14ac:dyDescent="0.3">
      <c r="A1855">
        <v>10212</v>
      </c>
      <c r="B1855">
        <v>27</v>
      </c>
      <c r="C1855">
        <v>79.62</v>
      </c>
      <c r="D1855">
        <v>2</v>
      </c>
      <c r="E1855">
        <v>2149.7399999999998</v>
      </c>
      <c r="F1855" s="1">
        <v>38002</v>
      </c>
      <c r="G1855" t="s">
        <v>39</v>
      </c>
      <c r="H1855">
        <v>1</v>
      </c>
      <c r="I1855">
        <v>1</v>
      </c>
      <c r="J1855" t="str">
        <f>TEXT(DATE(2012,Table1[[#This Row],[MONTH_ID]],10),"mmm")</f>
        <v>Jan</v>
      </c>
      <c r="K1855">
        <v>2004</v>
      </c>
      <c r="L1855" t="s">
        <v>195</v>
      </c>
      <c r="M1855">
        <v>85</v>
      </c>
      <c r="N1855" t="s">
        <v>651</v>
      </c>
      <c r="O1855" t="s">
        <v>188</v>
      </c>
      <c r="P1855" t="s">
        <v>189</v>
      </c>
      <c r="Q1855" t="s">
        <v>190</v>
      </c>
      <c r="S1855" t="s">
        <v>191</v>
      </c>
      <c r="U1855">
        <v>28034</v>
      </c>
      <c r="V1855" t="s">
        <v>192</v>
      </c>
      <c r="W1855" t="s">
        <v>56</v>
      </c>
      <c r="X1855" t="s">
        <v>193</v>
      </c>
      <c r="Y1855" t="s">
        <v>194</v>
      </c>
      <c r="Z1855" t="s">
        <v>50</v>
      </c>
    </row>
    <row r="1856" spans="1:26" x14ac:dyDescent="0.3">
      <c r="A1856">
        <v>10227</v>
      </c>
      <c r="B1856">
        <v>40</v>
      </c>
      <c r="C1856">
        <v>79.62</v>
      </c>
      <c r="D1856">
        <v>15</v>
      </c>
      <c r="E1856">
        <v>3184.8</v>
      </c>
      <c r="F1856" s="1">
        <v>38048</v>
      </c>
      <c r="G1856" t="s">
        <v>39</v>
      </c>
      <c r="H1856">
        <v>1</v>
      </c>
      <c r="I1856">
        <v>3</v>
      </c>
      <c r="J1856" t="str">
        <f>TEXT(DATE(2012,Table1[[#This Row],[MONTH_ID]],10),"mmm")</f>
        <v>Mar</v>
      </c>
      <c r="K1856">
        <v>2004</v>
      </c>
      <c r="L1856" t="s">
        <v>195</v>
      </c>
      <c r="M1856">
        <v>85</v>
      </c>
      <c r="N1856" t="s">
        <v>651</v>
      </c>
      <c r="O1856" t="s">
        <v>233</v>
      </c>
      <c r="P1856" t="s">
        <v>234</v>
      </c>
      <c r="Q1856" t="s">
        <v>235</v>
      </c>
      <c r="S1856" t="s">
        <v>236</v>
      </c>
      <c r="U1856">
        <v>69004</v>
      </c>
      <c r="V1856" t="s">
        <v>55</v>
      </c>
      <c r="W1856" t="s">
        <v>56</v>
      </c>
      <c r="X1856" t="s">
        <v>237</v>
      </c>
      <c r="Y1856" t="s">
        <v>238</v>
      </c>
      <c r="Z1856" t="s">
        <v>65</v>
      </c>
    </row>
    <row r="1857" spans="1:26" x14ac:dyDescent="0.3">
      <c r="A1857">
        <v>10241</v>
      </c>
      <c r="B1857">
        <v>26</v>
      </c>
      <c r="C1857">
        <v>81.33</v>
      </c>
      <c r="D1857">
        <v>7</v>
      </c>
      <c r="E1857">
        <v>2114.58</v>
      </c>
      <c r="F1857" s="1">
        <v>38090</v>
      </c>
      <c r="G1857" t="s">
        <v>39</v>
      </c>
      <c r="H1857">
        <v>2</v>
      </c>
      <c r="I1857">
        <v>4</v>
      </c>
      <c r="J1857" t="str">
        <f>TEXT(DATE(2012,Table1[[#This Row],[MONTH_ID]],10),"mmm")</f>
        <v>Apr</v>
      </c>
      <c r="K1857">
        <v>2004</v>
      </c>
      <c r="L1857" t="s">
        <v>195</v>
      </c>
      <c r="M1857">
        <v>85</v>
      </c>
      <c r="N1857" t="s">
        <v>651</v>
      </c>
      <c r="O1857" t="s">
        <v>545</v>
      </c>
      <c r="P1857" t="s">
        <v>546</v>
      </c>
      <c r="Q1857" t="s">
        <v>547</v>
      </c>
      <c r="S1857" t="s">
        <v>548</v>
      </c>
      <c r="U1857">
        <v>67000</v>
      </c>
      <c r="V1857" t="s">
        <v>55</v>
      </c>
      <c r="W1857" t="s">
        <v>56</v>
      </c>
      <c r="X1857" t="s">
        <v>549</v>
      </c>
      <c r="Y1857" t="s">
        <v>550</v>
      </c>
      <c r="Z1857" t="s">
        <v>50</v>
      </c>
    </row>
    <row r="1858" spans="1:26" x14ac:dyDescent="0.3">
      <c r="A1858">
        <v>10267</v>
      </c>
      <c r="B1858">
        <v>44</v>
      </c>
      <c r="C1858">
        <v>96.74</v>
      </c>
      <c r="D1858">
        <v>4</v>
      </c>
      <c r="E1858">
        <v>4256.5600000000004</v>
      </c>
      <c r="F1858" s="1">
        <v>38175</v>
      </c>
      <c r="G1858" t="s">
        <v>39</v>
      </c>
      <c r="H1858">
        <v>3</v>
      </c>
      <c r="I1858">
        <v>7</v>
      </c>
      <c r="J1858" t="str">
        <f>TEXT(DATE(2012,Table1[[#This Row],[MONTH_ID]],10),"mmm")</f>
        <v>Jul</v>
      </c>
      <c r="K1858">
        <v>2004</v>
      </c>
      <c r="L1858" t="s">
        <v>195</v>
      </c>
      <c r="M1858">
        <v>85</v>
      </c>
      <c r="N1858" t="s">
        <v>651</v>
      </c>
      <c r="O1858" t="s">
        <v>489</v>
      </c>
      <c r="P1858">
        <v>2125557413</v>
      </c>
      <c r="Q1858" t="s">
        <v>490</v>
      </c>
      <c r="R1858" t="s">
        <v>491</v>
      </c>
      <c r="S1858" t="s">
        <v>44</v>
      </c>
      <c r="T1858" t="s">
        <v>45</v>
      </c>
      <c r="U1858">
        <v>10022</v>
      </c>
      <c r="V1858" t="s">
        <v>46</v>
      </c>
      <c r="W1858" t="s">
        <v>47</v>
      </c>
      <c r="X1858" t="s">
        <v>70</v>
      </c>
      <c r="Y1858" t="s">
        <v>492</v>
      </c>
      <c r="Z1858" t="s">
        <v>65</v>
      </c>
    </row>
    <row r="1859" spans="1:26" x14ac:dyDescent="0.3">
      <c r="A1859">
        <v>10279</v>
      </c>
      <c r="B1859">
        <v>33</v>
      </c>
      <c r="C1859">
        <v>71.06</v>
      </c>
      <c r="D1859">
        <v>4</v>
      </c>
      <c r="E1859">
        <v>2344.98</v>
      </c>
      <c r="F1859" s="1">
        <v>38208</v>
      </c>
      <c r="G1859" t="s">
        <v>39</v>
      </c>
      <c r="H1859">
        <v>3</v>
      </c>
      <c r="I1859">
        <v>8</v>
      </c>
      <c r="J1859" t="str">
        <f>TEXT(DATE(2012,Table1[[#This Row],[MONTH_ID]],10),"mmm")</f>
        <v>Aug</v>
      </c>
      <c r="K1859">
        <v>2004</v>
      </c>
      <c r="L1859" t="s">
        <v>195</v>
      </c>
      <c r="M1859">
        <v>85</v>
      </c>
      <c r="N1859" t="s">
        <v>651</v>
      </c>
      <c r="O1859" t="s">
        <v>188</v>
      </c>
      <c r="P1859" t="s">
        <v>189</v>
      </c>
      <c r="Q1859" t="s">
        <v>190</v>
      </c>
      <c r="S1859" t="s">
        <v>191</v>
      </c>
      <c r="U1859">
        <v>28034</v>
      </c>
      <c r="V1859" t="s">
        <v>192</v>
      </c>
      <c r="W1859" t="s">
        <v>56</v>
      </c>
      <c r="X1859" t="s">
        <v>193</v>
      </c>
      <c r="Y1859" t="s">
        <v>194</v>
      </c>
      <c r="Z1859" t="s">
        <v>50</v>
      </c>
    </row>
    <row r="1860" spans="1:26" x14ac:dyDescent="0.3">
      <c r="A1860">
        <v>10288</v>
      </c>
      <c r="B1860">
        <v>34</v>
      </c>
      <c r="C1860">
        <v>68.489999999999995</v>
      </c>
      <c r="D1860">
        <v>10</v>
      </c>
      <c r="E1860">
        <v>2328.66</v>
      </c>
      <c r="F1860" s="1">
        <v>38231</v>
      </c>
      <c r="G1860" t="s">
        <v>39</v>
      </c>
      <c r="H1860">
        <v>3</v>
      </c>
      <c r="I1860">
        <v>9</v>
      </c>
      <c r="J1860" t="str">
        <f>TEXT(DATE(2012,Table1[[#This Row],[MONTH_ID]],10),"mmm")</f>
        <v>Sep</v>
      </c>
      <c r="K1860">
        <v>2004</v>
      </c>
      <c r="L1860" t="s">
        <v>195</v>
      </c>
      <c r="M1860">
        <v>85</v>
      </c>
      <c r="N1860" t="s">
        <v>651</v>
      </c>
      <c r="O1860" t="s">
        <v>432</v>
      </c>
      <c r="P1860" t="s">
        <v>433</v>
      </c>
      <c r="Q1860" t="s">
        <v>434</v>
      </c>
      <c r="R1860" t="s">
        <v>435</v>
      </c>
      <c r="S1860" t="s">
        <v>213</v>
      </c>
      <c r="U1860">
        <v>69045</v>
      </c>
      <c r="V1860" t="s">
        <v>213</v>
      </c>
      <c r="W1860" t="s">
        <v>110</v>
      </c>
      <c r="X1860" t="s">
        <v>436</v>
      </c>
      <c r="Y1860" t="s">
        <v>437</v>
      </c>
      <c r="Z1860" t="s">
        <v>50</v>
      </c>
    </row>
    <row r="1861" spans="1:26" x14ac:dyDescent="0.3">
      <c r="A1861">
        <v>10302</v>
      </c>
      <c r="B1861">
        <v>48</v>
      </c>
      <c r="C1861">
        <v>74.48</v>
      </c>
      <c r="D1861">
        <v>6</v>
      </c>
      <c r="E1861">
        <v>3575.04</v>
      </c>
      <c r="F1861" s="1">
        <v>37900</v>
      </c>
      <c r="G1861" t="s">
        <v>39</v>
      </c>
      <c r="H1861">
        <v>4</v>
      </c>
      <c r="I1861">
        <v>10</v>
      </c>
      <c r="J1861" t="str">
        <f>TEXT(DATE(2012,Table1[[#This Row],[MONTH_ID]],10),"mmm")</f>
        <v>Oct</v>
      </c>
      <c r="K1861">
        <v>2003</v>
      </c>
      <c r="L1861" t="s">
        <v>195</v>
      </c>
      <c r="M1861">
        <v>85</v>
      </c>
      <c r="N1861" t="s">
        <v>651</v>
      </c>
      <c r="O1861" t="s">
        <v>179</v>
      </c>
      <c r="P1861" t="s">
        <v>180</v>
      </c>
      <c r="Q1861" t="s">
        <v>181</v>
      </c>
      <c r="S1861" t="s">
        <v>182</v>
      </c>
      <c r="U1861" t="s">
        <v>183</v>
      </c>
      <c r="V1861" t="s">
        <v>184</v>
      </c>
      <c r="W1861" t="s">
        <v>56</v>
      </c>
      <c r="X1861" t="s">
        <v>185</v>
      </c>
      <c r="Y1861" t="s">
        <v>186</v>
      </c>
      <c r="Z1861" t="s">
        <v>65</v>
      </c>
    </row>
    <row r="1862" spans="1:26" x14ac:dyDescent="0.3">
      <c r="A1862">
        <v>10311</v>
      </c>
      <c r="B1862">
        <v>25</v>
      </c>
      <c r="C1862">
        <v>83.04</v>
      </c>
      <c r="D1862">
        <v>5</v>
      </c>
      <c r="E1862">
        <v>2076</v>
      </c>
      <c r="F1862" s="1">
        <v>38276</v>
      </c>
      <c r="G1862" t="s">
        <v>39</v>
      </c>
      <c r="H1862">
        <v>4</v>
      </c>
      <c r="I1862">
        <v>10</v>
      </c>
      <c r="J1862" t="str">
        <f>TEXT(DATE(2012,Table1[[#This Row],[MONTH_ID]],10),"mmm")</f>
        <v>Oct</v>
      </c>
      <c r="K1862">
        <v>2004</v>
      </c>
      <c r="L1862" t="s">
        <v>195</v>
      </c>
      <c r="M1862">
        <v>85</v>
      </c>
      <c r="N1862" t="s">
        <v>651</v>
      </c>
      <c r="O1862" t="s">
        <v>188</v>
      </c>
      <c r="P1862" t="s">
        <v>189</v>
      </c>
      <c r="Q1862" t="s">
        <v>190</v>
      </c>
      <c r="S1862" t="s">
        <v>191</v>
      </c>
      <c r="U1862">
        <v>28034</v>
      </c>
      <c r="V1862" t="s">
        <v>192</v>
      </c>
      <c r="W1862" t="s">
        <v>56</v>
      </c>
      <c r="X1862" t="s">
        <v>193</v>
      </c>
      <c r="Y1862" t="s">
        <v>194</v>
      </c>
      <c r="Z1862" t="s">
        <v>50</v>
      </c>
    </row>
    <row r="1863" spans="1:26" x14ac:dyDescent="0.3">
      <c r="A1863">
        <v>10321</v>
      </c>
      <c r="B1863">
        <v>39</v>
      </c>
      <c r="C1863">
        <v>84.75</v>
      </c>
      <c r="D1863">
        <v>2</v>
      </c>
      <c r="E1863">
        <v>3305.25</v>
      </c>
      <c r="F1863" s="1">
        <v>38295</v>
      </c>
      <c r="G1863" t="s">
        <v>39</v>
      </c>
      <c r="H1863">
        <v>4</v>
      </c>
      <c r="I1863">
        <v>11</v>
      </c>
      <c r="J1863" t="str">
        <f>TEXT(DATE(2012,Table1[[#This Row],[MONTH_ID]],10),"mmm")</f>
        <v>Nov</v>
      </c>
      <c r="K1863">
        <v>2004</v>
      </c>
      <c r="L1863" t="s">
        <v>195</v>
      </c>
      <c r="M1863">
        <v>85</v>
      </c>
      <c r="N1863" t="s">
        <v>651</v>
      </c>
      <c r="O1863" t="s">
        <v>174</v>
      </c>
      <c r="P1863">
        <v>5085552555</v>
      </c>
      <c r="Q1863" t="s">
        <v>175</v>
      </c>
      <c r="S1863" t="s">
        <v>176</v>
      </c>
      <c r="T1863" t="s">
        <v>137</v>
      </c>
      <c r="U1863">
        <v>50553</v>
      </c>
      <c r="V1863" t="s">
        <v>46</v>
      </c>
      <c r="W1863" t="s">
        <v>47</v>
      </c>
      <c r="X1863" t="s">
        <v>177</v>
      </c>
      <c r="Y1863" t="s">
        <v>178</v>
      </c>
      <c r="Z1863" t="s">
        <v>65</v>
      </c>
    </row>
    <row r="1864" spans="1:26" x14ac:dyDescent="0.3">
      <c r="A1864">
        <v>10332</v>
      </c>
      <c r="B1864">
        <v>45</v>
      </c>
      <c r="C1864">
        <v>34.19</v>
      </c>
      <c r="D1864">
        <v>12</v>
      </c>
      <c r="E1864">
        <v>1538.55</v>
      </c>
      <c r="F1864" s="1">
        <v>38308</v>
      </c>
      <c r="G1864" t="s">
        <v>39</v>
      </c>
      <c r="H1864">
        <v>4</v>
      </c>
      <c r="I1864">
        <v>11</v>
      </c>
      <c r="J1864" t="str">
        <f>TEXT(DATE(2012,Table1[[#This Row],[MONTH_ID]],10),"mmm")</f>
        <v>Nov</v>
      </c>
      <c r="K1864">
        <v>2004</v>
      </c>
      <c r="L1864" t="s">
        <v>195</v>
      </c>
      <c r="M1864">
        <v>85</v>
      </c>
      <c r="N1864" t="s">
        <v>651</v>
      </c>
      <c r="O1864" t="s">
        <v>506</v>
      </c>
      <c r="P1864" t="s">
        <v>507</v>
      </c>
      <c r="Q1864" t="s">
        <v>508</v>
      </c>
      <c r="S1864" t="s">
        <v>509</v>
      </c>
      <c r="U1864" t="s">
        <v>510</v>
      </c>
      <c r="V1864" t="s">
        <v>184</v>
      </c>
      <c r="W1864" t="s">
        <v>56</v>
      </c>
      <c r="X1864" t="s">
        <v>511</v>
      </c>
      <c r="Y1864" t="s">
        <v>108</v>
      </c>
      <c r="Z1864" t="s">
        <v>50</v>
      </c>
    </row>
    <row r="1865" spans="1:26" x14ac:dyDescent="0.3">
      <c r="A1865">
        <v>10346</v>
      </c>
      <c r="B1865">
        <v>24</v>
      </c>
      <c r="C1865">
        <v>100</v>
      </c>
      <c r="D1865">
        <v>2</v>
      </c>
      <c r="E1865">
        <v>3325.92</v>
      </c>
      <c r="F1865" s="1">
        <v>38320</v>
      </c>
      <c r="G1865" t="s">
        <v>39</v>
      </c>
      <c r="H1865">
        <v>4</v>
      </c>
      <c r="I1865">
        <v>11</v>
      </c>
      <c r="J1865" t="str">
        <f>TEXT(DATE(2012,Table1[[#This Row],[MONTH_ID]],10),"mmm")</f>
        <v>Nov</v>
      </c>
      <c r="K1865">
        <v>2004</v>
      </c>
      <c r="L1865" t="s">
        <v>195</v>
      </c>
      <c r="M1865">
        <v>85</v>
      </c>
      <c r="N1865" t="s">
        <v>651</v>
      </c>
      <c r="O1865" t="s">
        <v>553</v>
      </c>
      <c r="P1865">
        <v>7025551838</v>
      </c>
      <c r="Q1865" t="s">
        <v>554</v>
      </c>
      <c r="S1865" t="s">
        <v>555</v>
      </c>
      <c r="T1865" t="s">
        <v>556</v>
      </c>
      <c r="U1865">
        <v>83030</v>
      </c>
      <c r="V1865" t="s">
        <v>46</v>
      </c>
      <c r="W1865" t="s">
        <v>47</v>
      </c>
      <c r="X1865" t="s">
        <v>127</v>
      </c>
      <c r="Y1865" t="s">
        <v>414</v>
      </c>
      <c r="Z1865" t="s">
        <v>65</v>
      </c>
    </row>
    <row r="1866" spans="1:26" x14ac:dyDescent="0.3">
      <c r="A1866">
        <v>10368</v>
      </c>
      <c r="B1866">
        <v>46</v>
      </c>
      <c r="C1866">
        <v>79.62</v>
      </c>
      <c r="D1866">
        <v>1</v>
      </c>
      <c r="E1866">
        <v>3662.52</v>
      </c>
      <c r="F1866" s="1">
        <v>38371</v>
      </c>
      <c r="G1866" t="s">
        <v>39</v>
      </c>
      <c r="H1866">
        <v>1</v>
      </c>
      <c r="I1866">
        <v>1</v>
      </c>
      <c r="J1866" t="str">
        <f>TEXT(DATE(2012,Table1[[#This Row],[MONTH_ID]],10),"mmm")</f>
        <v>Jan</v>
      </c>
      <c r="K1866">
        <v>2005</v>
      </c>
      <c r="L1866" t="s">
        <v>195</v>
      </c>
      <c r="M1866">
        <v>85</v>
      </c>
      <c r="N1866" t="s">
        <v>651</v>
      </c>
      <c r="O1866" t="s">
        <v>286</v>
      </c>
      <c r="P1866">
        <v>4155551450</v>
      </c>
      <c r="Q1866" t="s">
        <v>287</v>
      </c>
      <c r="S1866" t="s">
        <v>288</v>
      </c>
      <c r="T1866" t="s">
        <v>69</v>
      </c>
      <c r="U1866">
        <v>97562</v>
      </c>
      <c r="V1866" t="s">
        <v>46</v>
      </c>
      <c r="W1866" t="s">
        <v>47</v>
      </c>
      <c r="X1866" t="s">
        <v>289</v>
      </c>
      <c r="Y1866" t="s">
        <v>290</v>
      </c>
      <c r="Z1866" t="s">
        <v>65</v>
      </c>
    </row>
    <row r="1867" spans="1:26" x14ac:dyDescent="0.3">
      <c r="A1867">
        <v>10380</v>
      </c>
      <c r="B1867">
        <v>44</v>
      </c>
      <c r="C1867">
        <v>79.06</v>
      </c>
      <c r="D1867">
        <v>9</v>
      </c>
      <c r="E1867">
        <v>3478.64</v>
      </c>
      <c r="F1867" s="1">
        <v>38399</v>
      </c>
      <c r="G1867" t="s">
        <v>39</v>
      </c>
      <c r="H1867">
        <v>1</v>
      </c>
      <c r="I1867">
        <v>2</v>
      </c>
      <c r="J1867" t="str">
        <f>TEXT(DATE(2012,Table1[[#This Row],[MONTH_ID]],10),"mmm")</f>
        <v>Feb</v>
      </c>
      <c r="K1867">
        <v>2005</v>
      </c>
      <c r="L1867" t="s">
        <v>195</v>
      </c>
      <c r="M1867">
        <v>85</v>
      </c>
      <c r="N1867" t="s">
        <v>651</v>
      </c>
      <c r="O1867" t="s">
        <v>188</v>
      </c>
      <c r="P1867" t="s">
        <v>189</v>
      </c>
      <c r="Q1867" t="s">
        <v>190</v>
      </c>
      <c r="S1867" t="s">
        <v>191</v>
      </c>
      <c r="U1867">
        <v>28034</v>
      </c>
      <c r="V1867" t="s">
        <v>192</v>
      </c>
      <c r="W1867" t="s">
        <v>56</v>
      </c>
      <c r="X1867" t="s">
        <v>193</v>
      </c>
      <c r="Y1867" t="s">
        <v>194</v>
      </c>
      <c r="Z1867" t="s">
        <v>65</v>
      </c>
    </row>
    <row r="1868" spans="1:26" x14ac:dyDescent="0.3">
      <c r="A1868">
        <v>10407</v>
      </c>
      <c r="B1868">
        <v>13</v>
      </c>
      <c r="C1868">
        <v>81.33</v>
      </c>
      <c r="D1868">
        <v>7</v>
      </c>
      <c r="E1868">
        <v>1057.29</v>
      </c>
      <c r="F1868" s="1">
        <v>38464</v>
      </c>
      <c r="G1868" t="s">
        <v>415</v>
      </c>
      <c r="H1868">
        <v>2</v>
      </c>
      <c r="I1868">
        <v>4</v>
      </c>
      <c r="J1868" t="str">
        <f>TEXT(DATE(2012,Table1[[#This Row],[MONTH_ID]],10),"mmm")</f>
        <v>Apr</v>
      </c>
      <c r="K1868">
        <v>2005</v>
      </c>
      <c r="L1868" t="s">
        <v>195</v>
      </c>
      <c r="M1868">
        <v>85</v>
      </c>
      <c r="N1868" t="s">
        <v>651</v>
      </c>
      <c r="O1868" t="s">
        <v>411</v>
      </c>
      <c r="P1868">
        <v>4085553659</v>
      </c>
      <c r="Q1868" t="s">
        <v>412</v>
      </c>
      <c r="S1868" t="s">
        <v>413</v>
      </c>
      <c r="T1868" t="s">
        <v>69</v>
      </c>
      <c r="U1868">
        <v>94217</v>
      </c>
      <c r="V1868" t="s">
        <v>46</v>
      </c>
      <c r="W1868" t="s">
        <v>47</v>
      </c>
      <c r="X1868" t="s">
        <v>116</v>
      </c>
      <c r="Y1868" t="s">
        <v>414</v>
      </c>
      <c r="Z1868" t="s">
        <v>50</v>
      </c>
    </row>
    <row r="1869" spans="1:26" x14ac:dyDescent="0.3">
      <c r="A1869">
        <v>10420</v>
      </c>
      <c r="B1869">
        <v>35</v>
      </c>
      <c r="C1869">
        <v>96.74</v>
      </c>
      <c r="D1869">
        <v>10</v>
      </c>
      <c r="E1869">
        <v>3385.9</v>
      </c>
      <c r="F1869" s="1">
        <v>38501</v>
      </c>
      <c r="G1869" t="s">
        <v>314</v>
      </c>
      <c r="H1869">
        <v>2</v>
      </c>
      <c r="I1869">
        <v>5</v>
      </c>
      <c r="J1869" t="str">
        <f>TEXT(DATE(2012,Table1[[#This Row],[MONTH_ID]],10),"mmm")</f>
        <v>May</v>
      </c>
      <c r="K1869">
        <v>2005</v>
      </c>
      <c r="L1869" t="s">
        <v>195</v>
      </c>
      <c r="M1869">
        <v>85</v>
      </c>
      <c r="N1869" t="s">
        <v>651</v>
      </c>
      <c r="O1869" t="s">
        <v>166</v>
      </c>
      <c r="P1869" t="s">
        <v>167</v>
      </c>
      <c r="Q1869" t="s">
        <v>168</v>
      </c>
      <c r="R1869" t="s">
        <v>169</v>
      </c>
      <c r="S1869" t="s">
        <v>170</v>
      </c>
      <c r="T1869" t="s">
        <v>171</v>
      </c>
      <c r="U1869">
        <v>2067</v>
      </c>
      <c r="V1869" t="s">
        <v>109</v>
      </c>
      <c r="W1869" t="s">
        <v>110</v>
      </c>
      <c r="X1869" t="s">
        <v>172</v>
      </c>
      <c r="Y1869" t="s">
        <v>173</v>
      </c>
      <c r="Z1869" t="s">
        <v>65</v>
      </c>
    </row>
    <row r="1870" spans="1:26" x14ac:dyDescent="0.3">
      <c r="A1870">
        <v>10108</v>
      </c>
      <c r="B1870">
        <v>30</v>
      </c>
      <c r="C1870">
        <v>63.07</v>
      </c>
      <c r="D1870">
        <v>5</v>
      </c>
      <c r="E1870">
        <v>1892.1</v>
      </c>
      <c r="F1870" s="1">
        <v>37683</v>
      </c>
      <c r="G1870" t="s">
        <v>39</v>
      </c>
      <c r="H1870">
        <v>1</v>
      </c>
      <c r="I1870">
        <v>3</v>
      </c>
      <c r="J1870" t="str">
        <f>TEXT(DATE(2012,Table1[[#This Row],[MONTH_ID]],10),"mmm")</f>
        <v>Mar</v>
      </c>
      <c r="K1870">
        <v>2003</v>
      </c>
      <c r="L1870" t="s">
        <v>195</v>
      </c>
      <c r="M1870">
        <v>61</v>
      </c>
      <c r="N1870" t="s">
        <v>652</v>
      </c>
      <c r="O1870" t="s">
        <v>439</v>
      </c>
      <c r="P1870" t="s">
        <v>440</v>
      </c>
      <c r="Q1870" t="s">
        <v>441</v>
      </c>
      <c r="S1870" t="s">
        <v>442</v>
      </c>
      <c r="U1870" t="s">
        <v>443</v>
      </c>
      <c r="V1870" t="s">
        <v>444</v>
      </c>
      <c r="W1870" t="s">
        <v>214</v>
      </c>
      <c r="X1870" t="s">
        <v>445</v>
      </c>
      <c r="Y1870" t="s">
        <v>446</v>
      </c>
      <c r="Z1870" t="s">
        <v>50</v>
      </c>
    </row>
    <row r="1871" spans="1:26" x14ac:dyDescent="0.3">
      <c r="A1871">
        <v>10122</v>
      </c>
      <c r="B1871">
        <v>34</v>
      </c>
      <c r="C1871">
        <v>50.21</v>
      </c>
      <c r="D1871">
        <v>9</v>
      </c>
      <c r="E1871">
        <v>1707.14</v>
      </c>
      <c r="F1871" s="1">
        <v>37749</v>
      </c>
      <c r="G1871" t="s">
        <v>39</v>
      </c>
      <c r="H1871">
        <v>2</v>
      </c>
      <c r="I1871">
        <v>5</v>
      </c>
      <c r="J1871" t="str">
        <f>TEXT(DATE(2012,Table1[[#This Row],[MONTH_ID]],10),"mmm")</f>
        <v>May</v>
      </c>
      <c r="K1871">
        <v>2003</v>
      </c>
      <c r="L1871" t="s">
        <v>195</v>
      </c>
      <c r="M1871">
        <v>61</v>
      </c>
      <c r="N1871" t="s">
        <v>652</v>
      </c>
      <c r="O1871" t="s">
        <v>447</v>
      </c>
      <c r="P1871" t="s">
        <v>448</v>
      </c>
      <c r="Q1871" t="s">
        <v>449</v>
      </c>
      <c r="S1871" t="s">
        <v>450</v>
      </c>
      <c r="U1871">
        <v>13008</v>
      </c>
      <c r="V1871" t="s">
        <v>55</v>
      </c>
      <c r="W1871" t="s">
        <v>56</v>
      </c>
      <c r="X1871" t="s">
        <v>451</v>
      </c>
      <c r="Y1871" t="s">
        <v>452</v>
      </c>
      <c r="Z1871" t="s">
        <v>50</v>
      </c>
    </row>
    <row r="1872" spans="1:26" x14ac:dyDescent="0.3">
      <c r="A1872">
        <v>10135</v>
      </c>
      <c r="B1872">
        <v>27</v>
      </c>
      <c r="C1872">
        <v>66.13</v>
      </c>
      <c r="D1872">
        <v>6</v>
      </c>
      <c r="E1872">
        <v>1785.51</v>
      </c>
      <c r="F1872" s="1">
        <v>37804</v>
      </c>
      <c r="G1872" t="s">
        <v>39</v>
      </c>
      <c r="H1872">
        <v>3</v>
      </c>
      <c r="I1872">
        <v>7</v>
      </c>
      <c r="J1872" t="str">
        <f>TEXT(DATE(2012,Table1[[#This Row],[MONTH_ID]],10),"mmm")</f>
        <v>Jul</v>
      </c>
      <c r="K1872">
        <v>2003</v>
      </c>
      <c r="L1872" t="s">
        <v>195</v>
      </c>
      <c r="M1872">
        <v>61</v>
      </c>
      <c r="N1872" t="s">
        <v>652</v>
      </c>
      <c r="O1872" t="s">
        <v>286</v>
      </c>
      <c r="P1872">
        <v>4155551450</v>
      </c>
      <c r="Q1872" t="s">
        <v>287</v>
      </c>
      <c r="S1872" t="s">
        <v>288</v>
      </c>
      <c r="T1872" t="s">
        <v>69</v>
      </c>
      <c r="U1872">
        <v>97562</v>
      </c>
      <c r="V1872" t="s">
        <v>46</v>
      </c>
      <c r="W1872" t="s">
        <v>47</v>
      </c>
      <c r="X1872" t="s">
        <v>289</v>
      </c>
      <c r="Y1872" t="s">
        <v>290</v>
      </c>
      <c r="Z1872" t="s">
        <v>50</v>
      </c>
    </row>
    <row r="1873" spans="1:26" x14ac:dyDescent="0.3">
      <c r="A1873">
        <v>10147</v>
      </c>
      <c r="B1873">
        <v>30</v>
      </c>
      <c r="C1873">
        <v>68.58</v>
      </c>
      <c r="D1873">
        <v>6</v>
      </c>
      <c r="E1873">
        <v>2057.4</v>
      </c>
      <c r="F1873" s="1">
        <v>37869</v>
      </c>
      <c r="G1873" t="s">
        <v>39</v>
      </c>
      <c r="H1873">
        <v>3</v>
      </c>
      <c r="I1873">
        <v>9</v>
      </c>
      <c r="J1873" t="str">
        <f>TEXT(DATE(2012,Table1[[#This Row],[MONTH_ID]],10),"mmm")</f>
        <v>Sep</v>
      </c>
      <c r="K1873">
        <v>2003</v>
      </c>
      <c r="L1873" t="s">
        <v>195</v>
      </c>
      <c r="M1873">
        <v>61</v>
      </c>
      <c r="N1873" t="s">
        <v>652</v>
      </c>
      <c r="O1873" t="s">
        <v>295</v>
      </c>
      <c r="P1873">
        <v>6175558555</v>
      </c>
      <c r="Q1873" t="s">
        <v>296</v>
      </c>
      <c r="S1873" t="s">
        <v>297</v>
      </c>
      <c r="T1873" t="s">
        <v>137</v>
      </c>
      <c r="U1873">
        <v>58339</v>
      </c>
      <c r="V1873" t="s">
        <v>46</v>
      </c>
      <c r="W1873" t="s">
        <v>47</v>
      </c>
      <c r="X1873" t="s">
        <v>289</v>
      </c>
      <c r="Y1873" t="s">
        <v>298</v>
      </c>
      <c r="Z1873" t="s">
        <v>50</v>
      </c>
    </row>
    <row r="1874" spans="1:26" x14ac:dyDescent="0.3">
      <c r="A1874">
        <v>10159</v>
      </c>
      <c r="B1874">
        <v>50</v>
      </c>
      <c r="C1874">
        <v>69.8</v>
      </c>
      <c r="D1874">
        <v>1</v>
      </c>
      <c r="E1874">
        <v>3490</v>
      </c>
      <c r="F1874" s="1">
        <v>37904</v>
      </c>
      <c r="G1874" t="s">
        <v>39</v>
      </c>
      <c r="H1874">
        <v>4</v>
      </c>
      <c r="I1874">
        <v>10</v>
      </c>
      <c r="J1874" t="str">
        <f>TEXT(DATE(2012,Table1[[#This Row],[MONTH_ID]],10),"mmm")</f>
        <v>Oct</v>
      </c>
      <c r="K1874">
        <v>2003</v>
      </c>
      <c r="L1874" t="s">
        <v>195</v>
      </c>
      <c r="M1874">
        <v>61</v>
      </c>
      <c r="N1874" t="s">
        <v>652</v>
      </c>
      <c r="O1874" t="s">
        <v>72</v>
      </c>
      <c r="P1874">
        <v>6505551386</v>
      </c>
      <c r="Q1874" t="s">
        <v>73</v>
      </c>
      <c r="S1874" t="s">
        <v>74</v>
      </c>
      <c r="T1874" t="s">
        <v>69</v>
      </c>
      <c r="V1874" t="s">
        <v>46</v>
      </c>
      <c r="W1874" t="s">
        <v>47</v>
      </c>
      <c r="X1874" t="s">
        <v>75</v>
      </c>
      <c r="Y1874" t="s">
        <v>71</v>
      </c>
      <c r="Z1874" t="s">
        <v>65</v>
      </c>
    </row>
    <row r="1875" spans="1:26" x14ac:dyDescent="0.3">
      <c r="A1875">
        <v>10169</v>
      </c>
      <c r="B1875">
        <v>34</v>
      </c>
      <c r="C1875">
        <v>50.21</v>
      </c>
      <c r="D1875">
        <v>1</v>
      </c>
      <c r="E1875">
        <v>1707.14</v>
      </c>
      <c r="F1875" s="1">
        <v>37929</v>
      </c>
      <c r="G1875" t="s">
        <v>39</v>
      </c>
      <c r="H1875">
        <v>4</v>
      </c>
      <c r="I1875">
        <v>11</v>
      </c>
      <c r="J1875" t="str">
        <f>TEXT(DATE(2012,Table1[[#This Row],[MONTH_ID]],10),"mmm")</f>
        <v>Nov</v>
      </c>
      <c r="K1875">
        <v>2003</v>
      </c>
      <c r="L1875" t="s">
        <v>195</v>
      </c>
      <c r="M1875">
        <v>61</v>
      </c>
      <c r="N1875" t="s">
        <v>652</v>
      </c>
      <c r="O1875" t="s">
        <v>299</v>
      </c>
      <c r="P1875" t="s">
        <v>300</v>
      </c>
      <c r="Q1875" t="s">
        <v>301</v>
      </c>
      <c r="R1875" t="s">
        <v>302</v>
      </c>
      <c r="S1875" t="s">
        <v>303</v>
      </c>
      <c r="T1875" t="s">
        <v>171</v>
      </c>
      <c r="U1875">
        <v>2060</v>
      </c>
      <c r="V1875" t="s">
        <v>109</v>
      </c>
      <c r="W1875" t="s">
        <v>110</v>
      </c>
      <c r="X1875" t="s">
        <v>304</v>
      </c>
      <c r="Y1875" t="s">
        <v>305</v>
      </c>
      <c r="Z1875" t="s">
        <v>50</v>
      </c>
    </row>
    <row r="1876" spans="1:26" x14ac:dyDescent="0.3">
      <c r="A1876">
        <v>10181</v>
      </c>
      <c r="B1876">
        <v>23</v>
      </c>
      <c r="C1876">
        <v>65.52</v>
      </c>
      <c r="D1876">
        <v>13</v>
      </c>
      <c r="E1876">
        <v>1506.96</v>
      </c>
      <c r="F1876" s="1">
        <v>37937</v>
      </c>
      <c r="G1876" t="s">
        <v>39</v>
      </c>
      <c r="H1876">
        <v>4</v>
      </c>
      <c r="I1876">
        <v>11</v>
      </c>
      <c r="J1876" t="str">
        <f>TEXT(DATE(2012,Table1[[#This Row],[MONTH_ID]],10),"mmm")</f>
        <v>Nov</v>
      </c>
      <c r="K1876">
        <v>2003</v>
      </c>
      <c r="L1876" t="s">
        <v>195</v>
      </c>
      <c r="M1876">
        <v>61</v>
      </c>
      <c r="N1876" t="s">
        <v>652</v>
      </c>
      <c r="O1876" t="s">
        <v>87</v>
      </c>
      <c r="P1876" t="s">
        <v>88</v>
      </c>
      <c r="Q1876" t="s">
        <v>89</v>
      </c>
      <c r="S1876" t="s">
        <v>90</v>
      </c>
      <c r="U1876" t="s">
        <v>91</v>
      </c>
      <c r="V1876" t="s">
        <v>92</v>
      </c>
      <c r="W1876" t="s">
        <v>56</v>
      </c>
      <c r="X1876" t="s">
        <v>93</v>
      </c>
      <c r="Y1876" t="s">
        <v>94</v>
      </c>
      <c r="Z1876" t="s">
        <v>50</v>
      </c>
    </row>
    <row r="1877" spans="1:26" x14ac:dyDescent="0.3">
      <c r="A1877">
        <v>10191</v>
      </c>
      <c r="B1877">
        <v>48</v>
      </c>
      <c r="C1877">
        <v>60.01</v>
      </c>
      <c r="D1877">
        <v>2</v>
      </c>
      <c r="E1877">
        <v>2880.48</v>
      </c>
      <c r="F1877" s="1">
        <v>37945</v>
      </c>
      <c r="G1877" t="s">
        <v>39</v>
      </c>
      <c r="H1877">
        <v>4</v>
      </c>
      <c r="I1877">
        <v>11</v>
      </c>
      <c r="J1877" t="str">
        <f>TEXT(DATE(2012,Table1[[#This Row],[MONTH_ID]],10),"mmm")</f>
        <v>Nov</v>
      </c>
      <c r="K1877">
        <v>2003</v>
      </c>
      <c r="L1877" t="s">
        <v>195</v>
      </c>
      <c r="M1877">
        <v>61</v>
      </c>
      <c r="N1877" t="s">
        <v>652</v>
      </c>
      <c r="O1877" t="s">
        <v>453</v>
      </c>
      <c r="P1877" t="s">
        <v>454</v>
      </c>
      <c r="Q1877" t="s">
        <v>455</v>
      </c>
      <c r="S1877" t="s">
        <v>456</v>
      </c>
      <c r="U1877">
        <v>50739</v>
      </c>
      <c r="V1877" t="s">
        <v>457</v>
      </c>
      <c r="W1877" t="s">
        <v>56</v>
      </c>
      <c r="X1877" t="s">
        <v>458</v>
      </c>
      <c r="Y1877" t="s">
        <v>459</v>
      </c>
      <c r="Z1877" t="s">
        <v>50</v>
      </c>
    </row>
    <row r="1878" spans="1:26" x14ac:dyDescent="0.3">
      <c r="A1878">
        <v>10203</v>
      </c>
      <c r="B1878">
        <v>34</v>
      </c>
      <c r="C1878">
        <v>64.900000000000006</v>
      </c>
      <c r="D1878">
        <v>7</v>
      </c>
      <c r="E1878">
        <v>2206.6</v>
      </c>
      <c r="F1878" s="1">
        <v>37957</v>
      </c>
      <c r="G1878" t="s">
        <v>39</v>
      </c>
      <c r="H1878">
        <v>4</v>
      </c>
      <c r="I1878">
        <v>12</v>
      </c>
      <c r="J1878" t="str">
        <f>TEXT(DATE(2012,Table1[[#This Row],[MONTH_ID]],10),"mmm")</f>
        <v>Dec</v>
      </c>
      <c r="K1878">
        <v>2003</v>
      </c>
      <c r="L1878" t="s">
        <v>195</v>
      </c>
      <c r="M1878">
        <v>61</v>
      </c>
      <c r="N1878" t="s">
        <v>652</v>
      </c>
      <c r="O1878" t="s">
        <v>188</v>
      </c>
      <c r="P1878" t="s">
        <v>189</v>
      </c>
      <c r="Q1878" t="s">
        <v>190</v>
      </c>
      <c r="S1878" t="s">
        <v>191</v>
      </c>
      <c r="U1878">
        <v>28034</v>
      </c>
      <c r="V1878" t="s">
        <v>192</v>
      </c>
      <c r="W1878" t="s">
        <v>56</v>
      </c>
      <c r="X1878" t="s">
        <v>193</v>
      </c>
      <c r="Y1878" t="s">
        <v>194</v>
      </c>
      <c r="Z1878" t="s">
        <v>50</v>
      </c>
    </row>
    <row r="1879" spans="1:26" x14ac:dyDescent="0.3">
      <c r="A1879">
        <v>10211</v>
      </c>
      <c r="B1879">
        <v>48</v>
      </c>
      <c r="C1879">
        <v>48.98</v>
      </c>
      <c r="D1879">
        <v>1</v>
      </c>
      <c r="E1879">
        <v>2351.04</v>
      </c>
      <c r="F1879" s="1">
        <v>38001</v>
      </c>
      <c r="G1879" t="s">
        <v>39</v>
      </c>
      <c r="H1879">
        <v>1</v>
      </c>
      <c r="I1879">
        <v>1</v>
      </c>
      <c r="J1879" t="str">
        <f>TEXT(DATE(2012,Table1[[#This Row],[MONTH_ID]],10),"mmm")</f>
        <v>Jan</v>
      </c>
      <c r="K1879">
        <v>2004</v>
      </c>
      <c r="L1879" t="s">
        <v>195</v>
      </c>
      <c r="M1879">
        <v>61</v>
      </c>
      <c r="N1879" t="s">
        <v>652</v>
      </c>
      <c r="O1879" t="s">
        <v>98</v>
      </c>
      <c r="P1879" t="s">
        <v>99</v>
      </c>
      <c r="Q1879" t="s">
        <v>100</v>
      </c>
      <c r="S1879" t="s">
        <v>62</v>
      </c>
      <c r="U1879">
        <v>75016</v>
      </c>
      <c r="V1879" t="s">
        <v>55</v>
      </c>
      <c r="W1879" t="s">
        <v>56</v>
      </c>
      <c r="X1879" t="s">
        <v>101</v>
      </c>
      <c r="Y1879" t="s">
        <v>102</v>
      </c>
      <c r="Z1879" t="s">
        <v>50</v>
      </c>
    </row>
    <row r="1880" spans="1:26" x14ac:dyDescent="0.3">
      <c r="A1880">
        <v>10225</v>
      </c>
      <c r="B1880">
        <v>24</v>
      </c>
      <c r="C1880">
        <v>50.21</v>
      </c>
      <c r="D1880">
        <v>8</v>
      </c>
      <c r="E1880">
        <v>1205.04</v>
      </c>
      <c r="F1880" s="1">
        <v>38039</v>
      </c>
      <c r="G1880" t="s">
        <v>39</v>
      </c>
      <c r="H1880">
        <v>1</v>
      </c>
      <c r="I1880">
        <v>2</v>
      </c>
      <c r="J1880" t="str">
        <f>TEXT(DATE(2012,Table1[[#This Row],[MONTH_ID]],10),"mmm")</f>
        <v>Feb</v>
      </c>
      <c r="K1880">
        <v>2004</v>
      </c>
      <c r="L1880" t="s">
        <v>195</v>
      </c>
      <c r="M1880">
        <v>61</v>
      </c>
      <c r="N1880" t="s">
        <v>652</v>
      </c>
      <c r="O1880" t="s">
        <v>460</v>
      </c>
      <c r="P1880" t="s">
        <v>461</v>
      </c>
      <c r="Q1880" t="s">
        <v>462</v>
      </c>
      <c r="S1880" t="s">
        <v>463</v>
      </c>
      <c r="U1880">
        <v>1203</v>
      </c>
      <c r="V1880" t="s">
        <v>464</v>
      </c>
      <c r="W1880" t="s">
        <v>56</v>
      </c>
      <c r="X1880" t="s">
        <v>465</v>
      </c>
      <c r="Y1880" t="s">
        <v>117</v>
      </c>
      <c r="Z1880" t="s">
        <v>50</v>
      </c>
    </row>
    <row r="1881" spans="1:26" x14ac:dyDescent="0.3">
      <c r="A1881">
        <v>10238</v>
      </c>
      <c r="B1881">
        <v>47</v>
      </c>
      <c r="C1881">
        <v>62.45</v>
      </c>
      <c r="D1881">
        <v>2</v>
      </c>
      <c r="E1881">
        <v>2935.15</v>
      </c>
      <c r="F1881" s="1">
        <v>38086</v>
      </c>
      <c r="G1881" t="s">
        <v>39</v>
      </c>
      <c r="H1881">
        <v>2</v>
      </c>
      <c r="I1881">
        <v>4</v>
      </c>
      <c r="J1881" t="str">
        <f>TEXT(DATE(2012,Table1[[#This Row],[MONTH_ID]],10),"mmm")</f>
        <v>Apr</v>
      </c>
      <c r="K1881">
        <v>2004</v>
      </c>
      <c r="L1881" t="s">
        <v>195</v>
      </c>
      <c r="M1881">
        <v>61</v>
      </c>
      <c r="N1881" t="s">
        <v>652</v>
      </c>
      <c r="O1881" t="s">
        <v>336</v>
      </c>
      <c r="P1881" t="s">
        <v>337</v>
      </c>
      <c r="Q1881" t="s">
        <v>338</v>
      </c>
      <c r="S1881" t="s">
        <v>339</v>
      </c>
      <c r="U1881">
        <v>1734</v>
      </c>
      <c r="V1881" t="s">
        <v>340</v>
      </c>
      <c r="W1881" t="s">
        <v>56</v>
      </c>
      <c r="X1881" t="s">
        <v>341</v>
      </c>
      <c r="Y1881" t="s">
        <v>342</v>
      </c>
      <c r="Z1881" t="s">
        <v>50</v>
      </c>
    </row>
    <row r="1882" spans="1:26" x14ac:dyDescent="0.3">
      <c r="A1882">
        <v>10253</v>
      </c>
      <c r="B1882">
        <v>24</v>
      </c>
      <c r="C1882">
        <v>52.66</v>
      </c>
      <c r="D1882">
        <v>12</v>
      </c>
      <c r="E1882">
        <v>1263.8399999999999</v>
      </c>
      <c r="F1882" s="1">
        <v>38139</v>
      </c>
      <c r="G1882" t="s">
        <v>353</v>
      </c>
      <c r="H1882">
        <v>2</v>
      </c>
      <c r="I1882">
        <v>6</v>
      </c>
      <c r="J1882" t="str">
        <f>TEXT(DATE(2012,Table1[[#This Row],[MONTH_ID]],10),"mmm")</f>
        <v>Jun</v>
      </c>
      <c r="K1882">
        <v>2004</v>
      </c>
      <c r="L1882" t="s">
        <v>195</v>
      </c>
      <c r="M1882">
        <v>61</v>
      </c>
      <c r="N1882" t="s">
        <v>652</v>
      </c>
      <c r="O1882" t="s">
        <v>179</v>
      </c>
      <c r="P1882" t="s">
        <v>180</v>
      </c>
      <c r="Q1882" t="s">
        <v>181</v>
      </c>
      <c r="S1882" t="s">
        <v>182</v>
      </c>
      <c r="U1882" t="s">
        <v>183</v>
      </c>
      <c r="V1882" t="s">
        <v>184</v>
      </c>
      <c r="W1882" t="s">
        <v>56</v>
      </c>
      <c r="X1882" t="s">
        <v>185</v>
      </c>
      <c r="Y1882" t="s">
        <v>186</v>
      </c>
      <c r="Z1882" t="s">
        <v>50</v>
      </c>
    </row>
    <row r="1883" spans="1:26" x14ac:dyDescent="0.3">
      <c r="A1883">
        <v>10266</v>
      </c>
      <c r="B1883">
        <v>47</v>
      </c>
      <c r="C1883">
        <v>62.45</v>
      </c>
      <c r="D1883">
        <v>13</v>
      </c>
      <c r="E1883">
        <v>2935.15</v>
      </c>
      <c r="F1883" s="1">
        <v>38174</v>
      </c>
      <c r="G1883" t="s">
        <v>39</v>
      </c>
      <c r="H1883">
        <v>3</v>
      </c>
      <c r="I1883">
        <v>7</v>
      </c>
      <c r="J1883" t="str">
        <f>TEXT(DATE(2012,Table1[[#This Row],[MONTH_ID]],10),"mmm")</f>
        <v>Jul</v>
      </c>
      <c r="K1883">
        <v>2004</v>
      </c>
      <c r="L1883" t="s">
        <v>195</v>
      </c>
      <c r="M1883">
        <v>61</v>
      </c>
      <c r="N1883" t="s">
        <v>652</v>
      </c>
      <c r="O1883" t="s">
        <v>466</v>
      </c>
      <c r="P1883" t="s">
        <v>467</v>
      </c>
      <c r="Q1883" t="s">
        <v>468</v>
      </c>
      <c r="S1883" t="s">
        <v>469</v>
      </c>
      <c r="U1883">
        <v>42100</v>
      </c>
      <c r="V1883" t="s">
        <v>272</v>
      </c>
      <c r="W1883" t="s">
        <v>56</v>
      </c>
      <c r="X1883" t="s">
        <v>470</v>
      </c>
      <c r="Y1883" t="s">
        <v>471</v>
      </c>
      <c r="Z1883" t="s">
        <v>50</v>
      </c>
    </row>
    <row r="1884" spans="1:26" x14ac:dyDescent="0.3">
      <c r="A1884">
        <v>10276</v>
      </c>
      <c r="B1884">
        <v>20</v>
      </c>
      <c r="C1884">
        <v>61.23</v>
      </c>
      <c r="D1884">
        <v>2</v>
      </c>
      <c r="E1884">
        <v>1224.5999999999999</v>
      </c>
      <c r="F1884" s="1">
        <v>38201</v>
      </c>
      <c r="G1884" t="s">
        <v>39</v>
      </c>
      <c r="H1884">
        <v>3</v>
      </c>
      <c r="I1884">
        <v>8</v>
      </c>
      <c r="J1884" t="str">
        <f>TEXT(DATE(2012,Table1[[#This Row],[MONTH_ID]],10),"mmm")</f>
        <v>Aug</v>
      </c>
      <c r="K1884">
        <v>2004</v>
      </c>
      <c r="L1884" t="s">
        <v>195</v>
      </c>
      <c r="M1884">
        <v>61</v>
      </c>
      <c r="N1884" t="s">
        <v>652</v>
      </c>
      <c r="O1884" t="s">
        <v>472</v>
      </c>
      <c r="P1884">
        <v>6175557555</v>
      </c>
      <c r="Q1884" t="s">
        <v>473</v>
      </c>
      <c r="S1884" t="s">
        <v>297</v>
      </c>
      <c r="T1884" t="s">
        <v>137</v>
      </c>
      <c r="U1884">
        <v>58339</v>
      </c>
      <c r="V1884" t="s">
        <v>46</v>
      </c>
      <c r="W1884" t="s">
        <v>47</v>
      </c>
      <c r="X1884" t="s">
        <v>474</v>
      </c>
      <c r="Y1884" t="s">
        <v>475</v>
      </c>
      <c r="Z1884" t="s">
        <v>50</v>
      </c>
    </row>
    <row r="1885" spans="1:26" x14ac:dyDescent="0.3">
      <c r="A1885">
        <v>10287</v>
      </c>
      <c r="B1885">
        <v>20</v>
      </c>
      <c r="C1885">
        <v>67.97</v>
      </c>
      <c r="D1885">
        <v>11</v>
      </c>
      <c r="E1885">
        <v>1359.4</v>
      </c>
      <c r="F1885" s="1">
        <v>38229</v>
      </c>
      <c r="G1885" t="s">
        <v>39</v>
      </c>
      <c r="H1885">
        <v>3</v>
      </c>
      <c r="I1885">
        <v>8</v>
      </c>
      <c r="J1885" t="str">
        <f>TEXT(DATE(2012,Table1[[#This Row],[MONTH_ID]],10),"mmm")</f>
        <v>Aug</v>
      </c>
      <c r="K1885">
        <v>2004</v>
      </c>
      <c r="L1885" t="s">
        <v>195</v>
      </c>
      <c r="M1885">
        <v>61</v>
      </c>
      <c r="N1885" t="s">
        <v>652</v>
      </c>
      <c r="O1885" t="s">
        <v>460</v>
      </c>
      <c r="P1885" t="s">
        <v>461</v>
      </c>
      <c r="Q1885" t="s">
        <v>462</v>
      </c>
      <c r="S1885" t="s">
        <v>463</v>
      </c>
      <c r="U1885">
        <v>1203</v>
      </c>
      <c r="V1885" t="s">
        <v>464</v>
      </c>
      <c r="W1885" t="s">
        <v>56</v>
      </c>
      <c r="X1885" t="s">
        <v>465</v>
      </c>
      <c r="Y1885" t="s">
        <v>117</v>
      </c>
      <c r="Z1885" t="s">
        <v>50</v>
      </c>
    </row>
    <row r="1886" spans="1:26" x14ac:dyDescent="0.3">
      <c r="A1886">
        <v>10300</v>
      </c>
      <c r="B1886">
        <v>31</v>
      </c>
      <c r="C1886">
        <v>58.78</v>
      </c>
      <c r="D1886">
        <v>4</v>
      </c>
      <c r="E1886">
        <v>1822.18</v>
      </c>
      <c r="F1886" s="1">
        <v>37898</v>
      </c>
      <c r="G1886" t="s">
        <v>39</v>
      </c>
      <c r="H1886">
        <v>4</v>
      </c>
      <c r="I1886">
        <v>10</v>
      </c>
      <c r="J1886" t="str">
        <f>TEXT(DATE(2012,Table1[[#This Row],[MONTH_ID]],10),"mmm")</f>
        <v>Oct</v>
      </c>
      <c r="K1886">
        <v>2003</v>
      </c>
      <c r="L1886" t="s">
        <v>195</v>
      </c>
      <c r="M1886">
        <v>61</v>
      </c>
      <c r="N1886" t="s">
        <v>652</v>
      </c>
      <c r="O1886" t="s">
        <v>476</v>
      </c>
      <c r="P1886" t="s">
        <v>477</v>
      </c>
      <c r="Q1886" t="s">
        <v>478</v>
      </c>
      <c r="S1886" t="s">
        <v>479</v>
      </c>
      <c r="U1886">
        <v>60528</v>
      </c>
      <c r="V1886" t="s">
        <v>457</v>
      </c>
      <c r="W1886" t="s">
        <v>56</v>
      </c>
      <c r="X1886" t="s">
        <v>480</v>
      </c>
      <c r="Y1886" t="s">
        <v>428</v>
      </c>
      <c r="Z1886" t="s">
        <v>50</v>
      </c>
    </row>
    <row r="1887" spans="1:26" x14ac:dyDescent="0.3">
      <c r="A1887">
        <v>10310</v>
      </c>
      <c r="B1887">
        <v>38</v>
      </c>
      <c r="C1887">
        <v>56.94</v>
      </c>
      <c r="D1887">
        <v>9</v>
      </c>
      <c r="E1887">
        <v>2163.7199999999998</v>
      </c>
      <c r="F1887" s="1">
        <v>38276</v>
      </c>
      <c r="G1887" t="s">
        <v>39</v>
      </c>
      <c r="H1887">
        <v>4</v>
      </c>
      <c r="I1887">
        <v>10</v>
      </c>
      <c r="J1887" t="str">
        <f>TEXT(DATE(2012,Table1[[#This Row],[MONTH_ID]],10),"mmm")</f>
        <v>Oct</v>
      </c>
      <c r="K1887">
        <v>2004</v>
      </c>
      <c r="L1887" t="s">
        <v>195</v>
      </c>
      <c r="M1887">
        <v>61</v>
      </c>
      <c r="N1887" t="s">
        <v>652</v>
      </c>
      <c r="O1887" t="s">
        <v>453</v>
      </c>
      <c r="P1887" t="s">
        <v>454</v>
      </c>
      <c r="Q1887" t="s">
        <v>455</v>
      </c>
      <c r="S1887" t="s">
        <v>456</v>
      </c>
      <c r="U1887">
        <v>50739</v>
      </c>
      <c r="V1887" t="s">
        <v>457</v>
      </c>
      <c r="W1887" t="s">
        <v>56</v>
      </c>
      <c r="X1887" t="s">
        <v>458</v>
      </c>
      <c r="Y1887" t="s">
        <v>459</v>
      </c>
      <c r="Z1887" t="s">
        <v>50</v>
      </c>
    </row>
    <row r="1888" spans="1:26" x14ac:dyDescent="0.3">
      <c r="A1888">
        <v>10320</v>
      </c>
      <c r="B1888">
        <v>26</v>
      </c>
      <c r="C1888">
        <v>61.23</v>
      </c>
      <c r="D1888">
        <v>2</v>
      </c>
      <c r="E1888">
        <v>1591.98</v>
      </c>
      <c r="F1888" s="1">
        <v>38294</v>
      </c>
      <c r="G1888" t="s">
        <v>39</v>
      </c>
      <c r="H1888">
        <v>4</v>
      </c>
      <c r="I1888">
        <v>11</v>
      </c>
      <c r="J1888" t="str">
        <f>TEXT(DATE(2012,Table1[[#This Row],[MONTH_ID]],10),"mmm")</f>
        <v>Nov</v>
      </c>
      <c r="K1888">
        <v>2004</v>
      </c>
      <c r="L1888" t="s">
        <v>195</v>
      </c>
      <c r="M1888">
        <v>61</v>
      </c>
      <c r="N1888" t="s">
        <v>652</v>
      </c>
      <c r="O1888" t="s">
        <v>197</v>
      </c>
      <c r="P1888" t="s">
        <v>198</v>
      </c>
      <c r="Q1888" t="s">
        <v>199</v>
      </c>
      <c r="S1888" t="s">
        <v>200</v>
      </c>
      <c r="U1888" t="s">
        <v>201</v>
      </c>
      <c r="V1888" t="s">
        <v>202</v>
      </c>
      <c r="W1888" t="s">
        <v>56</v>
      </c>
      <c r="X1888" t="s">
        <v>203</v>
      </c>
      <c r="Y1888" t="s">
        <v>204</v>
      </c>
      <c r="Z1888" t="s">
        <v>50</v>
      </c>
    </row>
    <row r="1889" spans="1:26" x14ac:dyDescent="0.3">
      <c r="A1889">
        <v>10331</v>
      </c>
      <c r="B1889">
        <v>25</v>
      </c>
      <c r="C1889">
        <v>100</v>
      </c>
      <c r="D1889">
        <v>9</v>
      </c>
      <c r="E1889">
        <v>3078.5</v>
      </c>
      <c r="F1889" s="1">
        <v>38308</v>
      </c>
      <c r="G1889" t="s">
        <v>39</v>
      </c>
      <c r="H1889">
        <v>4</v>
      </c>
      <c r="I1889">
        <v>11</v>
      </c>
      <c r="J1889" t="str">
        <f>TEXT(DATE(2012,Table1[[#This Row],[MONTH_ID]],10),"mmm")</f>
        <v>Nov</v>
      </c>
      <c r="K1889">
        <v>2004</v>
      </c>
      <c r="L1889" t="s">
        <v>195</v>
      </c>
      <c r="M1889">
        <v>61</v>
      </c>
      <c r="N1889" t="s">
        <v>652</v>
      </c>
      <c r="O1889" t="s">
        <v>323</v>
      </c>
      <c r="P1889">
        <v>2155559857</v>
      </c>
      <c r="Q1889" t="s">
        <v>324</v>
      </c>
      <c r="S1889" t="s">
        <v>230</v>
      </c>
      <c r="T1889" t="s">
        <v>156</v>
      </c>
      <c r="U1889">
        <v>71270</v>
      </c>
      <c r="V1889" t="s">
        <v>46</v>
      </c>
      <c r="W1889" t="s">
        <v>47</v>
      </c>
      <c r="X1889" t="s">
        <v>138</v>
      </c>
      <c r="Y1889" t="s">
        <v>325</v>
      </c>
      <c r="Z1889" t="s">
        <v>65</v>
      </c>
    </row>
    <row r="1890" spans="1:26" x14ac:dyDescent="0.3">
      <c r="A1890">
        <v>10342</v>
      </c>
      <c r="B1890">
        <v>48</v>
      </c>
      <c r="C1890">
        <v>62.45</v>
      </c>
      <c r="D1890">
        <v>10</v>
      </c>
      <c r="E1890">
        <v>2997.6</v>
      </c>
      <c r="F1890" s="1">
        <v>38315</v>
      </c>
      <c r="G1890" t="s">
        <v>39</v>
      </c>
      <c r="H1890">
        <v>4</v>
      </c>
      <c r="I1890">
        <v>11</v>
      </c>
      <c r="J1890" t="str">
        <f>TEXT(DATE(2012,Table1[[#This Row],[MONTH_ID]],10),"mmm")</f>
        <v>Nov</v>
      </c>
      <c r="K1890">
        <v>2004</v>
      </c>
      <c r="L1890" t="s">
        <v>195</v>
      </c>
      <c r="M1890">
        <v>61</v>
      </c>
      <c r="N1890" t="s">
        <v>652</v>
      </c>
      <c r="O1890" t="s">
        <v>103</v>
      </c>
      <c r="P1890" t="s">
        <v>104</v>
      </c>
      <c r="Q1890" t="s">
        <v>105</v>
      </c>
      <c r="R1890" t="s">
        <v>106</v>
      </c>
      <c r="S1890" t="s">
        <v>107</v>
      </c>
      <c r="T1890" t="s">
        <v>108</v>
      </c>
      <c r="U1890">
        <v>3004</v>
      </c>
      <c r="V1890" t="s">
        <v>109</v>
      </c>
      <c r="W1890" t="s">
        <v>110</v>
      </c>
      <c r="X1890" t="s">
        <v>111</v>
      </c>
      <c r="Y1890" t="s">
        <v>112</v>
      </c>
      <c r="Z1890" t="s">
        <v>50</v>
      </c>
    </row>
    <row r="1891" spans="1:26" x14ac:dyDescent="0.3">
      <c r="A1891">
        <v>10355</v>
      </c>
      <c r="B1891">
        <v>44</v>
      </c>
      <c r="C1891">
        <v>62.45</v>
      </c>
      <c r="D1891">
        <v>6</v>
      </c>
      <c r="E1891">
        <v>2747.8</v>
      </c>
      <c r="F1891" s="1">
        <v>38328</v>
      </c>
      <c r="G1891" t="s">
        <v>39</v>
      </c>
      <c r="H1891">
        <v>4</v>
      </c>
      <c r="I1891">
        <v>12</v>
      </c>
      <c r="J1891" t="str">
        <f>TEXT(DATE(2012,Table1[[#This Row],[MONTH_ID]],10),"mmm")</f>
        <v>Dec</v>
      </c>
      <c r="K1891">
        <v>2004</v>
      </c>
      <c r="L1891" t="s">
        <v>195</v>
      </c>
      <c r="M1891">
        <v>61</v>
      </c>
      <c r="N1891" t="s">
        <v>652</v>
      </c>
      <c r="O1891" t="s">
        <v>188</v>
      </c>
      <c r="P1891" t="s">
        <v>189</v>
      </c>
      <c r="Q1891" t="s">
        <v>190</v>
      </c>
      <c r="S1891" t="s">
        <v>191</v>
      </c>
      <c r="U1891">
        <v>28034</v>
      </c>
      <c r="V1891" t="s">
        <v>192</v>
      </c>
      <c r="W1891" t="s">
        <v>56</v>
      </c>
      <c r="X1891" t="s">
        <v>193</v>
      </c>
      <c r="Y1891" t="s">
        <v>194</v>
      </c>
      <c r="Z1891" t="s">
        <v>50</v>
      </c>
    </row>
    <row r="1892" spans="1:26" x14ac:dyDescent="0.3">
      <c r="A1892">
        <v>10363</v>
      </c>
      <c r="B1892">
        <v>21</v>
      </c>
      <c r="C1892">
        <v>100</v>
      </c>
      <c r="D1892">
        <v>15</v>
      </c>
      <c r="E1892">
        <v>2447.7600000000002</v>
      </c>
      <c r="F1892" s="1">
        <v>38358</v>
      </c>
      <c r="G1892" t="s">
        <v>39</v>
      </c>
      <c r="H1892">
        <v>1</v>
      </c>
      <c r="I1892">
        <v>1</v>
      </c>
      <c r="J1892" t="str">
        <f>TEXT(DATE(2012,Table1[[#This Row],[MONTH_ID]],10),"mmm")</f>
        <v>Jan</v>
      </c>
      <c r="K1892">
        <v>2005</v>
      </c>
      <c r="L1892" t="s">
        <v>195</v>
      </c>
      <c r="M1892">
        <v>61</v>
      </c>
      <c r="N1892" t="s">
        <v>652</v>
      </c>
      <c r="O1892" t="s">
        <v>481</v>
      </c>
      <c r="P1892" t="s">
        <v>482</v>
      </c>
      <c r="Q1892" t="s">
        <v>483</v>
      </c>
      <c r="S1892" t="s">
        <v>484</v>
      </c>
      <c r="U1892" t="s">
        <v>485</v>
      </c>
      <c r="V1892" t="s">
        <v>144</v>
      </c>
      <c r="W1892" t="s">
        <v>56</v>
      </c>
      <c r="X1892" t="s">
        <v>486</v>
      </c>
      <c r="Y1892" t="s">
        <v>487</v>
      </c>
      <c r="Z1892" t="s">
        <v>50</v>
      </c>
    </row>
    <row r="1893" spans="1:26" x14ac:dyDescent="0.3">
      <c r="A1893">
        <v>10378</v>
      </c>
      <c r="B1893">
        <v>46</v>
      </c>
      <c r="C1893">
        <v>41.54</v>
      </c>
      <c r="D1893">
        <v>6</v>
      </c>
      <c r="E1893">
        <v>1910.84</v>
      </c>
      <c r="F1893" s="1">
        <v>38393</v>
      </c>
      <c r="G1893" t="s">
        <v>39</v>
      </c>
      <c r="H1893">
        <v>1</v>
      </c>
      <c r="I1893">
        <v>2</v>
      </c>
      <c r="J1893" t="str">
        <f>TEXT(DATE(2012,Table1[[#This Row],[MONTH_ID]],10),"mmm")</f>
        <v>Feb</v>
      </c>
      <c r="K1893">
        <v>2005</v>
      </c>
      <c r="L1893" t="s">
        <v>195</v>
      </c>
      <c r="M1893">
        <v>61</v>
      </c>
      <c r="N1893" t="s">
        <v>652</v>
      </c>
      <c r="O1893" t="s">
        <v>188</v>
      </c>
      <c r="P1893" t="s">
        <v>189</v>
      </c>
      <c r="Q1893" t="s">
        <v>190</v>
      </c>
      <c r="S1893" t="s">
        <v>191</v>
      </c>
      <c r="U1893">
        <v>28034</v>
      </c>
      <c r="V1893" t="s">
        <v>192</v>
      </c>
      <c r="W1893" t="s">
        <v>56</v>
      </c>
      <c r="X1893" t="s">
        <v>193</v>
      </c>
      <c r="Y1893" t="s">
        <v>194</v>
      </c>
      <c r="Z1893" t="s">
        <v>50</v>
      </c>
    </row>
    <row r="1894" spans="1:26" x14ac:dyDescent="0.3">
      <c r="A1894">
        <v>10390</v>
      </c>
      <c r="B1894">
        <v>46</v>
      </c>
      <c r="C1894">
        <v>52.84</v>
      </c>
      <c r="D1894">
        <v>6</v>
      </c>
      <c r="E1894">
        <v>2430.64</v>
      </c>
      <c r="F1894" s="1">
        <v>38415</v>
      </c>
      <c r="G1894" t="s">
        <v>39</v>
      </c>
      <c r="H1894">
        <v>1</v>
      </c>
      <c r="I1894">
        <v>3</v>
      </c>
      <c r="J1894" t="str">
        <f>TEXT(DATE(2012,Table1[[#This Row],[MONTH_ID]],10),"mmm")</f>
        <v>Mar</v>
      </c>
      <c r="K1894">
        <v>2005</v>
      </c>
      <c r="L1894" t="s">
        <v>195</v>
      </c>
      <c r="M1894">
        <v>61</v>
      </c>
      <c r="N1894" t="s">
        <v>652</v>
      </c>
      <c r="O1894" t="s">
        <v>286</v>
      </c>
      <c r="P1894">
        <v>4155551450</v>
      </c>
      <c r="Q1894" t="s">
        <v>287</v>
      </c>
      <c r="S1894" t="s">
        <v>288</v>
      </c>
      <c r="T1894" t="s">
        <v>69</v>
      </c>
      <c r="U1894">
        <v>97562</v>
      </c>
      <c r="V1894" t="s">
        <v>46</v>
      </c>
      <c r="W1894" t="s">
        <v>47</v>
      </c>
      <c r="X1894" t="s">
        <v>289</v>
      </c>
      <c r="Y1894" t="s">
        <v>290</v>
      </c>
      <c r="Z1894" t="s">
        <v>50</v>
      </c>
    </row>
    <row r="1895" spans="1:26" x14ac:dyDescent="0.3">
      <c r="A1895">
        <v>10419</v>
      </c>
      <c r="B1895">
        <v>55</v>
      </c>
      <c r="C1895">
        <v>52.66</v>
      </c>
      <c r="D1895">
        <v>12</v>
      </c>
      <c r="E1895">
        <v>2896.3</v>
      </c>
      <c r="F1895" s="1">
        <v>38489</v>
      </c>
      <c r="G1895" t="s">
        <v>39</v>
      </c>
      <c r="H1895">
        <v>2</v>
      </c>
      <c r="I1895">
        <v>5</v>
      </c>
      <c r="J1895" t="str">
        <f>TEXT(DATE(2012,Table1[[#This Row],[MONTH_ID]],10),"mmm")</f>
        <v>May</v>
      </c>
      <c r="K1895">
        <v>2005</v>
      </c>
      <c r="L1895" t="s">
        <v>195</v>
      </c>
      <c r="M1895">
        <v>61</v>
      </c>
      <c r="N1895" t="s">
        <v>652</v>
      </c>
      <c r="O1895" t="s">
        <v>158</v>
      </c>
      <c r="P1895" t="s">
        <v>159</v>
      </c>
      <c r="Q1895" t="s">
        <v>160</v>
      </c>
      <c r="S1895" t="s">
        <v>161</v>
      </c>
      <c r="U1895">
        <v>5020</v>
      </c>
      <c r="V1895" t="s">
        <v>162</v>
      </c>
      <c r="W1895" t="s">
        <v>56</v>
      </c>
      <c r="X1895" t="s">
        <v>163</v>
      </c>
      <c r="Y1895" t="s">
        <v>164</v>
      </c>
      <c r="Z1895" t="s">
        <v>50</v>
      </c>
    </row>
    <row r="1896" spans="1:26" x14ac:dyDescent="0.3">
      <c r="A1896">
        <v>10106</v>
      </c>
      <c r="B1896">
        <v>31</v>
      </c>
      <c r="C1896">
        <v>52.6</v>
      </c>
      <c r="D1896">
        <v>14</v>
      </c>
      <c r="E1896">
        <v>1630.6</v>
      </c>
      <c r="F1896" s="1">
        <v>37669</v>
      </c>
      <c r="G1896" t="s">
        <v>39</v>
      </c>
      <c r="H1896">
        <v>1</v>
      </c>
      <c r="I1896">
        <v>2</v>
      </c>
      <c r="J1896" t="str">
        <f>TEXT(DATE(2012,Table1[[#This Row],[MONTH_ID]],10),"mmm")</f>
        <v>Feb</v>
      </c>
      <c r="K1896">
        <v>2003</v>
      </c>
      <c r="L1896" t="s">
        <v>564</v>
      </c>
      <c r="M1896">
        <v>65</v>
      </c>
      <c r="N1896" t="s">
        <v>653</v>
      </c>
      <c r="O1896" t="s">
        <v>566</v>
      </c>
      <c r="P1896" t="s">
        <v>567</v>
      </c>
      <c r="Q1896" t="s">
        <v>568</v>
      </c>
      <c r="S1896" t="s">
        <v>569</v>
      </c>
      <c r="U1896">
        <v>24100</v>
      </c>
      <c r="V1896" t="s">
        <v>272</v>
      </c>
      <c r="W1896" t="s">
        <v>56</v>
      </c>
      <c r="X1896" t="s">
        <v>570</v>
      </c>
      <c r="Y1896" t="s">
        <v>571</v>
      </c>
      <c r="Z1896" t="s">
        <v>50</v>
      </c>
    </row>
    <row r="1897" spans="1:26" x14ac:dyDescent="0.3">
      <c r="A1897">
        <v>10119</v>
      </c>
      <c r="B1897">
        <v>20</v>
      </c>
      <c r="C1897">
        <v>72.98</v>
      </c>
      <c r="D1897">
        <v>5</v>
      </c>
      <c r="E1897">
        <v>1459.6</v>
      </c>
      <c r="F1897" s="1">
        <v>37739</v>
      </c>
      <c r="G1897" t="s">
        <v>39</v>
      </c>
      <c r="H1897">
        <v>2</v>
      </c>
      <c r="I1897">
        <v>4</v>
      </c>
      <c r="J1897" t="str">
        <f>TEXT(DATE(2012,Table1[[#This Row],[MONTH_ID]],10),"mmm")</f>
        <v>Apr</v>
      </c>
      <c r="K1897">
        <v>2003</v>
      </c>
      <c r="L1897" t="s">
        <v>564</v>
      </c>
      <c r="M1897">
        <v>65</v>
      </c>
      <c r="N1897" t="s">
        <v>653</v>
      </c>
      <c r="O1897" t="s">
        <v>158</v>
      </c>
      <c r="P1897" t="s">
        <v>159</v>
      </c>
      <c r="Q1897" t="s">
        <v>160</v>
      </c>
      <c r="S1897" t="s">
        <v>161</v>
      </c>
      <c r="U1897">
        <v>5020</v>
      </c>
      <c r="V1897" t="s">
        <v>162</v>
      </c>
      <c r="W1897" t="s">
        <v>56</v>
      </c>
      <c r="X1897" t="s">
        <v>163</v>
      </c>
      <c r="Y1897" t="s">
        <v>164</v>
      </c>
      <c r="Z1897" t="s">
        <v>50</v>
      </c>
    </row>
    <row r="1898" spans="1:26" x14ac:dyDescent="0.3">
      <c r="A1898">
        <v>10131</v>
      </c>
      <c r="B1898">
        <v>29</v>
      </c>
      <c r="C1898">
        <v>59.18</v>
      </c>
      <c r="D1898">
        <v>6</v>
      </c>
      <c r="E1898">
        <v>1716.22</v>
      </c>
      <c r="F1898" s="1">
        <v>37788</v>
      </c>
      <c r="G1898" t="s">
        <v>39</v>
      </c>
      <c r="H1898">
        <v>2</v>
      </c>
      <c r="I1898">
        <v>6</v>
      </c>
      <c r="J1898" t="str">
        <f>TEXT(DATE(2012,Table1[[#This Row],[MONTH_ID]],10),"mmm")</f>
        <v>Jun</v>
      </c>
      <c r="K1898">
        <v>2003</v>
      </c>
      <c r="L1898" t="s">
        <v>564</v>
      </c>
      <c r="M1898">
        <v>65</v>
      </c>
      <c r="N1898" t="s">
        <v>653</v>
      </c>
      <c r="O1898" t="s">
        <v>582</v>
      </c>
      <c r="P1898">
        <v>2035554407</v>
      </c>
      <c r="Q1898" t="s">
        <v>583</v>
      </c>
      <c r="S1898" t="s">
        <v>530</v>
      </c>
      <c r="T1898" t="s">
        <v>126</v>
      </c>
      <c r="U1898">
        <v>97561</v>
      </c>
      <c r="V1898" t="s">
        <v>46</v>
      </c>
      <c r="W1898" t="s">
        <v>47</v>
      </c>
      <c r="X1898" t="s">
        <v>584</v>
      </c>
      <c r="Y1898" t="s">
        <v>585</v>
      </c>
      <c r="Z1898" t="s">
        <v>50</v>
      </c>
    </row>
    <row r="1899" spans="1:26" x14ac:dyDescent="0.3">
      <c r="A1899">
        <v>10143</v>
      </c>
      <c r="B1899">
        <v>33</v>
      </c>
      <c r="C1899">
        <v>77.59</v>
      </c>
      <c r="D1899">
        <v>9</v>
      </c>
      <c r="E1899">
        <v>2560.4699999999998</v>
      </c>
      <c r="F1899" s="1">
        <v>37843</v>
      </c>
      <c r="G1899" t="s">
        <v>39</v>
      </c>
      <c r="H1899">
        <v>3</v>
      </c>
      <c r="I1899">
        <v>8</v>
      </c>
      <c r="J1899" t="str">
        <f>TEXT(DATE(2012,Table1[[#This Row],[MONTH_ID]],10),"mmm")</f>
        <v>Aug</v>
      </c>
      <c r="K1899">
        <v>2003</v>
      </c>
      <c r="L1899" t="s">
        <v>564</v>
      </c>
      <c r="M1899">
        <v>65</v>
      </c>
      <c r="N1899" t="s">
        <v>653</v>
      </c>
      <c r="O1899" t="s">
        <v>349</v>
      </c>
      <c r="P1899">
        <v>5085559555</v>
      </c>
      <c r="Q1899" t="s">
        <v>350</v>
      </c>
      <c r="S1899" t="s">
        <v>176</v>
      </c>
      <c r="T1899" t="s">
        <v>137</v>
      </c>
      <c r="U1899">
        <v>50553</v>
      </c>
      <c r="V1899" t="s">
        <v>46</v>
      </c>
      <c r="W1899" t="s">
        <v>47</v>
      </c>
      <c r="X1899" t="s">
        <v>351</v>
      </c>
      <c r="Y1899" t="s">
        <v>352</v>
      </c>
      <c r="Z1899" t="s">
        <v>50</v>
      </c>
    </row>
    <row r="1900" spans="1:26" x14ac:dyDescent="0.3">
      <c r="A1900">
        <v>10155</v>
      </c>
      <c r="B1900">
        <v>34</v>
      </c>
      <c r="C1900">
        <v>55.89</v>
      </c>
      <c r="D1900">
        <v>7</v>
      </c>
      <c r="E1900">
        <v>1900.26</v>
      </c>
      <c r="F1900" s="1">
        <v>37900</v>
      </c>
      <c r="G1900" t="s">
        <v>39</v>
      </c>
      <c r="H1900">
        <v>4</v>
      </c>
      <c r="I1900">
        <v>10</v>
      </c>
      <c r="J1900" t="str">
        <f>TEXT(DATE(2012,Table1[[#This Row],[MONTH_ID]],10),"mmm")</f>
        <v>Oct</v>
      </c>
      <c r="K1900">
        <v>2003</v>
      </c>
      <c r="L1900" t="s">
        <v>564</v>
      </c>
      <c r="M1900">
        <v>65</v>
      </c>
      <c r="N1900" t="s">
        <v>653</v>
      </c>
      <c r="O1900" t="s">
        <v>140</v>
      </c>
      <c r="P1900" t="s">
        <v>141</v>
      </c>
      <c r="Q1900" t="s">
        <v>142</v>
      </c>
      <c r="S1900" t="s">
        <v>143</v>
      </c>
      <c r="U1900">
        <v>21240</v>
      </c>
      <c r="V1900" t="s">
        <v>144</v>
      </c>
      <c r="W1900" t="s">
        <v>56</v>
      </c>
      <c r="X1900" t="s">
        <v>145</v>
      </c>
      <c r="Y1900" t="s">
        <v>146</v>
      </c>
      <c r="Z1900" t="s">
        <v>50</v>
      </c>
    </row>
    <row r="1901" spans="1:26" x14ac:dyDescent="0.3">
      <c r="A1901">
        <v>10167</v>
      </c>
      <c r="B1901">
        <v>32</v>
      </c>
      <c r="C1901">
        <v>63.12</v>
      </c>
      <c r="D1901">
        <v>3</v>
      </c>
      <c r="E1901">
        <v>2019.84</v>
      </c>
      <c r="F1901" s="1">
        <v>37917</v>
      </c>
      <c r="G1901" t="s">
        <v>353</v>
      </c>
      <c r="H1901">
        <v>4</v>
      </c>
      <c r="I1901">
        <v>10</v>
      </c>
      <c r="J1901" t="str">
        <f>TEXT(DATE(2012,Table1[[#This Row],[MONTH_ID]],10),"mmm")</f>
        <v>Oct</v>
      </c>
      <c r="K1901">
        <v>2003</v>
      </c>
      <c r="L1901" t="s">
        <v>564</v>
      </c>
      <c r="M1901">
        <v>65</v>
      </c>
      <c r="N1901" t="s">
        <v>653</v>
      </c>
      <c r="O1901" t="s">
        <v>275</v>
      </c>
      <c r="P1901" t="s">
        <v>276</v>
      </c>
      <c r="Q1901" t="s">
        <v>277</v>
      </c>
      <c r="S1901" t="s">
        <v>278</v>
      </c>
      <c r="U1901" t="s">
        <v>279</v>
      </c>
      <c r="V1901" t="s">
        <v>202</v>
      </c>
      <c r="W1901" t="s">
        <v>56</v>
      </c>
      <c r="X1901" t="s">
        <v>280</v>
      </c>
      <c r="Y1901" t="s">
        <v>220</v>
      </c>
      <c r="Z1901" t="s">
        <v>50</v>
      </c>
    </row>
    <row r="1902" spans="1:26" x14ac:dyDescent="0.3">
      <c r="A1902">
        <v>10178</v>
      </c>
      <c r="B1902">
        <v>27</v>
      </c>
      <c r="C1902">
        <v>73.64</v>
      </c>
      <c r="D1902">
        <v>6</v>
      </c>
      <c r="E1902">
        <v>1988.28</v>
      </c>
      <c r="F1902" s="1">
        <v>37933</v>
      </c>
      <c r="G1902" t="s">
        <v>39</v>
      </c>
      <c r="H1902">
        <v>4</v>
      </c>
      <c r="I1902">
        <v>11</v>
      </c>
      <c r="J1902" t="str">
        <f>TEXT(DATE(2012,Table1[[#This Row],[MONTH_ID]],10),"mmm")</f>
        <v>Nov</v>
      </c>
      <c r="K1902">
        <v>2003</v>
      </c>
      <c r="L1902" t="s">
        <v>564</v>
      </c>
      <c r="M1902">
        <v>65</v>
      </c>
      <c r="N1902" t="s">
        <v>653</v>
      </c>
      <c r="O1902" t="s">
        <v>354</v>
      </c>
      <c r="P1902" t="s">
        <v>355</v>
      </c>
      <c r="Q1902" t="s">
        <v>356</v>
      </c>
      <c r="S1902" t="s">
        <v>357</v>
      </c>
      <c r="U1902">
        <v>31000</v>
      </c>
      <c r="V1902" t="s">
        <v>55</v>
      </c>
      <c r="W1902" t="s">
        <v>56</v>
      </c>
      <c r="X1902" t="s">
        <v>358</v>
      </c>
      <c r="Y1902" t="s">
        <v>359</v>
      </c>
      <c r="Z1902" t="s">
        <v>50</v>
      </c>
    </row>
    <row r="1903" spans="1:26" x14ac:dyDescent="0.3">
      <c r="A1903">
        <v>10186</v>
      </c>
      <c r="B1903">
        <v>21</v>
      </c>
      <c r="C1903">
        <v>69.040000000000006</v>
      </c>
      <c r="D1903">
        <v>3</v>
      </c>
      <c r="E1903">
        <v>1449.84</v>
      </c>
      <c r="F1903" s="1">
        <v>37939</v>
      </c>
      <c r="G1903" t="s">
        <v>39</v>
      </c>
      <c r="H1903">
        <v>4</v>
      </c>
      <c r="I1903">
        <v>11</v>
      </c>
      <c r="J1903" t="str">
        <f>TEXT(DATE(2012,Table1[[#This Row],[MONTH_ID]],10),"mmm")</f>
        <v>Nov</v>
      </c>
      <c r="K1903">
        <v>2003</v>
      </c>
      <c r="L1903" t="s">
        <v>564</v>
      </c>
      <c r="M1903">
        <v>65</v>
      </c>
      <c r="N1903" t="s">
        <v>653</v>
      </c>
      <c r="O1903" t="s">
        <v>360</v>
      </c>
      <c r="P1903" t="s">
        <v>361</v>
      </c>
      <c r="Q1903" t="s">
        <v>362</v>
      </c>
      <c r="S1903" t="s">
        <v>346</v>
      </c>
      <c r="U1903" t="s">
        <v>363</v>
      </c>
      <c r="V1903" t="s">
        <v>184</v>
      </c>
      <c r="W1903" t="s">
        <v>56</v>
      </c>
      <c r="X1903" t="s">
        <v>364</v>
      </c>
      <c r="Y1903" t="s">
        <v>365</v>
      </c>
      <c r="Z1903" t="s">
        <v>50</v>
      </c>
    </row>
    <row r="1904" spans="1:26" x14ac:dyDescent="0.3">
      <c r="A1904">
        <v>10198</v>
      </c>
      <c r="B1904">
        <v>27</v>
      </c>
      <c r="C1904">
        <v>71.67</v>
      </c>
      <c r="D1904">
        <v>6</v>
      </c>
      <c r="E1904">
        <v>1935.09</v>
      </c>
      <c r="F1904" s="1">
        <v>37952</v>
      </c>
      <c r="G1904" t="s">
        <v>39</v>
      </c>
      <c r="H1904">
        <v>4</v>
      </c>
      <c r="I1904">
        <v>11</v>
      </c>
      <c r="J1904" t="str">
        <f>TEXT(DATE(2012,Table1[[#This Row],[MONTH_ID]],10),"mmm")</f>
        <v>Nov</v>
      </c>
      <c r="K1904">
        <v>2003</v>
      </c>
      <c r="L1904" t="s">
        <v>564</v>
      </c>
      <c r="M1904">
        <v>65</v>
      </c>
      <c r="N1904" t="s">
        <v>653</v>
      </c>
      <c r="O1904" t="s">
        <v>439</v>
      </c>
      <c r="P1904" t="s">
        <v>440</v>
      </c>
      <c r="Q1904" t="s">
        <v>441</v>
      </c>
      <c r="S1904" t="s">
        <v>442</v>
      </c>
      <c r="U1904" t="s">
        <v>443</v>
      </c>
      <c r="V1904" t="s">
        <v>444</v>
      </c>
      <c r="W1904" t="s">
        <v>214</v>
      </c>
      <c r="X1904" t="s">
        <v>445</v>
      </c>
      <c r="Y1904" t="s">
        <v>446</v>
      </c>
      <c r="Z1904" t="s">
        <v>50</v>
      </c>
    </row>
    <row r="1905" spans="1:26" x14ac:dyDescent="0.3">
      <c r="A1905">
        <v>10209</v>
      </c>
      <c r="B1905">
        <v>36</v>
      </c>
      <c r="C1905">
        <v>77.59</v>
      </c>
      <c r="D1905">
        <v>2</v>
      </c>
      <c r="E1905">
        <v>2793.24</v>
      </c>
      <c r="F1905" s="1">
        <v>37995</v>
      </c>
      <c r="G1905" t="s">
        <v>39</v>
      </c>
      <c r="H1905">
        <v>1</v>
      </c>
      <c r="I1905">
        <v>1</v>
      </c>
      <c r="J1905" t="str">
        <f>TEXT(DATE(2012,Table1[[#This Row],[MONTH_ID]],10),"mmm")</f>
        <v>Jan</v>
      </c>
      <c r="K1905">
        <v>2004</v>
      </c>
      <c r="L1905" t="s">
        <v>564</v>
      </c>
      <c r="M1905">
        <v>65</v>
      </c>
      <c r="N1905" t="s">
        <v>653</v>
      </c>
      <c r="O1905" t="s">
        <v>372</v>
      </c>
      <c r="P1905">
        <v>2155554369</v>
      </c>
      <c r="Q1905" t="s">
        <v>373</v>
      </c>
      <c r="S1905" t="s">
        <v>374</v>
      </c>
      <c r="T1905" t="s">
        <v>69</v>
      </c>
      <c r="V1905" t="s">
        <v>46</v>
      </c>
      <c r="W1905" t="s">
        <v>47</v>
      </c>
      <c r="X1905" t="s">
        <v>375</v>
      </c>
      <c r="Y1905" t="s">
        <v>117</v>
      </c>
      <c r="Z1905" t="s">
        <v>50</v>
      </c>
    </row>
    <row r="1906" spans="1:26" x14ac:dyDescent="0.3">
      <c r="A1906">
        <v>10222</v>
      </c>
      <c r="B1906">
        <v>43</v>
      </c>
      <c r="C1906">
        <v>70.349999999999994</v>
      </c>
      <c r="D1906">
        <v>6</v>
      </c>
      <c r="E1906">
        <v>3025.05</v>
      </c>
      <c r="F1906" s="1">
        <v>38036</v>
      </c>
      <c r="G1906" t="s">
        <v>39</v>
      </c>
      <c r="H1906">
        <v>1</v>
      </c>
      <c r="I1906">
        <v>2</v>
      </c>
      <c r="J1906" t="str">
        <f>TEXT(DATE(2012,Table1[[#This Row],[MONTH_ID]],10),"mmm")</f>
        <v>Feb</v>
      </c>
      <c r="K1906">
        <v>2004</v>
      </c>
      <c r="L1906" t="s">
        <v>564</v>
      </c>
      <c r="M1906">
        <v>65</v>
      </c>
      <c r="N1906" t="s">
        <v>653</v>
      </c>
      <c r="O1906" t="s">
        <v>376</v>
      </c>
      <c r="P1906">
        <v>7605558146</v>
      </c>
      <c r="Q1906" t="s">
        <v>377</v>
      </c>
      <c r="S1906" t="s">
        <v>378</v>
      </c>
      <c r="T1906" t="s">
        <v>69</v>
      </c>
      <c r="U1906">
        <v>91217</v>
      </c>
      <c r="V1906" t="s">
        <v>46</v>
      </c>
      <c r="W1906" t="s">
        <v>47</v>
      </c>
      <c r="X1906" t="s">
        <v>251</v>
      </c>
      <c r="Y1906" t="s">
        <v>290</v>
      </c>
      <c r="Z1906" t="s">
        <v>65</v>
      </c>
    </row>
    <row r="1907" spans="1:26" x14ac:dyDescent="0.3">
      <c r="A1907">
        <v>10249</v>
      </c>
      <c r="B1907">
        <v>25</v>
      </c>
      <c r="C1907">
        <v>69.7</v>
      </c>
      <c r="D1907">
        <v>2</v>
      </c>
      <c r="E1907">
        <v>1742.5</v>
      </c>
      <c r="F1907" s="1">
        <v>38115</v>
      </c>
      <c r="G1907" t="s">
        <v>39</v>
      </c>
      <c r="H1907">
        <v>2</v>
      </c>
      <c r="I1907">
        <v>5</v>
      </c>
      <c r="J1907" t="str">
        <f>TEXT(DATE(2012,Table1[[#This Row],[MONTH_ID]],10),"mmm")</f>
        <v>May</v>
      </c>
      <c r="K1907">
        <v>2004</v>
      </c>
      <c r="L1907" t="s">
        <v>564</v>
      </c>
      <c r="M1907">
        <v>65</v>
      </c>
      <c r="N1907" t="s">
        <v>653</v>
      </c>
      <c r="O1907" t="s">
        <v>253</v>
      </c>
      <c r="P1907">
        <v>6175555555</v>
      </c>
      <c r="Q1907" t="s">
        <v>254</v>
      </c>
      <c r="S1907" t="s">
        <v>136</v>
      </c>
      <c r="T1907" t="s">
        <v>137</v>
      </c>
      <c r="U1907">
        <v>51247</v>
      </c>
      <c r="V1907" t="s">
        <v>46</v>
      </c>
      <c r="W1907" t="s">
        <v>47</v>
      </c>
      <c r="X1907" t="s">
        <v>255</v>
      </c>
      <c r="Y1907" t="s">
        <v>157</v>
      </c>
      <c r="Z1907" t="s">
        <v>50</v>
      </c>
    </row>
    <row r="1908" spans="1:26" x14ac:dyDescent="0.3">
      <c r="A1908">
        <v>10262</v>
      </c>
      <c r="B1908">
        <v>46</v>
      </c>
      <c r="C1908">
        <v>70.349999999999994</v>
      </c>
      <c r="D1908">
        <v>11</v>
      </c>
      <c r="E1908">
        <v>3236.1</v>
      </c>
      <c r="F1908" s="1">
        <v>38162</v>
      </c>
      <c r="G1908" t="s">
        <v>353</v>
      </c>
      <c r="H1908">
        <v>2</v>
      </c>
      <c r="I1908">
        <v>6</v>
      </c>
      <c r="J1908" t="str">
        <f>TEXT(DATE(2012,Table1[[#This Row],[MONTH_ID]],10),"mmm")</f>
        <v>Jun</v>
      </c>
      <c r="K1908">
        <v>2004</v>
      </c>
      <c r="L1908" t="s">
        <v>564</v>
      </c>
      <c r="M1908">
        <v>65</v>
      </c>
      <c r="N1908" t="s">
        <v>653</v>
      </c>
      <c r="O1908" t="s">
        <v>188</v>
      </c>
      <c r="P1908" t="s">
        <v>189</v>
      </c>
      <c r="Q1908" t="s">
        <v>190</v>
      </c>
      <c r="S1908" t="s">
        <v>191</v>
      </c>
      <c r="U1908">
        <v>28034</v>
      </c>
      <c r="V1908" t="s">
        <v>192</v>
      </c>
      <c r="W1908" t="s">
        <v>56</v>
      </c>
      <c r="X1908" t="s">
        <v>193</v>
      </c>
      <c r="Y1908" t="s">
        <v>194</v>
      </c>
      <c r="Z1908" t="s">
        <v>65</v>
      </c>
    </row>
    <row r="1909" spans="1:26" x14ac:dyDescent="0.3">
      <c r="A1909">
        <v>10274</v>
      </c>
      <c r="B1909">
        <v>24</v>
      </c>
      <c r="C1909">
        <v>72.33</v>
      </c>
      <c r="D1909">
        <v>3</v>
      </c>
      <c r="E1909">
        <v>1735.92</v>
      </c>
      <c r="F1909" s="1">
        <v>38189</v>
      </c>
      <c r="G1909" t="s">
        <v>39</v>
      </c>
      <c r="H1909">
        <v>3</v>
      </c>
      <c r="I1909">
        <v>7</v>
      </c>
      <c r="J1909" t="str">
        <f>TEXT(DATE(2012,Table1[[#This Row],[MONTH_ID]],10),"mmm")</f>
        <v>Jul</v>
      </c>
      <c r="K1909">
        <v>2004</v>
      </c>
      <c r="L1909" t="s">
        <v>564</v>
      </c>
      <c r="M1909">
        <v>65</v>
      </c>
      <c r="N1909" t="s">
        <v>653</v>
      </c>
      <c r="O1909" t="s">
        <v>295</v>
      </c>
      <c r="P1909">
        <v>6175558555</v>
      </c>
      <c r="Q1909" t="s">
        <v>296</v>
      </c>
      <c r="S1909" t="s">
        <v>297</v>
      </c>
      <c r="T1909" t="s">
        <v>137</v>
      </c>
      <c r="U1909">
        <v>58339</v>
      </c>
      <c r="V1909" t="s">
        <v>46</v>
      </c>
      <c r="W1909" t="s">
        <v>47</v>
      </c>
      <c r="X1909" t="s">
        <v>289</v>
      </c>
      <c r="Y1909" t="s">
        <v>298</v>
      </c>
      <c r="Z1909" t="s">
        <v>50</v>
      </c>
    </row>
    <row r="1910" spans="1:26" x14ac:dyDescent="0.3">
      <c r="A1910">
        <v>10284</v>
      </c>
      <c r="B1910">
        <v>39</v>
      </c>
      <c r="C1910">
        <v>71.67</v>
      </c>
      <c r="D1910">
        <v>13</v>
      </c>
      <c r="E1910">
        <v>2795.13</v>
      </c>
      <c r="F1910" s="1">
        <v>38220</v>
      </c>
      <c r="G1910" t="s">
        <v>39</v>
      </c>
      <c r="H1910">
        <v>3</v>
      </c>
      <c r="I1910">
        <v>8</v>
      </c>
      <c r="J1910" t="str">
        <f>TEXT(DATE(2012,Table1[[#This Row],[MONTH_ID]],10),"mmm")</f>
        <v>Aug</v>
      </c>
      <c r="K1910">
        <v>2004</v>
      </c>
      <c r="L1910" t="s">
        <v>564</v>
      </c>
      <c r="M1910">
        <v>65</v>
      </c>
      <c r="N1910" t="s">
        <v>653</v>
      </c>
      <c r="O1910" t="s">
        <v>557</v>
      </c>
      <c r="P1910" t="s">
        <v>558</v>
      </c>
      <c r="Q1910" t="s">
        <v>559</v>
      </c>
      <c r="S1910" t="s">
        <v>560</v>
      </c>
      <c r="U1910" t="s">
        <v>561</v>
      </c>
      <c r="V1910" t="s">
        <v>92</v>
      </c>
      <c r="W1910" t="s">
        <v>56</v>
      </c>
      <c r="X1910" t="s">
        <v>562</v>
      </c>
      <c r="Y1910" t="s">
        <v>563</v>
      </c>
      <c r="Z1910" t="s">
        <v>50</v>
      </c>
    </row>
    <row r="1911" spans="1:26" x14ac:dyDescent="0.3">
      <c r="A1911">
        <v>10296</v>
      </c>
      <c r="B1911">
        <v>31</v>
      </c>
      <c r="C1911">
        <v>53.92</v>
      </c>
      <c r="D1911">
        <v>9</v>
      </c>
      <c r="E1911">
        <v>1671.52</v>
      </c>
      <c r="F1911" s="1">
        <v>38245</v>
      </c>
      <c r="G1911" t="s">
        <v>39</v>
      </c>
      <c r="H1911">
        <v>3</v>
      </c>
      <c r="I1911">
        <v>9</v>
      </c>
      <c r="J1911" t="str">
        <f>TEXT(DATE(2012,Table1[[#This Row],[MONTH_ID]],10),"mmm")</f>
        <v>Sep</v>
      </c>
      <c r="K1911">
        <v>2004</v>
      </c>
      <c r="L1911" t="s">
        <v>564</v>
      </c>
      <c r="M1911">
        <v>65</v>
      </c>
      <c r="N1911" t="s">
        <v>653</v>
      </c>
      <c r="O1911" t="s">
        <v>586</v>
      </c>
      <c r="P1911" t="s">
        <v>587</v>
      </c>
      <c r="Q1911" t="s">
        <v>588</v>
      </c>
      <c r="S1911" t="s">
        <v>589</v>
      </c>
      <c r="U1911">
        <v>80686</v>
      </c>
      <c r="V1911" t="s">
        <v>457</v>
      </c>
      <c r="W1911" t="s">
        <v>56</v>
      </c>
      <c r="X1911" t="s">
        <v>590</v>
      </c>
      <c r="Y1911" t="s">
        <v>117</v>
      </c>
      <c r="Z1911" t="s">
        <v>50</v>
      </c>
    </row>
    <row r="1912" spans="1:26" x14ac:dyDescent="0.3">
      <c r="A1912">
        <v>10307</v>
      </c>
      <c r="B1912">
        <v>22</v>
      </c>
      <c r="C1912">
        <v>71.67</v>
      </c>
      <c r="D1912">
        <v>3</v>
      </c>
      <c r="E1912">
        <v>1576.74</v>
      </c>
      <c r="F1912" s="1">
        <v>38274</v>
      </c>
      <c r="G1912" t="s">
        <v>39</v>
      </c>
      <c r="H1912">
        <v>4</v>
      </c>
      <c r="I1912">
        <v>10</v>
      </c>
      <c r="J1912" t="str">
        <f>TEXT(DATE(2012,Table1[[#This Row],[MONTH_ID]],10),"mmm")</f>
        <v>Oct</v>
      </c>
      <c r="K1912">
        <v>2004</v>
      </c>
      <c r="L1912" t="s">
        <v>564</v>
      </c>
      <c r="M1912">
        <v>65</v>
      </c>
      <c r="N1912" t="s">
        <v>653</v>
      </c>
      <c r="O1912" t="s">
        <v>228</v>
      </c>
      <c r="P1912">
        <v>2155554695</v>
      </c>
      <c r="Q1912" t="s">
        <v>229</v>
      </c>
      <c r="S1912" t="s">
        <v>230</v>
      </c>
      <c r="T1912" t="s">
        <v>156</v>
      </c>
      <c r="U1912">
        <v>71270</v>
      </c>
      <c r="V1912" t="s">
        <v>46</v>
      </c>
      <c r="W1912" t="s">
        <v>47</v>
      </c>
      <c r="X1912" t="s">
        <v>231</v>
      </c>
      <c r="Y1912" t="s">
        <v>232</v>
      </c>
      <c r="Z1912" t="s">
        <v>50</v>
      </c>
    </row>
    <row r="1913" spans="1:26" x14ac:dyDescent="0.3">
      <c r="A1913">
        <v>10316</v>
      </c>
      <c r="B1913">
        <v>47</v>
      </c>
      <c r="C1913">
        <v>76.930000000000007</v>
      </c>
      <c r="D1913">
        <v>11</v>
      </c>
      <c r="E1913">
        <v>3615.71</v>
      </c>
      <c r="F1913" s="1">
        <v>38292</v>
      </c>
      <c r="G1913" t="s">
        <v>39</v>
      </c>
      <c r="H1913">
        <v>4</v>
      </c>
      <c r="I1913">
        <v>11</v>
      </c>
      <c r="J1913" t="str">
        <f>TEXT(DATE(2012,Table1[[#This Row],[MONTH_ID]],10),"mmm")</f>
        <v>Nov</v>
      </c>
      <c r="K1913">
        <v>2004</v>
      </c>
      <c r="L1913" t="s">
        <v>564</v>
      </c>
      <c r="M1913">
        <v>65</v>
      </c>
      <c r="N1913" t="s">
        <v>653</v>
      </c>
      <c r="O1913" t="s">
        <v>397</v>
      </c>
      <c r="P1913" t="s">
        <v>398</v>
      </c>
      <c r="Q1913" t="s">
        <v>399</v>
      </c>
      <c r="S1913" t="s">
        <v>400</v>
      </c>
      <c r="T1913" t="s">
        <v>401</v>
      </c>
      <c r="U1913" t="s">
        <v>402</v>
      </c>
      <c r="V1913" t="s">
        <v>184</v>
      </c>
      <c r="W1913" t="s">
        <v>56</v>
      </c>
      <c r="X1913" t="s">
        <v>403</v>
      </c>
      <c r="Y1913" t="s">
        <v>404</v>
      </c>
      <c r="Z1913" t="s">
        <v>65</v>
      </c>
    </row>
    <row r="1914" spans="1:26" x14ac:dyDescent="0.3">
      <c r="A1914">
        <v>10328</v>
      </c>
      <c r="B1914">
        <v>20</v>
      </c>
      <c r="C1914">
        <v>72.98</v>
      </c>
      <c r="D1914">
        <v>2</v>
      </c>
      <c r="E1914">
        <v>1459.6</v>
      </c>
      <c r="F1914" s="1">
        <v>38303</v>
      </c>
      <c r="G1914" t="s">
        <v>39</v>
      </c>
      <c r="H1914">
        <v>4</v>
      </c>
      <c r="I1914">
        <v>11</v>
      </c>
      <c r="J1914" t="str">
        <f>TEXT(DATE(2012,Table1[[#This Row],[MONTH_ID]],10),"mmm")</f>
        <v>Nov</v>
      </c>
      <c r="K1914">
        <v>2004</v>
      </c>
      <c r="L1914" t="s">
        <v>564</v>
      </c>
      <c r="M1914">
        <v>65</v>
      </c>
      <c r="N1914" t="s">
        <v>653</v>
      </c>
      <c r="O1914" t="s">
        <v>566</v>
      </c>
      <c r="P1914" t="s">
        <v>567</v>
      </c>
      <c r="Q1914" t="s">
        <v>568</v>
      </c>
      <c r="S1914" t="s">
        <v>569</v>
      </c>
      <c r="U1914">
        <v>24100</v>
      </c>
      <c r="V1914" t="s">
        <v>272</v>
      </c>
      <c r="W1914" t="s">
        <v>56</v>
      </c>
      <c r="X1914" t="s">
        <v>570</v>
      </c>
      <c r="Y1914" t="s">
        <v>571</v>
      </c>
      <c r="Z1914" t="s">
        <v>50</v>
      </c>
    </row>
    <row r="1915" spans="1:26" x14ac:dyDescent="0.3">
      <c r="A1915">
        <v>10339</v>
      </c>
      <c r="B1915">
        <v>29</v>
      </c>
      <c r="C1915">
        <v>99.69</v>
      </c>
      <c r="D1915">
        <v>14</v>
      </c>
      <c r="E1915">
        <v>2891.01</v>
      </c>
      <c r="F1915" s="1">
        <v>38314</v>
      </c>
      <c r="G1915" t="s">
        <v>39</v>
      </c>
      <c r="H1915">
        <v>4</v>
      </c>
      <c r="I1915">
        <v>11</v>
      </c>
      <c r="J1915" t="str">
        <f>TEXT(DATE(2012,Table1[[#This Row],[MONTH_ID]],10),"mmm")</f>
        <v>Nov</v>
      </c>
      <c r="K1915">
        <v>2004</v>
      </c>
      <c r="L1915" t="s">
        <v>564</v>
      </c>
      <c r="M1915">
        <v>65</v>
      </c>
      <c r="N1915" t="s">
        <v>653</v>
      </c>
      <c r="O1915" t="s">
        <v>260</v>
      </c>
      <c r="P1915" t="s">
        <v>261</v>
      </c>
      <c r="Q1915" t="s">
        <v>262</v>
      </c>
      <c r="S1915" t="s">
        <v>263</v>
      </c>
      <c r="T1915" t="s">
        <v>264</v>
      </c>
      <c r="U1915" t="s">
        <v>265</v>
      </c>
      <c r="V1915" t="s">
        <v>214</v>
      </c>
      <c r="W1915" t="s">
        <v>214</v>
      </c>
      <c r="X1915" t="s">
        <v>266</v>
      </c>
      <c r="Y1915" t="s">
        <v>267</v>
      </c>
      <c r="Z1915" t="s">
        <v>50</v>
      </c>
    </row>
    <row r="1916" spans="1:26" x14ac:dyDescent="0.3">
      <c r="A1916">
        <v>10351</v>
      </c>
      <c r="B1916">
        <v>38</v>
      </c>
      <c r="C1916">
        <v>68.38</v>
      </c>
      <c r="D1916">
        <v>4</v>
      </c>
      <c r="E1916">
        <v>2598.44</v>
      </c>
      <c r="F1916" s="1">
        <v>38324</v>
      </c>
      <c r="G1916" t="s">
        <v>39</v>
      </c>
      <c r="H1916">
        <v>4</v>
      </c>
      <c r="I1916">
        <v>12</v>
      </c>
      <c r="J1916" t="str">
        <f>TEXT(DATE(2012,Table1[[#This Row],[MONTH_ID]],10),"mmm")</f>
        <v>Dec</v>
      </c>
      <c r="K1916">
        <v>2004</v>
      </c>
      <c r="L1916" t="s">
        <v>564</v>
      </c>
      <c r="M1916">
        <v>65</v>
      </c>
      <c r="N1916" t="s">
        <v>653</v>
      </c>
      <c r="O1916" t="s">
        <v>343</v>
      </c>
      <c r="P1916" t="s">
        <v>344</v>
      </c>
      <c r="Q1916" t="s">
        <v>345</v>
      </c>
      <c r="S1916" t="s">
        <v>346</v>
      </c>
      <c r="U1916" t="s">
        <v>347</v>
      </c>
      <c r="V1916" t="s">
        <v>184</v>
      </c>
      <c r="W1916" t="s">
        <v>56</v>
      </c>
      <c r="X1916" t="s">
        <v>75</v>
      </c>
      <c r="Y1916" t="s">
        <v>348</v>
      </c>
      <c r="Z1916" t="s">
        <v>50</v>
      </c>
    </row>
    <row r="1917" spans="1:26" x14ac:dyDescent="0.3">
      <c r="A1917">
        <v>10361</v>
      </c>
      <c r="B1917">
        <v>34</v>
      </c>
      <c r="C1917">
        <v>100</v>
      </c>
      <c r="D1917">
        <v>6</v>
      </c>
      <c r="E1917">
        <v>3871.92</v>
      </c>
      <c r="F1917" s="1">
        <v>38338</v>
      </c>
      <c r="G1917" t="s">
        <v>39</v>
      </c>
      <c r="H1917">
        <v>4</v>
      </c>
      <c r="I1917">
        <v>12</v>
      </c>
      <c r="J1917" t="str">
        <f>TEXT(DATE(2012,Table1[[#This Row],[MONTH_ID]],10),"mmm")</f>
        <v>Dec</v>
      </c>
      <c r="K1917">
        <v>2004</v>
      </c>
      <c r="L1917" t="s">
        <v>564</v>
      </c>
      <c r="M1917">
        <v>65</v>
      </c>
      <c r="N1917" t="s">
        <v>653</v>
      </c>
      <c r="O1917" t="s">
        <v>166</v>
      </c>
      <c r="P1917" t="s">
        <v>167</v>
      </c>
      <c r="Q1917" t="s">
        <v>168</v>
      </c>
      <c r="R1917" t="s">
        <v>169</v>
      </c>
      <c r="S1917" t="s">
        <v>170</v>
      </c>
      <c r="T1917" t="s">
        <v>171</v>
      </c>
      <c r="U1917">
        <v>2067</v>
      </c>
      <c r="V1917" t="s">
        <v>109</v>
      </c>
      <c r="W1917" t="s">
        <v>110</v>
      </c>
      <c r="X1917" t="s">
        <v>172</v>
      </c>
      <c r="Y1917" t="s">
        <v>173</v>
      </c>
      <c r="Z1917" t="s">
        <v>65</v>
      </c>
    </row>
    <row r="1918" spans="1:26" x14ac:dyDescent="0.3">
      <c r="A1918">
        <v>10373</v>
      </c>
      <c r="B1918">
        <v>46</v>
      </c>
      <c r="C1918">
        <v>66</v>
      </c>
      <c r="D1918">
        <v>11</v>
      </c>
      <c r="E1918">
        <v>3036</v>
      </c>
      <c r="F1918" s="1">
        <v>38383</v>
      </c>
      <c r="G1918" t="s">
        <v>39</v>
      </c>
      <c r="H1918">
        <v>1</v>
      </c>
      <c r="I1918">
        <v>1</v>
      </c>
      <c r="J1918" t="str">
        <f>TEXT(DATE(2012,Table1[[#This Row],[MONTH_ID]],10),"mmm")</f>
        <v>Jan</v>
      </c>
      <c r="K1918">
        <v>2005</v>
      </c>
      <c r="L1918" t="s">
        <v>564</v>
      </c>
      <c r="M1918">
        <v>65</v>
      </c>
      <c r="N1918" t="s">
        <v>653</v>
      </c>
      <c r="O1918" t="s">
        <v>405</v>
      </c>
      <c r="P1918" t="s">
        <v>406</v>
      </c>
      <c r="Q1918" t="s">
        <v>407</v>
      </c>
      <c r="S1918" t="s">
        <v>408</v>
      </c>
      <c r="U1918">
        <v>90110</v>
      </c>
      <c r="V1918" t="s">
        <v>144</v>
      </c>
      <c r="W1918" t="s">
        <v>56</v>
      </c>
      <c r="X1918" t="s">
        <v>409</v>
      </c>
      <c r="Y1918" t="s">
        <v>410</v>
      </c>
      <c r="Z1918" t="s">
        <v>65</v>
      </c>
    </row>
    <row r="1919" spans="1:26" x14ac:dyDescent="0.3">
      <c r="A1919">
        <v>10386</v>
      </c>
      <c r="B1919">
        <v>35</v>
      </c>
      <c r="C1919">
        <v>63.76</v>
      </c>
      <c r="D1919">
        <v>9</v>
      </c>
      <c r="E1919">
        <v>2231.6</v>
      </c>
      <c r="F1919" s="1">
        <v>38412</v>
      </c>
      <c r="G1919" t="s">
        <v>422</v>
      </c>
      <c r="H1919">
        <v>1</v>
      </c>
      <c r="I1919">
        <v>3</v>
      </c>
      <c r="J1919" t="str">
        <f>TEXT(DATE(2012,Table1[[#This Row],[MONTH_ID]],10),"mmm")</f>
        <v>Mar</v>
      </c>
      <c r="K1919">
        <v>2005</v>
      </c>
      <c r="L1919" t="s">
        <v>564</v>
      </c>
      <c r="M1919">
        <v>65</v>
      </c>
      <c r="N1919" t="s">
        <v>653</v>
      </c>
      <c r="O1919" t="s">
        <v>188</v>
      </c>
      <c r="P1919" t="s">
        <v>189</v>
      </c>
      <c r="Q1919" t="s">
        <v>190</v>
      </c>
      <c r="S1919" t="s">
        <v>191</v>
      </c>
      <c r="U1919">
        <v>28034</v>
      </c>
      <c r="V1919" t="s">
        <v>192</v>
      </c>
      <c r="W1919" t="s">
        <v>56</v>
      </c>
      <c r="X1919" t="s">
        <v>193</v>
      </c>
      <c r="Y1919" t="s">
        <v>194</v>
      </c>
      <c r="Z1919" t="s">
        <v>50</v>
      </c>
    </row>
    <row r="1920" spans="1:26" x14ac:dyDescent="0.3">
      <c r="A1920">
        <v>10398</v>
      </c>
      <c r="B1920">
        <v>34</v>
      </c>
      <c r="C1920">
        <v>71.67</v>
      </c>
      <c r="D1920">
        <v>13</v>
      </c>
      <c r="E1920">
        <v>2436.7800000000002</v>
      </c>
      <c r="F1920" s="1">
        <v>38441</v>
      </c>
      <c r="G1920" t="s">
        <v>39</v>
      </c>
      <c r="H1920">
        <v>1</v>
      </c>
      <c r="I1920">
        <v>3</v>
      </c>
      <c r="J1920" t="str">
        <f>TEXT(DATE(2012,Table1[[#This Row],[MONTH_ID]],10),"mmm")</f>
        <v>Mar</v>
      </c>
      <c r="K1920">
        <v>2005</v>
      </c>
      <c r="L1920" t="s">
        <v>564</v>
      </c>
      <c r="M1920">
        <v>65</v>
      </c>
      <c r="N1920" t="s">
        <v>653</v>
      </c>
      <c r="O1920" t="s">
        <v>51</v>
      </c>
      <c r="P1920" t="s">
        <v>52</v>
      </c>
      <c r="Q1920" t="s">
        <v>53</v>
      </c>
      <c r="S1920" t="s">
        <v>54</v>
      </c>
      <c r="U1920">
        <v>51100</v>
      </c>
      <c r="V1920" t="s">
        <v>55</v>
      </c>
      <c r="W1920" t="s">
        <v>56</v>
      </c>
      <c r="X1920" t="s">
        <v>57</v>
      </c>
      <c r="Y1920" t="s">
        <v>58</v>
      </c>
      <c r="Z1920" t="s">
        <v>50</v>
      </c>
    </row>
    <row r="1921" spans="1:26" x14ac:dyDescent="0.3">
      <c r="A1921">
        <v>10400</v>
      </c>
      <c r="B1921">
        <v>38</v>
      </c>
      <c r="C1921">
        <v>57.2</v>
      </c>
      <c r="D1921">
        <v>3</v>
      </c>
      <c r="E1921">
        <v>2173.6</v>
      </c>
      <c r="F1921" s="1">
        <v>38443</v>
      </c>
      <c r="G1921" t="s">
        <v>39</v>
      </c>
      <c r="H1921">
        <v>2</v>
      </c>
      <c r="I1921">
        <v>4</v>
      </c>
      <c r="J1921" t="str">
        <f>TEXT(DATE(2012,Table1[[#This Row],[MONTH_ID]],10),"mmm")</f>
        <v>Apr</v>
      </c>
      <c r="K1921">
        <v>2005</v>
      </c>
      <c r="L1921" t="s">
        <v>564</v>
      </c>
      <c r="M1921">
        <v>65</v>
      </c>
      <c r="N1921" t="s">
        <v>653</v>
      </c>
      <c r="O1921" t="s">
        <v>411</v>
      </c>
      <c r="P1921">
        <v>4085553659</v>
      </c>
      <c r="Q1921" t="s">
        <v>412</v>
      </c>
      <c r="S1921" t="s">
        <v>413</v>
      </c>
      <c r="T1921" t="s">
        <v>69</v>
      </c>
      <c r="U1921">
        <v>94217</v>
      </c>
      <c r="V1921" t="s">
        <v>46</v>
      </c>
      <c r="W1921" t="s">
        <v>47</v>
      </c>
      <c r="X1921" t="s">
        <v>116</v>
      </c>
      <c r="Y1921" t="s">
        <v>414</v>
      </c>
      <c r="Z1921" t="s">
        <v>50</v>
      </c>
    </row>
    <row r="1922" spans="1:26" x14ac:dyDescent="0.3">
      <c r="A1922">
        <v>10415</v>
      </c>
      <c r="B1922">
        <v>18</v>
      </c>
      <c r="C1922">
        <v>69.7</v>
      </c>
      <c r="D1922">
        <v>2</v>
      </c>
      <c r="E1922">
        <v>1254.5999999999999</v>
      </c>
      <c r="F1922" s="1">
        <v>38481</v>
      </c>
      <c r="G1922" t="s">
        <v>187</v>
      </c>
      <c r="H1922">
        <v>2</v>
      </c>
      <c r="I1922">
        <v>5</v>
      </c>
      <c r="J1922" t="str">
        <f>TEXT(DATE(2012,Table1[[#This Row],[MONTH_ID]],10),"mmm")</f>
        <v>May</v>
      </c>
      <c r="K1922">
        <v>2005</v>
      </c>
      <c r="L1922" t="s">
        <v>564</v>
      </c>
      <c r="M1922">
        <v>65</v>
      </c>
      <c r="N1922" t="s">
        <v>653</v>
      </c>
      <c r="O1922" t="s">
        <v>572</v>
      </c>
      <c r="P1922" t="s">
        <v>573</v>
      </c>
      <c r="Q1922" t="s">
        <v>574</v>
      </c>
      <c r="S1922" t="s">
        <v>575</v>
      </c>
      <c r="T1922" t="s">
        <v>108</v>
      </c>
      <c r="U1922">
        <v>3150</v>
      </c>
      <c r="V1922" t="s">
        <v>109</v>
      </c>
      <c r="W1922" t="s">
        <v>110</v>
      </c>
      <c r="X1922" t="s">
        <v>576</v>
      </c>
      <c r="Y1922" t="s">
        <v>577</v>
      </c>
      <c r="Z1922" t="s">
        <v>50</v>
      </c>
    </row>
    <row r="1923" spans="1:26" x14ac:dyDescent="0.3">
      <c r="A1923">
        <v>10110</v>
      </c>
      <c r="B1923">
        <v>37</v>
      </c>
      <c r="C1923">
        <v>100</v>
      </c>
      <c r="D1923">
        <v>14</v>
      </c>
      <c r="E1923">
        <v>3724.42</v>
      </c>
      <c r="F1923" s="1">
        <v>37698</v>
      </c>
      <c r="G1923" t="s">
        <v>39</v>
      </c>
      <c r="H1923">
        <v>1</v>
      </c>
      <c r="I1923">
        <v>3</v>
      </c>
      <c r="J1923" t="str">
        <f>TEXT(DATE(2012,Table1[[#This Row],[MONTH_ID]],10),"mmm")</f>
        <v>Mar</v>
      </c>
      <c r="K1923">
        <v>2003</v>
      </c>
      <c r="L1923" t="s">
        <v>195</v>
      </c>
      <c r="M1923">
        <v>107</v>
      </c>
      <c r="N1923" t="s">
        <v>654</v>
      </c>
      <c r="O1923" t="s">
        <v>506</v>
      </c>
      <c r="P1923" t="s">
        <v>507</v>
      </c>
      <c r="Q1923" t="s">
        <v>508</v>
      </c>
      <c r="S1923" t="s">
        <v>509</v>
      </c>
      <c r="U1923" t="s">
        <v>510</v>
      </c>
      <c r="V1923" t="s">
        <v>184</v>
      </c>
      <c r="W1923" t="s">
        <v>56</v>
      </c>
      <c r="X1923" t="s">
        <v>511</v>
      </c>
      <c r="Y1923" t="s">
        <v>108</v>
      </c>
      <c r="Z1923" t="s">
        <v>65</v>
      </c>
    </row>
    <row r="1924" spans="1:26" x14ac:dyDescent="0.3">
      <c r="A1924">
        <v>10124</v>
      </c>
      <c r="B1924">
        <v>43</v>
      </c>
      <c r="C1924">
        <v>100</v>
      </c>
      <c r="D1924">
        <v>13</v>
      </c>
      <c r="E1924">
        <v>5203</v>
      </c>
      <c r="F1924" s="1">
        <v>37762</v>
      </c>
      <c r="G1924" t="s">
        <v>39</v>
      </c>
      <c r="H1924">
        <v>2</v>
      </c>
      <c r="I1924">
        <v>5</v>
      </c>
      <c r="J1924" t="str">
        <f>TEXT(DATE(2012,Table1[[#This Row],[MONTH_ID]],10),"mmm")</f>
        <v>May</v>
      </c>
      <c r="K1924">
        <v>2003</v>
      </c>
      <c r="L1924" t="s">
        <v>195</v>
      </c>
      <c r="M1924">
        <v>107</v>
      </c>
      <c r="N1924" t="s">
        <v>654</v>
      </c>
      <c r="O1924" t="s">
        <v>553</v>
      </c>
      <c r="P1924">
        <v>7025551838</v>
      </c>
      <c r="Q1924" t="s">
        <v>554</v>
      </c>
      <c r="S1924" t="s">
        <v>555</v>
      </c>
      <c r="T1924" t="s">
        <v>556</v>
      </c>
      <c r="U1924">
        <v>83030</v>
      </c>
      <c r="V1924" t="s">
        <v>46</v>
      </c>
      <c r="W1924" t="s">
        <v>47</v>
      </c>
      <c r="X1924" t="s">
        <v>127</v>
      </c>
      <c r="Y1924" t="s">
        <v>414</v>
      </c>
      <c r="Z1924" t="s">
        <v>65</v>
      </c>
    </row>
    <row r="1925" spans="1:26" x14ac:dyDescent="0.3">
      <c r="A1925">
        <v>10148</v>
      </c>
      <c r="B1925">
        <v>27</v>
      </c>
      <c r="C1925">
        <v>100</v>
      </c>
      <c r="D1925">
        <v>7</v>
      </c>
      <c r="E1925">
        <v>3469.5</v>
      </c>
      <c r="F1925" s="1">
        <v>37875</v>
      </c>
      <c r="G1925" t="s">
        <v>39</v>
      </c>
      <c r="H1925">
        <v>3</v>
      </c>
      <c r="I1925">
        <v>9</v>
      </c>
      <c r="J1925" t="str">
        <f>TEXT(DATE(2012,Table1[[#This Row],[MONTH_ID]],10),"mmm")</f>
        <v>Sep</v>
      </c>
      <c r="K1925">
        <v>2003</v>
      </c>
      <c r="L1925" t="s">
        <v>195</v>
      </c>
      <c r="M1925">
        <v>107</v>
      </c>
      <c r="N1925" t="s">
        <v>654</v>
      </c>
      <c r="O1925" t="s">
        <v>299</v>
      </c>
      <c r="P1925" t="s">
        <v>300</v>
      </c>
      <c r="Q1925" t="s">
        <v>301</v>
      </c>
      <c r="R1925" t="s">
        <v>302</v>
      </c>
      <c r="S1925" t="s">
        <v>303</v>
      </c>
      <c r="T1925" t="s">
        <v>171</v>
      </c>
      <c r="U1925">
        <v>2060</v>
      </c>
      <c r="V1925" t="s">
        <v>109</v>
      </c>
      <c r="W1925" t="s">
        <v>110</v>
      </c>
      <c r="X1925" t="s">
        <v>304</v>
      </c>
      <c r="Y1925" t="s">
        <v>305</v>
      </c>
      <c r="Z1925" t="s">
        <v>65</v>
      </c>
    </row>
    <row r="1926" spans="1:26" x14ac:dyDescent="0.3">
      <c r="A1926">
        <v>10161</v>
      </c>
      <c r="B1926">
        <v>30</v>
      </c>
      <c r="C1926">
        <v>100</v>
      </c>
      <c r="D1926">
        <v>6</v>
      </c>
      <c r="E1926">
        <v>3148.2</v>
      </c>
      <c r="F1926" s="1">
        <v>37911</v>
      </c>
      <c r="G1926" t="s">
        <v>39</v>
      </c>
      <c r="H1926">
        <v>4</v>
      </c>
      <c r="I1926">
        <v>10</v>
      </c>
      <c r="J1926" t="str">
        <f>TEXT(DATE(2012,Table1[[#This Row],[MONTH_ID]],10),"mmm")</f>
        <v>Oct</v>
      </c>
      <c r="K1926">
        <v>2003</v>
      </c>
      <c r="L1926" t="s">
        <v>195</v>
      </c>
      <c r="M1926">
        <v>107</v>
      </c>
      <c r="N1926" t="s">
        <v>654</v>
      </c>
      <c r="O1926" t="s">
        <v>512</v>
      </c>
      <c r="P1926" t="s">
        <v>513</v>
      </c>
      <c r="Q1926" t="s">
        <v>514</v>
      </c>
      <c r="S1926" t="s">
        <v>515</v>
      </c>
      <c r="U1926">
        <v>8200</v>
      </c>
      <c r="V1926" t="s">
        <v>340</v>
      </c>
      <c r="W1926" t="s">
        <v>56</v>
      </c>
      <c r="X1926" t="s">
        <v>516</v>
      </c>
      <c r="Y1926" t="s">
        <v>517</v>
      </c>
      <c r="Z1926" t="s">
        <v>65</v>
      </c>
    </row>
    <row r="1927" spans="1:26" x14ac:dyDescent="0.3">
      <c r="A1927">
        <v>10172</v>
      </c>
      <c r="B1927">
        <v>22</v>
      </c>
      <c r="C1927">
        <v>98.51</v>
      </c>
      <c r="D1927">
        <v>4</v>
      </c>
      <c r="E1927">
        <v>2167.2199999999998</v>
      </c>
      <c r="F1927" s="1">
        <v>37930</v>
      </c>
      <c r="G1927" t="s">
        <v>39</v>
      </c>
      <c r="H1927">
        <v>4</v>
      </c>
      <c r="I1927">
        <v>11</v>
      </c>
      <c r="J1927" t="str">
        <f>TEXT(DATE(2012,Table1[[#This Row],[MONTH_ID]],10),"mmm")</f>
        <v>Nov</v>
      </c>
      <c r="K1927">
        <v>2003</v>
      </c>
      <c r="L1927" t="s">
        <v>195</v>
      </c>
      <c r="M1927">
        <v>107</v>
      </c>
      <c r="N1927" t="s">
        <v>654</v>
      </c>
      <c r="O1927" t="s">
        <v>123</v>
      </c>
      <c r="P1927">
        <v>2035552570</v>
      </c>
      <c r="Q1927" t="s">
        <v>124</v>
      </c>
      <c r="S1927" t="s">
        <v>125</v>
      </c>
      <c r="T1927" t="s">
        <v>126</v>
      </c>
      <c r="U1927">
        <v>97562</v>
      </c>
      <c r="V1927" t="s">
        <v>46</v>
      </c>
      <c r="W1927" t="s">
        <v>47</v>
      </c>
      <c r="X1927" t="s">
        <v>127</v>
      </c>
      <c r="Y1927" t="s">
        <v>71</v>
      </c>
      <c r="Z1927" t="s">
        <v>50</v>
      </c>
    </row>
    <row r="1928" spans="1:26" x14ac:dyDescent="0.3">
      <c r="A1928">
        <v>10182</v>
      </c>
      <c r="B1928">
        <v>49</v>
      </c>
      <c r="C1928">
        <v>100</v>
      </c>
      <c r="D1928">
        <v>17</v>
      </c>
      <c r="E1928">
        <v>6244.07</v>
      </c>
      <c r="F1928" s="1">
        <v>37937</v>
      </c>
      <c r="G1928" t="s">
        <v>39</v>
      </c>
      <c r="H1928">
        <v>4</v>
      </c>
      <c r="I1928">
        <v>11</v>
      </c>
      <c r="J1928" t="str">
        <f>TEXT(DATE(2012,Table1[[#This Row],[MONTH_ID]],10),"mmm")</f>
        <v>Nov</v>
      </c>
      <c r="K1928">
        <v>2003</v>
      </c>
      <c r="L1928" t="s">
        <v>195</v>
      </c>
      <c r="M1928">
        <v>107</v>
      </c>
      <c r="N1928" t="s">
        <v>654</v>
      </c>
      <c r="O1928" t="s">
        <v>286</v>
      </c>
      <c r="P1928">
        <v>4155551450</v>
      </c>
      <c r="Q1928" t="s">
        <v>287</v>
      </c>
      <c r="S1928" t="s">
        <v>288</v>
      </c>
      <c r="T1928" t="s">
        <v>69</v>
      </c>
      <c r="U1928">
        <v>97562</v>
      </c>
      <c r="V1928" t="s">
        <v>46</v>
      </c>
      <c r="W1928" t="s">
        <v>47</v>
      </c>
      <c r="X1928" t="s">
        <v>289</v>
      </c>
      <c r="Y1928" t="s">
        <v>290</v>
      </c>
      <c r="Z1928" t="s">
        <v>65</v>
      </c>
    </row>
    <row r="1929" spans="1:26" x14ac:dyDescent="0.3">
      <c r="A1929">
        <v>10192</v>
      </c>
      <c r="B1929">
        <v>46</v>
      </c>
      <c r="C1929">
        <v>100</v>
      </c>
      <c r="D1929">
        <v>5</v>
      </c>
      <c r="E1929">
        <v>5566</v>
      </c>
      <c r="F1929" s="1">
        <v>37945</v>
      </c>
      <c r="G1929" t="s">
        <v>39</v>
      </c>
      <c r="H1929">
        <v>4</v>
      </c>
      <c r="I1929">
        <v>11</v>
      </c>
      <c r="J1929" t="str">
        <f>TEXT(DATE(2012,Table1[[#This Row],[MONTH_ID]],10),"mmm")</f>
        <v>Nov</v>
      </c>
      <c r="K1929">
        <v>2003</v>
      </c>
      <c r="L1929" t="s">
        <v>195</v>
      </c>
      <c r="M1929">
        <v>107</v>
      </c>
      <c r="N1929" t="s">
        <v>654</v>
      </c>
      <c r="O1929" t="s">
        <v>291</v>
      </c>
      <c r="P1929">
        <v>6035558647</v>
      </c>
      <c r="Q1929" t="s">
        <v>292</v>
      </c>
      <c r="S1929" t="s">
        <v>293</v>
      </c>
      <c r="T1929" t="s">
        <v>294</v>
      </c>
      <c r="U1929">
        <v>62005</v>
      </c>
      <c r="V1929" t="s">
        <v>46</v>
      </c>
      <c r="W1929" t="s">
        <v>47</v>
      </c>
      <c r="X1929" t="s">
        <v>70</v>
      </c>
      <c r="Y1929" t="s">
        <v>290</v>
      </c>
      <c r="Z1929" t="s">
        <v>65</v>
      </c>
    </row>
    <row r="1930" spans="1:26" x14ac:dyDescent="0.3">
      <c r="A1930">
        <v>10204</v>
      </c>
      <c r="B1930">
        <v>48</v>
      </c>
      <c r="C1930">
        <v>91.02</v>
      </c>
      <c r="D1930">
        <v>11</v>
      </c>
      <c r="E1930">
        <v>4368.96</v>
      </c>
      <c r="F1930" s="1">
        <v>37957</v>
      </c>
      <c r="G1930" t="s">
        <v>39</v>
      </c>
      <c r="H1930">
        <v>4</v>
      </c>
      <c r="I1930">
        <v>12</v>
      </c>
      <c r="J1930" t="str">
        <f>TEXT(DATE(2012,Table1[[#This Row],[MONTH_ID]],10),"mmm")</f>
        <v>Dec</v>
      </c>
      <c r="K1930">
        <v>2003</v>
      </c>
      <c r="L1930" t="s">
        <v>195</v>
      </c>
      <c r="M1930">
        <v>107</v>
      </c>
      <c r="N1930" t="s">
        <v>654</v>
      </c>
      <c r="O1930" t="s">
        <v>489</v>
      </c>
      <c r="P1930">
        <v>2125557413</v>
      </c>
      <c r="Q1930" t="s">
        <v>490</v>
      </c>
      <c r="R1930" t="s">
        <v>491</v>
      </c>
      <c r="S1930" t="s">
        <v>44</v>
      </c>
      <c r="T1930" t="s">
        <v>45</v>
      </c>
      <c r="U1930">
        <v>10022</v>
      </c>
      <c r="V1930" t="s">
        <v>46</v>
      </c>
      <c r="W1930" t="s">
        <v>47</v>
      </c>
      <c r="X1930" t="s">
        <v>70</v>
      </c>
      <c r="Y1930" t="s">
        <v>492</v>
      </c>
      <c r="Z1930" t="s">
        <v>65</v>
      </c>
    </row>
    <row r="1931" spans="1:26" x14ac:dyDescent="0.3">
      <c r="A1931">
        <v>10212</v>
      </c>
      <c r="B1931">
        <v>46</v>
      </c>
      <c r="C1931">
        <v>87.81</v>
      </c>
      <c r="D1931">
        <v>4</v>
      </c>
      <c r="E1931">
        <v>4039.26</v>
      </c>
      <c r="F1931" s="1">
        <v>38002</v>
      </c>
      <c r="G1931" t="s">
        <v>39</v>
      </c>
      <c r="H1931">
        <v>1</v>
      </c>
      <c r="I1931">
        <v>1</v>
      </c>
      <c r="J1931" t="str">
        <f>TEXT(DATE(2012,Table1[[#This Row],[MONTH_ID]],10),"mmm")</f>
        <v>Jan</v>
      </c>
      <c r="K1931">
        <v>2004</v>
      </c>
      <c r="L1931" t="s">
        <v>195</v>
      </c>
      <c r="M1931">
        <v>107</v>
      </c>
      <c r="N1931" t="s">
        <v>654</v>
      </c>
      <c r="O1931" t="s">
        <v>188</v>
      </c>
      <c r="P1931" t="s">
        <v>189</v>
      </c>
      <c r="Q1931" t="s">
        <v>190</v>
      </c>
      <c r="S1931" t="s">
        <v>191</v>
      </c>
      <c r="U1931">
        <v>28034</v>
      </c>
      <c r="V1931" t="s">
        <v>192</v>
      </c>
      <c r="W1931" t="s">
        <v>56</v>
      </c>
      <c r="X1931" t="s">
        <v>193</v>
      </c>
      <c r="Y1931" t="s">
        <v>194</v>
      </c>
      <c r="Z1931" t="s">
        <v>65</v>
      </c>
    </row>
    <row r="1932" spans="1:26" x14ac:dyDescent="0.3">
      <c r="A1932">
        <v>10226</v>
      </c>
      <c r="B1932">
        <v>48</v>
      </c>
      <c r="C1932">
        <v>92.09</v>
      </c>
      <c r="D1932">
        <v>2</v>
      </c>
      <c r="E1932">
        <v>4420.32</v>
      </c>
      <c r="F1932" s="1">
        <v>38043</v>
      </c>
      <c r="G1932" t="s">
        <v>39</v>
      </c>
      <c r="H1932">
        <v>1</v>
      </c>
      <c r="I1932">
        <v>2</v>
      </c>
      <c r="J1932" t="str">
        <f>TEXT(DATE(2012,Table1[[#This Row],[MONTH_ID]],10),"mmm")</f>
        <v>Feb</v>
      </c>
      <c r="K1932">
        <v>2004</v>
      </c>
      <c r="L1932" t="s">
        <v>195</v>
      </c>
      <c r="M1932">
        <v>107</v>
      </c>
      <c r="N1932" t="s">
        <v>654</v>
      </c>
      <c r="O1932" t="s">
        <v>376</v>
      </c>
      <c r="P1932">
        <v>7605558146</v>
      </c>
      <c r="Q1932" t="s">
        <v>377</v>
      </c>
      <c r="S1932" t="s">
        <v>378</v>
      </c>
      <c r="T1932" t="s">
        <v>69</v>
      </c>
      <c r="U1932">
        <v>91217</v>
      </c>
      <c r="V1932" t="s">
        <v>46</v>
      </c>
      <c r="W1932" t="s">
        <v>47</v>
      </c>
      <c r="X1932" t="s">
        <v>251</v>
      </c>
      <c r="Y1932" t="s">
        <v>290</v>
      </c>
      <c r="Z1932" t="s">
        <v>65</v>
      </c>
    </row>
    <row r="1933" spans="1:26" x14ac:dyDescent="0.3">
      <c r="A1933">
        <v>10241</v>
      </c>
      <c r="B1933">
        <v>27</v>
      </c>
      <c r="C1933">
        <v>86.73</v>
      </c>
      <c r="D1933">
        <v>9</v>
      </c>
      <c r="E1933">
        <v>2341.71</v>
      </c>
      <c r="F1933" s="1">
        <v>38090</v>
      </c>
      <c r="G1933" t="s">
        <v>39</v>
      </c>
      <c r="H1933">
        <v>2</v>
      </c>
      <c r="I1933">
        <v>4</v>
      </c>
      <c r="J1933" t="str">
        <f>TEXT(DATE(2012,Table1[[#This Row],[MONTH_ID]],10),"mmm")</f>
        <v>Apr</v>
      </c>
      <c r="K1933">
        <v>2004</v>
      </c>
      <c r="L1933" t="s">
        <v>195</v>
      </c>
      <c r="M1933">
        <v>107</v>
      </c>
      <c r="N1933" t="s">
        <v>654</v>
      </c>
      <c r="O1933" t="s">
        <v>545</v>
      </c>
      <c r="P1933" t="s">
        <v>546</v>
      </c>
      <c r="Q1933" t="s">
        <v>547</v>
      </c>
      <c r="S1933" t="s">
        <v>548</v>
      </c>
      <c r="U1933">
        <v>67000</v>
      </c>
      <c r="V1933" t="s">
        <v>55</v>
      </c>
      <c r="W1933" t="s">
        <v>56</v>
      </c>
      <c r="X1933" t="s">
        <v>549</v>
      </c>
      <c r="Y1933" t="s">
        <v>550</v>
      </c>
      <c r="Z1933" t="s">
        <v>50</v>
      </c>
    </row>
    <row r="1934" spans="1:26" x14ac:dyDescent="0.3">
      <c r="A1934">
        <v>10267</v>
      </c>
      <c r="B1934">
        <v>43</v>
      </c>
      <c r="C1934">
        <v>100</v>
      </c>
      <c r="D1934">
        <v>6</v>
      </c>
      <c r="E1934">
        <v>5110.9799999999996</v>
      </c>
      <c r="F1934" s="1">
        <v>38175</v>
      </c>
      <c r="G1934" t="s">
        <v>39</v>
      </c>
      <c r="H1934">
        <v>3</v>
      </c>
      <c r="I1934">
        <v>7</v>
      </c>
      <c r="J1934" t="str">
        <f>TEXT(DATE(2012,Table1[[#This Row],[MONTH_ID]],10),"mmm")</f>
        <v>Jul</v>
      </c>
      <c r="K1934">
        <v>2004</v>
      </c>
      <c r="L1934" t="s">
        <v>195</v>
      </c>
      <c r="M1934">
        <v>107</v>
      </c>
      <c r="N1934" t="s">
        <v>654</v>
      </c>
      <c r="O1934" t="s">
        <v>489</v>
      </c>
      <c r="P1934">
        <v>2125557413</v>
      </c>
      <c r="Q1934" t="s">
        <v>490</v>
      </c>
      <c r="R1934" t="s">
        <v>491</v>
      </c>
      <c r="S1934" t="s">
        <v>44</v>
      </c>
      <c r="T1934" t="s">
        <v>45</v>
      </c>
      <c r="U1934">
        <v>10022</v>
      </c>
      <c r="V1934" t="s">
        <v>46</v>
      </c>
      <c r="W1934" t="s">
        <v>47</v>
      </c>
      <c r="X1934" t="s">
        <v>70</v>
      </c>
      <c r="Y1934" t="s">
        <v>492</v>
      </c>
      <c r="Z1934" t="s">
        <v>65</v>
      </c>
    </row>
    <row r="1935" spans="1:26" x14ac:dyDescent="0.3">
      <c r="A1935">
        <v>10279</v>
      </c>
      <c r="B1935">
        <v>48</v>
      </c>
      <c r="C1935">
        <v>100</v>
      </c>
      <c r="D1935">
        <v>6</v>
      </c>
      <c r="E1935">
        <v>6168</v>
      </c>
      <c r="F1935" s="1">
        <v>38208</v>
      </c>
      <c r="G1935" t="s">
        <v>39</v>
      </c>
      <c r="H1935">
        <v>3</v>
      </c>
      <c r="I1935">
        <v>8</v>
      </c>
      <c r="J1935" t="str">
        <f>TEXT(DATE(2012,Table1[[#This Row],[MONTH_ID]],10),"mmm")</f>
        <v>Aug</v>
      </c>
      <c r="K1935">
        <v>2004</v>
      </c>
      <c r="L1935" t="s">
        <v>195</v>
      </c>
      <c r="M1935">
        <v>107</v>
      </c>
      <c r="N1935" t="s">
        <v>654</v>
      </c>
      <c r="O1935" t="s">
        <v>188</v>
      </c>
      <c r="P1935" t="s">
        <v>189</v>
      </c>
      <c r="Q1935" t="s">
        <v>190</v>
      </c>
      <c r="S1935" t="s">
        <v>191</v>
      </c>
      <c r="U1935">
        <v>28034</v>
      </c>
      <c r="V1935" t="s">
        <v>192</v>
      </c>
      <c r="W1935" t="s">
        <v>56</v>
      </c>
      <c r="X1935" t="s">
        <v>193</v>
      </c>
      <c r="Y1935" t="s">
        <v>194</v>
      </c>
      <c r="Z1935" t="s">
        <v>65</v>
      </c>
    </row>
    <row r="1936" spans="1:26" x14ac:dyDescent="0.3">
      <c r="A1936">
        <v>10288</v>
      </c>
      <c r="B1936">
        <v>41</v>
      </c>
      <c r="C1936">
        <v>100</v>
      </c>
      <c r="D1936">
        <v>12</v>
      </c>
      <c r="E1936">
        <v>4873.26</v>
      </c>
      <c r="F1936" s="1">
        <v>38231</v>
      </c>
      <c r="G1936" t="s">
        <v>39</v>
      </c>
      <c r="H1936">
        <v>3</v>
      </c>
      <c r="I1936">
        <v>9</v>
      </c>
      <c r="J1936" t="str">
        <f>TEXT(DATE(2012,Table1[[#This Row],[MONTH_ID]],10),"mmm")</f>
        <v>Sep</v>
      </c>
      <c r="K1936">
        <v>2004</v>
      </c>
      <c r="L1936" t="s">
        <v>195</v>
      </c>
      <c r="M1936">
        <v>107</v>
      </c>
      <c r="N1936" t="s">
        <v>654</v>
      </c>
      <c r="O1936" t="s">
        <v>432</v>
      </c>
      <c r="P1936" t="s">
        <v>433</v>
      </c>
      <c r="Q1936" t="s">
        <v>434</v>
      </c>
      <c r="R1936" t="s">
        <v>435</v>
      </c>
      <c r="S1936" t="s">
        <v>213</v>
      </c>
      <c r="U1936">
        <v>69045</v>
      </c>
      <c r="V1936" t="s">
        <v>213</v>
      </c>
      <c r="W1936" t="s">
        <v>110</v>
      </c>
      <c r="X1936" t="s">
        <v>436</v>
      </c>
      <c r="Y1936" t="s">
        <v>437</v>
      </c>
      <c r="Z1936" t="s">
        <v>65</v>
      </c>
    </row>
    <row r="1937" spans="1:26" x14ac:dyDescent="0.3">
      <c r="A1937">
        <v>10301</v>
      </c>
      <c r="B1937">
        <v>22</v>
      </c>
      <c r="C1937">
        <v>96.37</v>
      </c>
      <c r="D1937">
        <v>2</v>
      </c>
      <c r="E1937">
        <v>2120.14</v>
      </c>
      <c r="F1937" s="1">
        <v>37899</v>
      </c>
      <c r="G1937" t="s">
        <v>39</v>
      </c>
      <c r="H1937">
        <v>4</v>
      </c>
      <c r="I1937">
        <v>10</v>
      </c>
      <c r="J1937" t="str">
        <f>TEXT(DATE(2012,Table1[[#This Row],[MONTH_ID]],10),"mmm")</f>
        <v>Oct</v>
      </c>
      <c r="K1937">
        <v>2003</v>
      </c>
      <c r="L1937" t="s">
        <v>195</v>
      </c>
      <c r="M1937">
        <v>107</v>
      </c>
      <c r="N1937" t="s">
        <v>654</v>
      </c>
      <c r="O1937" t="s">
        <v>557</v>
      </c>
      <c r="P1937" t="s">
        <v>558</v>
      </c>
      <c r="Q1937" t="s">
        <v>559</v>
      </c>
      <c r="S1937" t="s">
        <v>560</v>
      </c>
      <c r="U1937" t="s">
        <v>561</v>
      </c>
      <c r="V1937" t="s">
        <v>92</v>
      </c>
      <c r="W1937" t="s">
        <v>56</v>
      </c>
      <c r="X1937" t="s">
        <v>562</v>
      </c>
      <c r="Y1937" t="s">
        <v>563</v>
      </c>
      <c r="Z1937" t="s">
        <v>50</v>
      </c>
    </row>
    <row r="1938" spans="1:26" x14ac:dyDescent="0.3">
      <c r="A1938">
        <v>10311</v>
      </c>
      <c r="B1938">
        <v>46</v>
      </c>
      <c r="C1938">
        <v>92.09</v>
      </c>
      <c r="D1938">
        <v>7</v>
      </c>
      <c r="E1938">
        <v>4236.1400000000003</v>
      </c>
      <c r="F1938" s="1">
        <v>38276</v>
      </c>
      <c r="G1938" t="s">
        <v>39</v>
      </c>
      <c r="H1938">
        <v>4</v>
      </c>
      <c r="I1938">
        <v>10</v>
      </c>
      <c r="J1938" t="str">
        <f>TEXT(DATE(2012,Table1[[#This Row],[MONTH_ID]],10),"mmm")</f>
        <v>Oct</v>
      </c>
      <c r="K1938">
        <v>2004</v>
      </c>
      <c r="L1938" t="s">
        <v>195</v>
      </c>
      <c r="M1938">
        <v>107</v>
      </c>
      <c r="N1938" t="s">
        <v>654</v>
      </c>
      <c r="O1938" t="s">
        <v>188</v>
      </c>
      <c r="P1938" t="s">
        <v>189</v>
      </c>
      <c r="Q1938" t="s">
        <v>190</v>
      </c>
      <c r="S1938" t="s">
        <v>191</v>
      </c>
      <c r="U1938">
        <v>28034</v>
      </c>
      <c r="V1938" t="s">
        <v>192</v>
      </c>
      <c r="W1938" t="s">
        <v>56</v>
      </c>
      <c r="X1938" t="s">
        <v>193</v>
      </c>
      <c r="Y1938" t="s">
        <v>194</v>
      </c>
      <c r="Z1938" t="s">
        <v>65</v>
      </c>
    </row>
    <row r="1939" spans="1:26" x14ac:dyDescent="0.3">
      <c r="A1939">
        <v>10321</v>
      </c>
      <c r="B1939">
        <v>21</v>
      </c>
      <c r="C1939">
        <v>89.95</v>
      </c>
      <c r="D1939">
        <v>4</v>
      </c>
      <c r="E1939">
        <v>1888.95</v>
      </c>
      <c r="F1939" s="1">
        <v>38295</v>
      </c>
      <c r="G1939" t="s">
        <v>39</v>
      </c>
      <c r="H1939">
        <v>4</v>
      </c>
      <c r="I1939">
        <v>11</v>
      </c>
      <c r="J1939" t="str">
        <f>TEXT(DATE(2012,Table1[[#This Row],[MONTH_ID]],10),"mmm")</f>
        <v>Nov</v>
      </c>
      <c r="K1939">
        <v>2004</v>
      </c>
      <c r="L1939" t="s">
        <v>195</v>
      </c>
      <c r="M1939">
        <v>107</v>
      </c>
      <c r="N1939" t="s">
        <v>654</v>
      </c>
      <c r="O1939" t="s">
        <v>174</v>
      </c>
      <c r="P1939">
        <v>5085552555</v>
      </c>
      <c r="Q1939" t="s">
        <v>175</v>
      </c>
      <c r="S1939" t="s">
        <v>176</v>
      </c>
      <c r="T1939" t="s">
        <v>137</v>
      </c>
      <c r="U1939">
        <v>50553</v>
      </c>
      <c r="V1939" t="s">
        <v>46</v>
      </c>
      <c r="W1939" t="s">
        <v>47</v>
      </c>
      <c r="X1939" t="s">
        <v>177</v>
      </c>
      <c r="Y1939" t="s">
        <v>178</v>
      </c>
      <c r="Z1939" t="s">
        <v>50</v>
      </c>
    </row>
    <row r="1940" spans="1:26" x14ac:dyDescent="0.3">
      <c r="A1940">
        <v>10332</v>
      </c>
      <c r="B1940">
        <v>31</v>
      </c>
      <c r="C1940">
        <v>37.18</v>
      </c>
      <c r="D1940">
        <v>13</v>
      </c>
      <c r="E1940">
        <v>1152.58</v>
      </c>
      <c r="F1940" s="1">
        <v>38308</v>
      </c>
      <c r="G1940" t="s">
        <v>39</v>
      </c>
      <c r="H1940">
        <v>4</v>
      </c>
      <c r="I1940">
        <v>11</v>
      </c>
      <c r="J1940" t="str">
        <f>TEXT(DATE(2012,Table1[[#This Row],[MONTH_ID]],10),"mmm")</f>
        <v>Nov</v>
      </c>
      <c r="K1940">
        <v>2004</v>
      </c>
      <c r="L1940" t="s">
        <v>195</v>
      </c>
      <c r="M1940">
        <v>107</v>
      </c>
      <c r="N1940" t="s">
        <v>654</v>
      </c>
      <c r="O1940" t="s">
        <v>506</v>
      </c>
      <c r="P1940" t="s">
        <v>507</v>
      </c>
      <c r="Q1940" t="s">
        <v>508</v>
      </c>
      <c r="S1940" t="s">
        <v>509</v>
      </c>
      <c r="U1940" t="s">
        <v>510</v>
      </c>
      <c r="V1940" t="s">
        <v>184</v>
      </c>
      <c r="W1940" t="s">
        <v>56</v>
      </c>
      <c r="X1940" t="s">
        <v>511</v>
      </c>
      <c r="Y1940" t="s">
        <v>108</v>
      </c>
      <c r="Z1940" t="s">
        <v>50</v>
      </c>
    </row>
    <row r="1941" spans="1:26" x14ac:dyDescent="0.3">
      <c r="A1941">
        <v>10346</v>
      </c>
      <c r="B1941">
        <v>26</v>
      </c>
      <c r="C1941">
        <v>95.88</v>
      </c>
      <c r="D1941">
        <v>6</v>
      </c>
      <c r="E1941">
        <v>2492.88</v>
      </c>
      <c r="F1941" s="1">
        <v>38320</v>
      </c>
      <c r="G1941" t="s">
        <v>39</v>
      </c>
      <c r="H1941">
        <v>4</v>
      </c>
      <c r="I1941">
        <v>11</v>
      </c>
      <c r="J1941" t="str">
        <f>TEXT(DATE(2012,Table1[[#This Row],[MONTH_ID]],10),"mmm")</f>
        <v>Nov</v>
      </c>
      <c r="K1941">
        <v>2004</v>
      </c>
      <c r="L1941" t="s">
        <v>195</v>
      </c>
      <c r="M1941">
        <v>107</v>
      </c>
      <c r="N1941" t="s">
        <v>654</v>
      </c>
      <c r="O1941" t="s">
        <v>553</v>
      </c>
      <c r="P1941">
        <v>7025551838</v>
      </c>
      <c r="Q1941" t="s">
        <v>554</v>
      </c>
      <c r="S1941" t="s">
        <v>555</v>
      </c>
      <c r="T1941" t="s">
        <v>556</v>
      </c>
      <c r="U1941">
        <v>83030</v>
      </c>
      <c r="V1941" t="s">
        <v>46</v>
      </c>
      <c r="W1941" t="s">
        <v>47</v>
      </c>
      <c r="X1941" t="s">
        <v>127</v>
      </c>
      <c r="Y1941" t="s">
        <v>414</v>
      </c>
      <c r="Z1941" t="s">
        <v>50</v>
      </c>
    </row>
    <row r="1942" spans="1:26" x14ac:dyDescent="0.3">
      <c r="A1942">
        <v>10368</v>
      </c>
      <c r="B1942">
        <v>20</v>
      </c>
      <c r="C1942">
        <v>99.58</v>
      </c>
      <c r="D1942">
        <v>4</v>
      </c>
      <c r="E1942">
        <v>1991.6</v>
      </c>
      <c r="F1942" s="1">
        <v>38371</v>
      </c>
      <c r="G1942" t="s">
        <v>39</v>
      </c>
      <c r="H1942">
        <v>1</v>
      </c>
      <c r="I1942">
        <v>1</v>
      </c>
      <c r="J1942" t="str">
        <f>TEXT(DATE(2012,Table1[[#This Row],[MONTH_ID]],10),"mmm")</f>
        <v>Jan</v>
      </c>
      <c r="K1942">
        <v>2005</v>
      </c>
      <c r="L1942" t="s">
        <v>195</v>
      </c>
      <c r="M1942">
        <v>107</v>
      </c>
      <c r="N1942" t="s">
        <v>654</v>
      </c>
      <c r="O1942" t="s">
        <v>286</v>
      </c>
      <c r="P1942">
        <v>4155551450</v>
      </c>
      <c r="Q1942" t="s">
        <v>287</v>
      </c>
      <c r="S1942" t="s">
        <v>288</v>
      </c>
      <c r="T1942" t="s">
        <v>69</v>
      </c>
      <c r="U1942">
        <v>97562</v>
      </c>
      <c r="V1942" t="s">
        <v>46</v>
      </c>
      <c r="W1942" t="s">
        <v>47</v>
      </c>
      <c r="X1942" t="s">
        <v>289</v>
      </c>
      <c r="Y1942" t="s">
        <v>290</v>
      </c>
      <c r="Z1942" t="s">
        <v>50</v>
      </c>
    </row>
    <row r="1943" spans="1:26" x14ac:dyDescent="0.3">
      <c r="A1943">
        <v>10380</v>
      </c>
      <c r="B1943">
        <v>34</v>
      </c>
      <c r="C1943">
        <v>100</v>
      </c>
      <c r="D1943">
        <v>11</v>
      </c>
      <c r="E1943">
        <v>3953.18</v>
      </c>
      <c r="F1943" s="1">
        <v>38399</v>
      </c>
      <c r="G1943" t="s">
        <v>39</v>
      </c>
      <c r="H1943">
        <v>1</v>
      </c>
      <c r="I1943">
        <v>2</v>
      </c>
      <c r="J1943" t="str">
        <f>TEXT(DATE(2012,Table1[[#This Row],[MONTH_ID]],10),"mmm")</f>
        <v>Feb</v>
      </c>
      <c r="K1943">
        <v>2005</v>
      </c>
      <c r="L1943" t="s">
        <v>195</v>
      </c>
      <c r="M1943">
        <v>107</v>
      </c>
      <c r="N1943" t="s">
        <v>654</v>
      </c>
      <c r="O1943" t="s">
        <v>188</v>
      </c>
      <c r="P1943" t="s">
        <v>189</v>
      </c>
      <c r="Q1943" t="s">
        <v>190</v>
      </c>
      <c r="S1943" t="s">
        <v>191</v>
      </c>
      <c r="U1943">
        <v>28034</v>
      </c>
      <c r="V1943" t="s">
        <v>192</v>
      </c>
      <c r="W1943" t="s">
        <v>56</v>
      </c>
      <c r="X1943" t="s">
        <v>193</v>
      </c>
      <c r="Y1943" t="s">
        <v>194</v>
      </c>
      <c r="Z1943" t="s">
        <v>65</v>
      </c>
    </row>
    <row r="1944" spans="1:26" x14ac:dyDescent="0.3">
      <c r="A1944">
        <v>10407</v>
      </c>
      <c r="B1944">
        <v>43</v>
      </c>
      <c r="C1944">
        <v>86.73</v>
      </c>
      <c r="D1944">
        <v>9</v>
      </c>
      <c r="E1944">
        <v>3729.39</v>
      </c>
      <c r="F1944" s="1">
        <v>38464</v>
      </c>
      <c r="G1944" t="s">
        <v>415</v>
      </c>
      <c r="H1944">
        <v>2</v>
      </c>
      <c r="I1944">
        <v>4</v>
      </c>
      <c r="J1944" t="str">
        <f>TEXT(DATE(2012,Table1[[#This Row],[MONTH_ID]],10),"mmm")</f>
        <v>Apr</v>
      </c>
      <c r="K1944">
        <v>2005</v>
      </c>
      <c r="L1944" t="s">
        <v>195</v>
      </c>
      <c r="M1944">
        <v>107</v>
      </c>
      <c r="N1944" t="s">
        <v>654</v>
      </c>
      <c r="O1944" t="s">
        <v>411</v>
      </c>
      <c r="P1944">
        <v>4085553659</v>
      </c>
      <c r="Q1944" t="s">
        <v>412</v>
      </c>
      <c r="S1944" t="s">
        <v>413</v>
      </c>
      <c r="T1944" t="s">
        <v>69</v>
      </c>
      <c r="U1944">
        <v>94217</v>
      </c>
      <c r="V1944" t="s">
        <v>46</v>
      </c>
      <c r="W1944" t="s">
        <v>47</v>
      </c>
      <c r="X1944" t="s">
        <v>116</v>
      </c>
      <c r="Y1944" t="s">
        <v>414</v>
      </c>
      <c r="Z1944" t="s">
        <v>65</v>
      </c>
    </row>
    <row r="1945" spans="1:26" x14ac:dyDescent="0.3">
      <c r="A1945">
        <v>10420</v>
      </c>
      <c r="B1945">
        <v>26</v>
      </c>
      <c r="C1945">
        <v>100</v>
      </c>
      <c r="D1945">
        <v>12</v>
      </c>
      <c r="E1945">
        <v>2617.16</v>
      </c>
      <c r="F1945" s="1">
        <v>38501</v>
      </c>
      <c r="G1945" t="s">
        <v>314</v>
      </c>
      <c r="H1945">
        <v>2</v>
      </c>
      <c r="I1945">
        <v>5</v>
      </c>
      <c r="J1945" t="str">
        <f>TEXT(DATE(2012,Table1[[#This Row],[MONTH_ID]],10),"mmm")</f>
        <v>May</v>
      </c>
      <c r="K1945">
        <v>2005</v>
      </c>
      <c r="L1945" t="s">
        <v>195</v>
      </c>
      <c r="M1945">
        <v>107</v>
      </c>
      <c r="N1945" t="s">
        <v>654</v>
      </c>
      <c r="O1945" t="s">
        <v>166</v>
      </c>
      <c r="P1945" t="s">
        <v>167</v>
      </c>
      <c r="Q1945" t="s">
        <v>168</v>
      </c>
      <c r="R1945" t="s">
        <v>169</v>
      </c>
      <c r="S1945" t="s">
        <v>170</v>
      </c>
      <c r="T1945" t="s">
        <v>171</v>
      </c>
      <c r="U1945">
        <v>2067</v>
      </c>
      <c r="V1945" t="s">
        <v>109</v>
      </c>
      <c r="W1945" t="s">
        <v>110</v>
      </c>
      <c r="X1945" t="s">
        <v>172</v>
      </c>
      <c r="Y1945" t="s">
        <v>173</v>
      </c>
      <c r="Z1945" t="s">
        <v>50</v>
      </c>
    </row>
    <row r="1946" spans="1:26" x14ac:dyDescent="0.3">
      <c r="A1946">
        <v>10105</v>
      </c>
      <c r="B1946">
        <v>50</v>
      </c>
      <c r="C1946">
        <v>79.67</v>
      </c>
      <c r="D1946">
        <v>1</v>
      </c>
      <c r="E1946">
        <v>3983.5</v>
      </c>
      <c r="F1946" s="1">
        <v>37663</v>
      </c>
      <c r="G1946" t="s">
        <v>39</v>
      </c>
      <c r="H1946">
        <v>1</v>
      </c>
      <c r="I1946">
        <v>2</v>
      </c>
      <c r="J1946" t="str">
        <f>TEXT(DATE(2012,Table1[[#This Row],[MONTH_ID]],10),"mmm")</f>
        <v>Feb</v>
      </c>
      <c r="K1946">
        <v>2003</v>
      </c>
      <c r="L1946" t="s">
        <v>564</v>
      </c>
      <c r="M1946">
        <v>83</v>
      </c>
      <c r="N1946" t="s">
        <v>655</v>
      </c>
      <c r="O1946" t="s">
        <v>336</v>
      </c>
      <c r="P1946" t="s">
        <v>337</v>
      </c>
      <c r="Q1946" t="s">
        <v>338</v>
      </c>
      <c r="S1946" t="s">
        <v>339</v>
      </c>
      <c r="U1946">
        <v>1734</v>
      </c>
      <c r="V1946" t="s">
        <v>340</v>
      </c>
      <c r="W1946" t="s">
        <v>56</v>
      </c>
      <c r="X1946" t="s">
        <v>341</v>
      </c>
      <c r="Y1946" t="s">
        <v>342</v>
      </c>
      <c r="Z1946" t="s">
        <v>65</v>
      </c>
    </row>
    <row r="1947" spans="1:26" x14ac:dyDescent="0.3">
      <c r="A1947">
        <v>10119</v>
      </c>
      <c r="B1947">
        <v>35</v>
      </c>
      <c r="C1947">
        <v>90.57</v>
      </c>
      <c r="D1947">
        <v>10</v>
      </c>
      <c r="E1947">
        <v>3169.95</v>
      </c>
      <c r="F1947" s="1">
        <v>37739</v>
      </c>
      <c r="G1947" t="s">
        <v>39</v>
      </c>
      <c r="H1947">
        <v>2</v>
      </c>
      <c r="I1947">
        <v>4</v>
      </c>
      <c r="J1947" t="str">
        <f>TEXT(DATE(2012,Table1[[#This Row],[MONTH_ID]],10),"mmm")</f>
        <v>Apr</v>
      </c>
      <c r="K1947">
        <v>2003</v>
      </c>
      <c r="L1947" t="s">
        <v>564</v>
      </c>
      <c r="M1947">
        <v>83</v>
      </c>
      <c r="N1947" t="s">
        <v>655</v>
      </c>
      <c r="O1947" t="s">
        <v>158</v>
      </c>
      <c r="P1947" t="s">
        <v>159</v>
      </c>
      <c r="Q1947" t="s">
        <v>160</v>
      </c>
      <c r="S1947" t="s">
        <v>161</v>
      </c>
      <c r="U1947">
        <v>5020</v>
      </c>
      <c r="V1947" t="s">
        <v>162</v>
      </c>
      <c r="W1947" t="s">
        <v>56</v>
      </c>
      <c r="X1947" t="s">
        <v>163</v>
      </c>
      <c r="Y1947" t="s">
        <v>164</v>
      </c>
      <c r="Z1947" t="s">
        <v>65</v>
      </c>
    </row>
    <row r="1948" spans="1:26" x14ac:dyDescent="0.3">
      <c r="A1948">
        <v>10129</v>
      </c>
      <c r="B1948">
        <v>50</v>
      </c>
      <c r="C1948">
        <v>77.989999999999995</v>
      </c>
      <c r="D1948">
        <v>1</v>
      </c>
      <c r="E1948">
        <v>3899.5</v>
      </c>
      <c r="F1948" s="1">
        <v>37784</v>
      </c>
      <c r="G1948" t="s">
        <v>39</v>
      </c>
      <c r="H1948">
        <v>2</v>
      </c>
      <c r="I1948">
        <v>6</v>
      </c>
      <c r="J1948" t="str">
        <f>TEXT(DATE(2012,Table1[[#This Row],[MONTH_ID]],10),"mmm")</f>
        <v>Jun</v>
      </c>
      <c r="K1948">
        <v>2003</v>
      </c>
      <c r="L1948" t="s">
        <v>564</v>
      </c>
      <c r="M1948">
        <v>83</v>
      </c>
      <c r="N1948" t="s">
        <v>655</v>
      </c>
      <c r="O1948" t="s">
        <v>343</v>
      </c>
      <c r="P1948" t="s">
        <v>344</v>
      </c>
      <c r="Q1948" t="s">
        <v>345</v>
      </c>
      <c r="S1948" t="s">
        <v>346</v>
      </c>
      <c r="U1948" t="s">
        <v>347</v>
      </c>
      <c r="V1948" t="s">
        <v>184</v>
      </c>
      <c r="W1948" t="s">
        <v>56</v>
      </c>
      <c r="X1948" t="s">
        <v>75</v>
      </c>
      <c r="Y1948" t="s">
        <v>348</v>
      </c>
      <c r="Z1948" t="s">
        <v>65</v>
      </c>
    </row>
    <row r="1949" spans="1:26" x14ac:dyDescent="0.3">
      <c r="A1949">
        <v>10143</v>
      </c>
      <c r="B1949">
        <v>23</v>
      </c>
      <c r="C1949">
        <v>80.510000000000005</v>
      </c>
      <c r="D1949">
        <v>14</v>
      </c>
      <c r="E1949">
        <v>1851.73</v>
      </c>
      <c r="F1949" s="1">
        <v>37843</v>
      </c>
      <c r="G1949" t="s">
        <v>39</v>
      </c>
      <c r="H1949">
        <v>3</v>
      </c>
      <c r="I1949">
        <v>8</v>
      </c>
      <c r="J1949" t="str">
        <f>TEXT(DATE(2012,Table1[[#This Row],[MONTH_ID]],10),"mmm")</f>
        <v>Aug</v>
      </c>
      <c r="K1949">
        <v>2003</v>
      </c>
      <c r="L1949" t="s">
        <v>564</v>
      </c>
      <c r="M1949">
        <v>83</v>
      </c>
      <c r="N1949" t="s">
        <v>655</v>
      </c>
      <c r="O1949" t="s">
        <v>349</v>
      </c>
      <c r="P1949">
        <v>5085559555</v>
      </c>
      <c r="Q1949" t="s">
        <v>350</v>
      </c>
      <c r="S1949" t="s">
        <v>176</v>
      </c>
      <c r="T1949" t="s">
        <v>137</v>
      </c>
      <c r="U1949">
        <v>50553</v>
      </c>
      <c r="V1949" t="s">
        <v>46</v>
      </c>
      <c r="W1949" t="s">
        <v>47</v>
      </c>
      <c r="X1949" t="s">
        <v>351</v>
      </c>
      <c r="Y1949" t="s">
        <v>352</v>
      </c>
      <c r="Z1949" t="s">
        <v>50</v>
      </c>
    </row>
    <row r="1950" spans="1:26" x14ac:dyDescent="0.3">
      <c r="A1950">
        <v>10155</v>
      </c>
      <c r="B1950">
        <v>37</v>
      </c>
      <c r="C1950">
        <v>67.930000000000007</v>
      </c>
      <c r="D1950">
        <v>12</v>
      </c>
      <c r="E1950">
        <v>2513.41</v>
      </c>
      <c r="F1950" s="1">
        <v>37900</v>
      </c>
      <c r="G1950" t="s">
        <v>39</v>
      </c>
      <c r="H1950">
        <v>4</v>
      </c>
      <c r="I1950">
        <v>10</v>
      </c>
      <c r="J1950" t="str">
        <f>TEXT(DATE(2012,Table1[[#This Row],[MONTH_ID]],10),"mmm")</f>
        <v>Oct</v>
      </c>
      <c r="K1950">
        <v>2003</v>
      </c>
      <c r="L1950" t="s">
        <v>564</v>
      </c>
      <c r="M1950">
        <v>83</v>
      </c>
      <c r="N1950" t="s">
        <v>655</v>
      </c>
      <c r="O1950" t="s">
        <v>140</v>
      </c>
      <c r="P1950" t="s">
        <v>141</v>
      </c>
      <c r="Q1950" t="s">
        <v>142</v>
      </c>
      <c r="S1950" t="s">
        <v>143</v>
      </c>
      <c r="U1950">
        <v>21240</v>
      </c>
      <c r="V1950" t="s">
        <v>144</v>
      </c>
      <c r="W1950" t="s">
        <v>56</v>
      </c>
      <c r="X1950" t="s">
        <v>145</v>
      </c>
      <c r="Y1950" t="s">
        <v>146</v>
      </c>
      <c r="Z1950" t="s">
        <v>50</v>
      </c>
    </row>
    <row r="1951" spans="1:26" x14ac:dyDescent="0.3">
      <c r="A1951">
        <v>10167</v>
      </c>
      <c r="B1951">
        <v>29</v>
      </c>
      <c r="C1951">
        <v>83.86</v>
      </c>
      <c r="D1951">
        <v>8</v>
      </c>
      <c r="E1951">
        <v>2431.94</v>
      </c>
      <c r="F1951" s="1">
        <v>37917</v>
      </c>
      <c r="G1951" t="s">
        <v>353</v>
      </c>
      <c r="H1951">
        <v>4</v>
      </c>
      <c r="I1951">
        <v>10</v>
      </c>
      <c r="J1951" t="str">
        <f>TEXT(DATE(2012,Table1[[#This Row],[MONTH_ID]],10),"mmm")</f>
        <v>Oct</v>
      </c>
      <c r="K1951">
        <v>2003</v>
      </c>
      <c r="L1951" t="s">
        <v>564</v>
      </c>
      <c r="M1951">
        <v>83</v>
      </c>
      <c r="N1951" t="s">
        <v>655</v>
      </c>
      <c r="O1951" t="s">
        <v>275</v>
      </c>
      <c r="P1951" t="s">
        <v>276</v>
      </c>
      <c r="Q1951" t="s">
        <v>277</v>
      </c>
      <c r="S1951" t="s">
        <v>278</v>
      </c>
      <c r="U1951" t="s">
        <v>279</v>
      </c>
      <c r="V1951" t="s">
        <v>202</v>
      </c>
      <c r="W1951" t="s">
        <v>56</v>
      </c>
      <c r="X1951" t="s">
        <v>280</v>
      </c>
      <c r="Y1951" t="s">
        <v>220</v>
      </c>
      <c r="Z1951" t="s">
        <v>50</v>
      </c>
    </row>
    <row r="1952" spans="1:26" x14ac:dyDescent="0.3">
      <c r="A1952">
        <v>10178</v>
      </c>
      <c r="B1952">
        <v>21</v>
      </c>
      <c r="C1952">
        <v>72.12</v>
      </c>
      <c r="D1952">
        <v>11</v>
      </c>
      <c r="E1952">
        <v>1514.52</v>
      </c>
      <c r="F1952" s="1">
        <v>37933</v>
      </c>
      <c r="G1952" t="s">
        <v>39</v>
      </c>
      <c r="H1952">
        <v>4</v>
      </c>
      <c r="I1952">
        <v>11</v>
      </c>
      <c r="J1952" t="str">
        <f>TEXT(DATE(2012,Table1[[#This Row],[MONTH_ID]],10),"mmm")</f>
        <v>Nov</v>
      </c>
      <c r="K1952">
        <v>2003</v>
      </c>
      <c r="L1952" t="s">
        <v>564</v>
      </c>
      <c r="M1952">
        <v>83</v>
      </c>
      <c r="N1952" t="s">
        <v>655</v>
      </c>
      <c r="O1952" t="s">
        <v>354</v>
      </c>
      <c r="P1952" t="s">
        <v>355</v>
      </c>
      <c r="Q1952" t="s">
        <v>356</v>
      </c>
      <c r="S1952" t="s">
        <v>357</v>
      </c>
      <c r="U1952">
        <v>31000</v>
      </c>
      <c r="V1952" t="s">
        <v>55</v>
      </c>
      <c r="W1952" t="s">
        <v>56</v>
      </c>
      <c r="X1952" t="s">
        <v>358</v>
      </c>
      <c r="Y1952" t="s">
        <v>359</v>
      </c>
      <c r="Z1952" t="s">
        <v>50</v>
      </c>
    </row>
    <row r="1953" spans="1:26" x14ac:dyDescent="0.3">
      <c r="A1953">
        <v>10186</v>
      </c>
      <c r="B1953">
        <v>36</v>
      </c>
      <c r="C1953">
        <v>85.54</v>
      </c>
      <c r="D1953">
        <v>8</v>
      </c>
      <c r="E1953">
        <v>3079.44</v>
      </c>
      <c r="F1953" s="1">
        <v>37939</v>
      </c>
      <c r="G1953" t="s">
        <v>39</v>
      </c>
      <c r="H1953">
        <v>4</v>
      </c>
      <c r="I1953">
        <v>11</v>
      </c>
      <c r="J1953" t="str">
        <f>TEXT(DATE(2012,Table1[[#This Row],[MONTH_ID]],10),"mmm")</f>
        <v>Nov</v>
      </c>
      <c r="K1953">
        <v>2003</v>
      </c>
      <c r="L1953" t="s">
        <v>564</v>
      </c>
      <c r="M1953">
        <v>83</v>
      </c>
      <c r="N1953" t="s">
        <v>655</v>
      </c>
      <c r="O1953" t="s">
        <v>360</v>
      </c>
      <c r="P1953" t="s">
        <v>361</v>
      </c>
      <c r="Q1953" t="s">
        <v>362</v>
      </c>
      <c r="S1953" t="s">
        <v>346</v>
      </c>
      <c r="U1953" t="s">
        <v>363</v>
      </c>
      <c r="V1953" t="s">
        <v>184</v>
      </c>
      <c r="W1953" t="s">
        <v>56</v>
      </c>
      <c r="X1953" t="s">
        <v>364</v>
      </c>
      <c r="Y1953" t="s">
        <v>365</v>
      </c>
      <c r="Z1953" t="s">
        <v>65</v>
      </c>
    </row>
    <row r="1954" spans="1:26" x14ac:dyDescent="0.3">
      <c r="A1954">
        <v>10197</v>
      </c>
      <c r="B1954">
        <v>22</v>
      </c>
      <c r="C1954">
        <v>86.38</v>
      </c>
      <c r="D1954">
        <v>5</v>
      </c>
      <c r="E1954">
        <v>1900.36</v>
      </c>
      <c r="F1954" s="1">
        <v>37951</v>
      </c>
      <c r="G1954" t="s">
        <v>39</v>
      </c>
      <c r="H1954">
        <v>4</v>
      </c>
      <c r="I1954">
        <v>11</v>
      </c>
      <c r="J1954" t="str">
        <f>TEXT(DATE(2012,Table1[[#This Row],[MONTH_ID]],10),"mmm")</f>
        <v>Nov</v>
      </c>
      <c r="K1954">
        <v>2003</v>
      </c>
      <c r="L1954" t="s">
        <v>564</v>
      </c>
      <c r="M1954">
        <v>83</v>
      </c>
      <c r="N1954" t="s">
        <v>655</v>
      </c>
      <c r="O1954" t="s">
        <v>366</v>
      </c>
      <c r="P1954" t="s">
        <v>367</v>
      </c>
      <c r="Q1954" t="s">
        <v>368</v>
      </c>
      <c r="S1954" t="s">
        <v>369</v>
      </c>
      <c r="U1954">
        <v>8022</v>
      </c>
      <c r="V1954" t="s">
        <v>192</v>
      </c>
      <c r="W1954" t="s">
        <v>56</v>
      </c>
      <c r="X1954" t="s">
        <v>370</v>
      </c>
      <c r="Y1954" t="s">
        <v>371</v>
      </c>
      <c r="Z1954" t="s">
        <v>50</v>
      </c>
    </row>
    <row r="1955" spans="1:26" x14ac:dyDescent="0.3">
      <c r="A1955">
        <v>10209</v>
      </c>
      <c r="B1955">
        <v>22</v>
      </c>
      <c r="C1955">
        <v>89.73</v>
      </c>
      <c r="D1955">
        <v>7</v>
      </c>
      <c r="E1955">
        <v>1974.06</v>
      </c>
      <c r="F1955" s="1">
        <v>37995</v>
      </c>
      <c r="G1955" t="s">
        <v>39</v>
      </c>
      <c r="H1955">
        <v>1</v>
      </c>
      <c r="I1955">
        <v>1</v>
      </c>
      <c r="J1955" t="str">
        <f>TEXT(DATE(2012,Table1[[#This Row],[MONTH_ID]],10),"mmm")</f>
        <v>Jan</v>
      </c>
      <c r="K1955">
        <v>2004</v>
      </c>
      <c r="L1955" t="s">
        <v>564</v>
      </c>
      <c r="M1955">
        <v>83</v>
      </c>
      <c r="N1955" t="s">
        <v>655</v>
      </c>
      <c r="O1955" t="s">
        <v>372</v>
      </c>
      <c r="P1955">
        <v>2155554369</v>
      </c>
      <c r="Q1955" t="s">
        <v>373</v>
      </c>
      <c r="S1955" t="s">
        <v>374</v>
      </c>
      <c r="T1955" t="s">
        <v>69</v>
      </c>
      <c r="V1955" t="s">
        <v>46</v>
      </c>
      <c r="W1955" t="s">
        <v>47</v>
      </c>
      <c r="X1955" t="s">
        <v>375</v>
      </c>
      <c r="Y1955" t="s">
        <v>117</v>
      </c>
      <c r="Z1955" t="s">
        <v>50</v>
      </c>
    </row>
    <row r="1956" spans="1:26" x14ac:dyDescent="0.3">
      <c r="A1956">
        <v>10222</v>
      </c>
      <c r="B1956">
        <v>46</v>
      </c>
      <c r="C1956">
        <v>80.510000000000005</v>
      </c>
      <c r="D1956">
        <v>11</v>
      </c>
      <c r="E1956">
        <v>3703.46</v>
      </c>
      <c r="F1956" s="1">
        <v>38036</v>
      </c>
      <c r="G1956" t="s">
        <v>39</v>
      </c>
      <c r="H1956">
        <v>1</v>
      </c>
      <c r="I1956">
        <v>2</v>
      </c>
      <c r="J1956" t="str">
        <f>TEXT(DATE(2012,Table1[[#This Row],[MONTH_ID]],10),"mmm")</f>
        <v>Feb</v>
      </c>
      <c r="K1956">
        <v>2004</v>
      </c>
      <c r="L1956" t="s">
        <v>564</v>
      </c>
      <c r="M1956">
        <v>83</v>
      </c>
      <c r="N1956" t="s">
        <v>655</v>
      </c>
      <c r="O1956" t="s">
        <v>376</v>
      </c>
      <c r="P1956">
        <v>7605558146</v>
      </c>
      <c r="Q1956" t="s">
        <v>377</v>
      </c>
      <c r="S1956" t="s">
        <v>378</v>
      </c>
      <c r="T1956" t="s">
        <v>69</v>
      </c>
      <c r="U1956">
        <v>91217</v>
      </c>
      <c r="V1956" t="s">
        <v>46</v>
      </c>
      <c r="W1956" t="s">
        <v>47</v>
      </c>
      <c r="X1956" t="s">
        <v>251</v>
      </c>
      <c r="Y1956" t="s">
        <v>290</v>
      </c>
      <c r="Z1956" t="s">
        <v>65</v>
      </c>
    </row>
    <row r="1957" spans="1:26" x14ac:dyDescent="0.3">
      <c r="A1957">
        <v>10248</v>
      </c>
      <c r="B1957">
        <v>23</v>
      </c>
      <c r="C1957">
        <v>76.31</v>
      </c>
      <c r="D1957">
        <v>2</v>
      </c>
      <c r="E1957">
        <v>1755.13</v>
      </c>
      <c r="F1957" s="1">
        <v>38114</v>
      </c>
      <c r="G1957" t="s">
        <v>353</v>
      </c>
      <c r="H1957">
        <v>2</v>
      </c>
      <c r="I1957">
        <v>5</v>
      </c>
      <c r="J1957" t="str">
        <f>TEXT(DATE(2012,Table1[[#This Row],[MONTH_ID]],10),"mmm")</f>
        <v>May</v>
      </c>
      <c r="K1957">
        <v>2004</v>
      </c>
      <c r="L1957" t="s">
        <v>564</v>
      </c>
      <c r="M1957">
        <v>83</v>
      </c>
      <c r="N1957" t="s">
        <v>655</v>
      </c>
      <c r="O1957" t="s">
        <v>42</v>
      </c>
      <c r="P1957">
        <v>2125557818</v>
      </c>
      <c r="Q1957" t="s">
        <v>43</v>
      </c>
      <c r="S1957" t="s">
        <v>44</v>
      </c>
      <c r="T1957" t="s">
        <v>45</v>
      </c>
      <c r="U1957">
        <v>10022</v>
      </c>
      <c r="V1957" t="s">
        <v>46</v>
      </c>
      <c r="W1957" t="s">
        <v>47</v>
      </c>
      <c r="X1957" t="s">
        <v>48</v>
      </c>
      <c r="Y1957" t="s">
        <v>49</v>
      </c>
      <c r="Z1957" t="s">
        <v>50</v>
      </c>
    </row>
    <row r="1958" spans="1:26" x14ac:dyDescent="0.3">
      <c r="A1958">
        <v>10262</v>
      </c>
      <c r="B1958">
        <v>49</v>
      </c>
      <c r="C1958">
        <v>87.21</v>
      </c>
      <c r="D1958">
        <v>16</v>
      </c>
      <c r="E1958">
        <v>4273.29</v>
      </c>
      <c r="F1958" s="1">
        <v>38162</v>
      </c>
      <c r="G1958" t="s">
        <v>353</v>
      </c>
      <c r="H1958">
        <v>2</v>
      </c>
      <c r="I1958">
        <v>6</v>
      </c>
      <c r="J1958" t="str">
        <f>TEXT(DATE(2012,Table1[[#This Row],[MONTH_ID]],10),"mmm")</f>
        <v>Jun</v>
      </c>
      <c r="K1958">
        <v>2004</v>
      </c>
      <c r="L1958" t="s">
        <v>564</v>
      </c>
      <c r="M1958">
        <v>83</v>
      </c>
      <c r="N1958" t="s">
        <v>655</v>
      </c>
      <c r="O1958" t="s">
        <v>188</v>
      </c>
      <c r="P1958" t="s">
        <v>189</v>
      </c>
      <c r="Q1958" t="s">
        <v>190</v>
      </c>
      <c r="S1958" t="s">
        <v>191</v>
      </c>
      <c r="U1958">
        <v>28034</v>
      </c>
      <c r="V1958" t="s">
        <v>192</v>
      </c>
      <c r="W1958" t="s">
        <v>56</v>
      </c>
      <c r="X1958" t="s">
        <v>193</v>
      </c>
      <c r="Y1958" t="s">
        <v>194</v>
      </c>
      <c r="Z1958" t="s">
        <v>65</v>
      </c>
    </row>
    <row r="1959" spans="1:26" x14ac:dyDescent="0.3">
      <c r="A1959">
        <v>10273</v>
      </c>
      <c r="B1959">
        <v>48</v>
      </c>
      <c r="C1959">
        <v>83.02</v>
      </c>
      <c r="D1959">
        <v>3</v>
      </c>
      <c r="E1959">
        <v>3984.96</v>
      </c>
      <c r="F1959" s="1">
        <v>38189</v>
      </c>
      <c r="G1959" t="s">
        <v>39</v>
      </c>
      <c r="H1959">
        <v>3</v>
      </c>
      <c r="I1959">
        <v>7</v>
      </c>
      <c r="J1959" t="str">
        <f>TEXT(DATE(2012,Table1[[#This Row],[MONTH_ID]],10),"mmm")</f>
        <v>Jul</v>
      </c>
      <c r="K1959">
        <v>2004</v>
      </c>
      <c r="L1959" t="s">
        <v>564</v>
      </c>
      <c r="M1959">
        <v>83</v>
      </c>
      <c r="N1959" t="s">
        <v>655</v>
      </c>
      <c r="O1959" t="s">
        <v>379</v>
      </c>
      <c r="P1959" t="s">
        <v>380</v>
      </c>
      <c r="Q1959" t="s">
        <v>381</v>
      </c>
      <c r="S1959" t="s">
        <v>382</v>
      </c>
      <c r="U1959" t="s">
        <v>383</v>
      </c>
      <c r="V1959" t="s">
        <v>384</v>
      </c>
      <c r="W1959" t="s">
        <v>56</v>
      </c>
      <c r="X1959" t="s">
        <v>385</v>
      </c>
      <c r="Y1959" t="s">
        <v>386</v>
      </c>
      <c r="Z1959" t="s">
        <v>65</v>
      </c>
    </row>
    <row r="1960" spans="1:26" x14ac:dyDescent="0.3">
      <c r="A1960">
        <v>10283</v>
      </c>
      <c r="B1960">
        <v>33</v>
      </c>
      <c r="C1960">
        <v>72.959999999999994</v>
      </c>
      <c r="D1960">
        <v>5</v>
      </c>
      <c r="E1960">
        <v>2407.6799999999998</v>
      </c>
      <c r="F1960" s="1">
        <v>38219</v>
      </c>
      <c r="G1960" t="s">
        <v>39</v>
      </c>
      <c r="H1960">
        <v>3</v>
      </c>
      <c r="I1960">
        <v>8</v>
      </c>
      <c r="J1960" t="str">
        <f>TEXT(DATE(2012,Table1[[#This Row],[MONTH_ID]],10),"mmm")</f>
        <v>Aug</v>
      </c>
      <c r="K1960">
        <v>2004</v>
      </c>
      <c r="L1960" t="s">
        <v>564</v>
      </c>
      <c r="M1960">
        <v>83</v>
      </c>
      <c r="N1960" t="s">
        <v>655</v>
      </c>
      <c r="O1960" t="s">
        <v>387</v>
      </c>
      <c r="P1960" t="s">
        <v>388</v>
      </c>
      <c r="Q1960" t="s">
        <v>389</v>
      </c>
      <c r="S1960" t="s">
        <v>390</v>
      </c>
      <c r="T1960" t="s">
        <v>243</v>
      </c>
      <c r="U1960" t="s">
        <v>391</v>
      </c>
      <c r="V1960" t="s">
        <v>245</v>
      </c>
      <c r="W1960" t="s">
        <v>47</v>
      </c>
      <c r="X1960" t="s">
        <v>392</v>
      </c>
      <c r="Y1960" t="s">
        <v>186</v>
      </c>
      <c r="Z1960" t="s">
        <v>50</v>
      </c>
    </row>
    <row r="1961" spans="1:26" x14ac:dyDescent="0.3">
      <c r="A1961">
        <v>10296</v>
      </c>
      <c r="B1961">
        <v>22</v>
      </c>
      <c r="C1961">
        <v>77.150000000000006</v>
      </c>
      <c r="D1961">
        <v>14</v>
      </c>
      <c r="E1961">
        <v>1697.3</v>
      </c>
      <c r="F1961" s="1">
        <v>38245</v>
      </c>
      <c r="G1961" t="s">
        <v>39</v>
      </c>
      <c r="H1961">
        <v>3</v>
      </c>
      <c r="I1961">
        <v>9</v>
      </c>
      <c r="J1961" t="str">
        <f>TEXT(DATE(2012,Table1[[#This Row],[MONTH_ID]],10),"mmm")</f>
        <v>Sep</v>
      </c>
      <c r="K1961">
        <v>2004</v>
      </c>
      <c r="L1961" t="s">
        <v>564</v>
      </c>
      <c r="M1961">
        <v>83</v>
      </c>
      <c r="N1961" t="s">
        <v>655</v>
      </c>
      <c r="O1961" t="s">
        <v>586</v>
      </c>
      <c r="P1961" t="s">
        <v>587</v>
      </c>
      <c r="Q1961" t="s">
        <v>588</v>
      </c>
      <c r="S1961" t="s">
        <v>589</v>
      </c>
      <c r="U1961">
        <v>80686</v>
      </c>
      <c r="V1961" t="s">
        <v>457</v>
      </c>
      <c r="W1961" t="s">
        <v>56</v>
      </c>
      <c r="X1961" t="s">
        <v>590</v>
      </c>
      <c r="Y1961" t="s">
        <v>117</v>
      </c>
      <c r="Z1961" t="s">
        <v>50</v>
      </c>
    </row>
    <row r="1962" spans="1:26" x14ac:dyDescent="0.3">
      <c r="A1962">
        <v>10307</v>
      </c>
      <c r="B1962">
        <v>22</v>
      </c>
      <c r="C1962">
        <v>91.41</v>
      </c>
      <c r="D1962">
        <v>8</v>
      </c>
      <c r="E1962">
        <v>2011.02</v>
      </c>
      <c r="F1962" s="1">
        <v>38274</v>
      </c>
      <c r="G1962" t="s">
        <v>39</v>
      </c>
      <c r="H1962">
        <v>4</v>
      </c>
      <c r="I1962">
        <v>10</v>
      </c>
      <c r="J1962" t="str">
        <f>TEXT(DATE(2012,Table1[[#This Row],[MONTH_ID]],10),"mmm")</f>
        <v>Oct</v>
      </c>
      <c r="K1962">
        <v>2004</v>
      </c>
      <c r="L1962" t="s">
        <v>564</v>
      </c>
      <c r="M1962">
        <v>83</v>
      </c>
      <c r="N1962" t="s">
        <v>655</v>
      </c>
      <c r="O1962" t="s">
        <v>228</v>
      </c>
      <c r="P1962">
        <v>2155554695</v>
      </c>
      <c r="Q1962" t="s">
        <v>229</v>
      </c>
      <c r="S1962" t="s">
        <v>230</v>
      </c>
      <c r="T1962" t="s">
        <v>156</v>
      </c>
      <c r="U1962">
        <v>71270</v>
      </c>
      <c r="V1962" t="s">
        <v>46</v>
      </c>
      <c r="W1962" t="s">
        <v>47</v>
      </c>
      <c r="X1962" t="s">
        <v>231</v>
      </c>
      <c r="Y1962" t="s">
        <v>232</v>
      </c>
      <c r="Z1962" t="s">
        <v>50</v>
      </c>
    </row>
    <row r="1963" spans="1:26" x14ac:dyDescent="0.3">
      <c r="A1963">
        <v>10316</v>
      </c>
      <c r="B1963">
        <v>25</v>
      </c>
      <c r="C1963">
        <v>92.25</v>
      </c>
      <c r="D1963">
        <v>16</v>
      </c>
      <c r="E1963">
        <v>2306.25</v>
      </c>
      <c r="F1963" s="1">
        <v>38292</v>
      </c>
      <c r="G1963" t="s">
        <v>39</v>
      </c>
      <c r="H1963">
        <v>4</v>
      </c>
      <c r="I1963">
        <v>11</v>
      </c>
      <c r="J1963" t="str">
        <f>TEXT(DATE(2012,Table1[[#This Row],[MONTH_ID]],10),"mmm")</f>
        <v>Nov</v>
      </c>
      <c r="K1963">
        <v>2004</v>
      </c>
      <c r="L1963" t="s">
        <v>564</v>
      </c>
      <c r="M1963">
        <v>83</v>
      </c>
      <c r="N1963" t="s">
        <v>655</v>
      </c>
      <c r="O1963" t="s">
        <v>397</v>
      </c>
      <c r="P1963" t="s">
        <v>398</v>
      </c>
      <c r="Q1963" t="s">
        <v>399</v>
      </c>
      <c r="S1963" t="s">
        <v>400</v>
      </c>
      <c r="T1963" t="s">
        <v>401</v>
      </c>
      <c r="U1963" t="s">
        <v>402</v>
      </c>
      <c r="V1963" t="s">
        <v>184</v>
      </c>
      <c r="W1963" t="s">
        <v>56</v>
      </c>
      <c r="X1963" t="s">
        <v>403</v>
      </c>
      <c r="Y1963" t="s">
        <v>404</v>
      </c>
      <c r="Z1963" t="s">
        <v>50</v>
      </c>
    </row>
    <row r="1964" spans="1:26" x14ac:dyDescent="0.3">
      <c r="A1964">
        <v>10326</v>
      </c>
      <c r="B1964">
        <v>20</v>
      </c>
      <c r="C1964">
        <v>92.25</v>
      </c>
      <c r="D1964">
        <v>2</v>
      </c>
      <c r="E1964">
        <v>1845</v>
      </c>
      <c r="F1964" s="1">
        <v>38300</v>
      </c>
      <c r="G1964" t="s">
        <v>39</v>
      </c>
      <c r="H1964">
        <v>4</v>
      </c>
      <c r="I1964">
        <v>11</v>
      </c>
      <c r="J1964" t="str">
        <f>TEXT(DATE(2012,Table1[[#This Row],[MONTH_ID]],10),"mmm")</f>
        <v>Nov</v>
      </c>
      <c r="K1964">
        <v>2004</v>
      </c>
      <c r="L1964" t="s">
        <v>564</v>
      </c>
      <c r="M1964">
        <v>83</v>
      </c>
      <c r="N1964" t="s">
        <v>655</v>
      </c>
      <c r="O1964" t="s">
        <v>197</v>
      </c>
      <c r="P1964" t="s">
        <v>198</v>
      </c>
      <c r="Q1964" t="s">
        <v>199</v>
      </c>
      <c r="S1964" t="s">
        <v>200</v>
      </c>
      <c r="U1964" t="s">
        <v>201</v>
      </c>
      <c r="V1964" t="s">
        <v>202</v>
      </c>
      <c r="W1964" t="s">
        <v>56</v>
      </c>
      <c r="X1964" t="s">
        <v>203</v>
      </c>
      <c r="Y1964" t="s">
        <v>204</v>
      </c>
      <c r="Z1964" t="s">
        <v>50</v>
      </c>
    </row>
    <row r="1965" spans="1:26" x14ac:dyDescent="0.3">
      <c r="A1965">
        <v>10339</v>
      </c>
      <c r="B1965">
        <v>42</v>
      </c>
      <c r="C1965">
        <v>59.36</v>
      </c>
      <c r="D1965">
        <v>16</v>
      </c>
      <c r="E1965">
        <v>2493.12</v>
      </c>
      <c r="F1965" s="1">
        <v>38314</v>
      </c>
      <c r="G1965" t="s">
        <v>39</v>
      </c>
      <c r="H1965">
        <v>4</v>
      </c>
      <c r="I1965">
        <v>11</v>
      </c>
      <c r="J1965" t="str">
        <f>TEXT(DATE(2012,Table1[[#This Row],[MONTH_ID]],10),"mmm")</f>
        <v>Nov</v>
      </c>
      <c r="K1965">
        <v>2004</v>
      </c>
      <c r="L1965" t="s">
        <v>564</v>
      </c>
      <c r="M1965">
        <v>83</v>
      </c>
      <c r="N1965" t="s">
        <v>655</v>
      </c>
      <c r="O1965" t="s">
        <v>260</v>
      </c>
      <c r="P1965" t="s">
        <v>261</v>
      </c>
      <c r="Q1965" t="s">
        <v>262</v>
      </c>
      <c r="S1965" t="s">
        <v>263</v>
      </c>
      <c r="T1965" t="s">
        <v>264</v>
      </c>
      <c r="U1965" t="s">
        <v>265</v>
      </c>
      <c r="V1965" t="s">
        <v>214</v>
      </c>
      <c r="W1965" t="s">
        <v>214</v>
      </c>
      <c r="X1965" t="s">
        <v>266</v>
      </c>
      <c r="Y1965" t="s">
        <v>267</v>
      </c>
      <c r="Z1965" t="s">
        <v>50</v>
      </c>
    </row>
    <row r="1966" spans="1:26" x14ac:dyDescent="0.3">
      <c r="A1966">
        <v>10350</v>
      </c>
      <c r="B1966">
        <v>25</v>
      </c>
      <c r="C1966">
        <v>60.34</v>
      </c>
      <c r="D1966">
        <v>10</v>
      </c>
      <c r="E1966">
        <v>1508.5</v>
      </c>
      <c r="F1966" s="1">
        <v>38323</v>
      </c>
      <c r="G1966" t="s">
        <v>39</v>
      </c>
      <c r="H1966">
        <v>4</v>
      </c>
      <c r="I1966">
        <v>12</v>
      </c>
      <c r="J1966" t="str">
        <f>TEXT(DATE(2012,Table1[[#This Row],[MONTH_ID]],10),"mmm")</f>
        <v>Dec</v>
      </c>
      <c r="K1966">
        <v>2004</v>
      </c>
      <c r="L1966" t="s">
        <v>564</v>
      </c>
      <c r="M1966">
        <v>83</v>
      </c>
      <c r="N1966" t="s">
        <v>655</v>
      </c>
      <c r="O1966" t="s">
        <v>188</v>
      </c>
      <c r="P1966" t="s">
        <v>189</v>
      </c>
      <c r="Q1966" t="s">
        <v>190</v>
      </c>
      <c r="S1966" t="s">
        <v>191</v>
      </c>
      <c r="U1966">
        <v>28034</v>
      </c>
      <c r="V1966" t="s">
        <v>192</v>
      </c>
      <c r="W1966" t="s">
        <v>56</v>
      </c>
      <c r="X1966" t="s">
        <v>193</v>
      </c>
      <c r="Y1966" t="s">
        <v>194</v>
      </c>
      <c r="Z1966" t="s">
        <v>50</v>
      </c>
    </row>
    <row r="1967" spans="1:26" x14ac:dyDescent="0.3">
      <c r="A1967">
        <v>10373</v>
      </c>
      <c r="B1967">
        <v>23</v>
      </c>
      <c r="C1967">
        <v>100</v>
      </c>
      <c r="D1967">
        <v>10</v>
      </c>
      <c r="E1967">
        <v>2394.3000000000002</v>
      </c>
      <c r="F1967" s="1">
        <v>38383</v>
      </c>
      <c r="G1967" t="s">
        <v>39</v>
      </c>
      <c r="H1967">
        <v>1</v>
      </c>
      <c r="I1967">
        <v>1</v>
      </c>
      <c r="J1967" t="str">
        <f>TEXT(DATE(2012,Table1[[#This Row],[MONTH_ID]],10),"mmm")</f>
        <v>Jan</v>
      </c>
      <c r="K1967">
        <v>2005</v>
      </c>
      <c r="L1967" t="s">
        <v>564</v>
      </c>
      <c r="M1967">
        <v>83</v>
      </c>
      <c r="N1967" t="s">
        <v>655</v>
      </c>
      <c r="O1967" t="s">
        <v>405</v>
      </c>
      <c r="P1967" t="s">
        <v>406</v>
      </c>
      <c r="Q1967" t="s">
        <v>407</v>
      </c>
      <c r="S1967" t="s">
        <v>408</v>
      </c>
      <c r="U1967">
        <v>90110</v>
      </c>
      <c r="V1967" t="s">
        <v>144</v>
      </c>
      <c r="W1967" t="s">
        <v>56</v>
      </c>
      <c r="X1967" t="s">
        <v>409</v>
      </c>
      <c r="Y1967" t="s">
        <v>410</v>
      </c>
      <c r="Z1967" t="s">
        <v>50</v>
      </c>
    </row>
    <row r="1968" spans="1:26" x14ac:dyDescent="0.3">
      <c r="A1968">
        <v>10385</v>
      </c>
      <c r="B1968">
        <v>37</v>
      </c>
      <c r="C1968">
        <v>85.54</v>
      </c>
      <c r="D1968">
        <v>2</v>
      </c>
      <c r="E1968">
        <v>3164.98</v>
      </c>
      <c r="F1968" s="1">
        <v>38411</v>
      </c>
      <c r="G1968" t="s">
        <v>39</v>
      </c>
      <c r="H1968">
        <v>1</v>
      </c>
      <c r="I1968">
        <v>2</v>
      </c>
      <c r="J1968" t="str">
        <f>TEXT(DATE(2012,Table1[[#This Row],[MONTH_ID]],10),"mmm")</f>
        <v>Feb</v>
      </c>
      <c r="K1968">
        <v>2005</v>
      </c>
      <c r="L1968" t="s">
        <v>564</v>
      </c>
      <c r="M1968">
        <v>83</v>
      </c>
      <c r="N1968" t="s">
        <v>655</v>
      </c>
      <c r="O1968" t="s">
        <v>286</v>
      </c>
      <c r="P1968">
        <v>4155551450</v>
      </c>
      <c r="Q1968" t="s">
        <v>287</v>
      </c>
      <c r="S1968" t="s">
        <v>288</v>
      </c>
      <c r="T1968" t="s">
        <v>69</v>
      </c>
      <c r="U1968">
        <v>97562</v>
      </c>
      <c r="V1968" t="s">
        <v>46</v>
      </c>
      <c r="W1968" t="s">
        <v>47</v>
      </c>
      <c r="X1968" t="s">
        <v>289</v>
      </c>
      <c r="Y1968" t="s">
        <v>290</v>
      </c>
      <c r="Z1968" t="s">
        <v>65</v>
      </c>
    </row>
    <row r="1969" spans="1:26" x14ac:dyDescent="0.3">
      <c r="A1969">
        <v>10396</v>
      </c>
      <c r="B1969">
        <v>37</v>
      </c>
      <c r="C1969">
        <v>90.57</v>
      </c>
      <c r="D1969">
        <v>8</v>
      </c>
      <c r="E1969">
        <v>3351.09</v>
      </c>
      <c r="F1969" s="1">
        <v>38434</v>
      </c>
      <c r="G1969" t="s">
        <v>39</v>
      </c>
      <c r="H1969">
        <v>1</v>
      </c>
      <c r="I1969">
        <v>3</v>
      </c>
      <c r="J1969" t="str">
        <f>TEXT(DATE(2012,Table1[[#This Row],[MONTH_ID]],10),"mmm")</f>
        <v>Mar</v>
      </c>
      <c r="K1969">
        <v>2005</v>
      </c>
      <c r="L1969" t="s">
        <v>564</v>
      </c>
      <c r="M1969">
        <v>83</v>
      </c>
      <c r="N1969" t="s">
        <v>655</v>
      </c>
      <c r="O1969" t="s">
        <v>286</v>
      </c>
      <c r="P1969">
        <v>4155551450</v>
      </c>
      <c r="Q1969" t="s">
        <v>287</v>
      </c>
      <c r="S1969" t="s">
        <v>288</v>
      </c>
      <c r="T1969" t="s">
        <v>69</v>
      </c>
      <c r="U1969">
        <v>97562</v>
      </c>
      <c r="V1969" t="s">
        <v>46</v>
      </c>
      <c r="W1969" t="s">
        <v>47</v>
      </c>
      <c r="X1969" t="s">
        <v>289</v>
      </c>
      <c r="Y1969" t="s">
        <v>290</v>
      </c>
      <c r="Z1969" t="s">
        <v>65</v>
      </c>
    </row>
    <row r="1970" spans="1:26" x14ac:dyDescent="0.3">
      <c r="A1970">
        <v>10400</v>
      </c>
      <c r="B1970">
        <v>42</v>
      </c>
      <c r="C1970">
        <v>72.959999999999994</v>
      </c>
      <c r="D1970">
        <v>8</v>
      </c>
      <c r="E1970">
        <v>3064.32</v>
      </c>
      <c r="F1970" s="1">
        <v>38443</v>
      </c>
      <c r="G1970" t="s">
        <v>39</v>
      </c>
      <c r="H1970">
        <v>2</v>
      </c>
      <c r="I1970">
        <v>4</v>
      </c>
      <c r="J1970" t="str">
        <f>TEXT(DATE(2012,Table1[[#This Row],[MONTH_ID]],10),"mmm")</f>
        <v>Apr</v>
      </c>
      <c r="K1970">
        <v>2005</v>
      </c>
      <c r="L1970" t="s">
        <v>564</v>
      </c>
      <c r="M1970">
        <v>83</v>
      </c>
      <c r="N1970" t="s">
        <v>655</v>
      </c>
      <c r="O1970" t="s">
        <v>411</v>
      </c>
      <c r="P1970">
        <v>4085553659</v>
      </c>
      <c r="Q1970" t="s">
        <v>412</v>
      </c>
      <c r="S1970" t="s">
        <v>413</v>
      </c>
      <c r="T1970" t="s">
        <v>69</v>
      </c>
      <c r="U1970">
        <v>94217</v>
      </c>
      <c r="V1970" t="s">
        <v>46</v>
      </c>
      <c r="W1970" t="s">
        <v>47</v>
      </c>
      <c r="X1970" t="s">
        <v>116</v>
      </c>
      <c r="Y1970" t="s">
        <v>414</v>
      </c>
      <c r="Z1970" t="s">
        <v>65</v>
      </c>
    </row>
    <row r="1971" spans="1:26" x14ac:dyDescent="0.3">
      <c r="A1971">
        <v>10414</v>
      </c>
      <c r="B1971">
        <v>51</v>
      </c>
      <c r="C1971">
        <v>76.31</v>
      </c>
      <c r="D1971">
        <v>2</v>
      </c>
      <c r="E1971">
        <v>3891.81</v>
      </c>
      <c r="F1971" s="1">
        <v>38478</v>
      </c>
      <c r="G1971" t="s">
        <v>415</v>
      </c>
      <c r="H1971">
        <v>2</v>
      </c>
      <c r="I1971">
        <v>5</v>
      </c>
      <c r="J1971" t="str">
        <f>TEXT(DATE(2012,Table1[[#This Row],[MONTH_ID]],10),"mmm")</f>
        <v>May</v>
      </c>
      <c r="K1971">
        <v>2005</v>
      </c>
      <c r="L1971" t="s">
        <v>564</v>
      </c>
      <c r="M1971">
        <v>83</v>
      </c>
      <c r="N1971" t="s">
        <v>655</v>
      </c>
      <c r="O1971" t="s">
        <v>393</v>
      </c>
      <c r="P1971">
        <v>6175559555</v>
      </c>
      <c r="Q1971" t="s">
        <v>394</v>
      </c>
      <c r="S1971" t="s">
        <v>395</v>
      </c>
      <c r="T1971" t="s">
        <v>137</v>
      </c>
      <c r="U1971">
        <v>51003</v>
      </c>
      <c r="V1971" t="s">
        <v>46</v>
      </c>
      <c r="W1971" t="s">
        <v>47</v>
      </c>
      <c r="X1971" t="s">
        <v>396</v>
      </c>
      <c r="Y1971" t="s">
        <v>80</v>
      </c>
      <c r="Z1971" t="s">
        <v>65</v>
      </c>
    </row>
    <row r="1972" spans="1:26" x14ac:dyDescent="0.3">
      <c r="A1972">
        <v>10108</v>
      </c>
      <c r="B1972">
        <v>40</v>
      </c>
      <c r="C1972">
        <v>100</v>
      </c>
      <c r="D1972">
        <v>1</v>
      </c>
      <c r="E1972">
        <v>5448.8</v>
      </c>
      <c r="F1972" s="1">
        <v>37683</v>
      </c>
      <c r="G1972" t="s">
        <v>39</v>
      </c>
      <c r="H1972">
        <v>1</v>
      </c>
      <c r="I1972">
        <v>3</v>
      </c>
      <c r="J1972" t="str">
        <f>TEXT(DATE(2012,Table1[[#This Row],[MONTH_ID]],10),"mmm")</f>
        <v>Mar</v>
      </c>
      <c r="K1972">
        <v>2003</v>
      </c>
      <c r="L1972" t="s">
        <v>195</v>
      </c>
      <c r="M1972">
        <v>140</v>
      </c>
      <c r="N1972" t="s">
        <v>656</v>
      </c>
      <c r="O1972" t="s">
        <v>439</v>
      </c>
      <c r="P1972" t="s">
        <v>440</v>
      </c>
      <c r="Q1972" t="s">
        <v>441</v>
      </c>
      <c r="S1972" t="s">
        <v>442</v>
      </c>
      <c r="U1972" t="s">
        <v>443</v>
      </c>
      <c r="V1972" t="s">
        <v>444</v>
      </c>
      <c r="W1972" t="s">
        <v>214</v>
      </c>
      <c r="X1972" t="s">
        <v>445</v>
      </c>
      <c r="Y1972" t="s">
        <v>446</v>
      </c>
      <c r="Z1972" t="s">
        <v>65</v>
      </c>
    </row>
    <row r="1973" spans="1:26" x14ac:dyDescent="0.3">
      <c r="A1973">
        <v>10122</v>
      </c>
      <c r="B1973">
        <v>43</v>
      </c>
      <c r="C1973">
        <v>100</v>
      </c>
      <c r="D1973">
        <v>5</v>
      </c>
      <c r="E1973">
        <v>5494.97</v>
      </c>
      <c r="F1973" s="1">
        <v>37749</v>
      </c>
      <c r="G1973" t="s">
        <v>39</v>
      </c>
      <c r="H1973">
        <v>2</v>
      </c>
      <c r="I1973">
        <v>5</v>
      </c>
      <c r="J1973" t="str">
        <f>TEXT(DATE(2012,Table1[[#This Row],[MONTH_ID]],10),"mmm")</f>
        <v>May</v>
      </c>
      <c r="K1973">
        <v>2003</v>
      </c>
      <c r="L1973" t="s">
        <v>195</v>
      </c>
      <c r="M1973">
        <v>140</v>
      </c>
      <c r="N1973" t="s">
        <v>656</v>
      </c>
      <c r="O1973" t="s">
        <v>447</v>
      </c>
      <c r="P1973" t="s">
        <v>448</v>
      </c>
      <c r="Q1973" t="s">
        <v>449</v>
      </c>
      <c r="S1973" t="s">
        <v>450</v>
      </c>
      <c r="U1973">
        <v>13008</v>
      </c>
      <c r="V1973" t="s">
        <v>55</v>
      </c>
      <c r="W1973" t="s">
        <v>56</v>
      </c>
      <c r="X1973" t="s">
        <v>451</v>
      </c>
      <c r="Y1973" t="s">
        <v>452</v>
      </c>
      <c r="Z1973" t="s">
        <v>65</v>
      </c>
    </row>
    <row r="1974" spans="1:26" x14ac:dyDescent="0.3">
      <c r="A1974">
        <v>10135</v>
      </c>
      <c r="B1974">
        <v>47</v>
      </c>
      <c r="C1974">
        <v>100</v>
      </c>
      <c r="D1974">
        <v>2</v>
      </c>
      <c r="E1974">
        <v>6336.07</v>
      </c>
      <c r="F1974" s="1">
        <v>37804</v>
      </c>
      <c r="G1974" t="s">
        <v>39</v>
      </c>
      <c r="H1974">
        <v>3</v>
      </c>
      <c r="I1974">
        <v>7</v>
      </c>
      <c r="J1974" t="str">
        <f>TEXT(DATE(2012,Table1[[#This Row],[MONTH_ID]],10),"mmm")</f>
        <v>Jul</v>
      </c>
      <c r="K1974">
        <v>2003</v>
      </c>
      <c r="L1974" t="s">
        <v>195</v>
      </c>
      <c r="M1974">
        <v>140</v>
      </c>
      <c r="N1974" t="s">
        <v>656</v>
      </c>
      <c r="O1974" t="s">
        <v>286</v>
      </c>
      <c r="P1974">
        <v>4155551450</v>
      </c>
      <c r="Q1974" t="s">
        <v>287</v>
      </c>
      <c r="S1974" t="s">
        <v>288</v>
      </c>
      <c r="T1974" t="s">
        <v>69</v>
      </c>
      <c r="U1974">
        <v>97562</v>
      </c>
      <c r="V1974" t="s">
        <v>46</v>
      </c>
      <c r="W1974" t="s">
        <v>47</v>
      </c>
      <c r="X1974" t="s">
        <v>289</v>
      </c>
      <c r="Y1974" t="s">
        <v>290</v>
      </c>
      <c r="Z1974" t="s">
        <v>65</v>
      </c>
    </row>
    <row r="1975" spans="1:26" x14ac:dyDescent="0.3">
      <c r="A1975">
        <v>10147</v>
      </c>
      <c r="B1975">
        <v>23</v>
      </c>
      <c r="C1975">
        <v>100</v>
      </c>
      <c r="D1975">
        <v>2</v>
      </c>
      <c r="E1975">
        <v>2906.97</v>
      </c>
      <c r="F1975" s="1">
        <v>37869</v>
      </c>
      <c r="G1975" t="s">
        <v>39</v>
      </c>
      <c r="H1975">
        <v>3</v>
      </c>
      <c r="I1975">
        <v>9</v>
      </c>
      <c r="J1975" t="str">
        <f>TEXT(DATE(2012,Table1[[#This Row],[MONTH_ID]],10),"mmm")</f>
        <v>Sep</v>
      </c>
      <c r="K1975">
        <v>2003</v>
      </c>
      <c r="L1975" t="s">
        <v>195</v>
      </c>
      <c r="M1975">
        <v>140</v>
      </c>
      <c r="N1975" t="s">
        <v>656</v>
      </c>
      <c r="O1975" t="s">
        <v>295</v>
      </c>
      <c r="P1975">
        <v>6175558555</v>
      </c>
      <c r="Q1975" t="s">
        <v>296</v>
      </c>
      <c r="S1975" t="s">
        <v>297</v>
      </c>
      <c r="T1975" t="s">
        <v>137</v>
      </c>
      <c r="U1975">
        <v>58339</v>
      </c>
      <c r="V1975" t="s">
        <v>46</v>
      </c>
      <c r="W1975" t="s">
        <v>47</v>
      </c>
      <c r="X1975" t="s">
        <v>289</v>
      </c>
      <c r="Y1975" t="s">
        <v>298</v>
      </c>
      <c r="Z1975" t="s">
        <v>50</v>
      </c>
    </row>
    <row r="1976" spans="1:26" x14ac:dyDescent="0.3">
      <c r="A1976">
        <v>10160</v>
      </c>
      <c r="B1976">
        <v>35</v>
      </c>
      <c r="C1976">
        <v>100</v>
      </c>
      <c r="D1976">
        <v>3</v>
      </c>
      <c r="E1976">
        <v>4767.7</v>
      </c>
      <c r="F1976" s="1">
        <v>37905</v>
      </c>
      <c r="G1976" t="s">
        <v>39</v>
      </c>
      <c r="H1976">
        <v>4</v>
      </c>
      <c r="I1976">
        <v>10</v>
      </c>
      <c r="J1976" t="str">
        <f>TEXT(DATE(2012,Table1[[#This Row],[MONTH_ID]],10),"mmm")</f>
        <v>Oct</v>
      </c>
      <c r="K1976">
        <v>2003</v>
      </c>
      <c r="L1976" t="s">
        <v>195</v>
      </c>
      <c r="M1976">
        <v>140</v>
      </c>
      <c r="N1976" t="s">
        <v>656</v>
      </c>
      <c r="O1976" t="s">
        <v>372</v>
      </c>
      <c r="P1976">
        <v>2155554369</v>
      </c>
      <c r="Q1976" t="s">
        <v>373</v>
      </c>
      <c r="S1976" t="s">
        <v>374</v>
      </c>
      <c r="T1976" t="s">
        <v>69</v>
      </c>
      <c r="V1976" t="s">
        <v>46</v>
      </c>
      <c r="W1976" t="s">
        <v>47</v>
      </c>
      <c r="X1976" t="s">
        <v>375</v>
      </c>
      <c r="Y1976" t="s">
        <v>117</v>
      </c>
      <c r="Z1976" t="s">
        <v>65</v>
      </c>
    </row>
    <row r="1977" spans="1:26" x14ac:dyDescent="0.3">
      <c r="A1977">
        <v>10170</v>
      </c>
      <c r="B1977">
        <v>34</v>
      </c>
      <c r="C1977">
        <v>100</v>
      </c>
      <c r="D1977">
        <v>1</v>
      </c>
      <c r="E1977">
        <v>3819.56</v>
      </c>
      <c r="F1977" s="1">
        <v>37929</v>
      </c>
      <c r="G1977" t="s">
        <v>39</v>
      </c>
      <c r="H1977">
        <v>4</v>
      </c>
      <c r="I1977">
        <v>11</v>
      </c>
      <c r="J1977" t="str">
        <f>TEXT(DATE(2012,Table1[[#This Row],[MONTH_ID]],10),"mmm")</f>
        <v>Nov</v>
      </c>
      <c r="K1977">
        <v>2003</v>
      </c>
      <c r="L1977" t="s">
        <v>195</v>
      </c>
      <c r="M1977">
        <v>140</v>
      </c>
      <c r="N1977" t="s">
        <v>656</v>
      </c>
      <c r="O1977" t="s">
        <v>423</v>
      </c>
      <c r="P1977" t="s">
        <v>424</v>
      </c>
      <c r="Q1977" t="s">
        <v>425</v>
      </c>
      <c r="S1977" t="s">
        <v>426</v>
      </c>
      <c r="U1977">
        <v>8010</v>
      </c>
      <c r="V1977" t="s">
        <v>162</v>
      </c>
      <c r="W1977" t="s">
        <v>56</v>
      </c>
      <c r="X1977" t="s">
        <v>427</v>
      </c>
      <c r="Y1977" t="s">
        <v>428</v>
      </c>
      <c r="Z1977" t="s">
        <v>65</v>
      </c>
    </row>
    <row r="1978" spans="1:26" x14ac:dyDescent="0.3">
      <c r="A1978">
        <v>10181</v>
      </c>
      <c r="B1978">
        <v>25</v>
      </c>
      <c r="C1978">
        <v>100</v>
      </c>
      <c r="D1978">
        <v>9</v>
      </c>
      <c r="E1978">
        <v>3861.75</v>
      </c>
      <c r="F1978" s="1">
        <v>37937</v>
      </c>
      <c r="G1978" t="s">
        <v>39</v>
      </c>
      <c r="H1978">
        <v>4</v>
      </c>
      <c r="I1978">
        <v>11</v>
      </c>
      <c r="J1978" t="str">
        <f>TEXT(DATE(2012,Table1[[#This Row],[MONTH_ID]],10),"mmm")</f>
        <v>Nov</v>
      </c>
      <c r="K1978">
        <v>2003</v>
      </c>
      <c r="L1978" t="s">
        <v>195</v>
      </c>
      <c r="M1978">
        <v>140</v>
      </c>
      <c r="N1978" t="s">
        <v>656</v>
      </c>
      <c r="O1978" t="s">
        <v>87</v>
      </c>
      <c r="P1978" t="s">
        <v>88</v>
      </c>
      <c r="Q1978" t="s">
        <v>89</v>
      </c>
      <c r="S1978" t="s">
        <v>90</v>
      </c>
      <c r="U1978" t="s">
        <v>91</v>
      </c>
      <c r="V1978" t="s">
        <v>92</v>
      </c>
      <c r="W1978" t="s">
        <v>56</v>
      </c>
      <c r="X1978" t="s">
        <v>93</v>
      </c>
      <c r="Y1978" t="s">
        <v>94</v>
      </c>
      <c r="Z1978" t="s">
        <v>65</v>
      </c>
    </row>
    <row r="1979" spans="1:26" x14ac:dyDescent="0.3">
      <c r="A1979">
        <v>10192</v>
      </c>
      <c r="B1979">
        <v>45</v>
      </c>
      <c r="C1979">
        <v>100</v>
      </c>
      <c r="D1979">
        <v>14</v>
      </c>
      <c r="E1979">
        <v>6319.35</v>
      </c>
      <c r="F1979" s="1">
        <v>37945</v>
      </c>
      <c r="G1979" t="s">
        <v>39</v>
      </c>
      <c r="H1979">
        <v>4</v>
      </c>
      <c r="I1979">
        <v>11</v>
      </c>
      <c r="J1979" t="str">
        <f>TEXT(DATE(2012,Table1[[#This Row],[MONTH_ID]],10),"mmm")</f>
        <v>Nov</v>
      </c>
      <c r="K1979">
        <v>2003</v>
      </c>
      <c r="L1979" t="s">
        <v>195</v>
      </c>
      <c r="M1979">
        <v>140</v>
      </c>
      <c r="N1979" t="s">
        <v>656</v>
      </c>
      <c r="O1979" t="s">
        <v>291</v>
      </c>
      <c r="P1979">
        <v>6035558647</v>
      </c>
      <c r="Q1979" t="s">
        <v>292</v>
      </c>
      <c r="S1979" t="s">
        <v>293</v>
      </c>
      <c r="T1979" t="s">
        <v>294</v>
      </c>
      <c r="U1979">
        <v>62005</v>
      </c>
      <c r="V1979" t="s">
        <v>46</v>
      </c>
      <c r="W1979" t="s">
        <v>47</v>
      </c>
      <c r="X1979" t="s">
        <v>70</v>
      </c>
      <c r="Y1979" t="s">
        <v>290</v>
      </c>
      <c r="Z1979" t="s">
        <v>65</v>
      </c>
    </row>
    <row r="1980" spans="1:26" x14ac:dyDescent="0.3">
      <c r="A1980">
        <v>10203</v>
      </c>
      <c r="B1980">
        <v>47</v>
      </c>
      <c r="C1980">
        <v>100</v>
      </c>
      <c r="D1980">
        <v>3</v>
      </c>
      <c r="E1980">
        <v>6996.42</v>
      </c>
      <c r="F1980" s="1">
        <v>37957</v>
      </c>
      <c r="G1980" t="s">
        <v>39</v>
      </c>
      <c r="H1980">
        <v>4</v>
      </c>
      <c r="I1980">
        <v>12</v>
      </c>
      <c r="J1980" t="str">
        <f>TEXT(DATE(2012,Table1[[#This Row],[MONTH_ID]],10),"mmm")</f>
        <v>Dec</v>
      </c>
      <c r="K1980">
        <v>2003</v>
      </c>
      <c r="L1980" t="s">
        <v>195</v>
      </c>
      <c r="M1980">
        <v>140</v>
      </c>
      <c r="N1980" t="s">
        <v>656</v>
      </c>
      <c r="O1980" t="s">
        <v>188</v>
      </c>
      <c r="P1980" t="s">
        <v>189</v>
      </c>
      <c r="Q1980" t="s">
        <v>190</v>
      </c>
      <c r="S1980" t="s">
        <v>191</v>
      </c>
      <c r="U1980">
        <v>28034</v>
      </c>
      <c r="V1980" t="s">
        <v>192</v>
      </c>
      <c r="W1980" t="s">
        <v>56</v>
      </c>
      <c r="X1980" t="s">
        <v>193</v>
      </c>
      <c r="Y1980" t="s">
        <v>194</v>
      </c>
      <c r="Z1980" t="s">
        <v>65</v>
      </c>
    </row>
    <row r="1981" spans="1:26" x14ac:dyDescent="0.3">
      <c r="A1981">
        <v>10212</v>
      </c>
      <c r="B1981">
        <v>49</v>
      </c>
      <c r="C1981">
        <v>100</v>
      </c>
      <c r="D1981">
        <v>13</v>
      </c>
      <c r="E1981">
        <v>6949.67</v>
      </c>
      <c r="F1981" s="1">
        <v>38002</v>
      </c>
      <c r="G1981" t="s">
        <v>39</v>
      </c>
      <c r="H1981">
        <v>1</v>
      </c>
      <c r="I1981">
        <v>1</v>
      </c>
      <c r="J1981" t="str">
        <f>TEXT(DATE(2012,Table1[[#This Row],[MONTH_ID]],10),"mmm")</f>
        <v>Jan</v>
      </c>
      <c r="K1981">
        <v>2004</v>
      </c>
      <c r="L1981" t="s">
        <v>195</v>
      </c>
      <c r="M1981">
        <v>140</v>
      </c>
      <c r="N1981" t="s">
        <v>656</v>
      </c>
      <c r="O1981" t="s">
        <v>188</v>
      </c>
      <c r="P1981" t="s">
        <v>189</v>
      </c>
      <c r="Q1981" t="s">
        <v>190</v>
      </c>
      <c r="S1981" t="s">
        <v>191</v>
      </c>
      <c r="U1981">
        <v>28034</v>
      </c>
      <c r="V1981" t="s">
        <v>192</v>
      </c>
      <c r="W1981" t="s">
        <v>56</v>
      </c>
      <c r="X1981" t="s">
        <v>193</v>
      </c>
      <c r="Y1981" t="s">
        <v>194</v>
      </c>
      <c r="Z1981" t="s">
        <v>65</v>
      </c>
    </row>
    <row r="1982" spans="1:26" x14ac:dyDescent="0.3">
      <c r="A1982">
        <v>10225</v>
      </c>
      <c r="B1982">
        <v>40</v>
      </c>
      <c r="C1982">
        <v>100</v>
      </c>
      <c r="D1982">
        <v>4</v>
      </c>
      <c r="E1982">
        <v>4550</v>
      </c>
      <c r="F1982" s="1">
        <v>38039</v>
      </c>
      <c r="G1982" t="s">
        <v>39</v>
      </c>
      <c r="H1982">
        <v>1</v>
      </c>
      <c r="I1982">
        <v>2</v>
      </c>
      <c r="J1982" t="str">
        <f>TEXT(DATE(2012,Table1[[#This Row],[MONTH_ID]],10),"mmm")</f>
        <v>Feb</v>
      </c>
      <c r="K1982">
        <v>2004</v>
      </c>
      <c r="L1982" t="s">
        <v>195</v>
      </c>
      <c r="M1982">
        <v>140</v>
      </c>
      <c r="N1982" t="s">
        <v>656</v>
      </c>
      <c r="O1982" t="s">
        <v>460</v>
      </c>
      <c r="P1982" t="s">
        <v>461</v>
      </c>
      <c r="Q1982" t="s">
        <v>462</v>
      </c>
      <c r="S1982" t="s">
        <v>463</v>
      </c>
      <c r="U1982">
        <v>1203</v>
      </c>
      <c r="V1982" t="s">
        <v>464</v>
      </c>
      <c r="W1982" t="s">
        <v>56</v>
      </c>
      <c r="X1982" t="s">
        <v>465</v>
      </c>
      <c r="Y1982" t="s">
        <v>117</v>
      </c>
      <c r="Z1982" t="s">
        <v>65</v>
      </c>
    </row>
    <row r="1983" spans="1:26" x14ac:dyDescent="0.3">
      <c r="A1983">
        <v>10239</v>
      </c>
      <c r="B1983">
        <v>29</v>
      </c>
      <c r="C1983">
        <v>100</v>
      </c>
      <c r="D1983">
        <v>3</v>
      </c>
      <c r="E1983">
        <v>4479.63</v>
      </c>
      <c r="F1983" s="1">
        <v>38089</v>
      </c>
      <c r="G1983" t="s">
        <v>39</v>
      </c>
      <c r="H1983">
        <v>2</v>
      </c>
      <c r="I1983">
        <v>4</v>
      </c>
      <c r="J1983" t="str">
        <f>TEXT(DATE(2012,Table1[[#This Row],[MONTH_ID]],10),"mmm")</f>
        <v>Apr</v>
      </c>
      <c r="K1983">
        <v>2004</v>
      </c>
      <c r="L1983" t="s">
        <v>195</v>
      </c>
      <c r="M1983">
        <v>140</v>
      </c>
      <c r="N1983" t="s">
        <v>656</v>
      </c>
      <c r="O1983" t="s">
        <v>405</v>
      </c>
      <c r="P1983" t="s">
        <v>406</v>
      </c>
      <c r="Q1983" t="s">
        <v>407</v>
      </c>
      <c r="S1983" t="s">
        <v>408</v>
      </c>
      <c r="U1983">
        <v>90110</v>
      </c>
      <c r="V1983" t="s">
        <v>144</v>
      </c>
      <c r="W1983" t="s">
        <v>56</v>
      </c>
      <c r="X1983" t="s">
        <v>409</v>
      </c>
      <c r="Y1983" t="s">
        <v>410</v>
      </c>
      <c r="Z1983" t="s">
        <v>65</v>
      </c>
    </row>
    <row r="1984" spans="1:26" x14ac:dyDescent="0.3">
      <c r="A1984">
        <v>10253</v>
      </c>
      <c r="B1984">
        <v>39</v>
      </c>
      <c r="C1984">
        <v>100</v>
      </c>
      <c r="D1984">
        <v>8</v>
      </c>
      <c r="E1984">
        <v>5148</v>
      </c>
      <c r="F1984" s="1">
        <v>38139</v>
      </c>
      <c r="G1984" t="s">
        <v>353</v>
      </c>
      <c r="H1984">
        <v>2</v>
      </c>
      <c r="I1984">
        <v>6</v>
      </c>
      <c r="J1984" t="str">
        <f>TEXT(DATE(2012,Table1[[#This Row],[MONTH_ID]],10),"mmm")</f>
        <v>Jun</v>
      </c>
      <c r="K1984">
        <v>2004</v>
      </c>
      <c r="L1984" t="s">
        <v>195</v>
      </c>
      <c r="M1984">
        <v>140</v>
      </c>
      <c r="N1984" t="s">
        <v>656</v>
      </c>
      <c r="O1984" t="s">
        <v>179</v>
      </c>
      <c r="P1984" t="s">
        <v>180</v>
      </c>
      <c r="Q1984" t="s">
        <v>181</v>
      </c>
      <c r="S1984" t="s">
        <v>182</v>
      </c>
      <c r="U1984" t="s">
        <v>183</v>
      </c>
      <c r="V1984" t="s">
        <v>184</v>
      </c>
      <c r="W1984" t="s">
        <v>56</v>
      </c>
      <c r="X1984" t="s">
        <v>185</v>
      </c>
      <c r="Y1984" t="s">
        <v>186</v>
      </c>
      <c r="Z1984" t="s">
        <v>65</v>
      </c>
    </row>
    <row r="1985" spans="1:26" x14ac:dyDescent="0.3">
      <c r="A1985">
        <v>10266</v>
      </c>
      <c r="B1985">
        <v>24</v>
      </c>
      <c r="C1985">
        <v>100</v>
      </c>
      <c r="D1985">
        <v>9</v>
      </c>
      <c r="E1985">
        <v>2932.08</v>
      </c>
      <c r="F1985" s="1">
        <v>38174</v>
      </c>
      <c r="G1985" t="s">
        <v>39</v>
      </c>
      <c r="H1985">
        <v>3</v>
      </c>
      <c r="I1985">
        <v>7</v>
      </c>
      <c r="J1985" t="str">
        <f>TEXT(DATE(2012,Table1[[#This Row],[MONTH_ID]],10),"mmm")</f>
        <v>Jul</v>
      </c>
      <c r="K1985">
        <v>2004</v>
      </c>
      <c r="L1985" t="s">
        <v>195</v>
      </c>
      <c r="M1985">
        <v>140</v>
      </c>
      <c r="N1985" t="s">
        <v>656</v>
      </c>
      <c r="O1985" t="s">
        <v>466</v>
      </c>
      <c r="P1985" t="s">
        <v>467</v>
      </c>
      <c r="Q1985" t="s">
        <v>468</v>
      </c>
      <c r="S1985" t="s">
        <v>469</v>
      </c>
      <c r="U1985">
        <v>42100</v>
      </c>
      <c r="V1985" t="s">
        <v>272</v>
      </c>
      <c r="W1985" t="s">
        <v>56</v>
      </c>
      <c r="X1985" t="s">
        <v>470</v>
      </c>
      <c r="Y1985" t="s">
        <v>471</v>
      </c>
      <c r="Z1985" t="s">
        <v>50</v>
      </c>
    </row>
    <row r="1986" spans="1:26" x14ac:dyDescent="0.3">
      <c r="A1986">
        <v>10278</v>
      </c>
      <c r="B1986">
        <v>25</v>
      </c>
      <c r="C1986">
        <v>100</v>
      </c>
      <c r="D1986">
        <v>9</v>
      </c>
      <c r="E1986">
        <v>3159.75</v>
      </c>
      <c r="F1986" s="1">
        <v>38205</v>
      </c>
      <c r="G1986" t="s">
        <v>39</v>
      </c>
      <c r="H1986">
        <v>3</v>
      </c>
      <c r="I1986">
        <v>8</v>
      </c>
      <c r="J1986" t="str">
        <f>TEXT(DATE(2012,Table1[[#This Row],[MONTH_ID]],10),"mmm")</f>
        <v>Aug</v>
      </c>
      <c r="K1986">
        <v>2004</v>
      </c>
      <c r="L1986" t="s">
        <v>195</v>
      </c>
      <c r="M1986">
        <v>140</v>
      </c>
      <c r="N1986" t="s">
        <v>656</v>
      </c>
      <c r="O1986" t="s">
        <v>553</v>
      </c>
      <c r="P1986">
        <v>7025551838</v>
      </c>
      <c r="Q1986" t="s">
        <v>554</v>
      </c>
      <c r="S1986" t="s">
        <v>555</v>
      </c>
      <c r="T1986" t="s">
        <v>556</v>
      </c>
      <c r="U1986">
        <v>83030</v>
      </c>
      <c r="V1986" t="s">
        <v>46</v>
      </c>
      <c r="W1986" t="s">
        <v>47</v>
      </c>
      <c r="X1986" t="s">
        <v>127</v>
      </c>
      <c r="Y1986" t="s">
        <v>414</v>
      </c>
      <c r="Z1986" t="s">
        <v>65</v>
      </c>
    </row>
    <row r="1987" spans="1:26" x14ac:dyDescent="0.3">
      <c r="A1987">
        <v>10287</v>
      </c>
      <c r="B1987">
        <v>36</v>
      </c>
      <c r="C1987">
        <v>100</v>
      </c>
      <c r="D1987">
        <v>7</v>
      </c>
      <c r="E1987">
        <v>4297.32</v>
      </c>
      <c r="F1987" s="1">
        <v>38229</v>
      </c>
      <c r="G1987" t="s">
        <v>39</v>
      </c>
      <c r="H1987">
        <v>3</v>
      </c>
      <c r="I1987">
        <v>8</v>
      </c>
      <c r="J1987" t="str">
        <f>TEXT(DATE(2012,Table1[[#This Row],[MONTH_ID]],10),"mmm")</f>
        <v>Aug</v>
      </c>
      <c r="K1987">
        <v>2004</v>
      </c>
      <c r="L1987" t="s">
        <v>195</v>
      </c>
      <c r="M1987">
        <v>140</v>
      </c>
      <c r="N1987" t="s">
        <v>656</v>
      </c>
      <c r="O1987" t="s">
        <v>460</v>
      </c>
      <c r="P1987" t="s">
        <v>461</v>
      </c>
      <c r="Q1987" t="s">
        <v>462</v>
      </c>
      <c r="S1987" t="s">
        <v>463</v>
      </c>
      <c r="U1987">
        <v>1203</v>
      </c>
      <c r="V1987" t="s">
        <v>464</v>
      </c>
      <c r="W1987" t="s">
        <v>56</v>
      </c>
      <c r="X1987" t="s">
        <v>465</v>
      </c>
      <c r="Y1987" t="s">
        <v>117</v>
      </c>
      <c r="Z1987" t="s">
        <v>65</v>
      </c>
    </row>
    <row r="1988" spans="1:26" x14ac:dyDescent="0.3">
      <c r="A1988">
        <v>10301</v>
      </c>
      <c r="B1988">
        <v>50</v>
      </c>
      <c r="C1988">
        <v>100</v>
      </c>
      <c r="D1988">
        <v>11</v>
      </c>
      <c r="E1988">
        <v>7723.5</v>
      </c>
      <c r="F1988" s="1">
        <v>37899</v>
      </c>
      <c r="G1988" t="s">
        <v>39</v>
      </c>
      <c r="H1988">
        <v>4</v>
      </c>
      <c r="I1988">
        <v>10</v>
      </c>
      <c r="J1988" t="str">
        <f>TEXT(DATE(2012,Table1[[#This Row],[MONTH_ID]],10),"mmm")</f>
        <v>Oct</v>
      </c>
      <c r="K1988">
        <v>2003</v>
      </c>
      <c r="L1988" t="s">
        <v>195</v>
      </c>
      <c r="M1988">
        <v>140</v>
      </c>
      <c r="N1988" t="s">
        <v>656</v>
      </c>
      <c r="O1988" t="s">
        <v>557</v>
      </c>
      <c r="P1988" t="s">
        <v>558</v>
      </c>
      <c r="Q1988" t="s">
        <v>559</v>
      </c>
      <c r="S1988" t="s">
        <v>560</v>
      </c>
      <c r="U1988" t="s">
        <v>561</v>
      </c>
      <c r="V1988" t="s">
        <v>92</v>
      </c>
      <c r="W1988" t="s">
        <v>56</v>
      </c>
      <c r="X1988" t="s">
        <v>562</v>
      </c>
      <c r="Y1988" t="s">
        <v>563</v>
      </c>
      <c r="Z1988" t="s">
        <v>165</v>
      </c>
    </row>
    <row r="1989" spans="1:26" x14ac:dyDescent="0.3">
      <c r="A1989">
        <v>10310</v>
      </c>
      <c r="B1989">
        <v>45</v>
      </c>
      <c r="C1989">
        <v>100</v>
      </c>
      <c r="D1989">
        <v>5</v>
      </c>
      <c r="E1989">
        <v>5497.65</v>
      </c>
      <c r="F1989" s="1">
        <v>38276</v>
      </c>
      <c r="G1989" t="s">
        <v>39</v>
      </c>
      <c r="H1989">
        <v>4</v>
      </c>
      <c r="I1989">
        <v>10</v>
      </c>
      <c r="J1989" t="str">
        <f>TEXT(DATE(2012,Table1[[#This Row],[MONTH_ID]],10),"mmm")</f>
        <v>Oct</v>
      </c>
      <c r="K1989">
        <v>2004</v>
      </c>
      <c r="L1989" t="s">
        <v>195</v>
      </c>
      <c r="M1989">
        <v>140</v>
      </c>
      <c r="N1989" t="s">
        <v>656</v>
      </c>
      <c r="O1989" t="s">
        <v>453</v>
      </c>
      <c r="P1989" t="s">
        <v>454</v>
      </c>
      <c r="Q1989" t="s">
        <v>455</v>
      </c>
      <c r="S1989" t="s">
        <v>456</v>
      </c>
      <c r="U1989">
        <v>50739</v>
      </c>
      <c r="V1989" t="s">
        <v>457</v>
      </c>
      <c r="W1989" t="s">
        <v>56</v>
      </c>
      <c r="X1989" t="s">
        <v>458</v>
      </c>
      <c r="Y1989" t="s">
        <v>459</v>
      </c>
      <c r="Z1989" t="s">
        <v>65</v>
      </c>
    </row>
    <row r="1990" spans="1:26" x14ac:dyDescent="0.3">
      <c r="A1990">
        <v>10321</v>
      </c>
      <c r="B1990">
        <v>26</v>
      </c>
      <c r="C1990">
        <v>100</v>
      </c>
      <c r="D1990">
        <v>13</v>
      </c>
      <c r="E1990">
        <v>4052.88</v>
      </c>
      <c r="F1990" s="1">
        <v>38295</v>
      </c>
      <c r="G1990" t="s">
        <v>39</v>
      </c>
      <c r="H1990">
        <v>4</v>
      </c>
      <c r="I1990">
        <v>11</v>
      </c>
      <c r="J1990" t="str">
        <f>TEXT(DATE(2012,Table1[[#This Row],[MONTH_ID]],10),"mmm")</f>
        <v>Nov</v>
      </c>
      <c r="K1990">
        <v>2004</v>
      </c>
      <c r="L1990" t="s">
        <v>195</v>
      </c>
      <c r="M1990">
        <v>140</v>
      </c>
      <c r="N1990" t="s">
        <v>656</v>
      </c>
      <c r="O1990" t="s">
        <v>174</v>
      </c>
      <c r="P1990">
        <v>5085552555</v>
      </c>
      <c r="Q1990" t="s">
        <v>175</v>
      </c>
      <c r="S1990" t="s">
        <v>176</v>
      </c>
      <c r="T1990" t="s">
        <v>137</v>
      </c>
      <c r="U1990">
        <v>50553</v>
      </c>
      <c r="V1990" t="s">
        <v>46</v>
      </c>
      <c r="W1990" t="s">
        <v>47</v>
      </c>
      <c r="X1990" t="s">
        <v>177</v>
      </c>
      <c r="Y1990" t="s">
        <v>178</v>
      </c>
      <c r="Z1990" t="s">
        <v>65</v>
      </c>
    </row>
    <row r="1991" spans="1:26" x14ac:dyDescent="0.3">
      <c r="A1991">
        <v>10331</v>
      </c>
      <c r="B1991">
        <v>21</v>
      </c>
      <c r="C1991">
        <v>100</v>
      </c>
      <c r="D1991">
        <v>1</v>
      </c>
      <c r="E1991">
        <v>3135.93</v>
      </c>
      <c r="F1991" s="1">
        <v>38308</v>
      </c>
      <c r="G1991" t="s">
        <v>39</v>
      </c>
      <c r="H1991">
        <v>4</v>
      </c>
      <c r="I1991">
        <v>11</v>
      </c>
      <c r="J1991" t="str">
        <f>TEXT(DATE(2012,Table1[[#This Row],[MONTH_ID]],10),"mmm")</f>
        <v>Nov</v>
      </c>
      <c r="K1991">
        <v>2004</v>
      </c>
      <c r="L1991" t="s">
        <v>195</v>
      </c>
      <c r="M1991">
        <v>140</v>
      </c>
      <c r="N1991" t="s">
        <v>656</v>
      </c>
      <c r="O1991" t="s">
        <v>323</v>
      </c>
      <c r="P1991">
        <v>2155559857</v>
      </c>
      <c r="Q1991" t="s">
        <v>324</v>
      </c>
      <c r="S1991" t="s">
        <v>230</v>
      </c>
      <c r="T1991" t="s">
        <v>156</v>
      </c>
      <c r="U1991">
        <v>71270</v>
      </c>
      <c r="V1991" t="s">
        <v>46</v>
      </c>
      <c r="W1991" t="s">
        <v>47</v>
      </c>
      <c r="X1991" t="s">
        <v>138</v>
      </c>
      <c r="Y1991" t="s">
        <v>325</v>
      </c>
      <c r="Z1991" t="s">
        <v>65</v>
      </c>
    </row>
    <row r="1992" spans="1:26" x14ac:dyDescent="0.3">
      <c r="A1992">
        <v>10342</v>
      </c>
      <c r="B1992">
        <v>42</v>
      </c>
      <c r="C1992">
        <v>100</v>
      </c>
      <c r="D1992">
        <v>6</v>
      </c>
      <c r="E1992">
        <v>5013.54</v>
      </c>
      <c r="F1992" s="1">
        <v>38315</v>
      </c>
      <c r="G1992" t="s">
        <v>39</v>
      </c>
      <c r="H1992">
        <v>4</v>
      </c>
      <c r="I1992">
        <v>11</v>
      </c>
      <c r="J1992" t="str">
        <f>TEXT(DATE(2012,Table1[[#This Row],[MONTH_ID]],10),"mmm")</f>
        <v>Nov</v>
      </c>
      <c r="K1992">
        <v>2004</v>
      </c>
      <c r="L1992" t="s">
        <v>195</v>
      </c>
      <c r="M1992">
        <v>140</v>
      </c>
      <c r="N1992" t="s">
        <v>656</v>
      </c>
      <c r="O1992" t="s">
        <v>103</v>
      </c>
      <c r="P1992" t="s">
        <v>104</v>
      </c>
      <c r="Q1992" t="s">
        <v>105</v>
      </c>
      <c r="R1992" t="s">
        <v>106</v>
      </c>
      <c r="S1992" t="s">
        <v>107</v>
      </c>
      <c r="T1992" t="s">
        <v>108</v>
      </c>
      <c r="U1992">
        <v>3004</v>
      </c>
      <c r="V1992" t="s">
        <v>109</v>
      </c>
      <c r="W1992" t="s">
        <v>110</v>
      </c>
      <c r="X1992" t="s">
        <v>111</v>
      </c>
      <c r="Y1992" t="s">
        <v>112</v>
      </c>
      <c r="Z1992" t="s">
        <v>65</v>
      </c>
    </row>
    <row r="1993" spans="1:26" x14ac:dyDescent="0.3">
      <c r="A1993">
        <v>10355</v>
      </c>
      <c r="B1993">
        <v>32</v>
      </c>
      <c r="C1993">
        <v>100</v>
      </c>
      <c r="D1993">
        <v>8</v>
      </c>
      <c r="E1993">
        <v>5302.72</v>
      </c>
      <c r="F1993" s="1">
        <v>38328</v>
      </c>
      <c r="G1993" t="s">
        <v>39</v>
      </c>
      <c r="H1993">
        <v>4</v>
      </c>
      <c r="I1993">
        <v>12</v>
      </c>
      <c r="J1993" t="str">
        <f>TEXT(DATE(2012,Table1[[#This Row],[MONTH_ID]],10),"mmm")</f>
        <v>Dec</v>
      </c>
      <c r="K1993">
        <v>2004</v>
      </c>
      <c r="L1993" t="s">
        <v>195</v>
      </c>
      <c r="M1993">
        <v>140</v>
      </c>
      <c r="N1993" t="s">
        <v>656</v>
      </c>
      <c r="O1993" t="s">
        <v>188</v>
      </c>
      <c r="P1993" t="s">
        <v>189</v>
      </c>
      <c r="Q1993" t="s">
        <v>190</v>
      </c>
      <c r="S1993" t="s">
        <v>191</v>
      </c>
      <c r="U1993">
        <v>28034</v>
      </c>
      <c r="V1993" t="s">
        <v>192</v>
      </c>
      <c r="W1993" t="s">
        <v>56</v>
      </c>
      <c r="X1993" t="s">
        <v>193</v>
      </c>
      <c r="Y1993" t="s">
        <v>194</v>
      </c>
      <c r="Z1993" t="s">
        <v>65</v>
      </c>
    </row>
    <row r="1994" spans="1:26" x14ac:dyDescent="0.3">
      <c r="A1994">
        <v>10363</v>
      </c>
      <c r="B1994">
        <v>31</v>
      </c>
      <c r="C1994">
        <v>94.58</v>
      </c>
      <c r="D1994">
        <v>1</v>
      </c>
      <c r="E1994">
        <v>2931.98</v>
      </c>
      <c r="F1994" s="1">
        <v>38358</v>
      </c>
      <c r="G1994" t="s">
        <v>39</v>
      </c>
      <c r="H1994">
        <v>1</v>
      </c>
      <c r="I1994">
        <v>1</v>
      </c>
      <c r="J1994" t="str">
        <f>TEXT(DATE(2012,Table1[[#This Row],[MONTH_ID]],10),"mmm")</f>
        <v>Jan</v>
      </c>
      <c r="K1994">
        <v>2005</v>
      </c>
      <c r="L1994" t="s">
        <v>195</v>
      </c>
      <c r="M1994">
        <v>140</v>
      </c>
      <c r="N1994" t="s">
        <v>656</v>
      </c>
      <c r="O1994" t="s">
        <v>481</v>
      </c>
      <c r="P1994" t="s">
        <v>482</v>
      </c>
      <c r="Q1994" t="s">
        <v>483</v>
      </c>
      <c r="S1994" t="s">
        <v>484</v>
      </c>
      <c r="U1994" t="s">
        <v>485</v>
      </c>
      <c r="V1994" t="s">
        <v>144</v>
      </c>
      <c r="W1994" t="s">
        <v>56</v>
      </c>
      <c r="X1994" t="s">
        <v>486</v>
      </c>
      <c r="Y1994" t="s">
        <v>487</v>
      </c>
      <c r="Z1994" t="s">
        <v>50</v>
      </c>
    </row>
    <row r="1995" spans="1:26" x14ac:dyDescent="0.3">
      <c r="A1995">
        <v>10378</v>
      </c>
      <c r="B1995">
        <v>33</v>
      </c>
      <c r="C1995">
        <v>53.27</v>
      </c>
      <c r="D1995">
        <v>3</v>
      </c>
      <c r="E1995">
        <v>1757.91</v>
      </c>
      <c r="F1995" s="1">
        <v>38393</v>
      </c>
      <c r="G1995" t="s">
        <v>39</v>
      </c>
      <c r="H1995">
        <v>1</v>
      </c>
      <c r="I1995">
        <v>2</v>
      </c>
      <c r="J1995" t="str">
        <f>TEXT(DATE(2012,Table1[[#This Row],[MONTH_ID]],10),"mmm")</f>
        <v>Feb</v>
      </c>
      <c r="K1995">
        <v>2005</v>
      </c>
      <c r="L1995" t="s">
        <v>195</v>
      </c>
      <c r="M1995">
        <v>140</v>
      </c>
      <c r="N1995" t="s">
        <v>656</v>
      </c>
      <c r="O1995" t="s">
        <v>188</v>
      </c>
      <c r="P1995" t="s">
        <v>189</v>
      </c>
      <c r="Q1995" t="s">
        <v>190</v>
      </c>
      <c r="S1995" t="s">
        <v>191</v>
      </c>
      <c r="U1995">
        <v>28034</v>
      </c>
      <c r="V1995" t="s">
        <v>192</v>
      </c>
      <c r="W1995" t="s">
        <v>56</v>
      </c>
      <c r="X1995" t="s">
        <v>193</v>
      </c>
      <c r="Y1995" t="s">
        <v>194</v>
      </c>
      <c r="Z1995" t="s">
        <v>50</v>
      </c>
    </row>
    <row r="1996" spans="1:26" x14ac:dyDescent="0.3">
      <c r="A1996">
        <v>10390</v>
      </c>
      <c r="B1996">
        <v>45</v>
      </c>
      <c r="C1996">
        <v>100</v>
      </c>
      <c r="D1996">
        <v>8</v>
      </c>
      <c r="E1996">
        <v>6763.05</v>
      </c>
      <c r="F1996" s="1">
        <v>38415</v>
      </c>
      <c r="G1996" t="s">
        <v>39</v>
      </c>
      <c r="H1996">
        <v>1</v>
      </c>
      <c r="I1996">
        <v>3</v>
      </c>
      <c r="J1996" t="str">
        <f>TEXT(DATE(2012,Table1[[#This Row],[MONTH_ID]],10),"mmm")</f>
        <v>Mar</v>
      </c>
      <c r="K1996">
        <v>2005</v>
      </c>
      <c r="L1996" t="s">
        <v>195</v>
      </c>
      <c r="M1996">
        <v>140</v>
      </c>
      <c r="N1996" t="s">
        <v>656</v>
      </c>
      <c r="O1996" t="s">
        <v>286</v>
      </c>
      <c r="P1996">
        <v>4155551450</v>
      </c>
      <c r="Q1996" t="s">
        <v>287</v>
      </c>
      <c r="S1996" t="s">
        <v>288</v>
      </c>
      <c r="T1996" t="s">
        <v>69</v>
      </c>
      <c r="U1996">
        <v>97562</v>
      </c>
      <c r="V1996" t="s">
        <v>46</v>
      </c>
      <c r="W1996" t="s">
        <v>47</v>
      </c>
      <c r="X1996" t="s">
        <v>289</v>
      </c>
      <c r="Y1996" t="s">
        <v>290</v>
      </c>
      <c r="Z1996" t="s">
        <v>65</v>
      </c>
    </row>
    <row r="1997" spans="1:26" x14ac:dyDescent="0.3">
      <c r="A1997">
        <v>10405</v>
      </c>
      <c r="B1997">
        <v>76</v>
      </c>
      <c r="C1997">
        <v>100</v>
      </c>
      <c r="D1997">
        <v>3</v>
      </c>
      <c r="E1997">
        <v>11739.7</v>
      </c>
      <c r="F1997" s="1">
        <v>38456</v>
      </c>
      <c r="G1997" t="s">
        <v>39</v>
      </c>
      <c r="H1997">
        <v>2</v>
      </c>
      <c r="I1997">
        <v>4</v>
      </c>
      <c r="J1997" t="str">
        <f>TEXT(DATE(2012,Table1[[#This Row],[MONTH_ID]],10),"mmm")</f>
        <v>Apr</v>
      </c>
      <c r="K1997">
        <v>2005</v>
      </c>
      <c r="L1997" t="s">
        <v>195</v>
      </c>
      <c r="M1997">
        <v>140</v>
      </c>
      <c r="N1997" t="s">
        <v>656</v>
      </c>
      <c r="O1997" t="s">
        <v>545</v>
      </c>
      <c r="P1997" t="s">
        <v>546</v>
      </c>
      <c r="Q1997" t="s">
        <v>547</v>
      </c>
      <c r="S1997" t="s">
        <v>548</v>
      </c>
      <c r="U1997">
        <v>67000</v>
      </c>
      <c r="V1997" t="s">
        <v>55</v>
      </c>
      <c r="W1997" t="s">
        <v>56</v>
      </c>
      <c r="X1997" t="s">
        <v>549</v>
      </c>
      <c r="Y1997" t="s">
        <v>550</v>
      </c>
      <c r="Z1997" t="s">
        <v>165</v>
      </c>
    </row>
    <row r="1998" spans="1:26" x14ac:dyDescent="0.3">
      <c r="A1998">
        <v>10419</v>
      </c>
      <c r="B1998">
        <v>70</v>
      </c>
      <c r="C1998">
        <v>100</v>
      </c>
      <c r="D1998">
        <v>8</v>
      </c>
      <c r="E1998">
        <v>9240</v>
      </c>
      <c r="F1998" s="1">
        <v>38489</v>
      </c>
      <c r="G1998" t="s">
        <v>39</v>
      </c>
      <c r="H1998">
        <v>2</v>
      </c>
      <c r="I1998">
        <v>5</v>
      </c>
      <c r="J1998" t="str">
        <f>TEXT(DATE(2012,Table1[[#This Row],[MONTH_ID]],10),"mmm")</f>
        <v>May</v>
      </c>
      <c r="K1998">
        <v>2005</v>
      </c>
      <c r="L1998" t="s">
        <v>195</v>
      </c>
      <c r="M1998">
        <v>140</v>
      </c>
      <c r="N1998" t="s">
        <v>656</v>
      </c>
      <c r="O1998" t="s">
        <v>158</v>
      </c>
      <c r="P1998" t="s">
        <v>159</v>
      </c>
      <c r="Q1998" t="s">
        <v>160</v>
      </c>
      <c r="S1998" t="s">
        <v>161</v>
      </c>
      <c r="U1998">
        <v>5020</v>
      </c>
      <c r="V1998" t="s">
        <v>162</v>
      </c>
      <c r="W1998" t="s">
        <v>56</v>
      </c>
      <c r="X1998" t="s">
        <v>163</v>
      </c>
      <c r="Y1998" t="s">
        <v>164</v>
      </c>
      <c r="Z1998" t="s">
        <v>165</v>
      </c>
    </row>
    <row r="1999" spans="1:26" x14ac:dyDescent="0.3">
      <c r="A1999">
        <v>10106</v>
      </c>
      <c r="B1999">
        <v>50</v>
      </c>
      <c r="C1999">
        <v>64.83</v>
      </c>
      <c r="D1999">
        <v>11</v>
      </c>
      <c r="E1999">
        <v>3241.5</v>
      </c>
      <c r="F1999" s="1">
        <v>37669</v>
      </c>
      <c r="G1999" t="s">
        <v>39</v>
      </c>
      <c r="H1999">
        <v>1</v>
      </c>
      <c r="I1999">
        <v>2</v>
      </c>
      <c r="J1999" t="str">
        <f>TEXT(DATE(2012,Table1[[#This Row],[MONTH_ID]],10),"mmm")</f>
        <v>Feb</v>
      </c>
      <c r="K1999">
        <v>2003</v>
      </c>
      <c r="L1999" t="s">
        <v>580</v>
      </c>
      <c r="M1999">
        <v>68</v>
      </c>
      <c r="N1999" t="s">
        <v>657</v>
      </c>
      <c r="O1999" t="s">
        <v>566</v>
      </c>
      <c r="P1999" t="s">
        <v>567</v>
      </c>
      <c r="Q1999" t="s">
        <v>568</v>
      </c>
      <c r="S1999" t="s">
        <v>569</v>
      </c>
      <c r="U1999">
        <v>24100</v>
      </c>
      <c r="V1999" t="s">
        <v>272</v>
      </c>
      <c r="W1999" t="s">
        <v>56</v>
      </c>
      <c r="X1999" t="s">
        <v>570</v>
      </c>
      <c r="Y1999" t="s">
        <v>571</v>
      </c>
      <c r="Z1999" t="s">
        <v>65</v>
      </c>
    </row>
    <row r="2000" spans="1:26" x14ac:dyDescent="0.3">
      <c r="A2000">
        <v>10119</v>
      </c>
      <c r="B2000">
        <v>28</v>
      </c>
      <c r="C2000">
        <v>70.290000000000006</v>
      </c>
      <c r="D2000">
        <v>2</v>
      </c>
      <c r="E2000">
        <v>1968.12</v>
      </c>
      <c r="F2000" s="1">
        <v>37739</v>
      </c>
      <c r="G2000" t="s">
        <v>39</v>
      </c>
      <c r="H2000">
        <v>2</v>
      </c>
      <c r="I2000">
        <v>4</v>
      </c>
      <c r="J2000" t="str">
        <f>TEXT(DATE(2012,Table1[[#This Row],[MONTH_ID]],10),"mmm")</f>
        <v>Apr</v>
      </c>
      <c r="K2000">
        <v>2003</v>
      </c>
      <c r="L2000" t="s">
        <v>580</v>
      </c>
      <c r="M2000">
        <v>68</v>
      </c>
      <c r="N2000" t="s">
        <v>657</v>
      </c>
      <c r="O2000" t="s">
        <v>158</v>
      </c>
      <c r="P2000" t="s">
        <v>159</v>
      </c>
      <c r="Q2000" t="s">
        <v>160</v>
      </c>
      <c r="S2000" t="s">
        <v>161</v>
      </c>
      <c r="U2000">
        <v>5020</v>
      </c>
      <c r="V2000" t="s">
        <v>162</v>
      </c>
      <c r="W2000" t="s">
        <v>56</v>
      </c>
      <c r="X2000" t="s">
        <v>163</v>
      </c>
      <c r="Y2000" t="s">
        <v>164</v>
      </c>
      <c r="Z2000" t="s">
        <v>50</v>
      </c>
    </row>
    <row r="2001" spans="1:26" x14ac:dyDescent="0.3">
      <c r="A2001">
        <v>10131</v>
      </c>
      <c r="B2001">
        <v>50</v>
      </c>
      <c r="C2001">
        <v>81.89</v>
      </c>
      <c r="D2001">
        <v>3</v>
      </c>
      <c r="E2001">
        <v>4094.5</v>
      </c>
      <c r="F2001" s="1">
        <v>37788</v>
      </c>
      <c r="G2001" t="s">
        <v>39</v>
      </c>
      <c r="H2001">
        <v>2</v>
      </c>
      <c r="I2001">
        <v>6</v>
      </c>
      <c r="J2001" t="str">
        <f>TEXT(DATE(2012,Table1[[#This Row],[MONTH_ID]],10),"mmm")</f>
        <v>Jun</v>
      </c>
      <c r="K2001">
        <v>2003</v>
      </c>
      <c r="L2001" t="s">
        <v>580</v>
      </c>
      <c r="M2001">
        <v>68</v>
      </c>
      <c r="N2001" t="s">
        <v>657</v>
      </c>
      <c r="O2001" t="s">
        <v>582</v>
      </c>
      <c r="P2001">
        <v>2035554407</v>
      </c>
      <c r="Q2001" t="s">
        <v>583</v>
      </c>
      <c r="S2001" t="s">
        <v>530</v>
      </c>
      <c r="T2001" t="s">
        <v>126</v>
      </c>
      <c r="U2001">
        <v>97561</v>
      </c>
      <c r="V2001" t="s">
        <v>46</v>
      </c>
      <c r="W2001" t="s">
        <v>47</v>
      </c>
      <c r="X2001" t="s">
        <v>584</v>
      </c>
      <c r="Y2001" t="s">
        <v>585</v>
      </c>
      <c r="Z2001" t="s">
        <v>65</v>
      </c>
    </row>
    <row r="2002" spans="1:26" x14ac:dyDescent="0.3">
      <c r="A2002">
        <v>10143</v>
      </c>
      <c r="B2002">
        <v>28</v>
      </c>
      <c r="C2002">
        <v>66.19</v>
      </c>
      <c r="D2002">
        <v>6</v>
      </c>
      <c r="E2002">
        <v>1853.32</v>
      </c>
      <c r="F2002" s="1">
        <v>37843</v>
      </c>
      <c r="G2002" t="s">
        <v>39</v>
      </c>
      <c r="H2002">
        <v>3</v>
      </c>
      <c r="I2002">
        <v>8</v>
      </c>
      <c r="J2002" t="str">
        <f>TEXT(DATE(2012,Table1[[#This Row],[MONTH_ID]],10),"mmm")</f>
        <v>Aug</v>
      </c>
      <c r="K2002">
        <v>2003</v>
      </c>
      <c r="L2002" t="s">
        <v>580</v>
      </c>
      <c r="M2002">
        <v>68</v>
      </c>
      <c r="N2002" t="s">
        <v>657</v>
      </c>
      <c r="O2002" t="s">
        <v>349</v>
      </c>
      <c r="P2002">
        <v>5085559555</v>
      </c>
      <c r="Q2002" t="s">
        <v>350</v>
      </c>
      <c r="S2002" t="s">
        <v>176</v>
      </c>
      <c r="T2002" t="s">
        <v>137</v>
      </c>
      <c r="U2002">
        <v>50553</v>
      </c>
      <c r="V2002" t="s">
        <v>46</v>
      </c>
      <c r="W2002" t="s">
        <v>47</v>
      </c>
      <c r="X2002" t="s">
        <v>351</v>
      </c>
      <c r="Y2002" t="s">
        <v>352</v>
      </c>
      <c r="Z2002" t="s">
        <v>50</v>
      </c>
    </row>
    <row r="2003" spans="1:26" x14ac:dyDescent="0.3">
      <c r="A2003">
        <v>10155</v>
      </c>
      <c r="B2003">
        <v>44</v>
      </c>
      <c r="C2003">
        <v>77.11</v>
      </c>
      <c r="D2003">
        <v>4</v>
      </c>
      <c r="E2003">
        <v>3392.84</v>
      </c>
      <c r="F2003" s="1">
        <v>37900</v>
      </c>
      <c r="G2003" t="s">
        <v>39</v>
      </c>
      <c r="H2003">
        <v>4</v>
      </c>
      <c r="I2003">
        <v>10</v>
      </c>
      <c r="J2003" t="str">
        <f>TEXT(DATE(2012,Table1[[#This Row],[MONTH_ID]],10),"mmm")</f>
        <v>Oct</v>
      </c>
      <c r="K2003">
        <v>2003</v>
      </c>
      <c r="L2003" t="s">
        <v>580</v>
      </c>
      <c r="M2003">
        <v>68</v>
      </c>
      <c r="N2003" t="s">
        <v>657</v>
      </c>
      <c r="O2003" t="s">
        <v>140</v>
      </c>
      <c r="P2003" t="s">
        <v>141</v>
      </c>
      <c r="Q2003" t="s">
        <v>142</v>
      </c>
      <c r="S2003" t="s">
        <v>143</v>
      </c>
      <c r="U2003">
        <v>21240</v>
      </c>
      <c r="V2003" t="s">
        <v>144</v>
      </c>
      <c r="W2003" t="s">
        <v>56</v>
      </c>
      <c r="X2003" t="s">
        <v>145</v>
      </c>
      <c r="Y2003" t="s">
        <v>146</v>
      </c>
      <c r="Z2003" t="s">
        <v>65</v>
      </c>
    </row>
    <row r="2004" spans="1:26" x14ac:dyDescent="0.3">
      <c r="A2004">
        <v>10168</v>
      </c>
      <c r="B2004">
        <v>27</v>
      </c>
      <c r="C2004">
        <v>73.02</v>
      </c>
      <c r="D2004">
        <v>18</v>
      </c>
      <c r="E2004">
        <v>1971.54</v>
      </c>
      <c r="F2004" s="1">
        <v>37922</v>
      </c>
      <c r="G2004" t="s">
        <v>39</v>
      </c>
      <c r="H2004">
        <v>4</v>
      </c>
      <c r="I2004">
        <v>10</v>
      </c>
      <c r="J2004" t="str">
        <f>TEXT(DATE(2012,Table1[[#This Row],[MONTH_ID]],10),"mmm")</f>
        <v>Oct</v>
      </c>
      <c r="K2004">
        <v>2003</v>
      </c>
      <c r="L2004" t="s">
        <v>580</v>
      </c>
      <c r="M2004">
        <v>68</v>
      </c>
      <c r="N2004" t="s">
        <v>657</v>
      </c>
      <c r="O2004" t="s">
        <v>76</v>
      </c>
      <c r="P2004">
        <v>6505556809</v>
      </c>
      <c r="Q2004" t="s">
        <v>77</v>
      </c>
      <c r="S2004" t="s">
        <v>78</v>
      </c>
      <c r="T2004" t="s">
        <v>69</v>
      </c>
      <c r="U2004">
        <v>94217</v>
      </c>
      <c r="V2004" t="s">
        <v>46</v>
      </c>
      <c r="W2004" t="s">
        <v>47</v>
      </c>
      <c r="X2004" t="s">
        <v>79</v>
      </c>
      <c r="Y2004" t="s">
        <v>80</v>
      </c>
      <c r="Z2004" t="s">
        <v>50</v>
      </c>
    </row>
    <row r="2005" spans="1:26" x14ac:dyDescent="0.3">
      <c r="A2005">
        <v>10178</v>
      </c>
      <c r="B2005">
        <v>30</v>
      </c>
      <c r="C2005">
        <v>72.33</v>
      </c>
      <c r="D2005">
        <v>3</v>
      </c>
      <c r="E2005">
        <v>2169.9</v>
      </c>
      <c r="F2005" s="1">
        <v>37933</v>
      </c>
      <c r="G2005" t="s">
        <v>39</v>
      </c>
      <c r="H2005">
        <v>4</v>
      </c>
      <c r="I2005">
        <v>11</v>
      </c>
      <c r="J2005" t="str">
        <f>TEXT(DATE(2012,Table1[[#This Row],[MONTH_ID]],10),"mmm")</f>
        <v>Nov</v>
      </c>
      <c r="K2005">
        <v>2003</v>
      </c>
      <c r="L2005" t="s">
        <v>580</v>
      </c>
      <c r="M2005">
        <v>68</v>
      </c>
      <c r="N2005" t="s">
        <v>657</v>
      </c>
      <c r="O2005" t="s">
        <v>354</v>
      </c>
      <c r="P2005" t="s">
        <v>355</v>
      </c>
      <c r="Q2005" t="s">
        <v>356</v>
      </c>
      <c r="S2005" t="s">
        <v>357</v>
      </c>
      <c r="U2005">
        <v>31000</v>
      </c>
      <c r="V2005" t="s">
        <v>55</v>
      </c>
      <c r="W2005" t="s">
        <v>56</v>
      </c>
      <c r="X2005" t="s">
        <v>358</v>
      </c>
      <c r="Y2005" t="s">
        <v>359</v>
      </c>
      <c r="Z2005" t="s">
        <v>50</v>
      </c>
    </row>
    <row r="2006" spans="1:26" x14ac:dyDescent="0.3">
      <c r="A2006">
        <v>10198</v>
      </c>
      <c r="B2006">
        <v>43</v>
      </c>
      <c r="C2006">
        <v>66.19</v>
      </c>
      <c r="D2006">
        <v>3</v>
      </c>
      <c r="E2006">
        <v>2846.17</v>
      </c>
      <c r="F2006" s="1">
        <v>37952</v>
      </c>
      <c r="G2006" t="s">
        <v>39</v>
      </c>
      <c r="H2006">
        <v>4</v>
      </c>
      <c r="I2006">
        <v>11</v>
      </c>
      <c r="J2006" t="str">
        <f>TEXT(DATE(2012,Table1[[#This Row],[MONTH_ID]],10),"mmm")</f>
        <v>Nov</v>
      </c>
      <c r="K2006">
        <v>2003</v>
      </c>
      <c r="L2006" t="s">
        <v>580</v>
      </c>
      <c r="M2006">
        <v>68</v>
      </c>
      <c r="N2006" t="s">
        <v>657</v>
      </c>
      <c r="O2006" t="s">
        <v>439</v>
      </c>
      <c r="P2006" t="s">
        <v>440</v>
      </c>
      <c r="Q2006" t="s">
        <v>441</v>
      </c>
      <c r="S2006" t="s">
        <v>442</v>
      </c>
      <c r="U2006" t="s">
        <v>443</v>
      </c>
      <c r="V2006" t="s">
        <v>444</v>
      </c>
      <c r="W2006" t="s">
        <v>214</v>
      </c>
      <c r="X2006" t="s">
        <v>445</v>
      </c>
      <c r="Y2006" t="s">
        <v>446</v>
      </c>
      <c r="Z2006" t="s">
        <v>50</v>
      </c>
    </row>
    <row r="2007" spans="1:26" x14ac:dyDescent="0.3">
      <c r="A2007">
        <v>10210</v>
      </c>
      <c r="B2007">
        <v>29</v>
      </c>
      <c r="C2007">
        <v>69.599999999999994</v>
      </c>
      <c r="D2007">
        <v>16</v>
      </c>
      <c r="E2007">
        <v>2018.4</v>
      </c>
      <c r="F2007" s="1">
        <v>37998</v>
      </c>
      <c r="G2007" t="s">
        <v>39</v>
      </c>
      <c r="H2007">
        <v>1</v>
      </c>
      <c r="I2007">
        <v>1</v>
      </c>
      <c r="J2007" t="str">
        <f>TEXT(DATE(2012,Table1[[#This Row],[MONTH_ID]],10),"mmm")</f>
        <v>Jan</v>
      </c>
      <c r="K2007">
        <v>2004</v>
      </c>
      <c r="L2007" t="s">
        <v>580</v>
      </c>
      <c r="M2007">
        <v>68</v>
      </c>
      <c r="N2007" t="s">
        <v>657</v>
      </c>
      <c r="O2007" t="s">
        <v>316</v>
      </c>
      <c r="P2007" t="s">
        <v>317</v>
      </c>
      <c r="Q2007" t="s">
        <v>318</v>
      </c>
      <c r="S2007" t="s">
        <v>319</v>
      </c>
      <c r="T2007" t="s">
        <v>319</v>
      </c>
      <c r="U2007" t="s">
        <v>320</v>
      </c>
      <c r="V2007" t="s">
        <v>214</v>
      </c>
      <c r="W2007" t="s">
        <v>214</v>
      </c>
      <c r="X2007" t="s">
        <v>321</v>
      </c>
      <c r="Y2007" t="s">
        <v>322</v>
      </c>
      <c r="Z2007" t="s">
        <v>50</v>
      </c>
    </row>
    <row r="2008" spans="1:26" x14ac:dyDescent="0.3">
      <c r="A2008">
        <v>10222</v>
      </c>
      <c r="B2008">
        <v>48</v>
      </c>
      <c r="C2008">
        <v>56.64</v>
      </c>
      <c r="D2008">
        <v>3</v>
      </c>
      <c r="E2008">
        <v>2718.72</v>
      </c>
      <c r="F2008" s="1">
        <v>38036</v>
      </c>
      <c r="G2008" t="s">
        <v>39</v>
      </c>
      <c r="H2008">
        <v>1</v>
      </c>
      <c r="I2008">
        <v>2</v>
      </c>
      <c r="J2008" t="str">
        <f>TEXT(DATE(2012,Table1[[#This Row],[MONTH_ID]],10),"mmm")</f>
        <v>Feb</v>
      </c>
      <c r="K2008">
        <v>2004</v>
      </c>
      <c r="L2008" t="s">
        <v>580</v>
      </c>
      <c r="M2008">
        <v>68</v>
      </c>
      <c r="N2008" t="s">
        <v>657</v>
      </c>
      <c r="O2008" t="s">
        <v>376</v>
      </c>
      <c r="P2008">
        <v>7605558146</v>
      </c>
      <c r="Q2008" t="s">
        <v>377</v>
      </c>
      <c r="S2008" t="s">
        <v>378</v>
      </c>
      <c r="T2008" t="s">
        <v>69</v>
      </c>
      <c r="U2008">
        <v>91217</v>
      </c>
      <c r="V2008" t="s">
        <v>46</v>
      </c>
      <c r="W2008" t="s">
        <v>47</v>
      </c>
      <c r="X2008" t="s">
        <v>251</v>
      </c>
      <c r="Y2008" t="s">
        <v>290</v>
      </c>
      <c r="Z2008" t="s">
        <v>50</v>
      </c>
    </row>
    <row r="2009" spans="1:26" x14ac:dyDescent="0.3">
      <c r="A2009">
        <v>10235</v>
      </c>
      <c r="B2009">
        <v>33</v>
      </c>
      <c r="C2009">
        <v>60.05</v>
      </c>
      <c r="D2009">
        <v>12</v>
      </c>
      <c r="E2009">
        <v>1981.65</v>
      </c>
      <c r="F2009" s="1">
        <v>38079</v>
      </c>
      <c r="G2009" t="s">
        <v>39</v>
      </c>
      <c r="H2009">
        <v>2</v>
      </c>
      <c r="I2009">
        <v>4</v>
      </c>
      <c r="J2009" t="str">
        <f>TEXT(DATE(2012,Table1[[#This Row],[MONTH_ID]],10),"mmm")</f>
        <v>Apr</v>
      </c>
      <c r="K2009">
        <v>2004</v>
      </c>
      <c r="L2009" t="s">
        <v>580</v>
      </c>
      <c r="M2009">
        <v>68</v>
      </c>
      <c r="N2009" t="s">
        <v>657</v>
      </c>
      <c r="O2009" t="s">
        <v>387</v>
      </c>
      <c r="P2009" t="s">
        <v>388</v>
      </c>
      <c r="Q2009" t="s">
        <v>389</v>
      </c>
      <c r="S2009" t="s">
        <v>390</v>
      </c>
      <c r="T2009" t="s">
        <v>243</v>
      </c>
      <c r="U2009" t="s">
        <v>391</v>
      </c>
      <c r="V2009" t="s">
        <v>245</v>
      </c>
      <c r="W2009" t="s">
        <v>47</v>
      </c>
      <c r="X2009" t="s">
        <v>392</v>
      </c>
      <c r="Y2009" t="s">
        <v>186</v>
      </c>
      <c r="Z2009" t="s">
        <v>50</v>
      </c>
    </row>
    <row r="2010" spans="1:26" x14ac:dyDescent="0.3">
      <c r="A2010">
        <v>10250</v>
      </c>
      <c r="B2010">
        <v>40</v>
      </c>
      <c r="C2010">
        <v>75.06</v>
      </c>
      <c r="D2010">
        <v>13</v>
      </c>
      <c r="E2010">
        <v>3002.4</v>
      </c>
      <c r="F2010" s="1">
        <v>38118</v>
      </c>
      <c r="G2010" t="s">
        <v>39</v>
      </c>
      <c r="H2010">
        <v>2</v>
      </c>
      <c r="I2010">
        <v>5</v>
      </c>
      <c r="J2010" t="str">
        <f>TEXT(DATE(2012,Table1[[#This Row],[MONTH_ID]],10),"mmm")</f>
        <v>May</v>
      </c>
      <c r="K2010">
        <v>2004</v>
      </c>
      <c r="L2010" t="s">
        <v>580</v>
      </c>
      <c r="M2010">
        <v>68</v>
      </c>
      <c r="N2010" t="s">
        <v>657</v>
      </c>
      <c r="O2010" t="s">
        <v>411</v>
      </c>
      <c r="P2010">
        <v>4085553659</v>
      </c>
      <c r="Q2010" t="s">
        <v>412</v>
      </c>
      <c r="S2010" t="s">
        <v>413</v>
      </c>
      <c r="T2010" t="s">
        <v>69</v>
      </c>
      <c r="U2010">
        <v>94217</v>
      </c>
      <c r="V2010" t="s">
        <v>46</v>
      </c>
      <c r="W2010" t="s">
        <v>47</v>
      </c>
      <c r="X2010" t="s">
        <v>116</v>
      </c>
      <c r="Y2010" t="s">
        <v>414</v>
      </c>
      <c r="Z2010" t="s">
        <v>65</v>
      </c>
    </row>
    <row r="2011" spans="1:26" x14ac:dyDescent="0.3">
      <c r="A2011">
        <v>10262</v>
      </c>
      <c r="B2011">
        <v>48</v>
      </c>
      <c r="C2011">
        <v>61.42</v>
      </c>
      <c r="D2011">
        <v>8</v>
      </c>
      <c r="E2011">
        <v>2948.16</v>
      </c>
      <c r="F2011" s="1">
        <v>38162</v>
      </c>
      <c r="G2011" t="s">
        <v>353</v>
      </c>
      <c r="H2011">
        <v>2</v>
      </c>
      <c r="I2011">
        <v>6</v>
      </c>
      <c r="J2011" t="str">
        <f>TEXT(DATE(2012,Table1[[#This Row],[MONTH_ID]],10),"mmm")</f>
        <v>Jun</v>
      </c>
      <c r="K2011">
        <v>2004</v>
      </c>
      <c r="L2011" t="s">
        <v>580</v>
      </c>
      <c r="M2011">
        <v>68</v>
      </c>
      <c r="N2011" t="s">
        <v>657</v>
      </c>
      <c r="O2011" t="s">
        <v>188</v>
      </c>
      <c r="P2011" t="s">
        <v>189</v>
      </c>
      <c r="Q2011" t="s">
        <v>190</v>
      </c>
      <c r="S2011" t="s">
        <v>191</v>
      </c>
      <c r="U2011">
        <v>28034</v>
      </c>
      <c r="V2011" t="s">
        <v>192</v>
      </c>
      <c r="W2011" t="s">
        <v>56</v>
      </c>
      <c r="X2011" t="s">
        <v>193</v>
      </c>
      <c r="Y2011" t="s">
        <v>194</v>
      </c>
      <c r="Z2011" t="s">
        <v>50</v>
      </c>
    </row>
    <row r="2012" spans="1:26" x14ac:dyDescent="0.3">
      <c r="A2012">
        <v>10275</v>
      </c>
      <c r="B2012">
        <v>41</v>
      </c>
      <c r="C2012">
        <v>81.89</v>
      </c>
      <c r="D2012">
        <v>18</v>
      </c>
      <c r="E2012">
        <v>3357.49</v>
      </c>
      <c r="F2012" s="1">
        <v>38191</v>
      </c>
      <c r="G2012" t="s">
        <v>39</v>
      </c>
      <c r="H2012">
        <v>3</v>
      </c>
      <c r="I2012">
        <v>7</v>
      </c>
      <c r="J2012" t="str">
        <f>TEXT(DATE(2012,Table1[[#This Row],[MONTH_ID]],10),"mmm")</f>
        <v>Jul</v>
      </c>
      <c r="K2012">
        <v>2004</v>
      </c>
      <c r="L2012" t="s">
        <v>580</v>
      </c>
      <c r="M2012">
        <v>68</v>
      </c>
      <c r="N2012" t="s">
        <v>657</v>
      </c>
      <c r="O2012" t="s">
        <v>128</v>
      </c>
      <c r="P2012" t="s">
        <v>129</v>
      </c>
      <c r="Q2012" t="s">
        <v>130</v>
      </c>
      <c r="S2012" t="s">
        <v>131</v>
      </c>
      <c r="U2012">
        <v>44000</v>
      </c>
      <c r="V2012" t="s">
        <v>55</v>
      </c>
      <c r="W2012" t="s">
        <v>56</v>
      </c>
      <c r="X2012" t="s">
        <v>132</v>
      </c>
      <c r="Y2012" t="s">
        <v>133</v>
      </c>
      <c r="Z2012" t="s">
        <v>65</v>
      </c>
    </row>
    <row r="2013" spans="1:26" x14ac:dyDescent="0.3">
      <c r="A2013">
        <v>10284</v>
      </c>
      <c r="B2013">
        <v>21</v>
      </c>
      <c r="C2013">
        <v>55.96</v>
      </c>
      <c r="D2013">
        <v>10</v>
      </c>
      <c r="E2013">
        <v>1175.1600000000001</v>
      </c>
      <c r="F2013" s="1">
        <v>38220</v>
      </c>
      <c r="G2013" t="s">
        <v>39</v>
      </c>
      <c r="H2013">
        <v>3</v>
      </c>
      <c r="I2013">
        <v>8</v>
      </c>
      <c r="J2013" t="str">
        <f>TEXT(DATE(2012,Table1[[#This Row],[MONTH_ID]],10),"mmm")</f>
        <v>Aug</v>
      </c>
      <c r="K2013">
        <v>2004</v>
      </c>
      <c r="L2013" t="s">
        <v>580</v>
      </c>
      <c r="M2013">
        <v>68</v>
      </c>
      <c r="N2013" t="s">
        <v>657</v>
      </c>
      <c r="O2013" t="s">
        <v>557</v>
      </c>
      <c r="P2013" t="s">
        <v>558</v>
      </c>
      <c r="Q2013" t="s">
        <v>559</v>
      </c>
      <c r="S2013" t="s">
        <v>560</v>
      </c>
      <c r="U2013" t="s">
        <v>561</v>
      </c>
      <c r="V2013" t="s">
        <v>92</v>
      </c>
      <c r="W2013" t="s">
        <v>56</v>
      </c>
      <c r="X2013" t="s">
        <v>562</v>
      </c>
      <c r="Y2013" t="s">
        <v>563</v>
      </c>
      <c r="Z2013" t="s">
        <v>50</v>
      </c>
    </row>
    <row r="2014" spans="1:26" x14ac:dyDescent="0.3">
      <c r="A2014">
        <v>10296</v>
      </c>
      <c r="B2014">
        <v>32</v>
      </c>
      <c r="C2014">
        <v>71.650000000000006</v>
      </c>
      <c r="D2014">
        <v>6</v>
      </c>
      <c r="E2014">
        <v>2292.8000000000002</v>
      </c>
      <c r="F2014" s="1">
        <v>38245</v>
      </c>
      <c r="G2014" t="s">
        <v>39</v>
      </c>
      <c r="H2014">
        <v>3</v>
      </c>
      <c r="I2014">
        <v>9</v>
      </c>
      <c r="J2014" t="str">
        <f>TEXT(DATE(2012,Table1[[#This Row],[MONTH_ID]],10),"mmm")</f>
        <v>Sep</v>
      </c>
      <c r="K2014">
        <v>2004</v>
      </c>
      <c r="L2014" t="s">
        <v>580</v>
      </c>
      <c r="M2014">
        <v>68</v>
      </c>
      <c r="N2014" t="s">
        <v>657</v>
      </c>
      <c r="O2014" t="s">
        <v>586</v>
      </c>
      <c r="P2014" t="s">
        <v>587</v>
      </c>
      <c r="Q2014" t="s">
        <v>588</v>
      </c>
      <c r="S2014" t="s">
        <v>589</v>
      </c>
      <c r="U2014">
        <v>80686</v>
      </c>
      <c r="V2014" t="s">
        <v>457</v>
      </c>
      <c r="W2014" t="s">
        <v>56</v>
      </c>
      <c r="X2014" t="s">
        <v>590</v>
      </c>
      <c r="Y2014" t="s">
        <v>117</v>
      </c>
      <c r="Z2014" t="s">
        <v>50</v>
      </c>
    </row>
    <row r="2015" spans="1:26" x14ac:dyDescent="0.3">
      <c r="A2015">
        <v>10308</v>
      </c>
      <c r="B2015">
        <v>43</v>
      </c>
      <c r="C2015">
        <v>76.430000000000007</v>
      </c>
      <c r="D2015">
        <v>16</v>
      </c>
      <c r="E2015">
        <v>3286.49</v>
      </c>
      <c r="F2015" s="1">
        <v>38275</v>
      </c>
      <c r="G2015" t="s">
        <v>39</v>
      </c>
      <c r="H2015">
        <v>4</v>
      </c>
      <c r="I2015">
        <v>10</v>
      </c>
      <c r="J2015" t="str">
        <f>TEXT(DATE(2012,Table1[[#This Row],[MONTH_ID]],10),"mmm")</f>
        <v>Oct</v>
      </c>
      <c r="K2015">
        <v>2004</v>
      </c>
      <c r="L2015" t="s">
        <v>580</v>
      </c>
      <c r="M2015">
        <v>68</v>
      </c>
      <c r="N2015" t="s">
        <v>657</v>
      </c>
      <c r="O2015" t="s">
        <v>331</v>
      </c>
      <c r="P2015">
        <v>9145554562</v>
      </c>
      <c r="Q2015" t="s">
        <v>332</v>
      </c>
      <c r="S2015" t="s">
        <v>333</v>
      </c>
      <c r="T2015" t="s">
        <v>45</v>
      </c>
      <c r="U2015">
        <v>24067</v>
      </c>
      <c r="V2015" t="s">
        <v>46</v>
      </c>
      <c r="W2015" t="s">
        <v>47</v>
      </c>
      <c r="X2015" t="s">
        <v>116</v>
      </c>
      <c r="Y2015" t="s">
        <v>252</v>
      </c>
      <c r="Z2015" t="s">
        <v>65</v>
      </c>
    </row>
    <row r="2016" spans="1:26" x14ac:dyDescent="0.3">
      <c r="A2016">
        <v>10316</v>
      </c>
      <c r="B2016">
        <v>30</v>
      </c>
      <c r="C2016">
        <v>77.790000000000006</v>
      </c>
      <c r="D2016">
        <v>8</v>
      </c>
      <c r="E2016">
        <v>2333.6999999999998</v>
      </c>
      <c r="F2016" s="1">
        <v>38292</v>
      </c>
      <c r="G2016" t="s">
        <v>39</v>
      </c>
      <c r="H2016">
        <v>4</v>
      </c>
      <c r="I2016">
        <v>11</v>
      </c>
      <c r="J2016" t="str">
        <f>TEXT(DATE(2012,Table1[[#This Row],[MONTH_ID]],10),"mmm")</f>
        <v>Nov</v>
      </c>
      <c r="K2016">
        <v>2004</v>
      </c>
      <c r="L2016" t="s">
        <v>580</v>
      </c>
      <c r="M2016">
        <v>68</v>
      </c>
      <c r="N2016" t="s">
        <v>657</v>
      </c>
      <c r="O2016" t="s">
        <v>397</v>
      </c>
      <c r="P2016" t="s">
        <v>398</v>
      </c>
      <c r="Q2016" t="s">
        <v>399</v>
      </c>
      <c r="S2016" t="s">
        <v>400</v>
      </c>
      <c r="T2016" t="s">
        <v>401</v>
      </c>
      <c r="U2016" t="s">
        <v>402</v>
      </c>
      <c r="V2016" t="s">
        <v>184</v>
      </c>
      <c r="W2016" t="s">
        <v>56</v>
      </c>
      <c r="X2016" t="s">
        <v>403</v>
      </c>
      <c r="Y2016" t="s">
        <v>404</v>
      </c>
      <c r="Z2016" t="s">
        <v>50</v>
      </c>
    </row>
    <row r="2017" spans="1:26" x14ac:dyDescent="0.3">
      <c r="A2017">
        <v>10328</v>
      </c>
      <c r="B2017">
        <v>35</v>
      </c>
      <c r="C2017">
        <v>76.430000000000007</v>
      </c>
      <c r="D2017">
        <v>3</v>
      </c>
      <c r="E2017">
        <v>2675.05</v>
      </c>
      <c r="F2017" s="1">
        <v>38303</v>
      </c>
      <c r="G2017" t="s">
        <v>39</v>
      </c>
      <c r="H2017">
        <v>4</v>
      </c>
      <c r="I2017">
        <v>11</v>
      </c>
      <c r="J2017" t="str">
        <f>TEXT(DATE(2012,Table1[[#This Row],[MONTH_ID]],10),"mmm")</f>
        <v>Nov</v>
      </c>
      <c r="K2017">
        <v>2004</v>
      </c>
      <c r="L2017" t="s">
        <v>580</v>
      </c>
      <c r="M2017">
        <v>68</v>
      </c>
      <c r="N2017" t="s">
        <v>657</v>
      </c>
      <c r="O2017" t="s">
        <v>566</v>
      </c>
      <c r="P2017" t="s">
        <v>567</v>
      </c>
      <c r="Q2017" t="s">
        <v>568</v>
      </c>
      <c r="S2017" t="s">
        <v>569</v>
      </c>
      <c r="U2017">
        <v>24100</v>
      </c>
      <c r="V2017" t="s">
        <v>272</v>
      </c>
      <c r="W2017" t="s">
        <v>56</v>
      </c>
      <c r="X2017" t="s">
        <v>570</v>
      </c>
      <c r="Y2017" t="s">
        <v>571</v>
      </c>
      <c r="Z2017" t="s">
        <v>50</v>
      </c>
    </row>
    <row r="2018" spans="1:26" x14ac:dyDescent="0.3">
      <c r="A2018">
        <v>10339</v>
      </c>
      <c r="B2018">
        <v>45</v>
      </c>
      <c r="C2018">
        <v>96.92</v>
      </c>
      <c r="D2018">
        <v>11</v>
      </c>
      <c r="E2018">
        <v>4361.3999999999996</v>
      </c>
      <c r="F2018" s="1">
        <v>38314</v>
      </c>
      <c r="G2018" t="s">
        <v>39</v>
      </c>
      <c r="H2018">
        <v>4</v>
      </c>
      <c r="I2018">
        <v>11</v>
      </c>
      <c r="J2018" t="str">
        <f>TEXT(DATE(2012,Table1[[#This Row],[MONTH_ID]],10),"mmm")</f>
        <v>Nov</v>
      </c>
      <c r="K2018">
        <v>2004</v>
      </c>
      <c r="L2018" t="s">
        <v>580</v>
      </c>
      <c r="M2018">
        <v>68</v>
      </c>
      <c r="N2018" t="s">
        <v>657</v>
      </c>
      <c r="O2018" t="s">
        <v>260</v>
      </c>
      <c r="P2018" t="s">
        <v>261</v>
      </c>
      <c r="Q2018" t="s">
        <v>262</v>
      </c>
      <c r="S2018" t="s">
        <v>263</v>
      </c>
      <c r="T2018" t="s">
        <v>264</v>
      </c>
      <c r="U2018" t="s">
        <v>265</v>
      </c>
      <c r="V2018" t="s">
        <v>214</v>
      </c>
      <c r="W2018" t="s">
        <v>214</v>
      </c>
      <c r="X2018" t="s">
        <v>266</v>
      </c>
      <c r="Y2018" t="s">
        <v>267</v>
      </c>
      <c r="Z2018" t="s">
        <v>65</v>
      </c>
    </row>
    <row r="2019" spans="1:26" x14ac:dyDescent="0.3">
      <c r="A2019">
        <v>10351</v>
      </c>
      <c r="B2019">
        <v>34</v>
      </c>
      <c r="C2019">
        <v>59.37</v>
      </c>
      <c r="D2019">
        <v>3</v>
      </c>
      <c r="E2019">
        <v>2018.58</v>
      </c>
      <c r="F2019" s="1">
        <v>38324</v>
      </c>
      <c r="G2019" t="s">
        <v>39</v>
      </c>
      <c r="H2019">
        <v>4</v>
      </c>
      <c r="I2019">
        <v>12</v>
      </c>
      <c r="J2019" t="str">
        <f>TEXT(DATE(2012,Table1[[#This Row],[MONTH_ID]],10),"mmm")</f>
        <v>Dec</v>
      </c>
      <c r="K2019">
        <v>2004</v>
      </c>
      <c r="L2019" t="s">
        <v>580</v>
      </c>
      <c r="M2019">
        <v>68</v>
      </c>
      <c r="N2019" t="s">
        <v>657</v>
      </c>
      <c r="O2019" t="s">
        <v>343</v>
      </c>
      <c r="P2019" t="s">
        <v>344</v>
      </c>
      <c r="Q2019" t="s">
        <v>345</v>
      </c>
      <c r="S2019" t="s">
        <v>346</v>
      </c>
      <c r="U2019" t="s">
        <v>347</v>
      </c>
      <c r="V2019" t="s">
        <v>184</v>
      </c>
      <c r="W2019" t="s">
        <v>56</v>
      </c>
      <c r="X2019" t="s">
        <v>75</v>
      </c>
      <c r="Y2019" t="s">
        <v>348</v>
      </c>
      <c r="Z2019" t="s">
        <v>50</v>
      </c>
    </row>
    <row r="2020" spans="1:26" x14ac:dyDescent="0.3">
      <c r="A2020">
        <v>10361</v>
      </c>
      <c r="B2020">
        <v>26</v>
      </c>
      <c r="C2020">
        <v>100</v>
      </c>
      <c r="D2020">
        <v>7</v>
      </c>
      <c r="E2020">
        <v>3710.98</v>
      </c>
      <c r="F2020" s="1">
        <v>38338</v>
      </c>
      <c r="G2020" t="s">
        <v>39</v>
      </c>
      <c r="H2020">
        <v>4</v>
      </c>
      <c r="I2020">
        <v>12</v>
      </c>
      <c r="J2020" t="str">
        <f>TEXT(DATE(2012,Table1[[#This Row],[MONTH_ID]],10),"mmm")</f>
        <v>Dec</v>
      </c>
      <c r="K2020">
        <v>2004</v>
      </c>
      <c r="L2020" t="s">
        <v>580</v>
      </c>
      <c r="M2020">
        <v>68</v>
      </c>
      <c r="N2020" t="s">
        <v>657</v>
      </c>
      <c r="O2020" t="s">
        <v>166</v>
      </c>
      <c r="P2020" t="s">
        <v>167</v>
      </c>
      <c r="Q2020" t="s">
        <v>168</v>
      </c>
      <c r="R2020" t="s">
        <v>169</v>
      </c>
      <c r="S2020" t="s">
        <v>170</v>
      </c>
      <c r="T2020" t="s">
        <v>171</v>
      </c>
      <c r="U2020">
        <v>2067</v>
      </c>
      <c r="V2020" t="s">
        <v>109</v>
      </c>
      <c r="W2020" t="s">
        <v>110</v>
      </c>
      <c r="X2020" t="s">
        <v>172</v>
      </c>
      <c r="Y2020" t="s">
        <v>173</v>
      </c>
      <c r="Z2020" t="s">
        <v>65</v>
      </c>
    </row>
    <row r="2021" spans="1:26" x14ac:dyDescent="0.3">
      <c r="A2021">
        <v>10373</v>
      </c>
      <c r="B2021">
        <v>39</v>
      </c>
      <c r="C2021">
        <v>73</v>
      </c>
      <c r="D2021">
        <v>13</v>
      </c>
      <c r="E2021">
        <v>2847</v>
      </c>
      <c r="F2021" s="1">
        <v>38383</v>
      </c>
      <c r="G2021" t="s">
        <v>39</v>
      </c>
      <c r="H2021">
        <v>1</v>
      </c>
      <c r="I2021">
        <v>1</v>
      </c>
      <c r="J2021" t="str">
        <f>TEXT(DATE(2012,Table1[[#This Row],[MONTH_ID]],10),"mmm")</f>
        <v>Jan</v>
      </c>
      <c r="K2021">
        <v>2005</v>
      </c>
      <c r="L2021" t="s">
        <v>580</v>
      </c>
      <c r="M2021">
        <v>68</v>
      </c>
      <c r="N2021" t="s">
        <v>657</v>
      </c>
      <c r="O2021" t="s">
        <v>405</v>
      </c>
      <c r="P2021" t="s">
        <v>406</v>
      </c>
      <c r="Q2021" t="s">
        <v>407</v>
      </c>
      <c r="S2021" t="s">
        <v>408</v>
      </c>
      <c r="U2021">
        <v>90110</v>
      </c>
      <c r="V2021" t="s">
        <v>144</v>
      </c>
      <c r="W2021" t="s">
        <v>56</v>
      </c>
      <c r="X2021" t="s">
        <v>409</v>
      </c>
      <c r="Y2021" t="s">
        <v>410</v>
      </c>
      <c r="Z2021" t="s">
        <v>50</v>
      </c>
    </row>
    <row r="2022" spans="1:26" x14ac:dyDescent="0.3">
      <c r="A2022">
        <v>10386</v>
      </c>
      <c r="B2022">
        <v>41</v>
      </c>
      <c r="C2022">
        <v>73.319999999999993</v>
      </c>
      <c r="D2022">
        <v>12</v>
      </c>
      <c r="E2022">
        <v>3006.12</v>
      </c>
      <c r="F2022" s="1">
        <v>38412</v>
      </c>
      <c r="G2022" t="s">
        <v>422</v>
      </c>
      <c r="H2022">
        <v>1</v>
      </c>
      <c r="I2022">
        <v>3</v>
      </c>
      <c r="J2022" t="str">
        <f>TEXT(DATE(2012,Table1[[#This Row],[MONTH_ID]],10),"mmm")</f>
        <v>Mar</v>
      </c>
      <c r="K2022">
        <v>2005</v>
      </c>
      <c r="L2022" t="s">
        <v>580</v>
      </c>
      <c r="M2022">
        <v>68</v>
      </c>
      <c r="N2022" t="s">
        <v>657</v>
      </c>
      <c r="O2022" t="s">
        <v>188</v>
      </c>
      <c r="P2022" t="s">
        <v>189</v>
      </c>
      <c r="Q2022" t="s">
        <v>190</v>
      </c>
      <c r="S2022" t="s">
        <v>191</v>
      </c>
      <c r="U2022">
        <v>28034</v>
      </c>
      <c r="V2022" t="s">
        <v>192</v>
      </c>
      <c r="W2022" t="s">
        <v>56</v>
      </c>
      <c r="X2022" t="s">
        <v>193</v>
      </c>
      <c r="Y2022" t="s">
        <v>194</v>
      </c>
      <c r="Z2022" t="s">
        <v>65</v>
      </c>
    </row>
    <row r="2023" spans="1:26" x14ac:dyDescent="0.3">
      <c r="A2023">
        <v>10398</v>
      </c>
      <c r="B2023">
        <v>41</v>
      </c>
      <c r="C2023">
        <v>68.239999999999995</v>
      </c>
      <c r="D2023">
        <v>2</v>
      </c>
      <c r="E2023">
        <v>2797.84</v>
      </c>
      <c r="F2023" s="1">
        <v>38441</v>
      </c>
      <c r="G2023" t="s">
        <v>39</v>
      </c>
      <c r="H2023">
        <v>1</v>
      </c>
      <c r="I2023">
        <v>3</v>
      </c>
      <c r="J2023" t="str">
        <f>TEXT(DATE(2012,Table1[[#This Row],[MONTH_ID]],10),"mmm")</f>
        <v>Mar</v>
      </c>
      <c r="K2023">
        <v>2005</v>
      </c>
      <c r="L2023" t="s">
        <v>580</v>
      </c>
      <c r="M2023">
        <v>68</v>
      </c>
      <c r="N2023" t="s">
        <v>657</v>
      </c>
      <c r="O2023" t="s">
        <v>51</v>
      </c>
      <c r="P2023" t="s">
        <v>52</v>
      </c>
      <c r="Q2023" t="s">
        <v>53</v>
      </c>
      <c r="S2023" t="s">
        <v>54</v>
      </c>
      <c r="U2023">
        <v>51100</v>
      </c>
      <c r="V2023" t="s">
        <v>55</v>
      </c>
      <c r="W2023" t="s">
        <v>56</v>
      </c>
      <c r="X2023" t="s">
        <v>57</v>
      </c>
      <c r="Y2023" t="s">
        <v>58</v>
      </c>
      <c r="Z2023" t="s">
        <v>50</v>
      </c>
    </row>
    <row r="2024" spans="1:26" x14ac:dyDescent="0.3">
      <c r="A2024">
        <v>10401</v>
      </c>
      <c r="B2024">
        <v>64</v>
      </c>
      <c r="C2024">
        <v>60.05</v>
      </c>
      <c r="D2024">
        <v>12</v>
      </c>
      <c r="E2024">
        <v>3843.2</v>
      </c>
      <c r="F2024" s="1">
        <v>38445</v>
      </c>
      <c r="G2024" t="s">
        <v>415</v>
      </c>
      <c r="H2024">
        <v>2</v>
      </c>
      <c r="I2024">
        <v>4</v>
      </c>
      <c r="J2024" t="str">
        <f>TEXT(DATE(2012,Table1[[#This Row],[MONTH_ID]],10),"mmm")</f>
        <v>Apr</v>
      </c>
      <c r="K2024">
        <v>2005</v>
      </c>
      <c r="L2024" t="s">
        <v>580</v>
      </c>
      <c r="M2024">
        <v>68</v>
      </c>
      <c r="N2024" t="s">
        <v>657</v>
      </c>
      <c r="O2024" t="s">
        <v>118</v>
      </c>
      <c r="P2024">
        <v>2015559350</v>
      </c>
      <c r="Q2024" t="s">
        <v>119</v>
      </c>
      <c r="S2024" t="s">
        <v>120</v>
      </c>
      <c r="T2024" t="s">
        <v>121</v>
      </c>
      <c r="U2024">
        <v>94019</v>
      </c>
      <c r="V2024" t="s">
        <v>46</v>
      </c>
      <c r="W2024" t="s">
        <v>47</v>
      </c>
      <c r="X2024" t="s">
        <v>75</v>
      </c>
      <c r="Y2024" t="s">
        <v>122</v>
      </c>
      <c r="Z2024" t="s">
        <v>65</v>
      </c>
    </row>
    <row r="2025" spans="1:26" x14ac:dyDescent="0.3">
      <c r="A2025">
        <v>10416</v>
      </c>
      <c r="B2025">
        <v>18</v>
      </c>
      <c r="C2025">
        <v>75.06</v>
      </c>
      <c r="D2025">
        <v>13</v>
      </c>
      <c r="E2025">
        <v>1351.08</v>
      </c>
      <c r="F2025" s="1">
        <v>38482</v>
      </c>
      <c r="G2025" t="s">
        <v>39</v>
      </c>
      <c r="H2025">
        <v>2</v>
      </c>
      <c r="I2025">
        <v>5</v>
      </c>
      <c r="J2025" t="str">
        <f>TEXT(DATE(2012,Table1[[#This Row],[MONTH_ID]],10),"mmm")</f>
        <v>May</v>
      </c>
      <c r="K2025">
        <v>2005</v>
      </c>
      <c r="L2025" t="s">
        <v>580</v>
      </c>
      <c r="M2025">
        <v>68</v>
      </c>
      <c r="N2025" t="s">
        <v>657</v>
      </c>
      <c r="O2025" t="s">
        <v>466</v>
      </c>
      <c r="P2025" t="s">
        <v>467</v>
      </c>
      <c r="Q2025" t="s">
        <v>468</v>
      </c>
      <c r="S2025" t="s">
        <v>469</v>
      </c>
      <c r="U2025">
        <v>42100</v>
      </c>
      <c r="V2025" t="s">
        <v>272</v>
      </c>
      <c r="W2025" t="s">
        <v>56</v>
      </c>
      <c r="X2025" t="s">
        <v>470</v>
      </c>
      <c r="Y2025" t="s">
        <v>471</v>
      </c>
      <c r="Z2025" t="s">
        <v>50</v>
      </c>
    </row>
    <row r="2026" spans="1:26" x14ac:dyDescent="0.3">
      <c r="A2026">
        <v>10100</v>
      </c>
      <c r="B2026">
        <v>49</v>
      </c>
      <c r="C2026">
        <v>34.47</v>
      </c>
      <c r="D2026">
        <v>1</v>
      </c>
      <c r="E2026">
        <v>1689.03</v>
      </c>
      <c r="F2026" s="1">
        <v>37627</v>
      </c>
      <c r="G2026" t="s">
        <v>39</v>
      </c>
      <c r="H2026">
        <v>1</v>
      </c>
      <c r="I2026">
        <v>1</v>
      </c>
      <c r="J2026" t="str">
        <f>TEXT(DATE(2012,Table1[[#This Row],[MONTH_ID]],10),"mmm")</f>
        <v>Jan</v>
      </c>
      <c r="K2026">
        <v>2003</v>
      </c>
      <c r="L2026" t="s">
        <v>564</v>
      </c>
      <c r="M2026">
        <v>41</v>
      </c>
      <c r="N2026" t="s">
        <v>658</v>
      </c>
      <c r="O2026" t="s">
        <v>291</v>
      </c>
      <c r="P2026">
        <v>6035558647</v>
      </c>
      <c r="Q2026" t="s">
        <v>292</v>
      </c>
      <c r="S2026" t="s">
        <v>293</v>
      </c>
      <c r="T2026" t="s">
        <v>294</v>
      </c>
      <c r="U2026">
        <v>62005</v>
      </c>
      <c r="V2026" t="s">
        <v>46</v>
      </c>
      <c r="W2026" t="s">
        <v>47</v>
      </c>
      <c r="X2026" t="s">
        <v>70</v>
      </c>
      <c r="Y2026" t="s">
        <v>290</v>
      </c>
      <c r="Z2026" t="s">
        <v>50</v>
      </c>
    </row>
    <row r="2027" spans="1:26" x14ac:dyDescent="0.3">
      <c r="A2027">
        <v>10110</v>
      </c>
      <c r="B2027">
        <v>48</v>
      </c>
      <c r="C2027">
        <v>34.47</v>
      </c>
      <c r="D2027">
        <v>5</v>
      </c>
      <c r="E2027">
        <v>1654.56</v>
      </c>
      <c r="F2027" s="1">
        <v>37698</v>
      </c>
      <c r="G2027" t="s">
        <v>39</v>
      </c>
      <c r="H2027">
        <v>1</v>
      </c>
      <c r="I2027">
        <v>3</v>
      </c>
      <c r="J2027" t="str">
        <f>TEXT(DATE(2012,Table1[[#This Row],[MONTH_ID]],10),"mmm")</f>
        <v>Mar</v>
      </c>
      <c r="K2027">
        <v>2003</v>
      </c>
      <c r="L2027" t="s">
        <v>564</v>
      </c>
      <c r="M2027">
        <v>41</v>
      </c>
      <c r="N2027" t="s">
        <v>658</v>
      </c>
      <c r="O2027" t="s">
        <v>506</v>
      </c>
      <c r="P2027" t="s">
        <v>507</v>
      </c>
      <c r="Q2027" t="s">
        <v>508</v>
      </c>
      <c r="S2027" t="s">
        <v>509</v>
      </c>
      <c r="U2027" t="s">
        <v>510</v>
      </c>
      <c r="V2027" t="s">
        <v>184</v>
      </c>
      <c r="W2027" t="s">
        <v>56</v>
      </c>
      <c r="X2027" t="s">
        <v>511</v>
      </c>
      <c r="Y2027" t="s">
        <v>108</v>
      </c>
      <c r="Z2027" t="s">
        <v>50</v>
      </c>
    </row>
    <row r="2028" spans="1:26" x14ac:dyDescent="0.3">
      <c r="A2028">
        <v>10124</v>
      </c>
      <c r="B2028">
        <v>46</v>
      </c>
      <c r="C2028">
        <v>33.229999999999997</v>
      </c>
      <c r="D2028">
        <v>4</v>
      </c>
      <c r="E2028">
        <v>1528.58</v>
      </c>
      <c r="F2028" s="1">
        <v>37762</v>
      </c>
      <c r="G2028" t="s">
        <v>39</v>
      </c>
      <c r="H2028">
        <v>2</v>
      </c>
      <c r="I2028">
        <v>5</v>
      </c>
      <c r="J2028" t="str">
        <f>TEXT(DATE(2012,Table1[[#This Row],[MONTH_ID]],10),"mmm")</f>
        <v>May</v>
      </c>
      <c r="K2028">
        <v>2003</v>
      </c>
      <c r="L2028" t="s">
        <v>564</v>
      </c>
      <c r="M2028">
        <v>41</v>
      </c>
      <c r="N2028" t="s">
        <v>658</v>
      </c>
      <c r="O2028" t="s">
        <v>553</v>
      </c>
      <c r="P2028">
        <v>7025551838</v>
      </c>
      <c r="Q2028" t="s">
        <v>554</v>
      </c>
      <c r="S2028" t="s">
        <v>555</v>
      </c>
      <c r="T2028" t="s">
        <v>556</v>
      </c>
      <c r="U2028">
        <v>83030</v>
      </c>
      <c r="V2028" t="s">
        <v>46</v>
      </c>
      <c r="W2028" t="s">
        <v>47</v>
      </c>
      <c r="X2028" t="s">
        <v>127</v>
      </c>
      <c r="Y2028" t="s">
        <v>414</v>
      </c>
      <c r="Z2028" t="s">
        <v>50</v>
      </c>
    </row>
    <row r="2029" spans="1:26" x14ac:dyDescent="0.3">
      <c r="A2029">
        <v>10149</v>
      </c>
      <c r="B2029">
        <v>26</v>
      </c>
      <c r="C2029">
        <v>38.979999999999997</v>
      </c>
      <c r="D2029">
        <v>9</v>
      </c>
      <c r="E2029">
        <v>1013.48</v>
      </c>
      <c r="F2029" s="1">
        <v>37876</v>
      </c>
      <c r="G2029" t="s">
        <v>39</v>
      </c>
      <c r="H2029">
        <v>3</v>
      </c>
      <c r="I2029">
        <v>9</v>
      </c>
      <c r="J2029" t="str">
        <f>TEXT(DATE(2012,Table1[[#This Row],[MONTH_ID]],10),"mmm")</f>
        <v>Sep</v>
      </c>
      <c r="K2029">
        <v>2003</v>
      </c>
      <c r="L2029" t="s">
        <v>564</v>
      </c>
      <c r="M2029">
        <v>41</v>
      </c>
      <c r="N2029" t="s">
        <v>658</v>
      </c>
      <c r="O2029" t="s">
        <v>540</v>
      </c>
      <c r="P2029">
        <v>4155554312</v>
      </c>
      <c r="Q2029" t="s">
        <v>541</v>
      </c>
      <c r="S2029" t="s">
        <v>542</v>
      </c>
      <c r="T2029" t="s">
        <v>69</v>
      </c>
      <c r="U2029">
        <v>94217</v>
      </c>
      <c r="V2029" t="s">
        <v>46</v>
      </c>
      <c r="W2029" t="s">
        <v>47</v>
      </c>
      <c r="X2029" t="s">
        <v>543</v>
      </c>
      <c r="Y2029" t="s">
        <v>414</v>
      </c>
      <c r="Z2029" t="s">
        <v>50</v>
      </c>
    </row>
    <row r="2030" spans="1:26" x14ac:dyDescent="0.3">
      <c r="A2030">
        <v>10162</v>
      </c>
      <c r="B2030">
        <v>37</v>
      </c>
      <c r="C2030">
        <v>38.979999999999997</v>
      </c>
      <c r="D2030">
        <v>7</v>
      </c>
      <c r="E2030">
        <v>1442.26</v>
      </c>
      <c r="F2030" s="1">
        <v>37912</v>
      </c>
      <c r="G2030" t="s">
        <v>39</v>
      </c>
      <c r="H2030">
        <v>4</v>
      </c>
      <c r="I2030">
        <v>10</v>
      </c>
      <c r="J2030" t="str">
        <f>TEXT(DATE(2012,Table1[[#This Row],[MONTH_ID]],10),"mmm")</f>
        <v>Oct</v>
      </c>
      <c r="K2030">
        <v>2003</v>
      </c>
      <c r="L2030" t="s">
        <v>564</v>
      </c>
      <c r="M2030">
        <v>41</v>
      </c>
      <c r="N2030" t="s">
        <v>658</v>
      </c>
      <c r="O2030" t="s">
        <v>72</v>
      </c>
      <c r="P2030">
        <v>6505551386</v>
      </c>
      <c r="Q2030" t="s">
        <v>73</v>
      </c>
      <c r="S2030" t="s">
        <v>74</v>
      </c>
      <c r="T2030" t="s">
        <v>69</v>
      </c>
      <c r="V2030" t="s">
        <v>46</v>
      </c>
      <c r="W2030" t="s">
        <v>47</v>
      </c>
      <c r="X2030" t="s">
        <v>75</v>
      </c>
      <c r="Y2030" t="s">
        <v>71</v>
      </c>
      <c r="Z2030" t="s">
        <v>50</v>
      </c>
    </row>
    <row r="2031" spans="1:26" x14ac:dyDescent="0.3">
      <c r="A2031">
        <v>10173</v>
      </c>
      <c r="B2031">
        <v>35</v>
      </c>
      <c r="C2031">
        <v>33.229999999999997</v>
      </c>
      <c r="D2031">
        <v>11</v>
      </c>
      <c r="E2031">
        <v>1163.05</v>
      </c>
      <c r="F2031" s="1">
        <v>37930</v>
      </c>
      <c r="G2031" t="s">
        <v>39</v>
      </c>
      <c r="H2031">
        <v>4</v>
      </c>
      <c r="I2031">
        <v>11</v>
      </c>
      <c r="J2031" t="str">
        <f>TEXT(DATE(2012,Table1[[#This Row],[MONTH_ID]],10),"mmm")</f>
        <v>Nov</v>
      </c>
      <c r="K2031">
        <v>2003</v>
      </c>
      <c r="L2031" t="s">
        <v>564</v>
      </c>
      <c r="M2031">
        <v>41</v>
      </c>
      <c r="N2031" t="s">
        <v>658</v>
      </c>
      <c r="O2031" t="s">
        <v>566</v>
      </c>
      <c r="P2031" t="s">
        <v>567</v>
      </c>
      <c r="Q2031" t="s">
        <v>568</v>
      </c>
      <c r="S2031" t="s">
        <v>569</v>
      </c>
      <c r="U2031">
        <v>24100</v>
      </c>
      <c r="V2031" t="s">
        <v>272</v>
      </c>
      <c r="W2031" t="s">
        <v>56</v>
      </c>
      <c r="X2031" t="s">
        <v>570</v>
      </c>
      <c r="Y2031" t="s">
        <v>571</v>
      </c>
      <c r="Z2031" t="s">
        <v>50</v>
      </c>
    </row>
    <row r="2032" spans="1:26" x14ac:dyDescent="0.3">
      <c r="A2032">
        <v>10182</v>
      </c>
      <c r="B2032">
        <v>23</v>
      </c>
      <c r="C2032">
        <v>42.26</v>
      </c>
      <c r="D2032">
        <v>8</v>
      </c>
      <c r="E2032">
        <v>971.98</v>
      </c>
      <c r="F2032" s="1">
        <v>37937</v>
      </c>
      <c r="G2032" t="s">
        <v>39</v>
      </c>
      <c r="H2032">
        <v>4</v>
      </c>
      <c r="I2032">
        <v>11</v>
      </c>
      <c r="J2032" t="str">
        <f>TEXT(DATE(2012,Table1[[#This Row],[MONTH_ID]],10),"mmm")</f>
        <v>Nov</v>
      </c>
      <c r="K2032">
        <v>2003</v>
      </c>
      <c r="L2032" t="s">
        <v>564</v>
      </c>
      <c r="M2032">
        <v>41</v>
      </c>
      <c r="N2032" t="s">
        <v>658</v>
      </c>
      <c r="O2032" t="s">
        <v>286</v>
      </c>
      <c r="P2032">
        <v>4155551450</v>
      </c>
      <c r="Q2032" t="s">
        <v>287</v>
      </c>
      <c r="S2032" t="s">
        <v>288</v>
      </c>
      <c r="T2032" t="s">
        <v>69</v>
      </c>
      <c r="U2032">
        <v>97562</v>
      </c>
      <c r="V2032" t="s">
        <v>46</v>
      </c>
      <c r="W2032" t="s">
        <v>47</v>
      </c>
      <c r="X2032" t="s">
        <v>289</v>
      </c>
      <c r="Y2032" t="s">
        <v>290</v>
      </c>
      <c r="Z2032" t="s">
        <v>50</v>
      </c>
    </row>
    <row r="2033" spans="1:26" x14ac:dyDescent="0.3">
      <c r="A2033">
        <v>10193</v>
      </c>
      <c r="B2033">
        <v>22</v>
      </c>
      <c r="C2033">
        <v>41.03</v>
      </c>
      <c r="D2033">
        <v>12</v>
      </c>
      <c r="E2033">
        <v>902.66</v>
      </c>
      <c r="F2033" s="1">
        <v>37946</v>
      </c>
      <c r="G2033" t="s">
        <v>39</v>
      </c>
      <c r="H2033">
        <v>4</v>
      </c>
      <c r="I2033">
        <v>11</v>
      </c>
      <c r="J2033" t="str">
        <f>TEXT(DATE(2012,Table1[[#This Row],[MONTH_ID]],10),"mmm")</f>
        <v>Nov</v>
      </c>
      <c r="K2033">
        <v>2003</v>
      </c>
      <c r="L2033" t="s">
        <v>564</v>
      </c>
      <c r="M2033">
        <v>41</v>
      </c>
      <c r="N2033" t="s">
        <v>658</v>
      </c>
      <c r="O2033" t="s">
        <v>572</v>
      </c>
      <c r="P2033" t="s">
        <v>573</v>
      </c>
      <c r="Q2033" t="s">
        <v>574</v>
      </c>
      <c r="S2033" t="s">
        <v>575</v>
      </c>
      <c r="T2033" t="s">
        <v>108</v>
      </c>
      <c r="U2033">
        <v>3150</v>
      </c>
      <c r="V2033" t="s">
        <v>109</v>
      </c>
      <c r="W2033" t="s">
        <v>110</v>
      </c>
      <c r="X2033" t="s">
        <v>576</v>
      </c>
      <c r="Y2033" t="s">
        <v>577</v>
      </c>
      <c r="Z2033" t="s">
        <v>50</v>
      </c>
    </row>
    <row r="2034" spans="1:26" x14ac:dyDescent="0.3">
      <c r="A2034">
        <v>10204</v>
      </c>
      <c r="B2034">
        <v>39</v>
      </c>
      <c r="C2034">
        <v>33.229999999999997</v>
      </c>
      <c r="D2034">
        <v>2</v>
      </c>
      <c r="E2034">
        <v>1295.97</v>
      </c>
      <c r="F2034" s="1">
        <v>37957</v>
      </c>
      <c r="G2034" t="s">
        <v>39</v>
      </c>
      <c r="H2034">
        <v>4</v>
      </c>
      <c r="I2034">
        <v>12</v>
      </c>
      <c r="J2034" t="str">
        <f>TEXT(DATE(2012,Table1[[#This Row],[MONTH_ID]],10),"mmm")</f>
        <v>Dec</v>
      </c>
      <c r="K2034">
        <v>2003</v>
      </c>
      <c r="L2034" t="s">
        <v>564</v>
      </c>
      <c r="M2034">
        <v>41</v>
      </c>
      <c r="N2034" t="s">
        <v>658</v>
      </c>
      <c r="O2034" t="s">
        <v>489</v>
      </c>
      <c r="P2034">
        <v>2125557413</v>
      </c>
      <c r="Q2034" t="s">
        <v>490</v>
      </c>
      <c r="R2034" t="s">
        <v>491</v>
      </c>
      <c r="S2034" t="s">
        <v>44</v>
      </c>
      <c r="T2034" t="s">
        <v>45</v>
      </c>
      <c r="U2034">
        <v>10022</v>
      </c>
      <c r="V2034" t="s">
        <v>46</v>
      </c>
      <c r="W2034" t="s">
        <v>47</v>
      </c>
      <c r="X2034" t="s">
        <v>70</v>
      </c>
      <c r="Y2034" t="s">
        <v>492</v>
      </c>
      <c r="Z2034" t="s">
        <v>50</v>
      </c>
    </row>
    <row r="2035" spans="1:26" x14ac:dyDescent="0.3">
      <c r="A2035">
        <v>10214</v>
      </c>
      <c r="B2035">
        <v>44</v>
      </c>
      <c r="C2035">
        <v>34.880000000000003</v>
      </c>
      <c r="D2035">
        <v>5</v>
      </c>
      <c r="E2035">
        <v>1534.72</v>
      </c>
      <c r="F2035" s="1">
        <v>38012</v>
      </c>
      <c r="G2035" t="s">
        <v>39</v>
      </c>
      <c r="H2035">
        <v>1</v>
      </c>
      <c r="I2035">
        <v>1</v>
      </c>
      <c r="J2035" t="str">
        <f>TEXT(DATE(2012,Table1[[#This Row],[MONTH_ID]],10),"mmm")</f>
        <v>Jan</v>
      </c>
      <c r="K2035">
        <v>2004</v>
      </c>
      <c r="L2035" t="s">
        <v>564</v>
      </c>
      <c r="M2035">
        <v>41</v>
      </c>
      <c r="N2035" t="s">
        <v>658</v>
      </c>
      <c r="O2035" t="s">
        <v>205</v>
      </c>
      <c r="P2035" t="s">
        <v>206</v>
      </c>
      <c r="Q2035" t="s">
        <v>207</v>
      </c>
      <c r="S2035" t="s">
        <v>191</v>
      </c>
      <c r="U2035">
        <v>28023</v>
      </c>
      <c r="V2035" t="s">
        <v>192</v>
      </c>
      <c r="W2035" t="s">
        <v>56</v>
      </c>
      <c r="X2035" t="s">
        <v>208</v>
      </c>
      <c r="Y2035" t="s">
        <v>209</v>
      </c>
      <c r="Z2035" t="s">
        <v>50</v>
      </c>
    </row>
    <row r="2036" spans="1:26" x14ac:dyDescent="0.3">
      <c r="A2036">
        <v>10227</v>
      </c>
      <c r="B2036">
        <v>27</v>
      </c>
      <c r="C2036">
        <v>43.9</v>
      </c>
      <c r="D2036">
        <v>8</v>
      </c>
      <c r="E2036">
        <v>1185.3</v>
      </c>
      <c r="F2036" s="1">
        <v>38048</v>
      </c>
      <c r="G2036" t="s">
        <v>39</v>
      </c>
      <c r="H2036">
        <v>1</v>
      </c>
      <c r="I2036">
        <v>3</v>
      </c>
      <c r="J2036" t="str">
        <f>TEXT(DATE(2012,Table1[[#This Row],[MONTH_ID]],10),"mmm")</f>
        <v>Mar</v>
      </c>
      <c r="K2036">
        <v>2004</v>
      </c>
      <c r="L2036" t="s">
        <v>564</v>
      </c>
      <c r="M2036">
        <v>41</v>
      </c>
      <c r="N2036" t="s">
        <v>658</v>
      </c>
      <c r="O2036" t="s">
        <v>233</v>
      </c>
      <c r="P2036" t="s">
        <v>234</v>
      </c>
      <c r="Q2036" t="s">
        <v>235</v>
      </c>
      <c r="S2036" t="s">
        <v>236</v>
      </c>
      <c r="U2036">
        <v>69004</v>
      </c>
      <c r="V2036" t="s">
        <v>55</v>
      </c>
      <c r="W2036" t="s">
        <v>56</v>
      </c>
      <c r="X2036" t="s">
        <v>237</v>
      </c>
      <c r="Y2036" t="s">
        <v>238</v>
      </c>
      <c r="Z2036" t="s">
        <v>50</v>
      </c>
    </row>
    <row r="2037" spans="1:26" x14ac:dyDescent="0.3">
      <c r="A2037">
        <v>10242</v>
      </c>
      <c r="B2037">
        <v>46</v>
      </c>
      <c r="C2037">
        <v>36.93</v>
      </c>
      <c r="D2037">
        <v>1</v>
      </c>
      <c r="E2037">
        <v>1698.78</v>
      </c>
      <c r="F2037" s="1">
        <v>38097</v>
      </c>
      <c r="G2037" t="s">
        <v>39</v>
      </c>
      <c r="H2037">
        <v>2</v>
      </c>
      <c r="I2037">
        <v>4</v>
      </c>
      <c r="J2037" t="str">
        <f>TEXT(DATE(2012,Table1[[#This Row],[MONTH_ID]],10),"mmm")</f>
        <v>Apr</v>
      </c>
      <c r="K2037">
        <v>2004</v>
      </c>
      <c r="L2037" t="s">
        <v>564</v>
      </c>
      <c r="M2037">
        <v>41</v>
      </c>
      <c r="N2037" t="s">
        <v>658</v>
      </c>
      <c r="O2037" t="s">
        <v>521</v>
      </c>
      <c r="P2037">
        <v>2125551957</v>
      </c>
      <c r="Q2037" t="s">
        <v>522</v>
      </c>
      <c r="R2037" t="s">
        <v>523</v>
      </c>
      <c r="S2037" t="s">
        <v>44</v>
      </c>
      <c r="T2037" t="s">
        <v>45</v>
      </c>
      <c r="U2037">
        <v>10022</v>
      </c>
      <c r="V2037" t="s">
        <v>46</v>
      </c>
      <c r="W2037" t="s">
        <v>47</v>
      </c>
      <c r="X2037" t="s">
        <v>524</v>
      </c>
      <c r="Y2037" t="s">
        <v>525</v>
      </c>
      <c r="Z2037" t="s">
        <v>50</v>
      </c>
    </row>
    <row r="2038" spans="1:26" x14ac:dyDescent="0.3">
      <c r="A2038">
        <v>10280</v>
      </c>
      <c r="B2038">
        <v>33</v>
      </c>
      <c r="C2038">
        <v>41.85</v>
      </c>
      <c r="D2038">
        <v>14</v>
      </c>
      <c r="E2038">
        <v>1381.05</v>
      </c>
      <c r="F2038" s="1">
        <v>38216</v>
      </c>
      <c r="G2038" t="s">
        <v>39</v>
      </c>
      <c r="H2038">
        <v>3</v>
      </c>
      <c r="I2038">
        <v>8</v>
      </c>
      <c r="J2038" t="str">
        <f>TEXT(DATE(2012,Table1[[#This Row],[MONTH_ID]],10),"mmm")</f>
        <v>Aug</v>
      </c>
      <c r="K2038">
        <v>2004</v>
      </c>
      <c r="L2038" t="s">
        <v>564</v>
      </c>
      <c r="M2038">
        <v>41</v>
      </c>
      <c r="N2038" t="s">
        <v>658</v>
      </c>
      <c r="O2038" t="s">
        <v>268</v>
      </c>
      <c r="P2038" t="s">
        <v>269</v>
      </c>
      <c r="Q2038" t="s">
        <v>270</v>
      </c>
      <c r="S2038" t="s">
        <v>271</v>
      </c>
      <c r="U2038">
        <v>10100</v>
      </c>
      <c r="V2038" t="s">
        <v>272</v>
      </c>
      <c r="W2038" t="s">
        <v>56</v>
      </c>
      <c r="X2038" t="s">
        <v>273</v>
      </c>
      <c r="Y2038" t="s">
        <v>274</v>
      </c>
      <c r="Z2038" t="s">
        <v>50</v>
      </c>
    </row>
    <row r="2039" spans="1:26" x14ac:dyDescent="0.3">
      <c r="A2039">
        <v>10288</v>
      </c>
      <c r="B2039">
        <v>33</v>
      </c>
      <c r="C2039">
        <v>40.619999999999997</v>
      </c>
      <c r="D2039">
        <v>3</v>
      </c>
      <c r="E2039">
        <v>1340.46</v>
      </c>
      <c r="F2039" s="1">
        <v>38231</v>
      </c>
      <c r="G2039" t="s">
        <v>39</v>
      </c>
      <c r="H2039">
        <v>3</v>
      </c>
      <c r="I2039">
        <v>9</v>
      </c>
      <c r="J2039" t="str">
        <f>TEXT(DATE(2012,Table1[[#This Row],[MONTH_ID]],10),"mmm")</f>
        <v>Sep</v>
      </c>
      <c r="K2039">
        <v>2004</v>
      </c>
      <c r="L2039" t="s">
        <v>564</v>
      </c>
      <c r="M2039">
        <v>41</v>
      </c>
      <c r="N2039" t="s">
        <v>658</v>
      </c>
      <c r="O2039" t="s">
        <v>432</v>
      </c>
      <c r="P2039" t="s">
        <v>433</v>
      </c>
      <c r="Q2039" t="s">
        <v>434</v>
      </c>
      <c r="R2039" t="s">
        <v>435</v>
      </c>
      <c r="S2039" t="s">
        <v>213</v>
      </c>
      <c r="U2039">
        <v>69045</v>
      </c>
      <c r="V2039" t="s">
        <v>213</v>
      </c>
      <c r="W2039" t="s">
        <v>110</v>
      </c>
      <c r="X2039" t="s">
        <v>436</v>
      </c>
      <c r="Y2039" t="s">
        <v>437</v>
      </c>
      <c r="Z2039" t="s">
        <v>50</v>
      </c>
    </row>
    <row r="2040" spans="1:26" x14ac:dyDescent="0.3">
      <c r="A2040">
        <v>10303</v>
      </c>
      <c r="B2040">
        <v>24</v>
      </c>
      <c r="C2040">
        <v>40.21</v>
      </c>
      <c r="D2040">
        <v>1</v>
      </c>
      <c r="E2040">
        <v>965.04</v>
      </c>
      <c r="F2040" s="1">
        <v>38266</v>
      </c>
      <c r="G2040" t="s">
        <v>39</v>
      </c>
      <c r="H2040">
        <v>4</v>
      </c>
      <c r="I2040">
        <v>10</v>
      </c>
      <c r="J2040" t="str">
        <f>TEXT(DATE(2012,Table1[[#This Row],[MONTH_ID]],10),"mmm")</f>
        <v>Oct</v>
      </c>
      <c r="K2040">
        <v>2004</v>
      </c>
      <c r="L2040" t="s">
        <v>564</v>
      </c>
      <c r="M2040">
        <v>41</v>
      </c>
      <c r="N2040" t="s">
        <v>658</v>
      </c>
      <c r="O2040" t="s">
        <v>534</v>
      </c>
      <c r="P2040" t="s">
        <v>535</v>
      </c>
      <c r="Q2040" t="s">
        <v>536</v>
      </c>
      <c r="S2040" t="s">
        <v>537</v>
      </c>
      <c r="U2040">
        <v>41101</v>
      </c>
      <c r="V2040" t="s">
        <v>192</v>
      </c>
      <c r="W2040" t="s">
        <v>56</v>
      </c>
      <c r="X2040" t="s">
        <v>538</v>
      </c>
      <c r="Y2040" t="s">
        <v>539</v>
      </c>
      <c r="Z2040" t="s">
        <v>50</v>
      </c>
    </row>
    <row r="2041" spans="1:26" x14ac:dyDescent="0.3">
      <c r="A2041">
        <v>10312</v>
      </c>
      <c r="B2041">
        <v>31</v>
      </c>
      <c r="C2041">
        <v>35.29</v>
      </c>
      <c r="D2041">
        <v>15</v>
      </c>
      <c r="E2041">
        <v>1093.99</v>
      </c>
      <c r="F2041" s="1">
        <v>38281</v>
      </c>
      <c r="G2041" t="s">
        <v>39</v>
      </c>
      <c r="H2041">
        <v>4</v>
      </c>
      <c r="I2041">
        <v>10</v>
      </c>
      <c r="J2041" t="str">
        <f>TEXT(DATE(2012,Table1[[#This Row],[MONTH_ID]],10),"mmm")</f>
        <v>Oct</v>
      </c>
      <c r="K2041">
        <v>2004</v>
      </c>
      <c r="L2041" t="s">
        <v>564</v>
      </c>
      <c r="M2041">
        <v>41</v>
      </c>
      <c r="N2041" t="s">
        <v>658</v>
      </c>
      <c r="O2041" t="s">
        <v>286</v>
      </c>
      <c r="P2041">
        <v>4155551450</v>
      </c>
      <c r="Q2041" t="s">
        <v>287</v>
      </c>
      <c r="S2041" t="s">
        <v>288</v>
      </c>
      <c r="T2041" t="s">
        <v>69</v>
      </c>
      <c r="U2041">
        <v>97562</v>
      </c>
      <c r="V2041" t="s">
        <v>46</v>
      </c>
      <c r="W2041" t="s">
        <v>47</v>
      </c>
      <c r="X2041" t="s">
        <v>289</v>
      </c>
      <c r="Y2041" t="s">
        <v>290</v>
      </c>
      <c r="Z2041" t="s">
        <v>50</v>
      </c>
    </row>
    <row r="2042" spans="1:26" x14ac:dyDescent="0.3">
      <c r="A2042">
        <v>10332</v>
      </c>
      <c r="B2042">
        <v>41</v>
      </c>
      <c r="C2042">
        <v>77.239999999999995</v>
      </c>
      <c r="D2042">
        <v>14</v>
      </c>
      <c r="E2042">
        <v>3166.84</v>
      </c>
      <c r="F2042" s="1">
        <v>38308</v>
      </c>
      <c r="G2042" t="s">
        <v>39</v>
      </c>
      <c r="H2042">
        <v>4</v>
      </c>
      <c r="I2042">
        <v>11</v>
      </c>
      <c r="J2042" t="str">
        <f>TEXT(DATE(2012,Table1[[#This Row],[MONTH_ID]],10),"mmm")</f>
        <v>Nov</v>
      </c>
      <c r="K2042">
        <v>2004</v>
      </c>
      <c r="L2042" t="s">
        <v>564</v>
      </c>
      <c r="M2042">
        <v>41</v>
      </c>
      <c r="N2042" t="s">
        <v>658</v>
      </c>
      <c r="O2042" t="s">
        <v>506</v>
      </c>
      <c r="P2042" t="s">
        <v>507</v>
      </c>
      <c r="Q2042" t="s">
        <v>508</v>
      </c>
      <c r="S2042" t="s">
        <v>509</v>
      </c>
      <c r="U2042" t="s">
        <v>510</v>
      </c>
      <c r="V2042" t="s">
        <v>184</v>
      </c>
      <c r="W2042" t="s">
        <v>56</v>
      </c>
      <c r="X2042" t="s">
        <v>511</v>
      </c>
      <c r="Y2042" t="s">
        <v>108</v>
      </c>
      <c r="Z2042" t="s">
        <v>65</v>
      </c>
    </row>
    <row r="2043" spans="1:26" x14ac:dyDescent="0.3">
      <c r="A2043">
        <v>10346</v>
      </c>
      <c r="B2043">
        <v>22</v>
      </c>
      <c r="C2043">
        <v>97.44</v>
      </c>
      <c r="D2043">
        <v>4</v>
      </c>
      <c r="E2043">
        <v>2143.6799999999998</v>
      </c>
      <c r="F2043" s="1">
        <v>38320</v>
      </c>
      <c r="G2043" t="s">
        <v>39</v>
      </c>
      <c r="H2043">
        <v>4</v>
      </c>
      <c r="I2043">
        <v>11</v>
      </c>
      <c r="J2043" t="str">
        <f>TEXT(DATE(2012,Table1[[#This Row],[MONTH_ID]],10),"mmm")</f>
        <v>Nov</v>
      </c>
      <c r="K2043">
        <v>2004</v>
      </c>
      <c r="L2043" t="s">
        <v>564</v>
      </c>
      <c r="M2043">
        <v>41</v>
      </c>
      <c r="N2043" t="s">
        <v>658</v>
      </c>
      <c r="O2043" t="s">
        <v>553</v>
      </c>
      <c r="P2043">
        <v>7025551838</v>
      </c>
      <c r="Q2043" t="s">
        <v>554</v>
      </c>
      <c r="S2043" t="s">
        <v>555</v>
      </c>
      <c r="T2043" t="s">
        <v>556</v>
      </c>
      <c r="U2043">
        <v>83030</v>
      </c>
      <c r="V2043" t="s">
        <v>46</v>
      </c>
      <c r="W2043" t="s">
        <v>47</v>
      </c>
      <c r="X2043" t="s">
        <v>127</v>
      </c>
      <c r="Y2043" t="s">
        <v>414</v>
      </c>
      <c r="Z2043" t="s">
        <v>50</v>
      </c>
    </row>
    <row r="2044" spans="1:26" x14ac:dyDescent="0.3">
      <c r="A2044">
        <v>10368</v>
      </c>
      <c r="B2044">
        <v>46</v>
      </c>
      <c r="C2044">
        <v>37.340000000000003</v>
      </c>
      <c r="D2044">
        <v>3</v>
      </c>
      <c r="E2044">
        <v>1717.64</v>
      </c>
      <c r="F2044" s="1">
        <v>38371</v>
      </c>
      <c r="G2044" t="s">
        <v>39</v>
      </c>
      <c r="H2044">
        <v>1</v>
      </c>
      <c r="I2044">
        <v>1</v>
      </c>
      <c r="J2044" t="str">
        <f>TEXT(DATE(2012,Table1[[#This Row],[MONTH_ID]],10),"mmm")</f>
        <v>Jan</v>
      </c>
      <c r="K2044">
        <v>2005</v>
      </c>
      <c r="L2044" t="s">
        <v>564</v>
      </c>
      <c r="M2044">
        <v>41</v>
      </c>
      <c r="N2044" t="s">
        <v>658</v>
      </c>
      <c r="O2044" t="s">
        <v>286</v>
      </c>
      <c r="P2044">
        <v>4155551450</v>
      </c>
      <c r="Q2044" t="s">
        <v>287</v>
      </c>
      <c r="S2044" t="s">
        <v>288</v>
      </c>
      <c r="T2044" t="s">
        <v>69</v>
      </c>
      <c r="U2044">
        <v>97562</v>
      </c>
      <c r="V2044" t="s">
        <v>46</v>
      </c>
      <c r="W2044" t="s">
        <v>47</v>
      </c>
      <c r="X2044" t="s">
        <v>289</v>
      </c>
      <c r="Y2044" t="s">
        <v>290</v>
      </c>
      <c r="Z2044" t="s">
        <v>50</v>
      </c>
    </row>
    <row r="2045" spans="1:26" x14ac:dyDescent="0.3">
      <c r="A2045">
        <v>10380</v>
      </c>
      <c r="B2045">
        <v>43</v>
      </c>
      <c r="C2045">
        <v>95.03</v>
      </c>
      <c r="D2045">
        <v>12</v>
      </c>
      <c r="E2045">
        <v>4086.29</v>
      </c>
      <c r="F2045" s="1">
        <v>38399</v>
      </c>
      <c r="G2045" t="s">
        <v>39</v>
      </c>
      <c r="H2045">
        <v>1</v>
      </c>
      <c r="I2045">
        <v>2</v>
      </c>
      <c r="J2045" t="str">
        <f>TEXT(DATE(2012,Table1[[#This Row],[MONTH_ID]],10),"mmm")</f>
        <v>Feb</v>
      </c>
      <c r="K2045">
        <v>2005</v>
      </c>
      <c r="L2045" t="s">
        <v>564</v>
      </c>
      <c r="M2045">
        <v>41</v>
      </c>
      <c r="N2045" t="s">
        <v>658</v>
      </c>
      <c r="O2045" t="s">
        <v>188</v>
      </c>
      <c r="P2045" t="s">
        <v>189</v>
      </c>
      <c r="Q2045" t="s">
        <v>190</v>
      </c>
      <c r="S2045" t="s">
        <v>191</v>
      </c>
      <c r="U2045">
        <v>28034</v>
      </c>
      <c r="V2045" t="s">
        <v>192</v>
      </c>
      <c r="W2045" t="s">
        <v>56</v>
      </c>
      <c r="X2045" t="s">
        <v>193</v>
      </c>
      <c r="Y2045" t="s">
        <v>194</v>
      </c>
      <c r="Z2045" t="s">
        <v>65</v>
      </c>
    </row>
    <row r="2046" spans="1:26" x14ac:dyDescent="0.3">
      <c r="A2046">
        <v>10408</v>
      </c>
      <c r="B2046">
        <v>15</v>
      </c>
      <c r="C2046">
        <v>36.93</v>
      </c>
      <c r="D2046">
        <v>1</v>
      </c>
      <c r="E2046">
        <v>553.95000000000005</v>
      </c>
      <c r="F2046" s="1">
        <v>38464</v>
      </c>
      <c r="G2046" t="s">
        <v>39</v>
      </c>
      <c r="H2046">
        <v>2</v>
      </c>
      <c r="I2046">
        <v>4</v>
      </c>
      <c r="J2046" t="str">
        <f>TEXT(DATE(2012,Table1[[#This Row],[MONTH_ID]],10),"mmm")</f>
        <v>Apr</v>
      </c>
      <c r="K2046">
        <v>2005</v>
      </c>
      <c r="L2046" t="s">
        <v>564</v>
      </c>
      <c r="M2046">
        <v>41</v>
      </c>
      <c r="N2046" t="s">
        <v>658</v>
      </c>
      <c r="O2046" t="s">
        <v>260</v>
      </c>
      <c r="P2046" t="s">
        <v>261</v>
      </c>
      <c r="Q2046" t="s">
        <v>262</v>
      </c>
      <c r="S2046" t="s">
        <v>263</v>
      </c>
      <c r="T2046" t="s">
        <v>264</v>
      </c>
      <c r="U2046" t="s">
        <v>265</v>
      </c>
      <c r="V2046" t="s">
        <v>214</v>
      </c>
      <c r="W2046" t="s">
        <v>214</v>
      </c>
      <c r="X2046" t="s">
        <v>266</v>
      </c>
      <c r="Y2046" t="s">
        <v>267</v>
      </c>
      <c r="Z2046" t="s">
        <v>50</v>
      </c>
    </row>
    <row r="2047" spans="1:26" x14ac:dyDescent="0.3">
      <c r="A2047">
        <v>10420</v>
      </c>
      <c r="B2047">
        <v>15</v>
      </c>
      <c r="C2047">
        <v>43.49</v>
      </c>
      <c r="D2047">
        <v>3</v>
      </c>
      <c r="E2047">
        <v>652.35</v>
      </c>
      <c r="F2047" s="1">
        <v>38501</v>
      </c>
      <c r="G2047" t="s">
        <v>314</v>
      </c>
      <c r="H2047">
        <v>2</v>
      </c>
      <c r="I2047">
        <v>5</v>
      </c>
      <c r="J2047" t="str">
        <f>TEXT(DATE(2012,Table1[[#This Row],[MONTH_ID]],10),"mmm")</f>
        <v>May</v>
      </c>
      <c r="K2047">
        <v>2005</v>
      </c>
      <c r="L2047" t="s">
        <v>564</v>
      </c>
      <c r="M2047">
        <v>41</v>
      </c>
      <c r="N2047" t="s">
        <v>658</v>
      </c>
      <c r="O2047" t="s">
        <v>166</v>
      </c>
      <c r="P2047" t="s">
        <v>167</v>
      </c>
      <c r="Q2047" t="s">
        <v>168</v>
      </c>
      <c r="R2047" t="s">
        <v>169</v>
      </c>
      <c r="S2047" t="s">
        <v>170</v>
      </c>
      <c r="T2047" t="s">
        <v>171</v>
      </c>
      <c r="U2047">
        <v>2067</v>
      </c>
      <c r="V2047" t="s">
        <v>109</v>
      </c>
      <c r="W2047" t="s">
        <v>110</v>
      </c>
      <c r="X2047" t="s">
        <v>172</v>
      </c>
      <c r="Y2047" t="s">
        <v>173</v>
      </c>
      <c r="Z2047" t="s">
        <v>50</v>
      </c>
    </row>
    <row r="2048" spans="1:26" x14ac:dyDescent="0.3">
      <c r="A2048">
        <v>10104</v>
      </c>
      <c r="B2048">
        <v>26</v>
      </c>
      <c r="C2048">
        <v>100</v>
      </c>
      <c r="D2048">
        <v>5</v>
      </c>
      <c r="E2048">
        <v>2921.62</v>
      </c>
      <c r="F2048" s="1">
        <v>37652</v>
      </c>
      <c r="G2048" t="s">
        <v>39</v>
      </c>
      <c r="H2048">
        <v>1</v>
      </c>
      <c r="I2048">
        <v>1</v>
      </c>
      <c r="J2048" t="str">
        <f>TEXT(DATE(2012,Table1[[#This Row],[MONTH_ID]],10),"mmm")</f>
        <v>Jan</v>
      </c>
      <c r="K2048">
        <v>2003</v>
      </c>
      <c r="L2048" t="s">
        <v>195</v>
      </c>
      <c r="M2048">
        <v>118</v>
      </c>
      <c r="N2048" t="s">
        <v>659</v>
      </c>
      <c r="O2048" t="s">
        <v>188</v>
      </c>
      <c r="P2048" t="s">
        <v>189</v>
      </c>
      <c r="Q2048" t="s">
        <v>190</v>
      </c>
      <c r="S2048" t="s">
        <v>191</v>
      </c>
      <c r="U2048">
        <v>28034</v>
      </c>
      <c r="V2048" t="s">
        <v>192</v>
      </c>
      <c r="W2048" t="s">
        <v>56</v>
      </c>
      <c r="X2048" t="s">
        <v>193</v>
      </c>
      <c r="Y2048" t="s">
        <v>194</v>
      </c>
      <c r="Z2048" t="s">
        <v>50</v>
      </c>
    </row>
    <row r="2049" spans="1:26" x14ac:dyDescent="0.3">
      <c r="A2049">
        <v>10115</v>
      </c>
      <c r="B2049">
        <v>44</v>
      </c>
      <c r="C2049">
        <v>100</v>
      </c>
      <c r="D2049">
        <v>1</v>
      </c>
      <c r="E2049">
        <v>5568.64</v>
      </c>
      <c r="F2049" s="1">
        <v>37715</v>
      </c>
      <c r="G2049" t="s">
        <v>39</v>
      </c>
      <c r="H2049">
        <v>2</v>
      </c>
      <c r="I2049">
        <v>4</v>
      </c>
      <c r="J2049" t="str">
        <f>TEXT(DATE(2012,Table1[[#This Row],[MONTH_ID]],10),"mmm")</f>
        <v>Apr</v>
      </c>
      <c r="K2049">
        <v>2003</v>
      </c>
      <c r="L2049" t="s">
        <v>195</v>
      </c>
      <c r="M2049">
        <v>118</v>
      </c>
      <c r="N2049" t="s">
        <v>659</v>
      </c>
      <c r="O2049" t="s">
        <v>217</v>
      </c>
      <c r="P2049">
        <v>2125558493</v>
      </c>
      <c r="Q2049" t="s">
        <v>218</v>
      </c>
      <c r="R2049" t="s">
        <v>219</v>
      </c>
      <c r="S2049" t="s">
        <v>44</v>
      </c>
      <c r="T2049" t="s">
        <v>45</v>
      </c>
      <c r="U2049">
        <v>10022</v>
      </c>
      <c r="V2049" t="s">
        <v>46</v>
      </c>
      <c r="W2049" t="s">
        <v>47</v>
      </c>
      <c r="X2049" t="s">
        <v>138</v>
      </c>
      <c r="Y2049" t="s">
        <v>220</v>
      </c>
      <c r="Z2049" t="s">
        <v>65</v>
      </c>
    </row>
    <row r="2050" spans="1:26" x14ac:dyDescent="0.3">
      <c r="A2050">
        <v>10127</v>
      </c>
      <c r="B2050">
        <v>20</v>
      </c>
      <c r="C2050">
        <v>96.99</v>
      </c>
      <c r="D2050">
        <v>7</v>
      </c>
      <c r="E2050">
        <v>1939.8</v>
      </c>
      <c r="F2050" s="1">
        <v>37775</v>
      </c>
      <c r="G2050" t="s">
        <v>39</v>
      </c>
      <c r="H2050">
        <v>2</v>
      </c>
      <c r="I2050">
        <v>6</v>
      </c>
      <c r="J2050" t="str">
        <f>TEXT(DATE(2012,Table1[[#This Row],[MONTH_ID]],10),"mmm")</f>
        <v>Jun</v>
      </c>
      <c r="K2050">
        <v>2003</v>
      </c>
      <c r="L2050" t="s">
        <v>195</v>
      </c>
      <c r="M2050">
        <v>118</v>
      </c>
      <c r="N2050" t="s">
        <v>659</v>
      </c>
      <c r="O2050" t="s">
        <v>489</v>
      </c>
      <c r="P2050">
        <v>2125557413</v>
      </c>
      <c r="Q2050" t="s">
        <v>490</v>
      </c>
      <c r="R2050" t="s">
        <v>491</v>
      </c>
      <c r="S2050" t="s">
        <v>44</v>
      </c>
      <c r="T2050" t="s">
        <v>45</v>
      </c>
      <c r="U2050">
        <v>10022</v>
      </c>
      <c r="V2050" t="s">
        <v>46</v>
      </c>
      <c r="W2050" t="s">
        <v>47</v>
      </c>
      <c r="X2050" t="s">
        <v>70</v>
      </c>
      <c r="Y2050" t="s">
        <v>492</v>
      </c>
      <c r="Z2050" t="s">
        <v>50</v>
      </c>
    </row>
    <row r="2051" spans="1:26" x14ac:dyDescent="0.3">
      <c r="A2051">
        <v>10141</v>
      </c>
      <c r="B2051">
        <v>40</v>
      </c>
      <c r="C2051">
        <v>94.62</v>
      </c>
      <c r="D2051">
        <v>1</v>
      </c>
      <c r="E2051">
        <v>3784.8</v>
      </c>
      <c r="F2051" s="1">
        <v>37834</v>
      </c>
      <c r="G2051" t="s">
        <v>39</v>
      </c>
      <c r="H2051">
        <v>3</v>
      </c>
      <c r="I2051">
        <v>8</v>
      </c>
      <c r="J2051" t="str">
        <f>TEXT(DATE(2012,Table1[[#This Row],[MONTH_ID]],10),"mmm")</f>
        <v>Aug</v>
      </c>
      <c r="K2051">
        <v>2003</v>
      </c>
      <c r="L2051" t="s">
        <v>195</v>
      </c>
      <c r="M2051">
        <v>118</v>
      </c>
      <c r="N2051" t="s">
        <v>659</v>
      </c>
      <c r="O2051" t="s">
        <v>481</v>
      </c>
      <c r="P2051" t="s">
        <v>482</v>
      </c>
      <c r="Q2051" t="s">
        <v>483</v>
      </c>
      <c r="S2051" t="s">
        <v>484</v>
      </c>
      <c r="U2051" t="s">
        <v>485</v>
      </c>
      <c r="V2051" t="s">
        <v>144</v>
      </c>
      <c r="W2051" t="s">
        <v>56</v>
      </c>
      <c r="X2051" t="s">
        <v>486</v>
      </c>
      <c r="Y2051" t="s">
        <v>487</v>
      </c>
      <c r="Z2051" t="s">
        <v>65</v>
      </c>
    </row>
    <row r="2052" spans="1:26" x14ac:dyDescent="0.3">
      <c r="A2052">
        <v>10152</v>
      </c>
      <c r="B2052">
        <v>23</v>
      </c>
      <c r="C2052">
        <v>100</v>
      </c>
      <c r="D2052">
        <v>3</v>
      </c>
      <c r="E2052">
        <v>2802.09</v>
      </c>
      <c r="F2052" s="1">
        <v>37889</v>
      </c>
      <c r="G2052" t="s">
        <v>39</v>
      </c>
      <c r="H2052">
        <v>3</v>
      </c>
      <c r="I2052">
        <v>9</v>
      </c>
      <c r="J2052" t="str">
        <f>TEXT(DATE(2012,Table1[[#This Row],[MONTH_ID]],10),"mmm")</f>
        <v>Sep</v>
      </c>
      <c r="K2052">
        <v>2003</v>
      </c>
      <c r="L2052" t="s">
        <v>195</v>
      </c>
      <c r="M2052">
        <v>118</v>
      </c>
      <c r="N2052" t="s">
        <v>659</v>
      </c>
      <c r="O2052" t="s">
        <v>221</v>
      </c>
      <c r="P2052" t="s">
        <v>222</v>
      </c>
      <c r="Q2052" t="s">
        <v>223</v>
      </c>
      <c r="S2052" t="s">
        <v>224</v>
      </c>
      <c r="T2052" t="s">
        <v>225</v>
      </c>
      <c r="U2052">
        <v>4101</v>
      </c>
      <c r="V2052" t="s">
        <v>109</v>
      </c>
      <c r="W2052" t="s">
        <v>110</v>
      </c>
      <c r="X2052" t="s">
        <v>226</v>
      </c>
      <c r="Y2052" t="s">
        <v>227</v>
      </c>
      <c r="Z2052" t="s">
        <v>50</v>
      </c>
    </row>
    <row r="2053" spans="1:26" x14ac:dyDescent="0.3">
      <c r="A2053">
        <v>10165</v>
      </c>
      <c r="B2053">
        <v>24</v>
      </c>
      <c r="C2053">
        <v>99.36</v>
      </c>
      <c r="D2053">
        <v>8</v>
      </c>
      <c r="E2053">
        <v>2384.64</v>
      </c>
      <c r="F2053" s="1">
        <v>37916</v>
      </c>
      <c r="G2053" t="s">
        <v>39</v>
      </c>
      <c r="H2053">
        <v>4</v>
      </c>
      <c r="I2053">
        <v>10</v>
      </c>
      <c r="J2053" t="str">
        <f>TEXT(DATE(2012,Table1[[#This Row],[MONTH_ID]],10),"mmm")</f>
        <v>Oct</v>
      </c>
      <c r="K2053">
        <v>2003</v>
      </c>
      <c r="L2053" t="s">
        <v>195</v>
      </c>
      <c r="M2053">
        <v>118</v>
      </c>
      <c r="N2053" t="s">
        <v>659</v>
      </c>
      <c r="O2053" t="s">
        <v>210</v>
      </c>
      <c r="P2053" t="s">
        <v>211</v>
      </c>
      <c r="Q2053" t="s">
        <v>212</v>
      </c>
      <c r="S2053" t="s">
        <v>213</v>
      </c>
      <c r="U2053">
        <v>79903</v>
      </c>
      <c r="V2053" t="s">
        <v>213</v>
      </c>
      <c r="W2053" t="s">
        <v>214</v>
      </c>
      <c r="X2053" t="s">
        <v>215</v>
      </c>
      <c r="Y2053" t="s">
        <v>216</v>
      </c>
      <c r="Z2053" t="s">
        <v>50</v>
      </c>
    </row>
    <row r="2054" spans="1:26" x14ac:dyDescent="0.3">
      <c r="A2054">
        <v>10176</v>
      </c>
      <c r="B2054">
        <v>29</v>
      </c>
      <c r="C2054">
        <v>100</v>
      </c>
      <c r="D2054">
        <v>7</v>
      </c>
      <c r="E2054">
        <v>2915.66</v>
      </c>
      <c r="F2054" s="1">
        <v>37931</v>
      </c>
      <c r="G2054" t="s">
        <v>39</v>
      </c>
      <c r="H2054">
        <v>4</v>
      </c>
      <c r="I2054">
        <v>11</v>
      </c>
      <c r="J2054" t="str">
        <f>TEXT(DATE(2012,Table1[[#This Row],[MONTH_ID]],10),"mmm")</f>
        <v>Nov</v>
      </c>
      <c r="K2054">
        <v>2003</v>
      </c>
      <c r="L2054" t="s">
        <v>195</v>
      </c>
      <c r="M2054">
        <v>118</v>
      </c>
      <c r="N2054" t="s">
        <v>659</v>
      </c>
      <c r="O2054" t="s">
        <v>466</v>
      </c>
      <c r="P2054" t="s">
        <v>467</v>
      </c>
      <c r="Q2054" t="s">
        <v>468</v>
      </c>
      <c r="S2054" t="s">
        <v>469</v>
      </c>
      <c r="U2054">
        <v>42100</v>
      </c>
      <c r="V2054" t="s">
        <v>272</v>
      </c>
      <c r="W2054" t="s">
        <v>56</v>
      </c>
      <c r="X2054" t="s">
        <v>470</v>
      </c>
      <c r="Y2054" t="s">
        <v>471</v>
      </c>
      <c r="Z2054" t="s">
        <v>50</v>
      </c>
    </row>
    <row r="2055" spans="1:26" x14ac:dyDescent="0.3">
      <c r="A2055">
        <v>10184</v>
      </c>
      <c r="B2055">
        <v>49</v>
      </c>
      <c r="C2055">
        <v>100</v>
      </c>
      <c r="D2055">
        <v>2</v>
      </c>
      <c r="E2055">
        <v>5795.72</v>
      </c>
      <c r="F2055" s="1">
        <v>37939</v>
      </c>
      <c r="G2055" t="s">
        <v>39</v>
      </c>
      <c r="H2055">
        <v>4</v>
      </c>
      <c r="I2055">
        <v>11</v>
      </c>
      <c r="J2055" t="str">
        <f>TEXT(DATE(2012,Table1[[#This Row],[MONTH_ID]],10),"mmm")</f>
        <v>Nov</v>
      </c>
      <c r="K2055">
        <v>2003</v>
      </c>
      <c r="L2055" t="s">
        <v>195</v>
      </c>
      <c r="M2055">
        <v>118</v>
      </c>
      <c r="N2055" t="s">
        <v>659</v>
      </c>
      <c r="O2055" t="s">
        <v>534</v>
      </c>
      <c r="P2055" t="s">
        <v>535</v>
      </c>
      <c r="Q2055" t="s">
        <v>536</v>
      </c>
      <c r="S2055" t="s">
        <v>537</v>
      </c>
      <c r="U2055">
        <v>41101</v>
      </c>
      <c r="V2055" t="s">
        <v>192</v>
      </c>
      <c r="W2055" t="s">
        <v>56</v>
      </c>
      <c r="X2055" t="s">
        <v>538</v>
      </c>
      <c r="Y2055" t="s">
        <v>539</v>
      </c>
      <c r="Z2055" t="s">
        <v>65</v>
      </c>
    </row>
    <row r="2056" spans="1:26" x14ac:dyDescent="0.3">
      <c r="A2056">
        <v>10195</v>
      </c>
      <c r="B2056">
        <v>34</v>
      </c>
      <c r="C2056">
        <v>100</v>
      </c>
      <c r="D2056">
        <v>2</v>
      </c>
      <c r="E2056">
        <v>3699.88</v>
      </c>
      <c r="F2056" s="1">
        <v>37950</v>
      </c>
      <c r="G2056" t="s">
        <v>39</v>
      </c>
      <c r="H2056">
        <v>4</v>
      </c>
      <c r="I2056">
        <v>11</v>
      </c>
      <c r="J2056" t="str">
        <f>TEXT(DATE(2012,Table1[[#This Row],[MONTH_ID]],10),"mmm")</f>
        <v>Nov</v>
      </c>
      <c r="K2056">
        <v>2003</v>
      </c>
      <c r="L2056" t="s">
        <v>195</v>
      </c>
      <c r="M2056">
        <v>118</v>
      </c>
      <c r="N2056" t="s">
        <v>659</v>
      </c>
      <c r="O2056" t="s">
        <v>331</v>
      </c>
      <c r="P2056">
        <v>9145554562</v>
      </c>
      <c r="Q2056" t="s">
        <v>332</v>
      </c>
      <c r="S2056" t="s">
        <v>333</v>
      </c>
      <c r="T2056" t="s">
        <v>45</v>
      </c>
      <c r="U2056">
        <v>24067</v>
      </c>
      <c r="V2056" t="s">
        <v>46</v>
      </c>
      <c r="W2056" t="s">
        <v>47</v>
      </c>
      <c r="X2056" t="s">
        <v>116</v>
      </c>
      <c r="Y2056" t="s">
        <v>252</v>
      </c>
      <c r="Z2056" t="s">
        <v>65</v>
      </c>
    </row>
    <row r="2057" spans="1:26" x14ac:dyDescent="0.3">
      <c r="A2057">
        <v>10207</v>
      </c>
      <c r="B2057">
        <v>28</v>
      </c>
      <c r="C2057">
        <v>100</v>
      </c>
      <c r="D2057">
        <v>3</v>
      </c>
      <c r="E2057">
        <v>2980.6</v>
      </c>
      <c r="F2057" s="1">
        <v>37964</v>
      </c>
      <c r="G2057" t="s">
        <v>39</v>
      </c>
      <c r="H2057">
        <v>4</v>
      </c>
      <c r="I2057">
        <v>12</v>
      </c>
      <c r="J2057" t="str">
        <f>TEXT(DATE(2012,Table1[[#This Row],[MONTH_ID]],10),"mmm")</f>
        <v>Dec</v>
      </c>
      <c r="K2057">
        <v>2003</v>
      </c>
      <c r="L2057" t="s">
        <v>195</v>
      </c>
      <c r="M2057">
        <v>118</v>
      </c>
      <c r="N2057" t="s">
        <v>659</v>
      </c>
      <c r="O2057" t="s">
        <v>429</v>
      </c>
      <c r="P2057">
        <v>6175552555</v>
      </c>
      <c r="Q2057" t="s">
        <v>430</v>
      </c>
      <c r="S2057" t="s">
        <v>395</v>
      </c>
      <c r="T2057" t="s">
        <v>137</v>
      </c>
      <c r="U2057">
        <v>51003</v>
      </c>
      <c r="V2057" t="s">
        <v>46</v>
      </c>
      <c r="W2057" t="s">
        <v>47</v>
      </c>
      <c r="X2057" t="s">
        <v>431</v>
      </c>
      <c r="Y2057" t="s">
        <v>290</v>
      </c>
      <c r="Z2057" t="s">
        <v>50</v>
      </c>
    </row>
    <row r="2058" spans="1:26" x14ac:dyDescent="0.3">
      <c r="A2058">
        <v>10220</v>
      </c>
      <c r="B2058">
        <v>37</v>
      </c>
      <c r="C2058">
        <v>100</v>
      </c>
      <c r="D2058">
        <v>7</v>
      </c>
      <c r="E2058">
        <v>5032.74</v>
      </c>
      <c r="F2058" s="1">
        <v>38029</v>
      </c>
      <c r="G2058" t="s">
        <v>39</v>
      </c>
      <c r="H2058">
        <v>1</v>
      </c>
      <c r="I2058">
        <v>2</v>
      </c>
      <c r="J2058" t="str">
        <f>TEXT(DATE(2012,Table1[[#This Row],[MONTH_ID]],10),"mmm")</f>
        <v>Feb</v>
      </c>
      <c r="K2058">
        <v>2004</v>
      </c>
      <c r="L2058" t="s">
        <v>195</v>
      </c>
      <c r="M2058">
        <v>118</v>
      </c>
      <c r="N2058" t="s">
        <v>659</v>
      </c>
      <c r="O2058" t="s">
        <v>493</v>
      </c>
      <c r="P2058" t="s">
        <v>494</v>
      </c>
      <c r="Q2058" t="s">
        <v>495</v>
      </c>
      <c r="R2058" t="s">
        <v>496</v>
      </c>
      <c r="S2058" t="s">
        <v>497</v>
      </c>
      <c r="U2058">
        <v>2</v>
      </c>
      <c r="V2058" t="s">
        <v>498</v>
      </c>
      <c r="W2058" t="s">
        <v>56</v>
      </c>
      <c r="X2058" t="s">
        <v>499</v>
      </c>
      <c r="Y2058" t="s">
        <v>500</v>
      </c>
      <c r="Z2058" t="s">
        <v>65</v>
      </c>
    </row>
    <row r="2059" spans="1:26" x14ac:dyDescent="0.3">
      <c r="A2059">
        <v>10230</v>
      </c>
      <c r="B2059">
        <v>45</v>
      </c>
      <c r="C2059">
        <v>100</v>
      </c>
      <c r="D2059">
        <v>5</v>
      </c>
      <c r="E2059">
        <v>4737.1499999999996</v>
      </c>
      <c r="F2059" s="1">
        <v>38061</v>
      </c>
      <c r="G2059" t="s">
        <v>39</v>
      </c>
      <c r="H2059">
        <v>1</v>
      </c>
      <c r="I2059">
        <v>3</v>
      </c>
      <c r="J2059" t="str">
        <f>TEXT(DATE(2012,Table1[[#This Row],[MONTH_ID]],10),"mmm")</f>
        <v>Mar</v>
      </c>
      <c r="K2059">
        <v>2004</v>
      </c>
      <c r="L2059" t="s">
        <v>195</v>
      </c>
      <c r="M2059">
        <v>118</v>
      </c>
      <c r="N2059" t="s">
        <v>659</v>
      </c>
      <c r="O2059" t="s">
        <v>476</v>
      </c>
      <c r="P2059" t="s">
        <v>477</v>
      </c>
      <c r="Q2059" t="s">
        <v>478</v>
      </c>
      <c r="S2059" t="s">
        <v>479</v>
      </c>
      <c r="U2059">
        <v>60528</v>
      </c>
      <c r="V2059" t="s">
        <v>457</v>
      </c>
      <c r="W2059" t="s">
        <v>56</v>
      </c>
      <c r="X2059" t="s">
        <v>480</v>
      </c>
      <c r="Y2059" t="s">
        <v>428</v>
      </c>
      <c r="Z2059" t="s">
        <v>65</v>
      </c>
    </row>
    <row r="2060" spans="1:26" x14ac:dyDescent="0.3">
      <c r="A2060">
        <v>10246</v>
      </c>
      <c r="B2060">
        <v>46</v>
      </c>
      <c r="C2060">
        <v>100</v>
      </c>
      <c r="D2060">
        <v>1</v>
      </c>
      <c r="E2060">
        <v>6311.2</v>
      </c>
      <c r="F2060" s="1">
        <v>38112</v>
      </c>
      <c r="G2060" t="s">
        <v>39</v>
      </c>
      <c r="H2060">
        <v>2</v>
      </c>
      <c r="I2060">
        <v>5</v>
      </c>
      <c r="J2060" t="str">
        <f>TEXT(DATE(2012,Table1[[#This Row],[MONTH_ID]],10),"mmm")</f>
        <v>May</v>
      </c>
      <c r="K2060">
        <v>2004</v>
      </c>
      <c r="L2060" t="s">
        <v>195</v>
      </c>
      <c r="M2060">
        <v>118</v>
      </c>
      <c r="N2060" t="s">
        <v>659</v>
      </c>
      <c r="O2060" t="s">
        <v>188</v>
      </c>
      <c r="P2060" t="s">
        <v>189</v>
      </c>
      <c r="Q2060" t="s">
        <v>190</v>
      </c>
      <c r="S2060" t="s">
        <v>191</v>
      </c>
      <c r="U2060">
        <v>28034</v>
      </c>
      <c r="V2060" t="s">
        <v>192</v>
      </c>
      <c r="W2060" t="s">
        <v>56</v>
      </c>
      <c r="X2060" t="s">
        <v>193</v>
      </c>
      <c r="Y2060" t="s">
        <v>194</v>
      </c>
      <c r="Z2060" t="s">
        <v>65</v>
      </c>
    </row>
    <row r="2061" spans="1:26" x14ac:dyDescent="0.3">
      <c r="A2061">
        <v>10271</v>
      </c>
      <c r="B2061">
        <v>22</v>
      </c>
      <c r="C2061">
        <v>100</v>
      </c>
      <c r="D2061">
        <v>1</v>
      </c>
      <c r="E2061">
        <v>3070.54</v>
      </c>
      <c r="F2061" s="1">
        <v>38188</v>
      </c>
      <c r="G2061" t="s">
        <v>39</v>
      </c>
      <c r="H2061">
        <v>3</v>
      </c>
      <c r="I2061">
        <v>7</v>
      </c>
      <c r="J2061" t="str">
        <f>TEXT(DATE(2012,Table1[[#This Row],[MONTH_ID]],10),"mmm")</f>
        <v>Jul</v>
      </c>
      <c r="K2061">
        <v>2004</v>
      </c>
      <c r="L2061" t="s">
        <v>195</v>
      </c>
      <c r="M2061">
        <v>118</v>
      </c>
      <c r="N2061" t="s">
        <v>659</v>
      </c>
      <c r="O2061" t="s">
        <v>286</v>
      </c>
      <c r="P2061">
        <v>4155551450</v>
      </c>
      <c r="Q2061" t="s">
        <v>287</v>
      </c>
      <c r="S2061" t="s">
        <v>288</v>
      </c>
      <c r="T2061" t="s">
        <v>69</v>
      </c>
      <c r="U2061">
        <v>97562</v>
      </c>
      <c r="V2061" t="s">
        <v>46</v>
      </c>
      <c r="W2061" t="s">
        <v>47</v>
      </c>
      <c r="X2061" t="s">
        <v>289</v>
      </c>
      <c r="Y2061" t="s">
        <v>290</v>
      </c>
      <c r="Z2061" t="s">
        <v>65</v>
      </c>
    </row>
    <row r="2062" spans="1:26" x14ac:dyDescent="0.3">
      <c r="A2062">
        <v>10282</v>
      </c>
      <c r="B2062">
        <v>39</v>
      </c>
      <c r="C2062">
        <v>100</v>
      </c>
      <c r="D2062">
        <v>10</v>
      </c>
      <c r="E2062">
        <v>4797.3900000000003</v>
      </c>
      <c r="F2062" s="1">
        <v>38219</v>
      </c>
      <c r="G2062" t="s">
        <v>39</v>
      </c>
      <c r="H2062">
        <v>3</v>
      </c>
      <c r="I2062">
        <v>8</v>
      </c>
      <c r="J2062" t="str">
        <f>TEXT(DATE(2012,Table1[[#This Row],[MONTH_ID]],10),"mmm")</f>
        <v>Aug</v>
      </c>
      <c r="K2062">
        <v>2004</v>
      </c>
      <c r="L2062" t="s">
        <v>195</v>
      </c>
      <c r="M2062">
        <v>118</v>
      </c>
      <c r="N2062" t="s">
        <v>659</v>
      </c>
      <c r="O2062" t="s">
        <v>286</v>
      </c>
      <c r="P2062">
        <v>4155551450</v>
      </c>
      <c r="Q2062" t="s">
        <v>287</v>
      </c>
      <c r="S2062" t="s">
        <v>288</v>
      </c>
      <c r="T2062" t="s">
        <v>69</v>
      </c>
      <c r="U2062">
        <v>97562</v>
      </c>
      <c r="V2062" t="s">
        <v>46</v>
      </c>
      <c r="W2062" t="s">
        <v>47</v>
      </c>
      <c r="X2062" t="s">
        <v>289</v>
      </c>
      <c r="Y2062" t="s">
        <v>290</v>
      </c>
      <c r="Z2062" t="s">
        <v>65</v>
      </c>
    </row>
    <row r="2063" spans="1:26" x14ac:dyDescent="0.3">
      <c r="A2063">
        <v>10292</v>
      </c>
      <c r="B2063">
        <v>27</v>
      </c>
      <c r="C2063">
        <v>100</v>
      </c>
      <c r="D2063">
        <v>4</v>
      </c>
      <c r="E2063">
        <v>3832.38</v>
      </c>
      <c r="F2063" s="1">
        <v>38238</v>
      </c>
      <c r="G2063" t="s">
        <v>39</v>
      </c>
      <c r="H2063">
        <v>3</v>
      </c>
      <c r="I2063">
        <v>9</v>
      </c>
      <c r="J2063" t="str">
        <f>TEXT(DATE(2012,Table1[[#This Row],[MONTH_ID]],10),"mmm")</f>
        <v>Sep</v>
      </c>
      <c r="K2063">
        <v>2004</v>
      </c>
      <c r="L2063" t="s">
        <v>195</v>
      </c>
      <c r="M2063">
        <v>118</v>
      </c>
      <c r="N2063" t="s">
        <v>659</v>
      </c>
      <c r="O2063" t="s">
        <v>42</v>
      </c>
      <c r="P2063">
        <v>2125557818</v>
      </c>
      <c r="Q2063" t="s">
        <v>43</v>
      </c>
      <c r="S2063" t="s">
        <v>44</v>
      </c>
      <c r="T2063" t="s">
        <v>45</v>
      </c>
      <c r="U2063">
        <v>10022</v>
      </c>
      <c r="V2063" t="s">
        <v>46</v>
      </c>
      <c r="W2063" t="s">
        <v>47</v>
      </c>
      <c r="X2063" t="s">
        <v>48</v>
      </c>
      <c r="Y2063" t="s">
        <v>49</v>
      </c>
      <c r="Z2063" t="s">
        <v>65</v>
      </c>
    </row>
    <row r="2064" spans="1:26" x14ac:dyDescent="0.3">
      <c r="A2064">
        <v>10305</v>
      </c>
      <c r="B2064">
        <v>36</v>
      </c>
      <c r="C2064">
        <v>100</v>
      </c>
      <c r="D2064">
        <v>1</v>
      </c>
      <c r="E2064">
        <v>4641.4799999999996</v>
      </c>
      <c r="F2064" s="1">
        <v>38273</v>
      </c>
      <c r="G2064" t="s">
        <v>39</v>
      </c>
      <c r="H2064">
        <v>4</v>
      </c>
      <c r="I2064">
        <v>10</v>
      </c>
      <c r="J2064" t="str">
        <f>TEXT(DATE(2012,Table1[[#This Row],[MONTH_ID]],10),"mmm")</f>
        <v>Oct</v>
      </c>
      <c r="K2064">
        <v>2004</v>
      </c>
      <c r="L2064" t="s">
        <v>195</v>
      </c>
      <c r="M2064">
        <v>118</v>
      </c>
      <c r="N2064" t="s">
        <v>659</v>
      </c>
      <c r="O2064" t="s">
        <v>134</v>
      </c>
      <c r="P2064">
        <v>6175558555</v>
      </c>
      <c r="Q2064" t="s">
        <v>135</v>
      </c>
      <c r="S2064" t="s">
        <v>136</v>
      </c>
      <c r="T2064" t="s">
        <v>137</v>
      </c>
      <c r="U2064">
        <v>51247</v>
      </c>
      <c r="V2064" t="s">
        <v>46</v>
      </c>
      <c r="W2064" t="s">
        <v>47</v>
      </c>
      <c r="X2064" t="s">
        <v>138</v>
      </c>
      <c r="Y2064" t="s">
        <v>139</v>
      </c>
      <c r="Z2064" t="s">
        <v>65</v>
      </c>
    </row>
    <row r="2065" spans="1:26" x14ac:dyDescent="0.3">
      <c r="A2065">
        <v>10314</v>
      </c>
      <c r="B2065">
        <v>38</v>
      </c>
      <c r="C2065">
        <v>100</v>
      </c>
      <c r="D2065">
        <v>10</v>
      </c>
      <c r="E2065">
        <v>4000.26</v>
      </c>
      <c r="F2065" s="1">
        <v>38282</v>
      </c>
      <c r="G2065" t="s">
        <v>39</v>
      </c>
      <c r="H2065">
        <v>4</v>
      </c>
      <c r="I2065">
        <v>10</v>
      </c>
      <c r="J2065" t="str">
        <f>TEXT(DATE(2012,Table1[[#This Row],[MONTH_ID]],10),"mmm")</f>
        <v>Oct</v>
      </c>
      <c r="K2065">
        <v>2004</v>
      </c>
      <c r="L2065" t="s">
        <v>195</v>
      </c>
      <c r="M2065">
        <v>118</v>
      </c>
      <c r="N2065" t="s">
        <v>659</v>
      </c>
      <c r="O2065" t="s">
        <v>512</v>
      </c>
      <c r="P2065" t="s">
        <v>513</v>
      </c>
      <c r="Q2065" t="s">
        <v>514</v>
      </c>
      <c r="S2065" t="s">
        <v>515</v>
      </c>
      <c r="U2065">
        <v>8200</v>
      </c>
      <c r="V2065" t="s">
        <v>340</v>
      </c>
      <c r="W2065" t="s">
        <v>56</v>
      </c>
      <c r="X2065" t="s">
        <v>516</v>
      </c>
      <c r="Y2065" t="s">
        <v>517</v>
      </c>
      <c r="Z2065" t="s">
        <v>65</v>
      </c>
    </row>
    <row r="2066" spans="1:26" x14ac:dyDescent="0.3">
      <c r="A2066">
        <v>10325</v>
      </c>
      <c r="B2066">
        <v>44</v>
      </c>
      <c r="C2066">
        <v>100</v>
      </c>
      <c r="D2066">
        <v>5</v>
      </c>
      <c r="E2066">
        <v>5325.76</v>
      </c>
      <c r="F2066" s="1">
        <v>38296</v>
      </c>
      <c r="G2066" t="s">
        <v>39</v>
      </c>
      <c r="H2066">
        <v>4</v>
      </c>
      <c r="I2066">
        <v>11</v>
      </c>
      <c r="J2066" t="str">
        <f>TEXT(DATE(2012,Table1[[#This Row],[MONTH_ID]],10),"mmm")</f>
        <v>Nov</v>
      </c>
      <c r="K2066">
        <v>2004</v>
      </c>
      <c r="L2066" t="s">
        <v>195</v>
      </c>
      <c r="M2066">
        <v>118</v>
      </c>
      <c r="N2066" t="s">
        <v>659</v>
      </c>
      <c r="O2066" t="s">
        <v>147</v>
      </c>
      <c r="P2066" t="s">
        <v>148</v>
      </c>
      <c r="Q2066" t="s">
        <v>149</v>
      </c>
      <c r="S2066" t="s">
        <v>150</v>
      </c>
      <c r="U2066">
        <v>4110</v>
      </c>
      <c r="V2066" t="s">
        <v>92</v>
      </c>
      <c r="W2066" t="s">
        <v>56</v>
      </c>
      <c r="X2066" t="s">
        <v>151</v>
      </c>
      <c r="Y2066" t="s">
        <v>152</v>
      </c>
      <c r="Z2066" t="s">
        <v>65</v>
      </c>
    </row>
    <row r="2067" spans="1:26" x14ac:dyDescent="0.3">
      <c r="A2067">
        <v>10336</v>
      </c>
      <c r="B2067">
        <v>31</v>
      </c>
      <c r="C2067">
        <v>100</v>
      </c>
      <c r="D2067">
        <v>5</v>
      </c>
      <c r="E2067">
        <v>4618.6899999999996</v>
      </c>
      <c r="F2067" s="1">
        <v>38311</v>
      </c>
      <c r="G2067" t="s">
        <v>39</v>
      </c>
      <c r="H2067">
        <v>4</v>
      </c>
      <c r="I2067">
        <v>11</v>
      </c>
      <c r="J2067" t="str">
        <f>TEXT(DATE(2012,Table1[[#This Row],[MONTH_ID]],10),"mmm")</f>
        <v>Nov</v>
      </c>
      <c r="K2067">
        <v>2004</v>
      </c>
      <c r="L2067" t="s">
        <v>195</v>
      </c>
      <c r="M2067">
        <v>118</v>
      </c>
      <c r="N2067" t="s">
        <v>659</v>
      </c>
      <c r="O2067" t="s">
        <v>417</v>
      </c>
      <c r="P2067" t="s">
        <v>418</v>
      </c>
      <c r="Q2067" t="s">
        <v>419</v>
      </c>
      <c r="S2067" t="s">
        <v>62</v>
      </c>
      <c r="U2067">
        <v>75012</v>
      </c>
      <c r="V2067" t="s">
        <v>55</v>
      </c>
      <c r="W2067" t="s">
        <v>56</v>
      </c>
      <c r="X2067" t="s">
        <v>420</v>
      </c>
      <c r="Y2067" t="s">
        <v>421</v>
      </c>
      <c r="Z2067" t="s">
        <v>65</v>
      </c>
    </row>
    <row r="2068" spans="1:26" x14ac:dyDescent="0.3">
      <c r="A2068">
        <v>10349</v>
      </c>
      <c r="B2068">
        <v>23</v>
      </c>
      <c r="C2068">
        <v>100</v>
      </c>
      <c r="D2068">
        <v>2</v>
      </c>
      <c r="E2068">
        <v>3182.97</v>
      </c>
      <c r="F2068" s="1">
        <v>38322</v>
      </c>
      <c r="G2068" t="s">
        <v>39</v>
      </c>
      <c r="H2068">
        <v>4</v>
      </c>
      <c r="I2068">
        <v>12</v>
      </c>
      <c r="J2068" t="str">
        <f>TEXT(DATE(2012,Table1[[#This Row],[MONTH_ID]],10),"mmm")</f>
        <v>Dec</v>
      </c>
      <c r="K2068">
        <v>2004</v>
      </c>
      <c r="L2068" t="s">
        <v>195</v>
      </c>
      <c r="M2068">
        <v>118</v>
      </c>
      <c r="N2068" t="s">
        <v>659</v>
      </c>
      <c r="O2068" t="s">
        <v>489</v>
      </c>
      <c r="P2068">
        <v>2125557413</v>
      </c>
      <c r="Q2068" t="s">
        <v>490</v>
      </c>
      <c r="R2068" t="s">
        <v>491</v>
      </c>
      <c r="S2068" t="s">
        <v>44</v>
      </c>
      <c r="T2068" t="s">
        <v>45</v>
      </c>
      <c r="U2068">
        <v>10022</v>
      </c>
      <c r="V2068" t="s">
        <v>46</v>
      </c>
      <c r="W2068" t="s">
        <v>47</v>
      </c>
      <c r="X2068" t="s">
        <v>70</v>
      </c>
      <c r="Y2068" t="s">
        <v>492</v>
      </c>
      <c r="Z2068" t="s">
        <v>65</v>
      </c>
    </row>
    <row r="2069" spans="1:26" x14ac:dyDescent="0.3">
      <c r="A2069">
        <v>10359</v>
      </c>
      <c r="B2069">
        <v>22</v>
      </c>
      <c r="C2069">
        <v>100</v>
      </c>
      <c r="D2069">
        <v>7</v>
      </c>
      <c r="E2069">
        <v>2603.04</v>
      </c>
      <c r="F2069" s="1">
        <v>38336</v>
      </c>
      <c r="G2069" t="s">
        <v>39</v>
      </c>
      <c r="H2069">
        <v>4</v>
      </c>
      <c r="I2069">
        <v>12</v>
      </c>
      <c r="J2069" t="str">
        <f>TEXT(DATE(2012,Table1[[#This Row],[MONTH_ID]],10),"mmm")</f>
        <v>Dec</v>
      </c>
      <c r="K2069">
        <v>2004</v>
      </c>
      <c r="L2069" t="s">
        <v>195</v>
      </c>
      <c r="M2069">
        <v>118</v>
      </c>
      <c r="N2069" t="s">
        <v>659</v>
      </c>
      <c r="O2069" t="s">
        <v>51</v>
      </c>
      <c r="P2069" t="s">
        <v>52</v>
      </c>
      <c r="Q2069" t="s">
        <v>53</v>
      </c>
      <c r="S2069" t="s">
        <v>54</v>
      </c>
      <c r="U2069">
        <v>51100</v>
      </c>
      <c r="V2069" t="s">
        <v>55</v>
      </c>
      <c r="W2069" t="s">
        <v>56</v>
      </c>
      <c r="X2069" t="s">
        <v>57</v>
      </c>
      <c r="Y2069" t="s">
        <v>58</v>
      </c>
      <c r="Z2069" t="s">
        <v>50</v>
      </c>
    </row>
    <row r="2070" spans="1:26" x14ac:dyDescent="0.3">
      <c r="A2070">
        <v>10371</v>
      </c>
      <c r="B2070">
        <v>28</v>
      </c>
      <c r="C2070">
        <v>50.32</v>
      </c>
      <c r="D2070">
        <v>9</v>
      </c>
      <c r="E2070">
        <v>1408.96</v>
      </c>
      <c r="F2070" s="1">
        <v>38375</v>
      </c>
      <c r="G2070" t="s">
        <v>39</v>
      </c>
      <c r="H2070">
        <v>1</v>
      </c>
      <c r="I2070">
        <v>1</v>
      </c>
      <c r="J2070" t="str">
        <f>TEXT(DATE(2012,Table1[[#This Row],[MONTH_ID]],10),"mmm")</f>
        <v>Jan</v>
      </c>
      <c r="K2070">
        <v>2005</v>
      </c>
      <c r="L2070" t="s">
        <v>195</v>
      </c>
      <c r="M2070">
        <v>118</v>
      </c>
      <c r="N2070" t="s">
        <v>659</v>
      </c>
      <c r="O2070" t="s">
        <v>286</v>
      </c>
      <c r="P2070">
        <v>4155551450</v>
      </c>
      <c r="Q2070" t="s">
        <v>287</v>
      </c>
      <c r="S2070" t="s">
        <v>288</v>
      </c>
      <c r="T2070" t="s">
        <v>69</v>
      </c>
      <c r="U2070">
        <v>97562</v>
      </c>
      <c r="V2070" t="s">
        <v>46</v>
      </c>
      <c r="W2070" t="s">
        <v>47</v>
      </c>
      <c r="X2070" t="s">
        <v>289</v>
      </c>
      <c r="Y2070" t="s">
        <v>290</v>
      </c>
      <c r="Z2070" t="s">
        <v>50</v>
      </c>
    </row>
    <row r="2071" spans="1:26" x14ac:dyDescent="0.3">
      <c r="A2071">
        <v>10383</v>
      </c>
      <c r="B2071">
        <v>21</v>
      </c>
      <c r="C2071">
        <v>93.91</v>
      </c>
      <c r="D2071">
        <v>4</v>
      </c>
      <c r="E2071">
        <v>1972.11</v>
      </c>
      <c r="F2071" s="1">
        <v>38405</v>
      </c>
      <c r="G2071" t="s">
        <v>39</v>
      </c>
      <c r="H2071">
        <v>1</v>
      </c>
      <c r="I2071">
        <v>2</v>
      </c>
      <c r="J2071" t="str">
        <f>TEXT(DATE(2012,Table1[[#This Row],[MONTH_ID]],10),"mmm")</f>
        <v>Feb</v>
      </c>
      <c r="K2071">
        <v>2005</v>
      </c>
      <c r="L2071" t="s">
        <v>195</v>
      </c>
      <c r="M2071">
        <v>118</v>
      </c>
      <c r="N2071" t="s">
        <v>659</v>
      </c>
      <c r="O2071" t="s">
        <v>188</v>
      </c>
      <c r="P2071" t="s">
        <v>189</v>
      </c>
      <c r="Q2071" t="s">
        <v>190</v>
      </c>
      <c r="S2071" t="s">
        <v>191</v>
      </c>
      <c r="U2071">
        <v>28034</v>
      </c>
      <c r="V2071" t="s">
        <v>192</v>
      </c>
      <c r="W2071" t="s">
        <v>56</v>
      </c>
      <c r="X2071" t="s">
        <v>193</v>
      </c>
      <c r="Y2071" t="s">
        <v>194</v>
      </c>
      <c r="Z2071" t="s">
        <v>50</v>
      </c>
    </row>
    <row r="2072" spans="1:26" x14ac:dyDescent="0.3">
      <c r="A2072">
        <v>10394</v>
      </c>
      <c r="B2072">
        <v>37</v>
      </c>
      <c r="C2072">
        <v>100</v>
      </c>
      <c r="D2072">
        <v>7</v>
      </c>
      <c r="E2072">
        <v>5207.75</v>
      </c>
      <c r="F2072" s="1">
        <v>38426</v>
      </c>
      <c r="G2072" t="s">
        <v>39</v>
      </c>
      <c r="H2072">
        <v>1</v>
      </c>
      <c r="I2072">
        <v>3</v>
      </c>
      <c r="J2072" t="str">
        <f>TEXT(DATE(2012,Table1[[#This Row],[MONTH_ID]],10),"mmm")</f>
        <v>Mar</v>
      </c>
      <c r="K2072">
        <v>2005</v>
      </c>
      <c r="L2072" t="s">
        <v>195</v>
      </c>
      <c r="M2072">
        <v>118</v>
      </c>
      <c r="N2072" t="s">
        <v>659</v>
      </c>
      <c r="O2072" t="s">
        <v>188</v>
      </c>
      <c r="P2072" t="s">
        <v>189</v>
      </c>
      <c r="Q2072" t="s">
        <v>190</v>
      </c>
      <c r="S2072" t="s">
        <v>191</v>
      </c>
      <c r="U2072">
        <v>28034</v>
      </c>
      <c r="V2072" t="s">
        <v>192</v>
      </c>
      <c r="W2072" t="s">
        <v>56</v>
      </c>
      <c r="X2072" t="s">
        <v>193</v>
      </c>
      <c r="Y2072" t="s">
        <v>194</v>
      </c>
      <c r="Z2072" t="s">
        <v>65</v>
      </c>
    </row>
    <row r="2073" spans="1:26" x14ac:dyDescent="0.3">
      <c r="A2073">
        <v>10412</v>
      </c>
      <c r="B2073">
        <v>31</v>
      </c>
      <c r="C2073">
        <v>100</v>
      </c>
      <c r="D2073">
        <v>1</v>
      </c>
      <c r="E2073">
        <v>4253.2</v>
      </c>
      <c r="F2073" s="1">
        <v>38475</v>
      </c>
      <c r="G2073" t="s">
        <v>39</v>
      </c>
      <c r="H2073">
        <v>2</v>
      </c>
      <c r="I2073">
        <v>5</v>
      </c>
      <c r="J2073" t="str">
        <f>TEXT(DATE(2012,Table1[[#This Row],[MONTH_ID]],10),"mmm")</f>
        <v>May</v>
      </c>
      <c r="K2073">
        <v>2005</v>
      </c>
      <c r="L2073" t="s">
        <v>195</v>
      </c>
      <c r="M2073">
        <v>118</v>
      </c>
      <c r="N2073" t="s">
        <v>659</v>
      </c>
      <c r="O2073" t="s">
        <v>188</v>
      </c>
      <c r="P2073" t="s">
        <v>189</v>
      </c>
      <c r="Q2073" t="s">
        <v>190</v>
      </c>
      <c r="S2073" t="s">
        <v>191</v>
      </c>
      <c r="U2073">
        <v>28034</v>
      </c>
      <c r="V2073" t="s">
        <v>192</v>
      </c>
      <c r="W2073" t="s">
        <v>56</v>
      </c>
      <c r="X2073" t="s">
        <v>193</v>
      </c>
      <c r="Y2073" t="s">
        <v>194</v>
      </c>
      <c r="Z2073" t="s">
        <v>65</v>
      </c>
    </row>
    <row r="2074" spans="1:26" x14ac:dyDescent="0.3">
      <c r="A2074">
        <v>10103</v>
      </c>
      <c r="B2074">
        <v>25</v>
      </c>
      <c r="C2074">
        <v>100</v>
      </c>
      <c r="D2074">
        <v>15</v>
      </c>
      <c r="E2074">
        <v>2873</v>
      </c>
      <c r="F2074" s="1">
        <v>37650</v>
      </c>
      <c r="G2074" t="s">
        <v>39</v>
      </c>
      <c r="H2074">
        <v>1</v>
      </c>
      <c r="I2074">
        <v>1</v>
      </c>
      <c r="J2074" t="str">
        <f>TEXT(DATE(2012,Table1[[#This Row],[MONTH_ID]],10),"mmm")</f>
        <v>Jan</v>
      </c>
      <c r="K2074">
        <v>2003</v>
      </c>
      <c r="L2074" t="s">
        <v>564</v>
      </c>
      <c r="M2074">
        <v>97</v>
      </c>
      <c r="N2074" t="s">
        <v>660</v>
      </c>
      <c r="O2074" t="s">
        <v>147</v>
      </c>
      <c r="P2074" t="s">
        <v>148</v>
      </c>
      <c r="Q2074" t="s">
        <v>149</v>
      </c>
      <c r="S2074" t="s">
        <v>150</v>
      </c>
      <c r="U2074">
        <v>4110</v>
      </c>
      <c r="V2074" t="s">
        <v>92</v>
      </c>
      <c r="W2074" t="s">
        <v>56</v>
      </c>
      <c r="X2074" t="s">
        <v>151</v>
      </c>
      <c r="Y2074" t="s">
        <v>152</v>
      </c>
      <c r="Z2074" t="s">
        <v>50</v>
      </c>
    </row>
    <row r="2075" spans="1:26" x14ac:dyDescent="0.3">
      <c r="A2075">
        <v>10111</v>
      </c>
      <c r="B2075">
        <v>26</v>
      </c>
      <c r="C2075">
        <v>86.68</v>
      </c>
      <c r="D2075">
        <v>3</v>
      </c>
      <c r="E2075">
        <v>2253.6799999999998</v>
      </c>
      <c r="F2075" s="1">
        <v>37705</v>
      </c>
      <c r="G2075" t="s">
        <v>39</v>
      </c>
      <c r="H2075">
        <v>1</v>
      </c>
      <c r="I2075">
        <v>3</v>
      </c>
      <c r="J2075" t="str">
        <f>TEXT(DATE(2012,Table1[[#This Row],[MONTH_ID]],10),"mmm")</f>
        <v>Mar</v>
      </c>
      <c r="K2075">
        <v>2003</v>
      </c>
      <c r="L2075" t="s">
        <v>564</v>
      </c>
      <c r="M2075">
        <v>97</v>
      </c>
      <c r="N2075" t="s">
        <v>660</v>
      </c>
      <c r="O2075" t="s">
        <v>95</v>
      </c>
      <c r="P2075">
        <v>6505555787</v>
      </c>
      <c r="Q2075" t="s">
        <v>96</v>
      </c>
      <c r="S2075" t="s">
        <v>74</v>
      </c>
      <c r="T2075" t="s">
        <v>69</v>
      </c>
      <c r="V2075" t="s">
        <v>46</v>
      </c>
      <c r="W2075" t="s">
        <v>47</v>
      </c>
      <c r="X2075" t="s">
        <v>97</v>
      </c>
      <c r="Y2075" t="s">
        <v>71</v>
      </c>
      <c r="Z2075" t="s">
        <v>50</v>
      </c>
    </row>
    <row r="2076" spans="1:26" x14ac:dyDescent="0.3">
      <c r="A2076">
        <v>10126</v>
      </c>
      <c r="B2076">
        <v>34</v>
      </c>
      <c r="C2076">
        <v>100</v>
      </c>
      <c r="D2076">
        <v>15</v>
      </c>
      <c r="E2076">
        <v>3576.12</v>
      </c>
      <c r="F2076" s="1">
        <v>37769</v>
      </c>
      <c r="G2076" t="s">
        <v>39</v>
      </c>
      <c r="H2076">
        <v>2</v>
      </c>
      <c r="I2076">
        <v>5</v>
      </c>
      <c r="J2076" t="str">
        <f>TEXT(DATE(2012,Table1[[#This Row],[MONTH_ID]],10),"mmm")</f>
        <v>May</v>
      </c>
      <c r="K2076">
        <v>2003</v>
      </c>
      <c r="L2076" t="s">
        <v>564</v>
      </c>
      <c r="M2076">
        <v>97</v>
      </c>
      <c r="N2076" t="s">
        <v>660</v>
      </c>
      <c r="O2076" t="s">
        <v>205</v>
      </c>
      <c r="P2076" t="s">
        <v>206</v>
      </c>
      <c r="Q2076" t="s">
        <v>207</v>
      </c>
      <c r="S2076" t="s">
        <v>191</v>
      </c>
      <c r="U2076">
        <v>28023</v>
      </c>
      <c r="V2076" t="s">
        <v>192</v>
      </c>
      <c r="W2076" t="s">
        <v>56</v>
      </c>
      <c r="X2076" t="s">
        <v>208</v>
      </c>
      <c r="Y2076" t="s">
        <v>209</v>
      </c>
      <c r="Z2076" t="s">
        <v>65</v>
      </c>
    </row>
    <row r="2077" spans="1:26" x14ac:dyDescent="0.3">
      <c r="A2077">
        <v>10139</v>
      </c>
      <c r="B2077">
        <v>29</v>
      </c>
      <c r="C2077">
        <v>100</v>
      </c>
      <c r="D2077">
        <v>4</v>
      </c>
      <c r="E2077">
        <v>3276.13</v>
      </c>
      <c r="F2077" s="1">
        <v>37818</v>
      </c>
      <c r="G2077" t="s">
        <v>39</v>
      </c>
      <c r="H2077">
        <v>3</v>
      </c>
      <c r="I2077">
        <v>7</v>
      </c>
      <c r="J2077" t="str">
        <f>TEXT(DATE(2012,Table1[[#This Row],[MONTH_ID]],10),"mmm")</f>
        <v>Jul</v>
      </c>
      <c r="K2077">
        <v>2003</v>
      </c>
      <c r="L2077" t="s">
        <v>564</v>
      </c>
      <c r="M2077">
        <v>97</v>
      </c>
      <c r="N2077" t="s">
        <v>660</v>
      </c>
      <c r="O2077" t="s">
        <v>166</v>
      </c>
      <c r="P2077" t="s">
        <v>167</v>
      </c>
      <c r="Q2077" t="s">
        <v>168</v>
      </c>
      <c r="R2077" t="s">
        <v>169</v>
      </c>
      <c r="S2077" t="s">
        <v>170</v>
      </c>
      <c r="T2077" t="s">
        <v>171</v>
      </c>
      <c r="U2077">
        <v>2067</v>
      </c>
      <c r="V2077" t="s">
        <v>109</v>
      </c>
      <c r="W2077" t="s">
        <v>110</v>
      </c>
      <c r="X2077" t="s">
        <v>172</v>
      </c>
      <c r="Y2077" t="s">
        <v>173</v>
      </c>
      <c r="Z2077" t="s">
        <v>65</v>
      </c>
    </row>
    <row r="2078" spans="1:26" x14ac:dyDescent="0.3">
      <c r="A2078">
        <v>10149</v>
      </c>
      <c r="B2078">
        <v>20</v>
      </c>
      <c r="C2078">
        <v>90.57</v>
      </c>
      <c r="D2078">
        <v>1</v>
      </c>
      <c r="E2078">
        <v>1811.4</v>
      </c>
      <c r="F2078" s="1">
        <v>37876</v>
      </c>
      <c r="G2078" t="s">
        <v>39</v>
      </c>
      <c r="H2078">
        <v>3</v>
      </c>
      <c r="I2078">
        <v>9</v>
      </c>
      <c r="J2078" t="str">
        <f>TEXT(DATE(2012,Table1[[#This Row],[MONTH_ID]],10),"mmm")</f>
        <v>Sep</v>
      </c>
      <c r="K2078">
        <v>2003</v>
      </c>
      <c r="L2078" t="s">
        <v>564</v>
      </c>
      <c r="M2078">
        <v>97</v>
      </c>
      <c r="N2078" t="s">
        <v>660</v>
      </c>
      <c r="O2078" t="s">
        <v>540</v>
      </c>
      <c r="P2078">
        <v>4155554312</v>
      </c>
      <c r="Q2078" t="s">
        <v>541</v>
      </c>
      <c r="S2078" t="s">
        <v>542</v>
      </c>
      <c r="T2078" t="s">
        <v>69</v>
      </c>
      <c r="U2078">
        <v>94217</v>
      </c>
      <c r="V2078" t="s">
        <v>46</v>
      </c>
      <c r="W2078" t="s">
        <v>47</v>
      </c>
      <c r="X2078" t="s">
        <v>543</v>
      </c>
      <c r="Y2078" t="s">
        <v>414</v>
      </c>
      <c r="Z2078" t="s">
        <v>50</v>
      </c>
    </row>
    <row r="2079" spans="1:26" x14ac:dyDescent="0.3">
      <c r="A2079">
        <v>10163</v>
      </c>
      <c r="B2079">
        <v>42</v>
      </c>
      <c r="C2079">
        <v>91.55</v>
      </c>
      <c r="D2079">
        <v>5</v>
      </c>
      <c r="E2079">
        <v>3845.1</v>
      </c>
      <c r="F2079" s="1">
        <v>37914</v>
      </c>
      <c r="G2079" t="s">
        <v>39</v>
      </c>
      <c r="H2079">
        <v>4</v>
      </c>
      <c r="I2079">
        <v>10</v>
      </c>
      <c r="J2079" t="str">
        <f>TEXT(DATE(2012,Table1[[#This Row],[MONTH_ID]],10),"mmm")</f>
        <v>Oct</v>
      </c>
      <c r="K2079">
        <v>2003</v>
      </c>
      <c r="L2079" t="s">
        <v>564</v>
      </c>
      <c r="M2079">
        <v>97</v>
      </c>
      <c r="N2079" t="s">
        <v>660</v>
      </c>
      <c r="O2079" t="s">
        <v>217</v>
      </c>
      <c r="P2079">
        <v>2125558493</v>
      </c>
      <c r="Q2079" t="s">
        <v>218</v>
      </c>
      <c r="R2079" t="s">
        <v>219</v>
      </c>
      <c r="S2079" t="s">
        <v>44</v>
      </c>
      <c r="T2079" t="s">
        <v>45</v>
      </c>
      <c r="U2079">
        <v>10022</v>
      </c>
      <c r="V2079" t="s">
        <v>46</v>
      </c>
      <c r="W2079" t="s">
        <v>47</v>
      </c>
      <c r="X2079" t="s">
        <v>138</v>
      </c>
      <c r="Y2079" t="s">
        <v>220</v>
      </c>
      <c r="Z2079" t="s">
        <v>65</v>
      </c>
    </row>
    <row r="2080" spans="1:26" x14ac:dyDescent="0.3">
      <c r="A2080">
        <v>10173</v>
      </c>
      <c r="B2080">
        <v>22</v>
      </c>
      <c r="C2080">
        <v>100</v>
      </c>
      <c r="D2080">
        <v>3</v>
      </c>
      <c r="E2080">
        <v>2571.14</v>
      </c>
      <c r="F2080" s="1">
        <v>37930</v>
      </c>
      <c r="G2080" t="s">
        <v>39</v>
      </c>
      <c r="H2080">
        <v>4</v>
      </c>
      <c r="I2080">
        <v>11</v>
      </c>
      <c r="J2080" t="str">
        <f>TEXT(DATE(2012,Table1[[#This Row],[MONTH_ID]],10),"mmm")</f>
        <v>Nov</v>
      </c>
      <c r="K2080">
        <v>2003</v>
      </c>
      <c r="L2080" t="s">
        <v>564</v>
      </c>
      <c r="M2080">
        <v>97</v>
      </c>
      <c r="N2080" t="s">
        <v>660</v>
      </c>
      <c r="O2080" t="s">
        <v>566</v>
      </c>
      <c r="P2080" t="s">
        <v>567</v>
      </c>
      <c r="Q2080" t="s">
        <v>568</v>
      </c>
      <c r="S2080" t="s">
        <v>569</v>
      </c>
      <c r="U2080">
        <v>24100</v>
      </c>
      <c r="V2080" t="s">
        <v>272</v>
      </c>
      <c r="W2080" t="s">
        <v>56</v>
      </c>
      <c r="X2080" t="s">
        <v>570</v>
      </c>
      <c r="Y2080" t="s">
        <v>571</v>
      </c>
      <c r="Z2080" t="s">
        <v>50</v>
      </c>
    </row>
    <row r="2081" spans="1:26" x14ac:dyDescent="0.3">
      <c r="A2081">
        <v>10183</v>
      </c>
      <c r="B2081">
        <v>47</v>
      </c>
      <c r="C2081">
        <v>100</v>
      </c>
      <c r="D2081">
        <v>12</v>
      </c>
      <c r="E2081">
        <v>5035.1099999999997</v>
      </c>
      <c r="F2081" s="1">
        <v>37938</v>
      </c>
      <c r="G2081" t="s">
        <v>39</v>
      </c>
      <c r="H2081">
        <v>4</v>
      </c>
      <c r="I2081">
        <v>11</v>
      </c>
      <c r="J2081" t="str">
        <f>TEXT(DATE(2012,Table1[[#This Row],[MONTH_ID]],10),"mmm")</f>
        <v>Nov</v>
      </c>
      <c r="K2081">
        <v>2003</v>
      </c>
      <c r="L2081" t="s">
        <v>564</v>
      </c>
      <c r="M2081">
        <v>97</v>
      </c>
      <c r="N2081" t="s">
        <v>660</v>
      </c>
      <c r="O2081" t="s">
        <v>228</v>
      </c>
      <c r="P2081">
        <v>2155554695</v>
      </c>
      <c r="Q2081" t="s">
        <v>229</v>
      </c>
      <c r="S2081" t="s">
        <v>230</v>
      </c>
      <c r="T2081" t="s">
        <v>156</v>
      </c>
      <c r="U2081">
        <v>71270</v>
      </c>
      <c r="V2081" t="s">
        <v>46</v>
      </c>
      <c r="W2081" t="s">
        <v>47</v>
      </c>
      <c r="X2081" t="s">
        <v>231</v>
      </c>
      <c r="Y2081" t="s">
        <v>232</v>
      </c>
      <c r="Z2081" t="s">
        <v>65</v>
      </c>
    </row>
    <row r="2082" spans="1:26" x14ac:dyDescent="0.3">
      <c r="A2082">
        <v>10193</v>
      </c>
      <c r="B2082">
        <v>20</v>
      </c>
      <c r="C2082">
        <v>100</v>
      </c>
      <c r="D2082">
        <v>4</v>
      </c>
      <c r="E2082">
        <v>2279</v>
      </c>
      <c r="F2082" s="1">
        <v>37946</v>
      </c>
      <c r="G2082" t="s">
        <v>39</v>
      </c>
      <c r="H2082">
        <v>4</v>
      </c>
      <c r="I2082">
        <v>11</v>
      </c>
      <c r="J2082" t="str">
        <f>TEXT(DATE(2012,Table1[[#This Row],[MONTH_ID]],10),"mmm")</f>
        <v>Nov</v>
      </c>
      <c r="K2082">
        <v>2003</v>
      </c>
      <c r="L2082" t="s">
        <v>564</v>
      </c>
      <c r="M2082">
        <v>97</v>
      </c>
      <c r="N2082" t="s">
        <v>660</v>
      </c>
      <c r="O2082" t="s">
        <v>572</v>
      </c>
      <c r="P2082" t="s">
        <v>573</v>
      </c>
      <c r="Q2082" t="s">
        <v>574</v>
      </c>
      <c r="S2082" t="s">
        <v>575</v>
      </c>
      <c r="T2082" t="s">
        <v>108</v>
      </c>
      <c r="U2082">
        <v>3150</v>
      </c>
      <c r="V2082" t="s">
        <v>109</v>
      </c>
      <c r="W2082" t="s">
        <v>110</v>
      </c>
      <c r="X2082" t="s">
        <v>576</v>
      </c>
      <c r="Y2082" t="s">
        <v>577</v>
      </c>
      <c r="Z2082" t="s">
        <v>50</v>
      </c>
    </row>
    <row r="2083" spans="1:26" x14ac:dyDescent="0.3">
      <c r="A2083">
        <v>10206</v>
      </c>
      <c r="B2083">
        <v>33</v>
      </c>
      <c r="C2083">
        <v>97.39</v>
      </c>
      <c r="D2083">
        <v>10</v>
      </c>
      <c r="E2083">
        <v>3213.87</v>
      </c>
      <c r="F2083" s="1">
        <v>37960</v>
      </c>
      <c r="G2083" t="s">
        <v>39</v>
      </c>
      <c r="H2083">
        <v>4</v>
      </c>
      <c r="I2083">
        <v>12</v>
      </c>
      <c r="J2083" t="str">
        <f>TEXT(DATE(2012,Table1[[#This Row],[MONTH_ID]],10),"mmm")</f>
        <v>Dec</v>
      </c>
      <c r="K2083">
        <v>2003</v>
      </c>
      <c r="L2083" t="s">
        <v>564</v>
      </c>
      <c r="M2083">
        <v>97</v>
      </c>
      <c r="N2083" t="s">
        <v>660</v>
      </c>
      <c r="O2083" t="s">
        <v>239</v>
      </c>
      <c r="P2083" t="s">
        <v>240</v>
      </c>
      <c r="Q2083" t="s">
        <v>241</v>
      </c>
      <c r="S2083" t="s">
        <v>242</v>
      </c>
      <c r="T2083" t="s">
        <v>243</v>
      </c>
      <c r="U2083" t="s">
        <v>244</v>
      </c>
      <c r="V2083" t="s">
        <v>245</v>
      </c>
      <c r="W2083" t="s">
        <v>47</v>
      </c>
      <c r="X2083" t="s">
        <v>246</v>
      </c>
      <c r="Y2083" t="s">
        <v>247</v>
      </c>
      <c r="Z2083" t="s">
        <v>65</v>
      </c>
    </row>
    <row r="2084" spans="1:26" x14ac:dyDescent="0.3">
      <c r="A2084">
        <v>10215</v>
      </c>
      <c r="B2084">
        <v>39</v>
      </c>
      <c r="C2084">
        <v>90.57</v>
      </c>
      <c r="D2084">
        <v>7</v>
      </c>
      <c r="E2084">
        <v>3532.23</v>
      </c>
      <c r="F2084" s="1">
        <v>38015</v>
      </c>
      <c r="G2084" t="s">
        <v>39</v>
      </c>
      <c r="H2084">
        <v>1</v>
      </c>
      <c r="I2084">
        <v>1</v>
      </c>
      <c r="J2084" t="str">
        <f>TEXT(DATE(2012,Table1[[#This Row],[MONTH_ID]],10),"mmm")</f>
        <v>Jan</v>
      </c>
      <c r="K2084">
        <v>2004</v>
      </c>
      <c r="L2084" t="s">
        <v>564</v>
      </c>
      <c r="M2084">
        <v>97</v>
      </c>
      <c r="N2084" t="s">
        <v>660</v>
      </c>
      <c r="O2084" t="s">
        <v>248</v>
      </c>
      <c r="P2084">
        <v>3105553722</v>
      </c>
      <c r="Q2084" t="s">
        <v>249</v>
      </c>
      <c r="S2084" t="s">
        <v>250</v>
      </c>
      <c r="T2084" t="s">
        <v>69</v>
      </c>
      <c r="U2084">
        <v>94019</v>
      </c>
      <c r="V2084" t="s">
        <v>46</v>
      </c>
      <c r="W2084" t="s">
        <v>47</v>
      </c>
      <c r="X2084" t="s">
        <v>251</v>
      </c>
      <c r="Y2084" t="s">
        <v>252</v>
      </c>
      <c r="Z2084" t="s">
        <v>65</v>
      </c>
    </row>
    <row r="2085" spans="1:26" x14ac:dyDescent="0.3">
      <c r="A2085">
        <v>10228</v>
      </c>
      <c r="B2085">
        <v>33</v>
      </c>
      <c r="C2085">
        <v>100</v>
      </c>
      <c r="D2085">
        <v>6</v>
      </c>
      <c r="E2085">
        <v>3406.59</v>
      </c>
      <c r="F2085" s="1">
        <v>38056</v>
      </c>
      <c r="G2085" t="s">
        <v>39</v>
      </c>
      <c r="H2085">
        <v>1</v>
      </c>
      <c r="I2085">
        <v>3</v>
      </c>
      <c r="J2085" t="str">
        <f>TEXT(DATE(2012,Table1[[#This Row],[MONTH_ID]],10),"mmm")</f>
        <v>Mar</v>
      </c>
      <c r="K2085">
        <v>2004</v>
      </c>
      <c r="L2085" t="s">
        <v>564</v>
      </c>
      <c r="M2085">
        <v>97</v>
      </c>
      <c r="N2085" t="s">
        <v>660</v>
      </c>
      <c r="O2085" t="s">
        <v>253</v>
      </c>
      <c r="P2085">
        <v>6175555555</v>
      </c>
      <c r="Q2085" t="s">
        <v>254</v>
      </c>
      <c r="S2085" t="s">
        <v>136</v>
      </c>
      <c r="T2085" t="s">
        <v>137</v>
      </c>
      <c r="U2085">
        <v>51247</v>
      </c>
      <c r="V2085" t="s">
        <v>46</v>
      </c>
      <c r="W2085" t="s">
        <v>47</v>
      </c>
      <c r="X2085" t="s">
        <v>255</v>
      </c>
      <c r="Y2085" t="s">
        <v>157</v>
      </c>
      <c r="Z2085" t="s">
        <v>65</v>
      </c>
    </row>
    <row r="2086" spans="1:26" x14ac:dyDescent="0.3">
      <c r="A2086">
        <v>10244</v>
      </c>
      <c r="B2086">
        <v>40</v>
      </c>
      <c r="C2086">
        <v>86.68</v>
      </c>
      <c r="D2086">
        <v>4</v>
      </c>
      <c r="E2086">
        <v>3467.2</v>
      </c>
      <c r="F2086" s="1">
        <v>38106</v>
      </c>
      <c r="G2086" t="s">
        <v>39</v>
      </c>
      <c r="H2086">
        <v>2</v>
      </c>
      <c r="I2086">
        <v>4</v>
      </c>
      <c r="J2086" t="str">
        <f>TEXT(DATE(2012,Table1[[#This Row],[MONTH_ID]],10),"mmm")</f>
        <v>Apr</v>
      </c>
      <c r="K2086">
        <v>2004</v>
      </c>
      <c r="L2086" t="s">
        <v>564</v>
      </c>
      <c r="M2086">
        <v>97</v>
      </c>
      <c r="N2086" t="s">
        <v>660</v>
      </c>
      <c r="O2086" t="s">
        <v>188</v>
      </c>
      <c r="P2086" t="s">
        <v>189</v>
      </c>
      <c r="Q2086" t="s">
        <v>190</v>
      </c>
      <c r="S2086" t="s">
        <v>191</v>
      </c>
      <c r="U2086">
        <v>28034</v>
      </c>
      <c r="V2086" t="s">
        <v>192</v>
      </c>
      <c r="W2086" t="s">
        <v>56</v>
      </c>
      <c r="X2086" t="s">
        <v>193</v>
      </c>
      <c r="Y2086" t="s">
        <v>194</v>
      </c>
      <c r="Z2086" t="s">
        <v>65</v>
      </c>
    </row>
    <row r="2087" spans="1:26" x14ac:dyDescent="0.3">
      <c r="A2087">
        <v>10257</v>
      </c>
      <c r="B2087">
        <v>46</v>
      </c>
      <c r="C2087">
        <v>78.89</v>
      </c>
      <c r="D2087">
        <v>4</v>
      </c>
      <c r="E2087">
        <v>3628.94</v>
      </c>
      <c r="F2087" s="1">
        <v>38152</v>
      </c>
      <c r="G2087" t="s">
        <v>39</v>
      </c>
      <c r="H2087">
        <v>2</v>
      </c>
      <c r="I2087">
        <v>6</v>
      </c>
      <c r="J2087" t="str">
        <f>TEXT(DATE(2012,Table1[[#This Row],[MONTH_ID]],10),"mmm")</f>
        <v>Jun</v>
      </c>
      <c r="K2087">
        <v>2004</v>
      </c>
      <c r="L2087" t="s">
        <v>564</v>
      </c>
      <c r="M2087">
        <v>97</v>
      </c>
      <c r="N2087" t="s">
        <v>660</v>
      </c>
      <c r="O2087" t="s">
        <v>411</v>
      </c>
      <c r="P2087">
        <v>4085553659</v>
      </c>
      <c r="Q2087" t="s">
        <v>412</v>
      </c>
      <c r="S2087" t="s">
        <v>413</v>
      </c>
      <c r="T2087" t="s">
        <v>69</v>
      </c>
      <c r="U2087">
        <v>94217</v>
      </c>
      <c r="V2087" t="s">
        <v>46</v>
      </c>
      <c r="W2087" t="s">
        <v>47</v>
      </c>
      <c r="X2087" t="s">
        <v>116</v>
      </c>
      <c r="Y2087" t="s">
        <v>414</v>
      </c>
      <c r="Z2087" t="s">
        <v>65</v>
      </c>
    </row>
    <row r="2088" spans="1:26" x14ac:dyDescent="0.3">
      <c r="A2088">
        <v>10269</v>
      </c>
      <c r="B2088">
        <v>48</v>
      </c>
      <c r="C2088">
        <v>97.39</v>
      </c>
      <c r="D2088">
        <v>2</v>
      </c>
      <c r="E2088">
        <v>4674.72</v>
      </c>
      <c r="F2088" s="1">
        <v>38184</v>
      </c>
      <c r="G2088" t="s">
        <v>39</v>
      </c>
      <c r="H2088">
        <v>3</v>
      </c>
      <c r="I2088">
        <v>7</v>
      </c>
      <c r="J2088" t="str">
        <f>TEXT(DATE(2012,Table1[[#This Row],[MONTH_ID]],10),"mmm")</f>
        <v>Jul</v>
      </c>
      <c r="K2088">
        <v>2004</v>
      </c>
      <c r="L2088" t="s">
        <v>564</v>
      </c>
      <c r="M2088">
        <v>97</v>
      </c>
      <c r="N2088" t="s">
        <v>660</v>
      </c>
      <c r="O2088" t="s">
        <v>158</v>
      </c>
      <c r="P2088" t="s">
        <v>159</v>
      </c>
      <c r="Q2088" t="s">
        <v>160</v>
      </c>
      <c r="S2088" t="s">
        <v>161</v>
      </c>
      <c r="U2088">
        <v>5020</v>
      </c>
      <c r="V2088" t="s">
        <v>162</v>
      </c>
      <c r="W2088" t="s">
        <v>56</v>
      </c>
      <c r="X2088" t="s">
        <v>163</v>
      </c>
      <c r="Y2088" t="s">
        <v>164</v>
      </c>
      <c r="Z2088" t="s">
        <v>65</v>
      </c>
    </row>
    <row r="2089" spans="1:26" x14ac:dyDescent="0.3">
      <c r="A2089">
        <v>10280</v>
      </c>
      <c r="B2089">
        <v>21</v>
      </c>
      <c r="C2089">
        <v>78.89</v>
      </c>
      <c r="D2089">
        <v>6</v>
      </c>
      <c r="E2089">
        <v>1656.69</v>
      </c>
      <c r="F2089" s="1">
        <v>38216</v>
      </c>
      <c r="G2089" t="s">
        <v>39</v>
      </c>
      <c r="H2089">
        <v>3</v>
      </c>
      <c r="I2089">
        <v>8</v>
      </c>
      <c r="J2089" t="str">
        <f>TEXT(DATE(2012,Table1[[#This Row],[MONTH_ID]],10),"mmm")</f>
        <v>Aug</v>
      </c>
      <c r="K2089">
        <v>2004</v>
      </c>
      <c r="L2089" t="s">
        <v>564</v>
      </c>
      <c r="M2089">
        <v>97</v>
      </c>
      <c r="N2089" t="s">
        <v>660</v>
      </c>
      <c r="O2089" t="s">
        <v>268</v>
      </c>
      <c r="P2089" t="s">
        <v>269</v>
      </c>
      <c r="Q2089" t="s">
        <v>270</v>
      </c>
      <c r="S2089" t="s">
        <v>271</v>
      </c>
      <c r="U2089">
        <v>10100</v>
      </c>
      <c r="V2089" t="s">
        <v>272</v>
      </c>
      <c r="W2089" t="s">
        <v>56</v>
      </c>
      <c r="X2089" t="s">
        <v>273</v>
      </c>
      <c r="Y2089" t="s">
        <v>274</v>
      </c>
      <c r="Z2089" t="s">
        <v>50</v>
      </c>
    </row>
    <row r="2090" spans="1:26" x14ac:dyDescent="0.3">
      <c r="A2090">
        <v>10290</v>
      </c>
      <c r="B2090">
        <v>45</v>
      </c>
      <c r="C2090">
        <v>100</v>
      </c>
      <c r="D2090">
        <v>1</v>
      </c>
      <c r="E2090">
        <v>5171.3999999999996</v>
      </c>
      <c r="F2090" s="1">
        <v>38237</v>
      </c>
      <c r="G2090" t="s">
        <v>39</v>
      </c>
      <c r="H2090">
        <v>3</v>
      </c>
      <c r="I2090">
        <v>9</v>
      </c>
      <c r="J2090" t="str">
        <f>TEXT(DATE(2012,Table1[[#This Row],[MONTH_ID]],10),"mmm")</f>
        <v>Sep</v>
      </c>
      <c r="K2090">
        <v>2004</v>
      </c>
      <c r="L2090" t="s">
        <v>564</v>
      </c>
      <c r="M2090">
        <v>97</v>
      </c>
      <c r="N2090" t="s">
        <v>660</v>
      </c>
      <c r="O2090" t="s">
        <v>614</v>
      </c>
      <c r="P2090">
        <v>6175558428</v>
      </c>
      <c r="Q2090" t="s">
        <v>615</v>
      </c>
      <c r="S2090" t="s">
        <v>297</v>
      </c>
      <c r="T2090" t="s">
        <v>137</v>
      </c>
      <c r="U2090">
        <v>58339</v>
      </c>
      <c r="V2090" t="s">
        <v>46</v>
      </c>
      <c r="W2090" t="s">
        <v>47</v>
      </c>
      <c r="X2090" t="s">
        <v>543</v>
      </c>
      <c r="Y2090" t="s">
        <v>259</v>
      </c>
      <c r="Z2090" t="s">
        <v>65</v>
      </c>
    </row>
    <row r="2091" spans="1:26" x14ac:dyDescent="0.3">
      <c r="A2091">
        <v>10304</v>
      </c>
      <c r="B2091">
        <v>33</v>
      </c>
      <c r="C2091">
        <v>100</v>
      </c>
      <c r="D2091">
        <v>10</v>
      </c>
      <c r="E2091">
        <v>3342.57</v>
      </c>
      <c r="F2091" s="1">
        <v>38271</v>
      </c>
      <c r="G2091" t="s">
        <v>39</v>
      </c>
      <c r="H2091">
        <v>4</v>
      </c>
      <c r="I2091">
        <v>10</v>
      </c>
      <c r="J2091" t="str">
        <f>TEXT(DATE(2012,Table1[[#This Row],[MONTH_ID]],10),"mmm")</f>
        <v>Oct</v>
      </c>
      <c r="K2091">
        <v>2004</v>
      </c>
      <c r="L2091" t="s">
        <v>564</v>
      </c>
      <c r="M2091">
        <v>97</v>
      </c>
      <c r="N2091" t="s">
        <v>660</v>
      </c>
      <c r="O2091" t="s">
        <v>281</v>
      </c>
      <c r="P2091" t="s">
        <v>282</v>
      </c>
      <c r="Q2091" t="s">
        <v>283</v>
      </c>
      <c r="S2091" t="s">
        <v>284</v>
      </c>
      <c r="U2091">
        <v>78000</v>
      </c>
      <c r="V2091" t="s">
        <v>55</v>
      </c>
      <c r="W2091" t="s">
        <v>56</v>
      </c>
      <c r="X2091" t="s">
        <v>285</v>
      </c>
      <c r="Y2091" t="s">
        <v>64</v>
      </c>
      <c r="Z2091" t="s">
        <v>65</v>
      </c>
    </row>
    <row r="2092" spans="1:26" x14ac:dyDescent="0.3">
      <c r="A2092">
        <v>10312</v>
      </c>
      <c r="B2092">
        <v>44</v>
      </c>
      <c r="C2092">
        <v>100</v>
      </c>
      <c r="D2092">
        <v>7</v>
      </c>
      <c r="E2092">
        <v>4884.88</v>
      </c>
      <c r="F2092" s="1">
        <v>38281</v>
      </c>
      <c r="G2092" t="s">
        <v>39</v>
      </c>
      <c r="H2092">
        <v>4</v>
      </c>
      <c r="I2092">
        <v>10</v>
      </c>
      <c r="J2092" t="str">
        <f>TEXT(DATE(2012,Table1[[#This Row],[MONTH_ID]],10),"mmm")</f>
        <v>Oct</v>
      </c>
      <c r="K2092">
        <v>2004</v>
      </c>
      <c r="L2092" t="s">
        <v>564</v>
      </c>
      <c r="M2092">
        <v>97</v>
      </c>
      <c r="N2092" t="s">
        <v>660</v>
      </c>
      <c r="O2092" t="s">
        <v>286</v>
      </c>
      <c r="P2092">
        <v>4155551450</v>
      </c>
      <c r="Q2092" t="s">
        <v>287</v>
      </c>
      <c r="S2092" t="s">
        <v>288</v>
      </c>
      <c r="T2092" t="s">
        <v>69</v>
      </c>
      <c r="U2092">
        <v>97562</v>
      </c>
      <c r="V2092" t="s">
        <v>46</v>
      </c>
      <c r="W2092" t="s">
        <v>47</v>
      </c>
      <c r="X2092" t="s">
        <v>289</v>
      </c>
      <c r="Y2092" t="s">
        <v>290</v>
      </c>
      <c r="Z2092" t="s">
        <v>65</v>
      </c>
    </row>
    <row r="2093" spans="1:26" x14ac:dyDescent="0.3">
      <c r="A2093">
        <v>10324</v>
      </c>
      <c r="B2093">
        <v>33</v>
      </c>
      <c r="C2093">
        <v>100</v>
      </c>
      <c r="D2093">
        <v>3</v>
      </c>
      <c r="E2093">
        <v>6267.69</v>
      </c>
      <c r="F2093" s="1">
        <v>38296</v>
      </c>
      <c r="G2093" t="s">
        <v>39</v>
      </c>
      <c r="H2093">
        <v>4</v>
      </c>
      <c r="I2093">
        <v>11</v>
      </c>
      <c r="J2093" t="str">
        <f>TEXT(DATE(2012,Table1[[#This Row],[MONTH_ID]],10),"mmm")</f>
        <v>Nov</v>
      </c>
      <c r="K2093">
        <v>2004</v>
      </c>
      <c r="L2093" t="s">
        <v>564</v>
      </c>
      <c r="M2093">
        <v>97</v>
      </c>
      <c r="N2093" t="s">
        <v>660</v>
      </c>
      <c r="O2093" t="s">
        <v>113</v>
      </c>
      <c r="P2093">
        <v>2125551500</v>
      </c>
      <c r="Q2093" t="s">
        <v>114</v>
      </c>
      <c r="R2093" t="s">
        <v>115</v>
      </c>
      <c r="S2093" t="s">
        <v>44</v>
      </c>
      <c r="T2093" t="s">
        <v>45</v>
      </c>
      <c r="U2093">
        <v>10022</v>
      </c>
      <c r="V2093" t="s">
        <v>46</v>
      </c>
      <c r="W2093" t="s">
        <v>47</v>
      </c>
      <c r="X2093" t="s">
        <v>116</v>
      </c>
      <c r="Y2093" t="s">
        <v>117</v>
      </c>
      <c r="Z2093" t="s">
        <v>65</v>
      </c>
    </row>
    <row r="2094" spans="1:26" x14ac:dyDescent="0.3">
      <c r="A2094">
        <v>10333</v>
      </c>
      <c r="B2094">
        <v>39</v>
      </c>
      <c r="C2094">
        <v>100</v>
      </c>
      <c r="D2094">
        <v>1</v>
      </c>
      <c r="E2094">
        <v>4424.16</v>
      </c>
      <c r="F2094" s="1">
        <v>38309</v>
      </c>
      <c r="G2094" t="s">
        <v>39</v>
      </c>
      <c r="H2094">
        <v>4</v>
      </c>
      <c r="I2094">
        <v>11</v>
      </c>
      <c r="J2094" t="str">
        <f>TEXT(DATE(2012,Table1[[#This Row],[MONTH_ID]],10),"mmm")</f>
        <v>Nov</v>
      </c>
      <c r="K2094">
        <v>2004</v>
      </c>
      <c r="L2094" t="s">
        <v>564</v>
      </c>
      <c r="M2094">
        <v>97</v>
      </c>
      <c r="N2094" t="s">
        <v>660</v>
      </c>
      <c r="O2094" t="s">
        <v>95</v>
      </c>
      <c r="P2094">
        <v>6505555787</v>
      </c>
      <c r="Q2094" t="s">
        <v>96</v>
      </c>
      <c r="S2094" t="s">
        <v>74</v>
      </c>
      <c r="T2094" t="s">
        <v>69</v>
      </c>
      <c r="V2094" t="s">
        <v>46</v>
      </c>
      <c r="W2094" t="s">
        <v>47</v>
      </c>
      <c r="X2094" t="s">
        <v>97</v>
      </c>
      <c r="Y2094" t="s">
        <v>71</v>
      </c>
      <c r="Z2094" t="s">
        <v>65</v>
      </c>
    </row>
    <row r="2095" spans="1:26" x14ac:dyDescent="0.3">
      <c r="A2095">
        <v>10348</v>
      </c>
      <c r="B2095">
        <v>39</v>
      </c>
      <c r="C2095">
        <v>50.31</v>
      </c>
      <c r="D2095">
        <v>2</v>
      </c>
      <c r="E2095">
        <v>1962.09</v>
      </c>
      <c r="F2095" s="1">
        <v>38292</v>
      </c>
      <c r="G2095" t="s">
        <v>39</v>
      </c>
      <c r="H2095">
        <v>4</v>
      </c>
      <c r="I2095">
        <v>11</v>
      </c>
      <c r="J2095" t="str">
        <f>TEXT(DATE(2012,Table1[[#This Row],[MONTH_ID]],10),"mmm")</f>
        <v>Nov</v>
      </c>
      <c r="K2095">
        <v>2004</v>
      </c>
      <c r="L2095" t="s">
        <v>564</v>
      </c>
      <c r="M2095">
        <v>97</v>
      </c>
      <c r="N2095" t="s">
        <v>660</v>
      </c>
      <c r="O2095" t="s">
        <v>205</v>
      </c>
      <c r="P2095" t="s">
        <v>206</v>
      </c>
      <c r="Q2095" t="s">
        <v>207</v>
      </c>
      <c r="S2095" t="s">
        <v>191</v>
      </c>
      <c r="U2095">
        <v>28023</v>
      </c>
      <c r="V2095" t="s">
        <v>192</v>
      </c>
      <c r="W2095" t="s">
        <v>56</v>
      </c>
      <c r="X2095" t="s">
        <v>208</v>
      </c>
      <c r="Y2095" t="s">
        <v>209</v>
      </c>
      <c r="Z2095" t="s">
        <v>50</v>
      </c>
    </row>
    <row r="2096" spans="1:26" x14ac:dyDescent="0.3">
      <c r="A2096">
        <v>10358</v>
      </c>
      <c r="B2096">
        <v>41</v>
      </c>
      <c r="C2096">
        <v>100</v>
      </c>
      <c r="D2096">
        <v>6</v>
      </c>
      <c r="E2096">
        <v>6847</v>
      </c>
      <c r="F2096" s="1">
        <v>38331</v>
      </c>
      <c r="G2096" t="s">
        <v>39</v>
      </c>
      <c r="H2096">
        <v>4</v>
      </c>
      <c r="I2096">
        <v>12</v>
      </c>
      <c r="J2096" t="str">
        <f>TEXT(DATE(2012,Table1[[#This Row],[MONTH_ID]],10),"mmm")</f>
        <v>Dec</v>
      </c>
      <c r="K2096">
        <v>2004</v>
      </c>
      <c r="L2096" t="s">
        <v>564</v>
      </c>
      <c r="M2096">
        <v>97</v>
      </c>
      <c r="N2096" t="s">
        <v>660</v>
      </c>
      <c r="O2096" t="s">
        <v>188</v>
      </c>
      <c r="P2096" t="s">
        <v>189</v>
      </c>
      <c r="Q2096" t="s">
        <v>190</v>
      </c>
      <c r="S2096" t="s">
        <v>191</v>
      </c>
      <c r="U2096">
        <v>28034</v>
      </c>
      <c r="V2096" t="s">
        <v>192</v>
      </c>
      <c r="W2096" t="s">
        <v>56</v>
      </c>
      <c r="X2096" t="s">
        <v>193</v>
      </c>
      <c r="Y2096" t="s">
        <v>194</v>
      </c>
      <c r="Z2096" t="s">
        <v>65</v>
      </c>
    </row>
    <row r="2097" spans="1:26" x14ac:dyDescent="0.3">
      <c r="A2097">
        <v>10369</v>
      </c>
      <c r="B2097">
        <v>40</v>
      </c>
      <c r="C2097">
        <v>86.92</v>
      </c>
      <c r="D2097">
        <v>3</v>
      </c>
      <c r="E2097">
        <v>3476.8</v>
      </c>
      <c r="F2097" s="1">
        <v>38372</v>
      </c>
      <c r="G2097" t="s">
        <v>39</v>
      </c>
      <c r="H2097">
        <v>1</v>
      </c>
      <c r="I2097">
        <v>1</v>
      </c>
      <c r="J2097" t="str">
        <f>TEXT(DATE(2012,Table1[[#This Row],[MONTH_ID]],10),"mmm")</f>
        <v>Jan</v>
      </c>
      <c r="K2097">
        <v>2005</v>
      </c>
      <c r="L2097" t="s">
        <v>564</v>
      </c>
      <c r="M2097">
        <v>97</v>
      </c>
      <c r="N2097" t="s">
        <v>660</v>
      </c>
      <c r="O2097" t="s">
        <v>295</v>
      </c>
      <c r="P2097">
        <v>6175558555</v>
      </c>
      <c r="Q2097" t="s">
        <v>296</v>
      </c>
      <c r="S2097" t="s">
        <v>297</v>
      </c>
      <c r="T2097" t="s">
        <v>137</v>
      </c>
      <c r="U2097">
        <v>58339</v>
      </c>
      <c r="V2097" t="s">
        <v>46</v>
      </c>
      <c r="W2097" t="s">
        <v>47</v>
      </c>
      <c r="X2097" t="s">
        <v>289</v>
      </c>
      <c r="Y2097" t="s">
        <v>298</v>
      </c>
      <c r="Z2097" t="s">
        <v>65</v>
      </c>
    </row>
    <row r="2098" spans="1:26" x14ac:dyDescent="0.3">
      <c r="A2098">
        <v>10382</v>
      </c>
      <c r="B2098">
        <v>33</v>
      </c>
      <c r="C2098">
        <v>100</v>
      </c>
      <c r="D2098">
        <v>4</v>
      </c>
      <c r="E2098">
        <v>4592.6099999999997</v>
      </c>
      <c r="F2098" s="1">
        <v>38400</v>
      </c>
      <c r="G2098" t="s">
        <v>39</v>
      </c>
      <c r="H2098">
        <v>1</v>
      </c>
      <c r="I2098">
        <v>2</v>
      </c>
      <c r="J2098" t="str">
        <f>TEXT(DATE(2012,Table1[[#This Row],[MONTH_ID]],10),"mmm")</f>
        <v>Feb</v>
      </c>
      <c r="K2098">
        <v>2005</v>
      </c>
      <c r="L2098" t="s">
        <v>564</v>
      </c>
      <c r="M2098">
        <v>97</v>
      </c>
      <c r="N2098" t="s">
        <v>660</v>
      </c>
      <c r="O2098" t="s">
        <v>286</v>
      </c>
      <c r="P2098">
        <v>4155551450</v>
      </c>
      <c r="Q2098" t="s">
        <v>287</v>
      </c>
      <c r="S2098" t="s">
        <v>288</v>
      </c>
      <c r="T2098" t="s">
        <v>69</v>
      </c>
      <c r="U2098">
        <v>97562</v>
      </c>
      <c r="V2098" t="s">
        <v>46</v>
      </c>
      <c r="W2098" t="s">
        <v>47</v>
      </c>
      <c r="X2098" t="s">
        <v>289</v>
      </c>
      <c r="Y2098" t="s">
        <v>290</v>
      </c>
      <c r="Z2098" t="s">
        <v>65</v>
      </c>
    </row>
    <row r="2099" spans="1:26" x14ac:dyDescent="0.3">
      <c r="A2099">
        <v>10423</v>
      </c>
      <c r="B2099">
        <v>28</v>
      </c>
      <c r="C2099">
        <v>78.89</v>
      </c>
      <c r="D2099">
        <v>4</v>
      </c>
      <c r="E2099">
        <v>2208.92</v>
      </c>
      <c r="F2099" s="1">
        <v>38502</v>
      </c>
      <c r="G2099" t="s">
        <v>314</v>
      </c>
      <c r="H2099">
        <v>2</v>
      </c>
      <c r="I2099">
        <v>5</v>
      </c>
      <c r="J2099" t="str">
        <f>TEXT(DATE(2012,Table1[[#This Row],[MONTH_ID]],10),"mmm")</f>
        <v>May</v>
      </c>
      <c r="K2099">
        <v>2005</v>
      </c>
      <c r="L2099" t="s">
        <v>564</v>
      </c>
      <c r="M2099">
        <v>97</v>
      </c>
      <c r="N2099" t="s">
        <v>660</v>
      </c>
      <c r="O2099" t="s">
        <v>379</v>
      </c>
      <c r="P2099" t="s">
        <v>380</v>
      </c>
      <c r="Q2099" t="s">
        <v>381</v>
      </c>
      <c r="S2099" t="s">
        <v>382</v>
      </c>
      <c r="U2099" t="s">
        <v>383</v>
      </c>
      <c r="V2099" t="s">
        <v>384</v>
      </c>
      <c r="W2099" t="s">
        <v>56</v>
      </c>
      <c r="X2099" t="s">
        <v>385</v>
      </c>
      <c r="Y2099" t="s">
        <v>386</v>
      </c>
      <c r="Z2099" t="s">
        <v>50</v>
      </c>
    </row>
    <row r="2100" spans="1:26" x14ac:dyDescent="0.3">
      <c r="A2100">
        <v>10106</v>
      </c>
      <c r="B2100">
        <v>26</v>
      </c>
      <c r="C2100">
        <v>63.76</v>
      </c>
      <c r="D2100">
        <v>3</v>
      </c>
      <c r="E2100">
        <v>1657.76</v>
      </c>
      <c r="F2100" s="1">
        <v>37669</v>
      </c>
      <c r="G2100" t="s">
        <v>39</v>
      </c>
      <c r="H2100">
        <v>1</v>
      </c>
      <c r="I2100">
        <v>2</v>
      </c>
      <c r="J2100" t="str">
        <f>TEXT(DATE(2012,Table1[[#This Row],[MONTH_ID]],10),"mmm")</f>
        <v>Feb</v>
      </c>
      <c r="K2100">
        <v>2003</v>
      </c>
      <c r="L2100" t="s">
        <v>580</v>
      </c>
      <c r="M2100">
        <v>72</v>
      </c>
      <c r="N2100" t="s">
        <v>661</v>
      </c>
      <c r="O2100" t="s">
        <v>566</v>
      </c>
      <c r="P2100" t="s">
        <v>567</v>
      </c>
      <c r="Q2100" t="s">
        <v>568</v>
      </c>
      <c r="S2100" t="s">
        <v>569</v>
      </c>
      <c r="U2100">
        <v>24100</v>
      </c>
      <c r="V2100" t="s">
        <v>272</v>
      </c>
      <c r="W2100" t="s">
        <v>56</v>
      </c>
      <c r="X2100" t="s">
        <v>570</v>
      </c>
      <c r="Y2100" t="s">
        <v>571</v>
      </c>
      <c r="Z2100" t="s">
        <v>50</v>
      </c>
    </row>
    <row r="2101" spans="1:26" x14ac:dyDescent="0.3">
      <c r="A2101">
        <v>10120</v>
      </c>
      <c r="B2101">
        <v>29</v>
      </c>
      <c r="C2101">
        <v>85.49</v>
      </c>
      <c r="D2101">
        <v>9</v>
      </c>
      <c r="E2101">
        <v>2479.21</v>
      </c>
      <c r="F2101" s="1">
        <v>37740</v>
      </c>
      <c r="G2101" t="s">
        <v>39</v>
      </c>
      <c r="H2101">
        <v>2</v>
      </c>
      <c r="I2101">
        <v>4</v>
      </c>
      <c r="J2101" t="str">
        <f>TEXT(DATE(2012,Table1[[#This Row],[MONTH_ID]],10),"mmm")</f>
        <v>Apr</v>
      </c>
      <c r="K2101">
        <v>2003</v>
      </c>
      <c r="L2101" t="s">
        <v>580</v>
      </c>
      <c r="M2101">
        <v>72</v>
      </c>
      <c r="N2101" t="s">
        <v>661</v>
      </c>
      <c r="O2101" t="s">
        <v>103</v>
      </c>
      <c r="P2101" t="s">
        <v>104</v>
      </c>
      <c r="Q2101" t="s">
        <v>105</v>
      </c>
      <c r="R2101" t="s">
        <v>106</v>
      </c>
      <c r="S2101" t="s">
        <v>107</v>
      </c>
      <c r="T2101" t="s">
        <v>108</v>
      </c>
      <c r="U2101">
        <v>3004</v>
      </c>
      <c r="V2101" t="s">
        <v>109</v>
      </c>
      <c r="W2101" t="s">
        <v>110</v>
      </c>
      <c r="X2101" t="s">
        <v>111</v>
      </c>
      <c r="Y2101" t="s">
        <v>112</v>
      </c>
      <c r="Z2101" t="s">
        <v>50</v>
      </c>
    </row>
    <row r="2102" spans="1:26" x14ac:dyDescent="0.3">
      <c r="A2102">
        <v>10133</v>
      </c>
      <c r="B2102">
        <v>46</v>
      </c>
      <c r="C2102">
        <v>77.52</v>
      </c>
      <c r="D2102">
        <v>4</v>
      </c>
      <c r="E2102">
        <v>3565.92</v>
      </c>
      <c r="F2102" s="1">
        <v>37799</v>
      </c>
      <c r="G2102" t="s">
        <v>39</v>
      </c>
      <c r="H2102">
        <v>2</v>
      </c>
      <c r="I2102">
        <v>6</v>
      </c>
      <c r="J2102" t="str">
        <f>TEXT(DATE(2012,Table1[[#This Row],[MONTH_ID]],10),"mmm")</f>
        <v>Jun</v>
      </c>
      <c r="K2102">
        <v>2003</v>
      </c>
      <c r="L2102" t="s">
        <v>580</v>
      </c>
      <c r="M2102">
        <v>72</v>
      </c>
      <c r="N2102" t="s">
        <v>661</v>
      </c>
      <c r="O2102" t="s">
        <v>188</v>
      </c>
      <c r="P2102" t="s">
        <v>189</v>
      </c>
      <c r="Q2102" t="s">
        <v>190</v>
      </c>
      <c r="S2102" t="s">
        <v>191</v>
      </c>
      <c r="U2102">
        <v>28034</v>
      </c>
      <c r="V2102" t="s">
        <v>192</v>
      </c>
      <c r="W2102" t="s">
        <v>56</v>
      </c>
      <c r="X2102" t="s">
        <v>193</v>
      </c>
      <c r="Y2102" t="s">
        <v>194</v>
      </c>
      <c r="Z2102" t="s">
        <v>65</v>
      </c>
    </row>
    <row r="2103" spans="1:26" x14ac:dyDescent="0.3">
      <c r="A2103">
        <v>10145</v>
      </c>
      <c r="B2103">
        <v>33</v>
      </c>
      <c r="C2103">
        <v>84.77</v>
      </c>
      <c r="D2103">
        <v>15</v>
      </c>
      <c r="E2103">
        <v>2797.41</v>
      </c>
      <c r="F2103" s="1">
        <v>37858</v>
      </c>
      <c r="G2103" t="s">
        <v>39</v>
      </c>
      <c r="H2103">
        <v>3</v>
      </c>
      <c r="I2103">
        <v>8</v>
      </c>
      <c r="J2103" t="str">
        <f>TEXT(DATE(2012,Table1[[#This Row],[MONTH_ID]],10),"mmm")</f>
        <v>Aug</v>
      </c>
      <c r="K2103">
        <v>2003</v>
      </c>
      <c r="L2103" t="s">
        <v>580</v>
      </c>
      <c r="M2103">
        <v>72</v>
      </c>
      <c r="N2103" t="s">
        <v>661</v>
      </c>
      <c r="O2103" t="s">
        <v>66</v>
      </c>
      <c r="P2103">
        <v>6265557265</v>
      </c>
      <c r="Q2103" t="s">
        <v>67</v>
      </c>
      <c r="S2103" t="s">
        <v>68</v>
      </c>
      <c r="T2103" t="s">
        <v>69</v>
      </c>
      <c r="U2103">
        <v>90003</v>
      </c>
      <c r="V2103" t="s">
        <v>46</v>
      </c>
      <c r="W2103" t="s">
        <v>47</v>
      </c>
      <c r="X2103" t="s">
        <v>70</v>
      </c>
      <c r="Y2103" t="s">
        <v>71</v>
      </c>
      <c r="Z2103" t="s">
        <v>50</v>
      </c>
    </row>
    <row r="2104" spans="1:26" x14ac:dyDescent="0.3">
      <c r="A2104">
        <v>10168</v>
      </c>
      <c r="B2104">
        <v>48</v>
      </c>
      <c r="C2104">
        <v>78.25</v>
      </c>
      <c r="D2104">
        <v>10</v>
      </c>
      <c r="E2104">
        <v>3756</v>
      </c>
      <c r="F2104" s="1">
        <v>37922</v>
      </c>
      <c r="G2104" t="s">
        <v>39</v>
      </c>
      <c r="H2104">
        <v>4</v>
      </c>
      <c r="I2104">
        <v>10</v>
      </c>
      <c r="J2104" t="str">
        <f>TEXT(DATE(2012,Table1[[#This Row],[MONTH_ID]],10),"mmm")</f>
        <v>Oct</v>
      </c>
      <c r="K2104">
        <v>2003</v>
      </c>
      <c r="L2104" t="s">
        <v>580</v>
      </c>
      <c r="M2104">
        <v>72</v>
      </c>
      <c r="N2104" t="s">
        <v>661</v>
      </c>
      <c r="O2104" t="s">
        <v>76</v>
      </c>
      <c r="P2104">
        <v>6505556809</v>
      </c>
      <c r="Q2104" t="s">
        <v>77</v>
      </c>
      <c r="S2104" t="s">
        <v>78</v>
      </c>
      <c r="T2104" t="s">
        <v>69</v>
      </c>
      <c r="U2104">
        <v>94217</v>
      </c>
      <c r="V2104" t="s">
        <v>46</v>
      </c>
      <c r="W2104" t="s">
        <v>47</v>
      </c>
      <c r="X2104" t="s">
        <v>79</v>
      </c>
      <c r="Y2104" t="s">
        <v>80</v>
      </c>
      <c r="Z2104" t="s">
        <v>65</v>
      </c>
    </row>
    <row r="2105" spans="1:26" x14ac:dyDescent="0.3">
      <c r="A2105">
        <v>10210</v>
      </c>
      <c r="B2105">
        <v>40</v>
      </c>
      <c r="C2105">
        <v>71</v>
      </c>
      <c r="D2105">
        <v>8</v>
      </c>
      <c r="E2105">
        <v>2840</v>
      </c>
      <c r="F2105" s="1">
        <v>37998</v>
      </c>
      <c r="G2105" t="s">
        <v>39</v>
      </c>
      <c r="H2105">
        <v>1</v>
      </c>
      <c r="I2105">
        <v>1</v>
      </c>
      <c r="J2105" t="str">
        <f>TEXT(DATE(2012,Table1[[#This Row],[MONTH_ID]],10),"mmm")</f>
        <v>Jan</v>
      </c>
      <c r="K2105">
        <v>2004</v>
      </c>
      <c r="L2105" t="s">
        <v>580</v>
      </c>
      <c r="M2105">
        <v>72</v>
      </c>
      <c r="N2105" t="s">
        <v>661</v>
      </c>
      <c r="O2105" t="s">
        <v>316</v>
      </c>
      <c r="P2105" t="s">
        <v>317</v>
      </c>
      <c r="Q2105" t="s">
        <v>318</v>
      </c>
      <c r="S2105" t="s">
        <v>319</v>
      </c>
      <c r="T2105" t="s">
        <v>319</v>
      </c>
      <c r="U2105" t="s">
        <v>320</v>
      </c>
      <c r="V2105" t="s">
        <v>214</v>
      </c>
      <c r="W2105" t="s">
        <v>214</v>
      </c>
      <c r="X2105" t="s">
        <v>321</v>
      </c>
      <c r="Y2105" t="s">
        <v>322</v>
      </c>
      <c r="Z2105" t="s">
        <v>50</v>
      </c>
    </row>
    <row r="2106" spans="1:26" x14ac:dyDescent="0.3">
      <c r="A2106">
        <v>10223</v>
      </c>
      <c r="B2106">
        <v>23</v>
      </c>
      <c r="C2106">
        <v>74.62</v>
      </c>
      <c r="D2106">
        <v>10</v>
      </c>
      <c r="E2106">
        <v>1716.26</v>
      </c>
      <c r="F2106" s="1">
        <v>38037</v>
      </c>
      <c r="G2106" t="s">
        <v>39</v>
      </c>
      <c r="H2106">
        <v>1</v>
      </c>
      <c r="I2106">
        <v>2</v>
      </c>
      <c r="J2106" t="str">
        <f>TEXT(DATE(2012,Table1[[#This Row],[MONTH_ID]],10),"mmm")</f>
        <v>Feb</v>
      </c>
      <c r="K2106">
        <v>2004</v>
      </c>
      <c r="L2106" t="s">
        <v>580</v>
      </c>
      <c r="M2106">
        <v>72</v>
      </c>
      <c r="N2106" t="s">
        <v>661</v>
      </c>
      <c r="O2106" t="s">
        <v>103</v>
      </c>
      <c r="P2106" t="s">
        <v>104</v>
      </c>
      <c r="Q2106" t="s">
        <v>105</v>
      </c>
      <c r="R2106" t="s">
        <v>106</v>
      </c>
      <c r="S2106" t="s">
        <v>107</v>
      </c>
      <c r="T2106" t="s">
        <v>108</v>
      </c>
      <c r="U2106">
        <v>3004</v>
      </c>
      <c r="V2106" t="s">
        <v>109</v>
      </c>
      <c r="W2106" t="s">
        <v>110</v>
      </c>
      <c r="X2106" t="s">
        <v>111</v>
      </c>
      <c r="Y2106" t="s">
        <v>112</v>
      </c>
      <c r="Z2106" t="s">
        <v>50</v>
      </c>
    </row>
    <row r="2107" spans="1:26" x14ac:dyDescent="0.3">
      <c r="A2107">
        <v>10235</v>
      </c>
      <c r="B2107">
        <v>40</v>
      </c>
      <c r="C2107">
        <v>81.14</v>
      </c>
      <c r="D2107">
        <v>4</v>
      </c>
      <c r="E2107">
        <v>3245.6</v>
      </c>
      <c r="F2107" s="1">
        <v>38079</v>
      </c>
      <c r="G2107" t="s">
        <v>39</v>
      </c>
      <c r="H2107">
        <v>2</v>
      </c>
      <c r="I2107">
        <v>4</v>
      </c>
      <c r="J2107" t="str">
        <f>TEXT(DATE(2012,Table1[[#This Row],[MONTH_ID]],10),"mmm")</f>
        <v>Apr</v>
      </c>
      <c r="K2107">
        <v>2004</v>
      </c>
      <c r="L2107" t="s">
        <v>580</v>
      </c>
      <c r="M2107">
        <v>72</v>
      </c>
      <c r="N2107" t="s">
        <v>661</v>
      </c>
      <c r="O2107" t="s">
        <v>387</v>
      </c>
      <c r="P2107" t="s">
        <v>388</v>
      </c>
      <c r="Q2107" t="s">
        <v>389</v>
      </c>
      <c r="S2107" t="s">
        <v>390</v>
      </c>
      <c r="T2107" t="s">
        <v>243</v>
      </c>
      <c r="U2107" t="s">
        <v>391</v>
      </c>
      <c r="V2107" t="s">
        <v>245</v>
      </c>
      <c r="W2107" t="s">
        <v>47</v>
      </c>
      <c r="X2107" t="s">
        <v>392</v>
      </c>
      <c r="Y2107" t="s">
        <v>186</v>
      </c>
      <c r="Z2107" t="s">
        <v>65</v>
      </c>
    </row>
    <row r="2108" spans="1:26" x14ac:dyDescent="0.3">
      <c r="A2108">
        <v>10250</v>
      </c>
      <c r="B2108">
        <v>37</v>
      </c>
      <c r="C2108">
        <v>74.62</v>
      </c>
      <c r="D2108">
        <v>5</v>
      </c>
      <c r="E2108">
        <v>2760.94</v>
      </c>
      <c r="F2108" s="1">
        <v>38118</v>
      </c>
      <c r="G2108" t="s">
        <v>39</v>
      </c>
      <c r="H2108">
        <v>2</v>
      </c>
      <c r="I2108">
        <v>5</v>
      </c>
      <c r="J2108" t="str">
        <f>TEXT(DATE(2012,Table1[[#This Row],[MONTH_ID]],10),"mmm")</f>
        <v>May</v>
      </c>
      <c r="K2108">
        <v>2004</v>
      </c>
      <c r="L2108" t="s">
        <v>580</v>
      </c>
      <c r="M2108">
        <v>72</v>
      </c>
      <c r="N2108" t="s">
        <v>661</v>
      </c>
      <c r="O2108" t="s">
        <v>411</v>
      </c>
      <c r="P2108">
        <v>4085553659</v>
      </c>
      <c r="Q2108" t="s">
        <v>412</v>
      </c>
      <c r="S2108" t="s">
        <v>413</v>
      </c>
      <c r="T2108" t="s">
        <v>69</v>
      </c>
      <c r="U2108">
        <v>94217</v>
      </c>
      <c r="V2108" t="s">
        <v>46</v>
      </c>
      <c r="W2108" t="s">
        <v>47</v>
      </c>
      <c r="X2108" t="s">
        <v>116</v>
      </c>
      <c r="Y2108" t="s">
        <v>414</v>
      </c>
      <c r="Z2108" t="s">
        <v>50</v>
      </c>
    </row>
    <row r="2109" spans="1:26" x14ac:dyDescent="0.3">
      <c r="A2109">
        <v>10263</v>
      </c>
      <c r="B2109">
        <v>24</v>
      </c>
      <c r="C2109">
        <v>75.349999999999994</v>
      </c>
      <c r="D2109">
        <v>11</v>
      </c>
      <c r="E2109">
        <v>1808.4</v>
      </c>
      <c r="F2109" s="1">
        <v>38166</v>
      </c>
      <c r="G2109" t="s">
        <v>39</v>
      </c>
      <c r="H2109">
        <v>2</v>
      </c>
      <c r="I2109">
        <v>6</v>
      </c>
      <c r="J2109" t="str">
        <f>TEXT(DATE(2012,Table1[[#This Row],[MONTH_ID]],10),"mmm")</f>
        <v>Jun</v>
      </c>
      <c r="K2109">
        <v>2004</v>
      </c>
      <c r="L2109" t="s">
        <v>580</v>
      </c>
      <c r="M2109">
        <v>72</v>
      </c>
      <c r="N2109" t="s">
        <v>661</v>
      </c>
      <c r="O2109" t="s">
        <v>123</v>
      </c>
      <c r="P2109">
        <v>2035552570</v>
      </c>
      <c r="Q2109" t="s">
        <v>124</v>
      </c>
      <c r="S2109" t="s">
        <v>125</v>
      </c>
      <c r="T2109" t="s">
        <v>126</v>
      </c>
      <c r="U2109">
        <v>97562</v>
      </c>
      <c r="V2109" t="s">
        <v>46</v>
      </c>
      <c r="W2109" t="s">
        <v>47</v>
      </c>
      <c r="X2109" t="s">
        <v>127</v>
      </c>
      <c r="Y2109" t="s">
        <v>71</v>
      </c>
      <c r="Z2109" t="s">
        <v>50</v>
      </c>
    </row>
    <row r="2110" spans="1:26" x14ac:dyDescent="0.3">
      <c r="A2110">
        <v>10275</v>
      </c>
      <c r="B2110">
        <v>27</v>
      </c>
      <c r="C2110">
        <v>62.31</v>
      </c>
      <c r="D2110">
        <v>10</v>
      </c>
      <c r="E2110">
        <v>1682.37</v>
      </c>
      <c r="F2110" s="1">
        <v>38191</v>
      </c>
      <c r="G2110" t="s">
        <v>39</v>
      </c>
      <c r="H2110">
        <v>3</v>
      </c>
      <c r="I2110">
        <v>7</v>
      </c>
      <c r="J2110" t="str">
        <f>TEXT(DATE(2012,Table1[[#This Row],[MONTH_ID]],10),"mmm")</f>
        <v>Jul</v>
      </c>
      <c r="K2110">
        <v>2004</v>
      </c>
      <c r="L2110" t="s">
        <v>580</v>
      </c>
      <c r="M2110">
        <v>72</v>
      </c>
      <c r="N2110" t="s">
        <v>661</v>
      </c>
      <c r="O2110" t="s">
        <v>128</v>
      </c>
      <c r="P2110" t="s">
        <v>129</v>
      </c>
      <c r="Q2110" t="s">
        <v>130</v>
      </c>
      <c r="S2110" t="s">
        <v>131</v>
      </c>
      <c r="U2110">
        <v>44000</v>
      </c>
      <c r="V2110" t="s">
        <v>55</v>
      </c>
      <c r="W2110" t="s">
        <v>56</v>
      </c>
      <c r="X2110" t="s">
        <v>132</v>
      </c>
      <c r="Y2110" t="s">
        <v>133</v>
      </c>
      <c r="Z2110" t="s">
        <v>50</v>
      </c>
    </row>
    <row r="2111" spans="1:26" x14ac:dyDescent="0.3">
      <c r="A2111">
        <v>10284</v>
      </c>
      <c r="B2111">
        <v>21</v>
      </c>
      <c r="C2111">
        <v>71</v>
      </c>
      <c r="D2111">
        <v>2</v>
      </c>
      <c r="E2111">
        <v>1491</v>
      </c>
      <c r="F2111" s="1">
        <v>38220</v>
      </c>
      <c r="G2111" t="s">
        <v>39</v>
      </c>
      <c r="H2111">
        <v>3</v>
      </c>
      <c r="I2111">
        <v>8</v>
      </c>
      <c r="J2111" t="str">
        <f>TEXT(DATE(2012,Table1[[#This Row],[MONTH_ID]],10),"mmm")</f>
        <v>Aug</v>
      </c>
      <c r="K2111">
        <v>2004</v>
      </c>
      <c r="L2111" t="s">
        <v>580</v>
      </c>
      <c r="M2111">
        <v>72</v>
      </c>
      <c r="N2111" t="s">
        <v>661</v>
      </c>
      <c r="O2111" t="s">
        <v>557</v>
      </c>
      <c r="P2111" t="s">
        <v>558</v>
      </c>
      <c r="Q2111" t="s">
        <v>559</v>
      </c>
      <c r="S2111" t="s">
        <v>560</v>
      </c>
      <c r="U2111" t="s">
        <v>561</v>
      </c>
      <c r="V2111" t="s">
        <v>92</v>
      </c>
      <c r="W2111" t="s">
        <v>56</v>
      </c>
      <c r="X2111" t="s">
        <v>562</v>
      </c>
      <c r="Y2111" t="s">
        <v>563</v>
      </c>
      <c r="Z2111" t="s">
        <v>50</v>
      </c>
    </row>
    <row r="2112" spans="1:26" x14ac:dyDescent="0.3">
      <c r="A2112">
        <v>10297</v>
      </c>
      <c r="B2112">
        <v>23</v>
      </c>
      <c r="C2112">
        <v>72.45</v>
      </c>
      <c r="D2112">
        <v>5</v>
      </c>
      <c r="E2112">
        <v>1666.35</v>
      </c>
      <c r="F2112" s="1">
        <v>38246</v>
      </c>
      <c r="G2112" t="s">
        <v>39</v>
      </c>
      <c r="H2112">
        <v>3</v>
      </c>
      <c r="I2112">
        <v>9</v>
      </c>
      <c r="J2112" t="str">
        <f>TEXT(DATE(2012,Table1[[#This Row],[MONTH_ID]],10),"mmm")</f>
        <v>Sep</v>
      </c>
      <c r="K2112">
        <v>2004</v>
      </c>
      <c r="L2112" t="s">
        <v>580</v>
      </c>
      <c r="M2112">
        <v>72</v>
      </c>
      <c r="N2112" t="s">
        <v>661</v>
      </c>
      <c r="O2112" t="s">
        <v>493</v>
      </c>
      <c r="P2112" t="s">
        <v>494</v>
      </c>
      <c r="Q2112" t="s">
        <v>495</v>
      </c>
      <c r="R2112" t="s">
        <v>496</v>
      </c>
      <c r="S2112" t="s">
        <v>497</v>
      </c>
      <c r="U2112">
        <v>2</v>
      </c>
      <c r="V2112" t="s">
        <v>498</v>
      </c>
      <c r="W2112" t="s">
        <v>56</v>
      </c>
      <c r="X2112" t="s">
        <v>499</v>
      </c>
      <c r="Y2112" t="s">
        <v>500</v>
      </c>
      <c r="Z2112" t="s">
        <v>50</v>
      </c>
    </row>
    <row r="2113" spans="1:26" x14ac:dyDescent="0.3">
      <c r="A2113">
        <v>10308</v>
      </c>
      <c r="B2113">
        <v>44</v>
      </c>
      <c r="C2113">
        <v>83.32</v>
      </c>
      <c r="D2113">
        <v>8</v>
      </c>
      <c r="E2113">
        <v>3666.08</v>
      </c>
      <c r="F2113" s="1">
        <v>38275</v>
      </c>
      <c r="G2113" t="s">
        <v>39</v>
      </c>
      <c r="H2113">
        <v>4</v>
      </c>
      <c r="I2113">
        <v>10</v>
      </c>
      <c r="J2113" t="str">
        <f>TEXT(DATE(2012,Table1[[#This Row],[MONTH_ID]],10),"mmm")</f>
        <v>Oct</v>
      </c>
      <c r="K2113">
        <v>2004</v>
      </c>
      <c r="L2113" t="s">
        <v>580</v>
      </c>
      <c r="M2113">
        <v>72</v>
      </c>
      <c r="N2113" t="s">
        <v>661</v>
      </c>
      <c r="O2113" t="s">
        <v>331</v>
      </c>
      <c r="P2113">
        <v>9145554562</v>
      </c>
      <c r="Q2113" t="s">
        <v>332</v>
      </c>
      <c r="S2113" t="s">
        <v>333</v>
      </c>
      <c r="T2113" t="s">
        <v>45</v>
      </c>
      <c r="U2113">
        <v>24067</v>
      </c>
      <c r="V2113" t="s">
        <v>46</v>
      </c>
      <c r="W2113" t="s">
        <v>47</v>
      </c>
      <c r="X2113" t="s">
        <v>116</v>
      </c>
      <c r="Y2113" t="s">
        <v>252</v>
      </c>
      <c r="Z2113" t="s">
        <v>65</v>
      </c>
    </row>
    <row r="2114" spans="1:26" x14ac:dyDescent="0.3">
      <c r="A2114">
        <v>10317</v>
      </c>
      <c r="B2114">
        <v>35</v>
      </c>
      <c r="C2114">
        <v>83.32</v>
      </c>
      <c r="D2114">
        <v>1</v>
      </c>
      <c r="E2114">
        <v>2916.2</v>
      </c>
      <c r="F2114" s="1">
        <v>38293</v>
      </c>
      <c r="G2114" t="s">
        <v>39</v>
      </c>
      <c r="H2114">
        <v>4</v>
      </c>
      <c r="I2114">
        <v>11</v>
      </c>
      <c r="J2114" t="str">
        <f>TEXT(DATE(2012,Table1[[#This Row],[MONTH_ID]],10),"mmm")</f>
        <v>Nov</v>
      </c>
      <c r="K2114">
        <v>2004</v>
      </c>
      <c r="L2114" t="s">
        <v>580</v>
      </c>
      <c r="M2114">
        <v>72</v>
      </c>
      <c r="N2114" t="s">
        <v>661</v>
      </c>
      <c r="O2114" t="s">
        <v>76</v>
      </c>
      <c r="P2114">
        <v>6505556809</v>
      </c>
      <c r="Q2114" t="s">
        <v>77</v>
      </c>
      <c r="S2114" t="s">
        <v>78</v>
      </c>
      <c r="T2114" t="s">
        <v>69</v>
      </c>
      <c r="U2114">
        <v>94217</v>
      </c>
      <c r="V2114" t="s">
        <v>46</v>
      </c>
      <c r="W2114" t="s">
        <v>47</v>
      </c>
      <c r="X2114" t="s">
        <v>79</v>
      </c>
      <c r="Y2114" t="s">
        <v>80</v>
      </c>
      <c r="Z2114" t="s">
        <v>50</v>
      </c>
    </row>
    <row r="2115" spans="1:26" x14ac:dyDescent="0.3">
      <c r="A2115">
        <v>10328</v>
      </c>
      <c r="B2115">
        <v>43</v>
      </c>
      <c r="C2115">
        <v>60.86</v>
      </c>
      <c r="D2115">
        <v>4</v>
      </c>
      <c r="E2115">
        <v>2616.98</v>
      </c>
      <c r="F2115" s="1">
        <v>38303</v>
      </c>
      <c r="G2115" t="s">
        <v>39</v>
      </c>
      <c r="H2115">
        <v>4</v>
      </c>
      <c r="I2115">
        <v>11</v>
      </c>
      <c r="J2115" t="str">
        <f>TEXT(DATE(2012,Table1[[#This Row],[MONTH_ID]],10),"mmm")</f>
        <v>Nov</v>
      </c>
      <c r="K2115">
        <v>2004</v>
      </c>
      <c r="L2115" t="s">
        <v>580</v>
      </c>
      <c r="M2115">
        <v>72</v>
      </c>
      <c r="N2115" t="s">
        <v>661</v>
      </c>
      <c r="O2115" t="s">
        <v>566</v>
      </c>
      <c r="P2115" t="s">
        <v>567</v>
      </c>
      <c r="Q2115" t="s">
        <v>568</v>
      </c>
      <c r="S2115" t="s">
        <v>569</v>
      </c>
      <c r="U2115">
        <v>24100</v>
      </c>
      <c r="V2115" t="s">
        <v>272</v>
      </c>
      <c r="W2115" t="s">
        <v>56</v>
      </c>
      <c r="X2115" t="s">
        <v>570</v>
      </c>
      <c r="Y2115" t="s">
        <v>571</v>
      </c>
      <c r="Z2115" t="s">
        <v>50</v>
      </c>
    </row>
    <row r="2116" spans="1:26" x14ac:dyDescent="0.3">
      <c r="A2116">
        <v>10340</v>
      </c>
      <c r="B2116">
        <v>40</v>
      </c>
      <c r="C2116">
        <v>84.77</v>
      </c>
      <c r="D2116">
        <v>1</v>
      </c>
      <c r="E2116">
        <v>3390.8</v>
      </c>
      <c r="F2116" s="1">
        <v>38315</v>
      </c>
      <c r="G2116" t="s">
        <v>39</v>
      </c>
      <c r="H2116">
        <v>4</v>
      </c>
      <c r="I2116">
        <v>11</v>
      </c>
      <c r="J2116" t="str">
        <f>TEXT(DATE(2012,Table1[[#This Row],[MONTH_ID]],10),"mmm")</f>
        <v>Nov</v>
      </c>
      <c r="K2116">
        <v>2004</v>
      </c>
      <c r="L2116" t="s">
        <v>580</v>
      </c>
      <c r="M2116">
        <v>72</v>
      </c>
      <c r="N2116" t="s">
        <v>661</v>
      </c>
      <c r="O2116" t="s">
        <v>366</v>
      </c>
      <c r="P2116" t="s">
        <v>367</v>
      </c>
      <c r="Q2116" t="s">
        <v>368</v>
      </c>
      <c r="S2116" t="s">
        <v>369</v>
      </c>
      <c r="U2116">
        <v>8022</v>
      </c>
      <c r="V2116" t="s">
        <v>192</v>
      </c>
      <c r="W2116" t="s">
        <v>56</v>
      </c>
      <c r="X2116" t="s">
        <v>370</v>
      </c>
      <c r="Y2116" t="s">
        <v>371</v>
      </c>
      <c r="Z2116" t="s">
        <v>65</v>
      </c>
    </row>
    <row r="2117" spans="1:26" x14ac:dyDescent="0.3">
      <c r="A2117">
        <v>10353</v>
      </c>
      <c r="B2117">
        <v>35</v>
      </c>
      <c r="C2117">
        <v>89.9</v>
      </c>
      <c r="D2117">
        <v>3</v>
      </c>
      <c r="E2117">
        <v>3146.5</v>
      </c>
      <c r="F2117" s="1">
        <v>38325</v>
      </c>
      <c r="G2117" t="s">
        <v>39</v>
      </c>
      <c r="H2117">
        <v>4</v>
      </c>
      <c r="I2117">
        <v>12</v>
      </c>
      <c r="J2117" t="str">
        <f>TEXT(DATE(2012,Table1[[#This Row],[MONTH_ID]],10),"mmm")</f>
        <v>Dec</v>
      </c>
      <c r="K2117">
        <v>2004</v>
      </c>
      <c r="L2117" t="s">
        <v>580</v>
      </c>
      <c r="M2117">
        <v>72</v>
      </c>
      <c r="N2117" t="s">
        <v>661</v>
      </c>
      <c r="O2117" t="s">
        <v>582</v>
      </c>
      <c r="P2117">
        <v>2035554407</v>
      </c>
      <c r="Q2117" t="s">
        <v>583</v>
      </c>
      <c r="S2117" t="s">
        <v>530</v>
      </c>
      <c r="T2117" t="s">
        <v>126</v>
      </c>
      <c r="U2117">
        <v>97561</v>
      </c>
      <c r="V2117" t="s">
        <v>46</v>
      </c>
      <c r="W2117" t="s">
        <v>47</v>
      </c>
      <c r="X2117" t="s">
        <v>584</v>
      </c>
      <c r="Y2117" t="s">
        <v>585</v>
      </c>
      <c r="Z2117" t="s">
        <v>65</v>
      </c>
    </row>
    <row r="2118" spans="1:26" x14ac:dyDescent="0.3">
      <c r="A2118">
        <v>10361</v>
      </c>
      <c r="B2118">
        <v>25</v>
      </c>
      <c r="C2118">
        <v>62.46</v>
      </c>
      <c r="D2118">
        <v>1</v>
      </c>
      <c r="E2118">
        <v>1561.5</v>
      </c>
      <c r="F2118" s="1">
        <v>38338</v>
      </c>
      <c r="G2118" t="s">
        <v>39</v>
      </c>
      <c r="H2118">
        <v>4</v>
      </c>
      <c r="I2118">
        <v>12</v>
      </c>
      <c r="J2118" t="str">
        <f>TEXT(DATE(2012,Table1[[#This Row],[MONTH_ID]],10),"mmm")</f>
        <v>Dec</v>
      </c>
      <c r="K2118">
        <v>2004</v>
      </c>
      <c r="L2118" t="s">
        <v>580</v>
      </c>
      <c r="M2118">
        <v>72</v>
      </c>
      <c r="N2118" t="s">
        <v>661</v>
      </c>
      <c r="O2118" t="s">
        <v>166</v>
      </c>
      <c r="P2118" t="s">
        <v>167</v>
      </c>
      <c r="Q2118" t="s">
        <v>168</v>
      </c>
      <c r="R2118" t="s">
        <v>169</v>
      </c>
      <c r="S2118" t="s">
        <v>170</v>
      </c>
      <c r="T2118" t="s">
        <v>171</v>
      </c>
      <c r="U2118">
        <v>2067</v>
      </c>
      <c r="V2118" t="s">
        <v>109</v>
      </c>
      <c r="W2118" t="s">
        <v>110</v>
      </c>
      <c r="X2118" t="s">
        <v>172</v>
      </c>
      <c r="Y2118" t="s">
        <v>173</v>
      </c>
      <c r="Z2118" t="s">
        <v>50</v>
      </c>
    </row>
    <row r="2119" spans="1:26" x14ac:dyDescent="0.3">
      <c r="A2119">
        <v>10375</v>
      </c>
      <c r="B2119">
        <v>43</v>
      </c>
      <c r="C2119">
        <v>100</v>
      </c>
      <c r="D2119">
        <v>2</v>
      </c>
      <c r="E2119">
        <v>10039.6</v>
      </c>
      <c r="F2119" s="1">
        <v>38386</v>
      </c>
      <c r="G2119" t="s">
        <v>39</v>
      </c>
      <c r="H2119">
        <v>1</v>
      </c>
      <c r="I2119">
        <v>2</v>
      </c>
      <c r="J2119" t="str">
        <f>TEXT(DATE(2012,Table1[[#This Row],[MONTH_ID]],10),"mmm")</f>
        <v>Feb</v>
      </c>
      <c r="K2119">
        <v>2005</v>
      </c>
      <c r="L2119" t="s">
        <v>580</v>
      </c>
      <c r="M2119">
        <v>72</v>
      </c>
      <c r="N2119" t="s">
        <v>661</v>
      </c>
      <c r="O2119" t="s">
        <v>128</v>
      </c>
      <c r="P2119" t="s">
        <v>129</v>
      </c>
      <c r="Q2119" t="s">
        <v>130</v>
      </c>
      <c r="S2119" t="s">
        <v>131</v>
      </c>
      <c r="U2119">
        <v>44000</v>
      </c>
      <c r="V2119" t="s">
        <v>55</v>
      </c>
      <c r="W2119" t="s">
        <v>56</v>
      </c>
      <c r="X2119" t="s">
        <v>132</v>
      </c>
      <c r="Y2119" t="s">
        <v>133</v>
      </c>
      <c r="Z2119" t="s">
        <v>165</v>
      </c>
    </row>
    <row r="2120" spans="1:26" x14ac:dyDescent="0.3">
      <c r="A2120">
        <v>10386</v>
      </c>
      <c r="B2120">
        <v>50</v>
      </c>
      <c r="C2120">
        <v>63.34</v>
      </c>
      <c r="D2120">
        <v>8</v>
      </c>
      <c r="E2120">
        <v>3167</v>
      </c>
      <c r="F2120" s="1">
        <v>38412</v>
      </c>
      <c r="G2120" t="s">
        <v>422</v>
      </c>
      <c r="H2120">
        <v>1</v>
      </c>
      <c r="I2120">
        <v>3</v>
      </c>
      <c r="J2120" t="str">
        <f>TEXT(DATE(2012,Table1[[#This Row],[MONTH_ID]],10),"mmm")</f>
        <v>Mar</v>
      </c>
      <c r="K2120">
        <v>2005</v>
      </c>
      <c r="L2120" t="s">
        <v>580</v>
      </c>
      <c r="M2120">
        <v>72</v>
      </c>
      <c r="N2120" t="s">
        <v>661</v>
      </c>
      <c r="O2120" t="s">
        <v>188</v>
      </c>
      <c r="P2120" t="s">
        <v>189</v>
      </c>
      <c r="Q2120" t="s">
        <v>190</v>
      </c>
      <c r="S2120" t="s">
        <v>191</v>
      </c>
      <c r="U2120">
        <v>28034</v>
      </c>
      <c r="V2120" t="s">
        <v>192</v>
      </c>
      <c r="W2120" t="s">
        <v>56</v>
      </c>
      <c r="X2120" t="s">
        <v>193</v>
      </c>
      <c r="Y2120" t="s">
        <v>194</v>
      </c>
      <c r="Z2120" t="s">
        <v>65</v>
      </c>
    </row>
    <row r="2121" spans="1:26" x14ac:dyDescent="0.3">
      <c r="A2121">
        <v>10398</v>
      </c>
      <c r="B2121">
        <v>45</v>
      </c>
      <c r="C2121">
        <v>78.25</v>
      </c>
      <c r="D2121">
        <v>14</v>
      </c>
      <c r="E2121">
        <v>3521.25</v>
      </c>
      <c r="F2121" s="1">
        <v>38441</v>
      </c>
      <c r="G2121" t="s">
        <v>39</v>
      </c>
      <c r="H2121">
        <v>1</v>
      </c>
      <c r="I2121">
        <v>3</v>
      </c>
      <c r="J2121" t="str">
        <f>TEXT(DATE(2012,Table1[[#This Row],[MONTH_ID]],10),"mmm")</f>
        <v>Mar</v>
      </c>
      <c r="K2121">
        <v>2005</v>
      </c>
      <c r="L2121" t="s">
        <v>580</v>
      </c>
      <c r="M2121">
        <v>72</v>
      </c>
      <c r="N2121" t="s">
        <v>661</v>
      </c>
      <c r="O2121" t="s">
        <v>51</v>
      </c>
      <c r="P2121" t="s">
        <v>52</v>
      </c>
      <c r="Q2121" t="s">
        <v>53</v>
      </c>
      <c r="S2121" t="s">
        <v>54</v>
      </c>
      <c r="U2121">
        <v>51100</v>
      </c>
      <c r="V2121" t="s">
        <v>55</v>
      </c>
      <c r="W2121" t="s">
        <v>56</v>
      </c>
      <c r="X2121" t="s">
        <v>57</v>
      </c>
      <c r="Y2121" t="s">
        <v>58</v>
      </c>
      <c r="Z2121" t="s">
        <v>65</v>
      </c>
    </row>
    <row r="2122" spans="1:26" x14ac:dyDescent="0.3">
      <c r="A2122">
        <v>10401</v>
      </c>
      <c r="B2122">
        <v>52</v>
      </c>
      <c r="C2122">
        <v>81.14</v>
      </c>
      <c r="D2122">
        <v>4</v>
      </c>
      <c r="E2122">
        <v>4219.28</v>
      </c>
      <c r="F2122" s="1">
        <v>38445</v>
      </c>
      <c r="G2122" t="s">
        <v>415</v>
      </c>
      <c r="H2122">
        <v>2</v>
      </c>
      <c r="I2122">
        <v>4</v>
      </c>
      <c r="J2122" t="str">
        <f>TEXT(DATE(2012,Table1[[#This Row],[MONTH_ID]],10),"mmm")</f>
        <v>Apr</v>
      </c>
      <c r="K2122">
        <v>2005</v>
      </c>
      <c r="L2122" t="s">
        <v>580</v>
      </c>
      <c r="M2122">
        <v>72</v>
      </c>
      <c r="N2122" t="s">
        <v>661</v>
      </c>
      <c r="O2122" t="s">
        <v>118</v>
      </c>
      <c r="P2122">
        <v>2015559350</v>
      </c>
      <c r="Q2122" t="s">
        <v>119</v>
      </c>
      <c r="S2122" t="s">
        <v>120</v>
      </c>
      <c r="T2122" t="s">
        <v>121</v>
      </c>
      <c r="U2122">
        <v>94019</v>
      </c>
      <c r="V2122" t="s">
        <v>46</v>
      </c>
      <c r="W2122" t="s">
        <v>47</v>
      </c>
      <c r="X2122" t="s">
        <v>75</v>
      </c>
      <c r="Y2122" t="s">
        <v>122</v>
      </c>
      <c r="Z2122" t="s">
        <v>65</v>
      </c>
    </row>
    <row r="2123" spans="1:26" x14ac:dyDescent="0.3">
      <c r="A2123">
        <v>10416</v>
      </c>
      <c r="B2123">
        <v>48</v>
      </c>
      <c r="C2123">
        <v>74.62</v>
      </c>
      <c r="D2123">
        <v>5</v>
      </c>
      <c r="E2123">
        <v>3581.76</v>
      </c>
      <c r="F2123" s="1">
        <v>38482</v>
      </c>
      <c r="G2123" t="s">
        <v>39</v>
      </c>
      <c r="H2123">
        <v>2</v>
      </c>
      <c r="I2123">
        <v>5</v>
      </c>
      <c r="J2123" t="str">
        <f>TEXT(DATE(2012,Table1[[#This Row],[MONTH_ID]],10),"mmm")</f>
        <v>May</v>
      </c>
      <c r="K2123">
        <v>2005</v>
      </c>
      <c r="L2123" t="s">
        <v>580</v>
      </c>
      <c r="M2123">
        <v>72</v>
      </c>
      <c r="N2123" t="s">
        <v>661</v>
      </c>
      <c r="O2123" t="s">
        <v>466</v>
      </c>
      <c r="P2123" t="s">
        <v>467</v>
      </c>
      <c r="Q2123" t="s">
        <v>468</v>
      </c>
      <c r="S2123" t="s">
        <v>469</v>
      </c>
      <c r="U2123">
        <v>42100</v>
      </c>
      <c r="V2123" t="s">
        <v>272</v>
      </c>
      <c r="W2123" t="s">
        <v>56</v>
      </c>
      <c r="X2123" t="s">
        <v>470</v>
      </c>
      <c r="Y2123" t="s">
        <v>471</v>
      </c>
      <c r="Z2123" t="s">
        <v>65</v>
      </c>
    </row>
    <row r="2124" spans="1:26" x14ac:dyDescent="0.3">
      <c r="A2124">
        <v>10108</v>
      </c>
      <c r="B2124">
        <v>31</v>
      </c>
      <c r="C2124">
        <v>68.709999999999994</v>
      </c>
      <c r="D2124">
        <v>10</v>
      </c>
      <c r="E2124">
        <v>2130.0100000000002</v>
      </c>
      <c r="F2124" s="1">
        <v>37683</v>
      </c>
      <c r="G2124" t="s">
        <v>39</v>
      </c>
      <c r="H2124">
        <v>1</v>
      </c>
      <c r="I2124">
        <v>3</v>
      </c>
      <c r="J2124" t="str">
        <f>TEXT(DATE(2012,Table1[[#This Row],[MONTH_ID]],10),"mmm")</f>
        <v>Mar</v>
      </c>
      <c r="K2124">
        <v>2003</v>
      </c>
      <c r="L2124" t="s">
        <v>195</v>
      </c>
      <c r="M2124">
        <v>80</v>
      </c>
      <c r="N2124" t="s">
        <v>662</v>
      </c>
      <c r="O2124" t="s">
        <v>439</v>
      </c>
      <c r="P2124" t="s">
        <v>440</v>
      </c>
      <c r="Q2124" t="s">
        <v>441</v>
      </c>
      <c r="S2124" t="s">
        <v>442</v>
      </c>
      <c r="U2124" t="s">
        <v>443</v>
      </c>
      <c r="V2124" t="s">
        <v>444</v>
      </c>
      <c r="W2124" t="s">
        <v>214</v>
      </c>
      <c r="X2124" t="s">
        <v>445</v>
      </c>
      <c r="Y2124" t="s">
        <v>446</v>
      </c>
      <c r="Z2124" t="s">
        <v>50</v>
      </c>
    </row>
    <row r="2125" spans="1:26" x14ac:dyDescent="0.3">
      <c r="A2125">
        <v>10122</v>
      </c>
      <c r="B2125">
        <v>29</v>
      </c>
      <c r="C2125">
        <v>71.14</v>
      </c>
      <c r="D2125">
        <v>14</v>
      </c>
      <c r="E2125">
        <v>2063.06</v>
      </c>
      <c r="F2125" s="1">
        <v>37749</v>
      </c>
      <c r="G2125" t="s">
        <v>39</v>
      </c>
      <c r="H2125">
        <v>2</v>
      </c>
      <c r="I2125">
        <v>5</v>
      </c>
      <c r="J2125" t="str">
        <f>TEXT(DATE(2012,Table1[[#This Row],[MONTH_ID]],10),"mmm")</f>
        <v>May</v>
      </c>
      <c r="K2125">
        <v>2003</v>
      </c>
      <c r="L2125" t="s">
        <v>195</v>
      </c>
      <c r="M2125">
        <v>80</v>
      </c>
      <c r="N2125" t="s">
        <v>662</v>
      </c>
      <c r="O2125" t="s">
        <v>447</v>
      </c>
      <c r="P2125" t="s">
        <v>448</v>
      </c>
      <c r="Q2125" t="s">
        <v>449</v>
      </c>
      <c r="S2125" t="s">
        <v>450</v>
      </c>
      <c r="U2125">
        <v>13008</v>
      </c>
      <c r="V2125" t="s">
        <v>55</v>
      </c>
      <c r="W2125" t="s">
        <v>56</v>
      </c>
      <c r="X2125" t="s">
        <v>451</v>
      </c>
      <c r="Y2125" t="s">
        <v>452</v>
      </c>
      <c r="Z2125" t="s">
        <v>50</v>
      </c>
    </row>
    <row r="2126" spans="1:26" x14ac:dyDescent="0.3">
      <c r="A2126">
        <v>10135</v>
      </c>
      <c r="B2126">
        <v>23</v>
      </c>
      <c r="C2126">
        <v>87.31</v>
      </c>
      <c r="D2126">
        <v>11</v>
      </c>
      <c r="E2126">
        <v>2008.13</v>
      </c>
      <c r="F2126" s="1">
        <v>37804</v>
      </c>
      <c r="G2126" t="s">
        <v>39</v>
      </c>
      <c r="H2126">
        <v>3</v>
      </c>
      <c r="I2126">
        <v>7</v>
      </c>
      <c r="J2126" t="str">
        <f>TEXT(DATE(2012,Table1[[#This Row],[MONTH_ID]],10),"mmm")</f>
        <v>Jul</v>
      </c>
      <c r="K2126">
        <v>2003</v>
      </c>
      <c r="L2126" t="s">
        <v>195</v>
      </c>
      <c r="M2126">
        <v>80</v>
      </c>
      <c r="N2126" t="s">
        <v>662</v>
      </c>
      <c r="O2126" t="s">
        <v>286</v>
      </c>
      <c r="P2126">
        <v>4155551450</v>
      </c>
      <c r="Q2126" t="s">
        <v>287</v>
      </c>
      <c r="S2126" t="s">
        <v>288</v>
      </c>
      <c r="T2126" t="s">
        <v>69</v>
      </c>
      <c r="U2126">
        <v>97562</v>
      </c>
      <c r="V2126" t="s">
        <v>46</v>
      </c>
      <c r="W2126" t="s">
        <v>47</v>
      </c>
      <c r="X2126" t="s">
        <v>289</v>
      </c>
      <c r="Y2126" t="s">
        <v>290</v>
      </c>
      <c r="Z2126" t="s">
        <v>50</v>
      </c>
    </row>
    <row r="2127" spans="1:26" x14ac:dyDescent="0.3">
      <c r="A2127">
        <v>10147</v>
      </c>
      <c r="B2127">
        <v>31</v>
      </c>
      <c r="C2127">
        <v>64.67</v>
      </c>
      <c r="D2127">
        <v>11</v>
      </c>
      <c r="E2127">
        <v>2004.77</v>
      </c>
      <c r="F2127" s="1">
        <v>37869</v>
      </c>
      <c r="G2127" t="s">
        <v>39</v>
      </c>
      <c r="H2127">
        <v>3</v>
      </c>
      <c r="I2127">
        <v>9</v>
      </c>
      <c r="J2127" t="str">
        <f>TEXT(DATE(2012,Table1[[#This Row],[MONTH_ID]],10),"mmm")</f>
        <v>Sep</v>
      </c>
      <c r="K2127">
        <v>2003</v>
      </c>
      <c r="L2127" t="s">
        <v>195</v>
      </c>
      <c r="M2127">
        <v>80</v>
      </c>
      <c r="N2127" t="s">
        <v>662</v>
      </c>
      <c r="O2127" t="s">
        <v>295</v>
      </c>
      <c r="P2127">
        <v>6175558555</v>
      </c>
      <c r="Q2127" t="s">
        <v>296</v>
      </c>
      <c r="S2127" t="s">
        <v>297</v>
      </c>
      <c r="T2127" t="s">
        <v>137</v>
      </c>
      <c r="U2127">
        <v>58339</v>
      </c>
      <c r="V2127" t="s">
        <v>46</v>
      </c>
      <c r="W2127" t="s">
        <v>47</v>
      </c>
      <c r="X2127" t="s">
        <v>289</v>
      </c>
      <c r="Y2127" t="s">
        <v>298</v>
      </c>
      <c r="Z2127" t="s">
        <v>50</v>
      </c>
    </row>
    <row r="2128" spans="1:26" x14ac:dyDescent="0.3">
      <c r="A2128">
        <v>10159</v>
      </c>
      <c r="B2128">
        <v>23</v>
      </c>
      <c r="C2128">
        <v>67.099999999999994</v>
      </c>
      <c r="D2128">
        <v>6</v>
      </c>
      <c r="E2128">
        <v>1543.3</v>
      </c>
      <c r="F2128" s="1">
        <v>37904</v>
      </c>
      <c r="G2128" t="s">
        <v>39</v>
      </c>
      <c r="H2128">
        <v>4</v>
      </c>
      <c r="I2128">
        <v>10</v>
      </c>
      <c r="J2128" t="str">
        <f>TEXT(DATE(2012,Table1[[#This Row],[MONTH_ID]],10),"mmm")</f>
        <v>Oct</v>
      </c>
      <c r="K2128">
        <v>2003</v>
      </c>
      <c r="L2128" t="s">
        <v>195</v>
      </c>
      <c r="M2128">
        <v>80</v>
      </c>
      <c r="N2128" t="s">
        <v>662</v>
      </c>
      <c r="O2128" t="s">
        <v>72</v>
      </c>
      <c r="P2128">
        <v>6505551386</v>
      </c>
      <c r="Q2128" t="s">
        <v>73</v>
      </c>
      <c r="S2128" t="s">
        <v>74</v>
      </c>
      <c r="T2128" t="s">
        <v>69</v>
      </c>
      <c r="V2128" t="s">
        <v>46</v>
      </c>
      <c r="W2128" t="s">
        <v>47</v>
      </c>
      <c r="X2128" t="s">
        <v>75</v>
      </c>
      <c r="Y2128" t="s">
        <v>71</v>
      </c>
      <c r="Z2128" t="s">
        <v>50</v>
      </c>
    </row>
    <row r="2129" spans="1:26" x14ac:dyDescent="0.3">
      <c r="A2129">
        <v>10169</v>
      </c>
      <c r="B2129">
        <v>24</v>
      </c>
      <c r="C2129">
        <v>94.58</v>
      </c>
      <c r="D2129">
        <v>6</v>
      </c>
      <c r="E2129">
        <v>2269.92</v>
      </c>
      <c r="F2129" s="1">
        <v>37929</v>
      </c>
      <c r="G2129" t="s">
        <v>39</v>
      </c>
      <c r="H2129">
        <v>4</v>
      </c>
      <c r="I2129">
        <v>11</v>
      </c>
      <c r="J2129" t="str">
        <f>TEXT(DATE(2012,Table1[[#This Row],[MONTH_ID]],10),"mmm")</f>
        <v>Nov</v>
      </c>
      <c r="K2129">
        <v>2003</v>
      </c>
      <c r="L2129" t="s">
        <v>195</v>
      </c>
      <c r="M2129">
        <v>80</v>
      </c>
      <c r="N2129" t="s">
        <v>662</v>
      </c>
      <c r="O2129" t="s">
        <v>299</v>
      </c>
      <c r="P2129" t="s">
        <v>300</v>
      </c>
      <c r="Q2129" t="s">
        <v>301</v>
      </c>
      <c r="R2129" t="s">
        <v>302</v>
      </c>
      <c r="S2129" t="s">
        <v>303</v>
      </c>
      <c r="T2129" t="s">
        <v>171</v>
      </c>
      <c r="U2129">
        <v>2060</v>
      </c>
      <c r="V2129" t="s">
        <v>109</v>
      </c>
      <c r="W2129" t="s">
        <v>110</v>
      </c>
      <c r="X2129" t="s">
        <v>304</v>
      </c>
      <c r="Y2129" t="s">
        <v>305</v>
      </c>
      <c r="Z2129" t="s">
        <v>50</v>
      </c>
    </row>
    <row r="2130" spans="1:26" x14ac:dyDescent="0.3">
      <c r="A2130">
        <v>10180</v>
      </c>
      <c r="B2130">
        <v>28</v>
      </c>
      <c r="C2130">
        <v>71.14</v>
      </c>
      <c r="D2130">
        <v>1</v>
      </c>
      <c r="E2130">
        <v>1991.92</v>
      </c>
      <c r="F2130" s="1">
        <v>37936</v>
      </c>
      <c r="G2130" t="s">
        <v>39</v>
      </c>
      <c r="H2130">
        <v>4</v>
      </c>
      <c r="I2130">
        <v>11</v>
      </c>
      <c r="J2130" t="str">
        <f>TEXT(DATE(2012,Table1[[#This Row],[MONTH_ID]],10),"mmm")</f>
        <v>Nov</v>
      </c>
      <c r="K2130">
        <v>2003</v>
      </c>
      <c r="L2130" t="s">
        <v>195</v>
      </c>
      <c r="M2130">
        <v>80</v>
      </c>
      <c r="N2130" t="s">
        <v>662</v>
      </c>
      <c r="O2130" t="s">
        <v>81</v>
      </c>
      <c r="P2130" t="s">
        <v>82</v>
      </c>
      <c r="Q2130" t="s">
        <v>83</v>
      </c>
      <c r="S2130" t="s">
        <v>84</v>
      </c>
      <c r="U2130">
        <v>59000</v>
      </c>
      <c r="V2130" t="s">
        <v>55</v>
      </c>
      <c r="W2130" t="s">
        <v>56</v>
      </c>
      <c r="X2130" t="s">
        <v>85</v>
      </c>
      <c r="Y2130" t="s">
        <v>86</v>
      </c>
      <c r="Z2130" t="s">
        <v>50</v>
      </c>
    </row>
    <row r="2131" spans="1:26" x14ac:dyDescent="0.3">
      <c r="A2131">
        <v>10191</v>
      </c>
      <c r="B2131">
        <v>44</v>
      </c>
      <c r="C2131">
        <v>66.290000000000006</v>
      </c>
      <c r="D2131">
        <v>7</v>
      </c>
      <c r="E2131">
        <v>2916.76</v>
      </c>
      <c r="F2131" s="1">
        <v>37945</v>
      </c>
      <c r="G2131" t="s">
        <v>39</v>
      </c>
      <c r="H2131">
        <v>4</v>
      </c>
      <c r="I2131">
        <v>11</v>
      </c>
      <c r="J2131" t="str">
        <f>TEXT(DATE(2012,Table1[[#This Row],[MONTH_ID]],10),"mmm")</f>
        <v>Nov</v>
      </c>
      <c r="K2131">
        <v>2003</v>
      </c>
      <c r="L2131" t="s">
        <v>195</v>
      </c>
      <c r="M2131">
        <v>80</v>
      </c>
      <c r="N2131" t="s">
        <v>662</v>
      </c>
      <c r="O2131" t="s">
        <v>453</v>
      </c>
      <c r="P2131" t="s">
        <v>454</v>
      </c>
      <c r="Q2131" t="s">
        <v>455</v>
      </c>
      <c r="S2131" t="s">
        <v>456</v>
      </c>
      <c r="U2131">
        <v>50739</v>
      </c>
      <c r="V2131" t="s">
        <v>457</v>
      </c>
      <c r="W2131" t="s">
        <v>56</v>
      </c>
      <c r="X2131" t="s">
        <v>458</v>
      </c>
      <c r="Y2131" t="s">
        <v>459</v>
      </c>
      <c r="Z2131" t="s">
        <v>50</v>
      </c>
    </row>
    <row r="2132" spans="1:26" x14ac:dyDescent="0.3">
      <c r="A2132">
        <v>10211</v>
      </c>
      <c r="B2132">
        <v>22</v>
      </c>
      <c r="C2132">
        <v>92.16</v>
      </c>
      <c r="D2132">
        <v>6</v>
      </c>
      <c r="E2132">
        <v>2027.52</v>
      </c>
      <c r="F2132" s="1">
        <v>38001</v>
      </c>
      <c r="G2132" t="s">
        <v>39</v>
      </c>
      <c r="H2132">
        <v>1</v>
      </c>
      <c r="I2132">
        <v>1</v>
      </c>
      <c r="J2132" t="str">
        <f>TEXT(DATE(2012,Table1[[#This Row],[MONTH_ID]],10),"mmm")</f>
        <v>Jan</v>
      </c>
      <c r="K2132">
        <v>2004</v>
      </c>
      <c r="L2132" t="s">
        <v>195</v>
      </c>
      <c r="M2132">
        <v>80</v>
      </c>
      <c r="N2132" t="s">
        <v>662</v>
      </c>
      <c r="O2132" t="s">
        <v>98</v>
      </c>
      <c r="P2132" t="s">
        <v>99</v>
      </c>
      <c r="Q2132" t="s">
        <v>100</v>
      </c>
      <c r="S2132" t="s">
        <v>62</v>
      </c>
      <c r="U2132">
        <v>75016</v>
      </c>
      <c r="V2132" t="s">
        <v>55</v>
      </c>
      <c r="W2132" t="s">
        <v>56</v>
      </c>
      <c r="X2132" t="s">
        <v>101</v>
      </c>
      <c r="Y2132" t="s">
        <v>102</v>
      </c>
      <c r="Z2132" t="s">
        <v>50</v>
      </c>
    </row>
    <row r="2133" spans="1:26" x14ac:dyDescent="0.3">
      <c r="A2133">
        <v>10225</v>
      </c>
      <c r="B2133">
        <v>46</v>
      </c>
      <c r="C2133">
        <v>70.33</v>
      </c>
      <c r="D2133">
        <v>13</v>
      </c>
      <c r="E2133">
        <v>3235.18</v>
      </c>
      <c r="F2133" s="1">
        <v>38039</v>
      </c>
      <c r="G2133" t="s">
        <v>39</v>
      </c>
      <c r="H2133">
        <v>1</v>
      </c>
      <c r="I2133">
        <v>2</v>
      </c>
      <c r="J2133" t="str">
        <f>TEXT(DATE(2012,Table1[[#This Row],[MONTH_ID]],10),"mmm")</f>
        <v>Feb</v>
      </c>
      <c r="K2133">
        <v>2004</v>
      </c>
      <c r="L2133" t="s">
        <v>195</v>
      </c>
      <c r="M2133">
        <v>80</v>
      </c>
      <c r="N2133" t="s">
        <v>662</v>
      </c>
      <c r="O2133" t="s">
        <v>460</v>
      </c>
      <c r="P2133" t="s">
        <v>461</v>
      </c>
      <c r="Q2133" t="s">
        <v>462</v>
      </c>
      <c r="S2133" t="s">
        <v>463</v>
      </c>
      <c r="U2133">
        <v>1203</v>
      </c>
      <c r="V2133" t="s">
        <v>464</v>
      </c>
      <c r="W2133" t="s">
        <v>56</v>
      </c>
      <c r="X2133" t="s">
        <v>465</v>
      </c>
      <c r="Y2133" t="s">
        <v>117</v>
      </c>
      <c r="Z2133" t="s">
        <v>65</v>
      </c>
    </row>
    <row r="2134" spans="1:26" x14ac:dyDescent="0.3">
      <c r="A2134">
        <v>10238</v>
      </c>
      <c r="B2134">
        <v>22</v>
      </c>
      <c r="C2134">
        <v>93.77</v>
      </c>
      <c r="D2134">
        <v>7</v>
      </c>
      <c r="E2134">
        <v>2062.94</v>
      </c>
      <c r="F2134" s="1">
        <v>38086</v>
      </c>
      <c r="G2134" t="s">
        <v>39</v>
      </c>
      <c r="H2134">
        <v>2</v>
      </c>
      <c r="I2134">
        <v>4</v>
      </c>
      <c r="J2134" t="str">
        <f>TEXT(DATE(2012,Table1[[#This Row],[MONTH_ID]],10),"mmm")</f>
        <v>Apr</v>
      </c>
      <c r="K2134">
        <v>2004</v>
      </c>
      <c r="L2134" t="s">
        <v>195</v>
      </c>
      <c r="M2134">
        <v>80</v>
      </c>
      <c r="N2134" t="s">
        <v>662</v>
      </c>
      <c r="O2134" t="s">
        <v>336</v>
      </c>
      <c r="P2134" t="s">
        <v>337</v>
      </c>
      <c r="Q2134" t="s">
        <v>338</v>
      </c>
      <c r="S2134" t="s">
        <v>339</v>
      </c>
      <c r="U2134">
        <v>1734</v>
      </c>
      <c r="V2134" t="s">
        <v>340</v>
      </c>
      <c r="W2134" t="s">
        <v>56</v>
      </c>
      <c r="X2134" t="s">
        <v>341</v>
      </c>
      <c r="Y2134" t="s">
        <v>342</v>
      </c>
      <c r="Z2134" t="s">
        <v>50</v>
      </c>
    </row>
    <row r="2135" spans="1:26" x14ac:dyDescent="0.3">
      <c r="A2135">
        <v>10252</v>
      </c>
      <c r="B2135">
        <v>38</v>
      </c>
      <c r="C2135">
        <v>87.31</v>
      </c>
      <c r="D2135">
        <v>3</v>
      </c>
      <c r="E2135">
        <v>3317.78</v>
      </c>
      <c r="F2135" s="1">
        <v>38133</v>
      </c>
      <c r="G2135" t="s">
        <v>39</v>
      </c>
      <c r="H2135">
        <v>2</v>
      </c>
      <c r="I2135">
        <v>5</v>
      </c>
      <c r="J2135" t="str">
        <f>TEXT(DATE(2012,Table1[[#This Row],[MONTH_ID]],10),"mmm")</f>
        <v>May</v>
      </c>
      <c r="K2135">
        <v>2004</v>
      </c>
      <c r="L2135" t="s">
        <v>195</v>
      </c>
      <c r="M2135">
        <v>80</v>
      </c>
      <c r="N2135" t="s">
        <v>662</v>
      </c>
      <c r="O2135" t="s">
        <v>98</v>
      </c>
      <c r="P2135" t="s">
        <v>99</v>
      </c>
      <c r="Q2135" t="s">
        <v>100</v>
      </c>
      <c r="S2135" t="s">
        <v>62</v>
      </c>
      <c r="U2135">
        <v>75016</v>
      </c>
      <c r="V2135" t="s">
        <v>55</v>
      </c>
      <c r="W2135" t="s">
        <v>56</v>
      </c>
      <c r="X2135" t="s">
        <v>101</v>
      </c>
      <c r="Y2135" t="s">
        <v>102</v>
      </c>
      <c r="Z2135" t="s">
        <v>65</v>
      </c>
    </row>
    <row r="2136" spans="1:26" x14ac:dyDescent="0.3">
      <c r="A2136">
        <v>10264</v>
      </c>
      <c r="B2136">
        <v>47</v>
      </c>
      <c r="C2136">
        <v>83.27</v>
      </c>
      <c r="D2136">
        <v>1</v>
      </c>
      <c r="E2136">
        <v>3913.69</v>
      </c>
      <c r="F2136" s="1">
        <v>38168</v>
      </c>
      <c r="G2136" t="s">
        <v>39</v>
      </c>
      <c r="H2136">
        <v>2</v>
      </c>
      <c r="I2136">
        <v>6</v>
      </c>
      <c r="J2136" t="str">
        <f>TEXT(DATE(2012,Table1[[#This Row],[MONTH_ID]],10),"mmm")</f>
        <v>Jun</v>
      </c>
      <c r="K2136">
        <v>2004</v>
      </c>
      <c r="L2136" t="s">
        <v>195</v>
      </c>
      <c r="M2136">
        <v>80</v>
      </c>
      <c r="N2136" t="s">
        <v>662</v>
      </c>
      <c r="O2136" t="s">
        <v>393</v>
      </c>
      <c r="P2136">
        <v>6175559555</v>
      </c>
      <c r="Q2136" t="s">
        <v>394</v>
      </c>
      <c r="S2136" t="s">
        <v>395</v>
      </c>
      <c r="T2136" t="s">
        <v>137</v>
      </c>
      <c r="U2136">
        <v>51003</v>
      </c>
      <c r="V2136" t="s">
        <v>46</v>
      </c>
      <c r="W2136" t="s">
        <v>47</v>
      </c>
      <c r="X2136" t="s">
        <v>396</v>
      </c>
      <c r="Y2136" t="s">
        <v>80</v>
      </c>
      <c r="Z2136" t="s">
        <v>65</v>
      </c>
    </row>
    <row r="2137" spans="1:26" x14ac:dyDescent="0.3">
      <c r="A2137">
        <v>10276</v>
      </c>
      <c r="B2137">
        <v>48</v>
      </c>
      <c r="C2137">
        <v>75.180000000000007</v>
      </c>
      <c r="D2137">
        <v>7</v>
      </c>
      <c r="E2137">
        <v>3608.64</v>
      </c>
      <c r="F2137" s="1">
        <v>38201</v>
      </c>
      <c r="G2137" t="s">
        <v>39</v>
      </c>
      <c r="H2137">
        <v>3</v>
      </c>
      <c r="I2137">
        <v>8</v>
      </c>
      <c r="J2137" t="str">
        <f>TEXT(DATE(2012,Table1[[#This Row],[MONTH_ID]],10),"mmm")</f>
        <v>Aug</v>
      </c>
      <c r="K2137">
        <v>2004</v>
      </c>
      <c r="L2137" t="s">
        <v>195</v>
      </c>
      <c r="M2137">
        <v>80</v>
      </c>
      <c r="N2137" t="s">
        <v>662</v>
      </c>
      <c r="O2137" t="s">
        <v>472</v>
      </c>
      <c r="P2137">
        <v>6175557555</v>
      </c>
      <c r="Q2137" t="s">
        <v>473</v>
      </c>
      <c r="S2137" t="s">
        <v>297</v>
      </c>
      <c r="T2137" t="s">
        <v>137</v>
      </c>
      <c r="U2137">
        <v>58339</v>
      </c>
      <c r="V2137" t="s">
        <v>46</v>
      </c>
      <c r="W2137" t="s">
        <v>47</v>
      </c>
      <c r="X2137" t="s">
        <v>474</v>
      </c>
      <c r="Y2137" t="s">
        <v>475</v>
      </c>
      <c r="Z2137" t="s">
        <v>65</v>
      </c>
    </row>
    <row r="2138" spans="1:26" x14ac:dyDescent="0.3">
      <c r="A2138">
        <v>10287</v>
      </c>
      <c r="B2138">
        <v>40</v>
      </c>
      <c r="C2138">
        <v>88.12</v>
      </c>
      <c r="D2138">
        <v>16</v>
      </c>
      <c r="E2138">
        <v>3524.8</v>
      </c>
      <c r="F2138" s="1">
        <v>38229</v>
      </c>
      <c r="G2138" t="s">
        <v>39</v>
      </c>
      <c r="H2138">
        <v>3</v>
      </c>
      <c r="I2138">
        <v>8</v>
      </c>
      <c r="J2138" t="str">
        <f>TEXT(DATE(2012,Table1[[#This Row],[MONTH_ID]],10),"mmm")</f>
        <v>Aug</v>
      </c>
      <c r="K2138">
        <v>2004</v>
      </c>
      <c r="L2138" t="s">
        <v>195</v>
      </c>
      <c r="M2138">
        <v>80</v>
      </c>
      <c r="N2138" t="s">
        <v>662</v>
      </c>
      <c r="O2138" t="s">
        <v>460</v>
      </c>
      <c r="P2138" t="s">
        <v>461</v>
      </c>
      <c r="Q2138" t="s">
        <v>462</v>
      </c>
      <c r="S2138" t="s">
        <v>463</v>
      </c>
      <c r="U2138">
        <v>1203</v>
      </c>
      <c r="V2138" t="s">
        <v>464</v>
      </c>
      <c r="W2138" t="s">
        <v>56</v>
      </c>
      <c r="X2138" t="s">
        <v>465</v>
      </c>
      <c r="Y2138" t="s">
        <v>117</v>
      </c>
      <c r="Z2138" t="s">
        <v>65</v>
      </c>
    </row>
    <row r="2139" spans="1:26" x14ac:dyDescent="0.3">
      <c r="A2139">
        <v>10299</v>
      </c>
      <c r="B2139">
        <v>32</v>
      </c>
      <c r="C2139">
        <v>80.84</v>
      </c>
      <c r="D2139">
        <v>1</v>
      </c>
      <c r="E2139">
        <v>2586.88</v>
      </c>
      <c r="F2139" s="1">
        <v>38260</v>
      </c>
      <c r="G2139" t="s">
        <v>39</v>
      </c>
      <c r="H2139">
        <v>3</v>
      </c>
      <c r="I2139">
        <v>9</v>
      </c>
      <c r="J2139" t="str">
        <f>TEXT(DATE(2012,Table1[[#This Row],[MONTH_ID]],10),"mmm")</f>
        <v>Sep</v>
      </c>
      <c r="K2139">
        <v>2004</v>
      </c>
      <c r="L2139" t="s">
        <v>195</v>
      </c>
      <c r="M2139">
        <v>80</v>
      </c>
      <c r="N2139" t="s">
        <v>662</v>
      </c>
      <c r="O2139" t="s">
        <v>140</v>
      </c>
      <c r="P2139" t="s">
        <v>141</v>
      </c>
      <c r="Q2139" t="s">
        <v>142</v>
      </c>
      <c r="S2139" t="s">
        <v>143</v>
      </c>
      <c r="U2139">
        <v>21240</v>
      </c>
      <c r="V2139" t="s">
        <v>144</v>
      </c>
      <c r="W2139" t="s">
        <v>56</v>
      </c>
      <c r="X2139" t="s">
        <v>145</v>
      </c>
      <c r="Y2139" t="s">
        <v>146</v>
      </c>
      <c r="Z2139" t="s">
        <v>50</v>
      </c>
    </row>
    <row r="2140" spans="1:26" x14ac:dyDescent="0.3">
      <c r="A2140">
        <v>10310</v>
      </c>
      <c r="B2140">
        <v>49</v>
      </c>
      <c r="C2140">
        <v>97.01</v>
      </c>
      <c r="D2140">
        <v>14</v>
      </c>
      <c r="E2140">
        <v>4753.49</v>
      </c>
      <c r="F2140" s="1">
        <v>38276</v>
      </c>
      <c r="G2140" t="s">
        <v>39</v>
      </c>
      <c r="H2140">
        <v>4</v>
      </c>
      <c r="I2140">
        <v>10</v>
      </c>
      <c r="J2140" t="str">
        <f>TEXT(DATE(2012,Table1[[#This Row],[MONTH_ID]],10),"mmm")</f>
        <v>Oct</v>
      </c>
      <c r="K2140">
        <v>2004</v>
      </c>
      <c r="L2140" t="s">
        <v>195</v>
      </c>
      <c r="M2140">
        <v>80</v>
      </c>
      <c r="N2140" t="s">
        <v>662</v>
      </c>
      <c r="O2140" t="s">
        <v>453</v>
      </c>
      <c r="P2140" t="s">
        <v>454</v>
      </c>
      <c r="Q2140" t="s">
        <v>455</v>
      </c>
      <c r="S2140" t="s">
        <v>456</v>
      </c>
      <c r="U2140">
        <v>50739</v>
      </c>
      <c r="V2140" t="s">
        <v>457</v>
      </c>
      <c r="W2140" t="s">
        <v>56</v>
      </c>
      <c r="X2140" t="s">
        <v>458</v>
      </c>
      <c r="Y2140" t="s">
        <v>459</v>
      </c>
      <c r="Z2140" t="s">
        <v>65</v>
      </c>
    </row>
    <row r="2141" spans="1:26" x14ac:dyDescent="0.3">
      <c r="A2141">
        <v>10319</v>
      </c>
      <c r="B2141">
        <v>43</v>
      </c>
      <c r="C2141">
        <v>85.69</v>
      </c>
      <c r="D2141">
        <v>2</v>
      </c>
      <c r="E2141">
        <v>3684.67</v>
      </c>
      <c r="F2141" s="1">
        <v>38294</v>
      </c>
      <c r="G2141" t="s">
        <v>39</v>
      </c>
      <c r="H2141">
        <v>4</v>
      </c>
      <c r="I2141">
        <v>11</v>
      </c>
      <c r="J2141" t="str">
        <f>TEXT(DATE(2012,Table1[[#This Row],[MONTH_ID]],10),"mmm")</f>
        <v>Nov</v>
      </c>
      <c r="K2141">
        <v>2004</v>
      </c>
      <c r="L2141" t="s">
        <v>195</v>
      </c>
      <c r="M2141">
        <v>80</v>
      </c>
      <c r="N2141" t="s">
        <v>662</v>
      </c>
      <c r="O2141" t="s">
        <v>521</v>
      </c>
      <c r="P2141">
        <v>2125551957</v>
      </c>
      <c r="Q2141" t="s">
        <v>522</v>
      </c>
      <c r="R2141" t="s">
        <v>523</v>
      </c>
      <c r="S2141" t="s">
        <v>44</v>
      </c>
      <c r="T2141" t="s">
        <v>45</v>
      </c>
      <c r="U2141">
        <v>10022</v>
      </c>
      <c r="V2141" t="s">
        <v>46</v>
      </c>
      <c r="W2141" t="s">
        <v>47</v>
      </c>
      <c r="X2141" t="s">
        <v>524</v>
      </c>
      <c r="Y2141" t="s">
        <v>525</v>
      </c>
      <c r="Z2141" t="s">
        <v>65</v>
      </c>
    </row>
    <row r="2142" spans="1:26" x14ac:dyDescent="0.3">
      <c r="A2142">
        <v>10331</v>
      </c>
      <c r="B2142">
        <v>41</v>
      </c>
      <c r="C2142">
        <v>100</v>
      </c>
      <c r="D2142">
        <v>2</v>
      </c>
      <c r="E2142">
        <v>5715.4</v>
      </c>
      <c r="F2142" s="1">
        <v>38308</v>
      </c>
      <c r="G2142" t="s">
        <v>39</v>
      </c>
      <c r="H2142">
        <v>4</v>
      </c>
      <c r="I2142">
        <v>11</v>
      </c>
      <c r="J2142" t="str">
        <f>TEXT(DATE(2012,Table1[[#This Row],[MONTH_ID]],10),"mmm")</f>
        <v>Nov</v>
      </c>
      <c r="K2142">
        <v>2004</v>
      </c>
      <c r="L2142" t="s">
        <v>195</v>
      </c>
      <c r="M2142">
        <v>80</v>
      </c>
      <c r="N2142" t="s">
        <v>662</v>
      </c>
      <c r="O2142" t="s">
        <v>323</v>
      </c>
      <c r="P2142">
        <v>2155559857</v>
      </c>
      <c r="Q2142" t="s">
        <v>324</v>
      </c>
      <c r="S2142" t="s">
        <v>230</v>
      </c>
      <c r="T2142" t="s">
        <v>156</v>
      </c>
      <c r="U2142">
        <v>71270</v>
      </c>
      <c r="V2142" t="s">
        <v>46</v>
      </c>
      <c r="W2142" t="s">
        <v>47</v>
      </c>
      <c r="X2142" t="s">
        <v>138</v>
      </c>
      <c r="Y2142" t="s">
        <v>325</v>
      </c>
      <c r="Z2142" t="s">
        <v>65</v>
      </c>
    </row>
    <row r="2143" spans="1:26" x14ac:dyDescent="0.3">
      <c r="A2143">
        <v>10343</v>
      </c>
      <c r="B2143">
        <v>30</v>
      </c>
      <c r="C2143">
        <v>100</v>
      </c>
      <c r="D2143">
        <v>1</v>
      </c>
      <c r="E2143">
        <v>3098.7</v>
      </c>
      <c r="F2143" s="1">
        <v>38315</v>
      </c>
      <c r="G2143" t="s">
        <v>39</v>
      </c>
      <c r="H2143">
        <v>4</v>
      </c>
      <c r="I2143">
        <v>11</v>
      </c>
      <c r="J2143" t="str">
        <f>TEXT(DATE(2012,Table1[[#This Row],[MONTH_ID]],10),"mmm")</f>
        <v>Nov</v>
      </c>
      <c r="K2143">
        <v>2004</v>
      </c>
      <c r="L2143" t="s">
        <v>195</v>
      </c>
      <c r="M2143">
        <v>80</v>
      </c>
      <c r="N2143" t="s">
        <v>662</v>
      </c>
      <c r="O2143" t="s">
        <v>51</v>
      </c>
      <c r="P2143" t="s">
        <v>52</v>
      </c>
      <c r="Q2143" t="s">
        <v>53</v>
      </c>
      <c r="S2143" t="s">
        <v>54</v>
      </c>
      <c r="U2143">
        <v>51100</v>
      </c>
      <c r="V2143" t="s">
        <v>55</v>
      </c>
      <c r="W2143" t="s">
        <v>56</v>
      </c>
      <c r="X2143" t="s">
        <v>57</v>
      </c>
      <c r="Y2143" t="s">
        <v>58</v>
      </c>
      <c r="Z2143" t="s">
        <v>65</v>
      </c>
    </row>
    <row r="2144" spans="1:26" x14ac:dyDescent="0.3">
      <c r="A2144">
        <v>10355</v>
      </c>
      <c r="B2144">
        <v>28</v>
      </c>
      <c r="C2144">
        <v>95.39</v>
      </c>
      <c r="D2144">
        <v>9</v>
      </c>
      <c r="E2144">
        <v>2670.92</v>
      </c>
      <c r="F2144" s="1">
        <v>38328</v>
      </c>
      <c r="G2144" t="s">
        <v>39</v>
      </c>
      <c r="H2144">
        <v>4</v>
      </c>
      <c r="I2144">
        <v>12</v>
      </c>
      <c r="J2144" t="str">
        <f>TEXT(DATE(2012,Table1[[#This Row],[MONTH_ID]],10),"mmm")</f>
        <v>Dec</v>
      </c>
      <c r="K2144">
        <v>2004</v>
      </c>
      <c r="L2144" t="s">
        <v>195</v>
      </c>
      <c r="M2144">
        <v>80</v>
      </c>
      <c r="N2144" t="s">
        <v>662</v>
      </c>
      <c r="O2144" t="s">
        <v>188</v>
      </c>
      <c r="P2144" t="s">
        <v>189</v>
      </c>
      <c r="Q2144" t="s">
        <v>190</v>
      </c>
      <c r="S2144" t="s">
        <v>191</v>
      </c>
      <c r="U2144">
        <v>28034</v>
      </c>
      <c r="V2144" t="s">
        <v>192</v>
      </c>
      <c r="W2144" t="s">
        <v>56</v>
      </c>
      <c r="X2144" t="s">
        <v>193</v>
      </c>
      <c r="Y2144" t="s">
        <v>194</v>
      </c>
      <c r="Z2144" t="s">
        <v>50</v>
      </c>
    </row>
    <row r="2145" spans="1:26" x14ac:dyDescent="0.3">
      <c r="A2145">
        <v>10363</v>
      </c>
      <c r="B2145">
        <v>43</v>
      </c>
      <c r="C2145">
        <v>100</v>
      </c>
      <c r="D2145">
        <v>9</v>
      </c>
      <c r="E2145">
        <v>5154.41</v>
      </c>
      <c r="F2145" s="1">
        <v>38358</v>
      </c>
      <c r="G2145" t="s">
        <v>39</v>
      </c>
      <c r="H2145">
        <v>1</v>
      </c>
      <c r="I2145">
        <v>1</v>
      </c>
      <c r="J2145" t="str">
        <f>TEXT(DATE(2012,Table1[[#This Row],[MONTH_ID]],10),"mmm")</f>
        <v>Jan</v>
      </c>
      <c r="K2145">
        <v>2005</v>
      </c>
      <c r="L2145" t="s">
        <v>195</v>
      </c>
      <c r="M2145">
        <v>80</v>
      </c>
      <c r="N2145" t="s">
        <v>662</v>
      </c>
      <c r="O2145" t="s">
        <v>481</v>
      </c>
      <c r="P2145" t="s">
        <v>482</v>
      </c>
      <c r="Q2145" t="s">
        <v>483</v>
      </c>
      <c r="S2145" t="s">
        <v>484</v>
      </c>
      <c r="U2145" t="s">
        <v>485</v>
      </c>
      <c r="V2145" t="s">
        <v>144</v>
      </c>
      <c r="W2145" t="s">
        <v>56</v>
      </c>
      <c r="X2145" t="s">
        <v>486</v>
      </c>
      <c r="Y2145" t="s">
        <v>487</v>
      </c>
      <c r="Z2145" t="s">
        <v>65</v>
      </c>
    </row>
    <row r="2146" spans="1:26" x14ac:dyDescent="0.3">
      <c r="A2146">
        <v>10378</v>
      </c>
      <c r="B2146">
        <v>41</v>
      </c>
      <c r="C2146">
        <v>100</v>
      </c>
      <c r="D2146">
        <v>2</v>
      </c>
      <c r="E2146">
        <v>4894.17</v>
      </c>
      <c r="F2146" s="1">
        <v>38393</v>
      </c>
      <c r="G2146" t="s">
        <v>39</v>
      </c>
      <c r="H2146">
        <v>1</v>
      </c>
      <c r="I2146">
        <v>2</v>
      </c>
      <c r="J2146" t="str">
        <f>TEXT(DATE(2012,Table1[[#This Row],[MONTH_ID]],10),"mmm")</f>
        <v>Feb</v>
      </c>
      <c r="K2146">
        <v>2005</v>
      </c>
      <c r="L2146" t="s">
        <v>195</v>
      </c>
      <c r="M2146">
        <v>80</v>
      </c>
      <c r="N2146" t="s">
        <v>662</v>
      </c>
      <c r="O2146" t="s">
        <v>188</v>
      </c>
      <c r="P2146" t="s">
        <v>189</v>
      </c>
      <c r="Q2146" t="s">
        <v>190</v>
      </c>
      <c r="S2146" t="s">
        <v>191</v>
      </c>
      <c r="U2146">
        <v>28034</v>
      </c>
      <c r="V2146" t="s">
        <v>192</v>
      </c>
      <c r="W2146" t="s">
        <v>56</v>
      </c>
      <c r="X2146" t="s">
        <v>193</v>
      </c>
      <c r="Y2146" t="s">
        <v>194</v>
      </c>
      <c r="Z2146" t="s">
        <v>65</v>
      </c>
    </row>
    <row r="2147" spans="1:26" x14ac:dyDescent="0.3">
      <c r="A2147">
        <v>10390</v>
      </c>
      <c r="B2147">
        <v>30</v>
      </c>
      <c r="C2147">
        <v>82.42</v>
      </c>
      <c r="D2147">
        <v>10</v>
      </c>
      <c r="E2147">
        <v>2472.6</v>
      </c>
      <c r="F2147" s="1">
        <v>38415</v>
      </c>
      <c r="G2147" t="s">
        <v>39</v>
      </c>
      <c r="H2147">
        <v>1</v>
      </c>
      <c r="I2147">
        <v>3</v>
      </c>
      <c r="J2147" t="str">
        <f>TEXT(DATE(2012,Table1[[#This Row],[MONTH_ID]],10),"mmm")</f>
        <v>Mar</v>
      </c>
      <c r="K2147">
        <v>2005</v>
      </c>
      <c r="L2147" t="s">
        <v>195</v>
      </c>
      <c r="M2147">
        <v>80</v>
      </c>
      <c r="N2147" t="s">
        <v>662</v>
      </c>
      <c r="O2147" t="s">
        <v>286</v>
      </c>
      <c r="P2147">
        <v>4155551450</v>
      </c>
      <c r="Q2147" t="s">
        <v>287</v>
      </c>
      <c r="S2147" t="s">
        <v>288</v>
      </c>
      <c r="T2147" t="s">
        <v>69</v>
      </c>
      <c r="U2147">
        <v>97562</v>
      </c>
      <c r="V2147" t="s">
        <v>46</v>
      </c>
      <c r="W2147" t="s">
        <v>47</v>
      </c>
      <c r="X2147" t="s">
        <v>289</v>
      </c>
      <c r="Y2147" t="s">
        <v>290</v>
      </c>
      <c r="Z2147" t="s">
        <v>50</v>
      </c>
    </row>
    <row r="2148" spans="1:26" x14ac:dyDescent="0.3">
      <c r="A2148">
        <v>10103</v>
      </c>
      <c r="B2148">
        <v>31</v>
      </c>
      <c r="C2148">
        <v>100</v>
      </c>
      <c r="D2148">
        <v>3</v>
      </c>
      <c r="E2148">
        <v>3224.31</v>
      </c>
      <c r="F2148" s="1">
        <v>37650</v>
      </c>
      <c r="G2148" t="s">
        <v>39</v>
      </c>
      <c r="H2148">
        <v>1</v>
      </c>
      <c r="I2148">
        <v>1</v>
      </c>
      <c r="J2148" t="str">
        <f>TEXT(DATE(2012,Table1[[#This Row],[MONTH_ID]],10),"mmm")</f>
        <v>Jan</v>
      </c>
      <c r="K2148">
        <v>2003</v>
      </c>
      <c r="L2148" t="s">
        <v>518</v>
      </c>
      <c r="M2148">
        <v>96</v>
      </c>
      <c r="N2148" t="s">
        <v>663</v>
      </c>
      <c r="O2148" t="s">
        <v>147</v>
      </c>
      <c r="P2148" t="s">
        <v>148</v>
      </c>
      <c r="Q2148" t="s">
        <v>149</v>
      </c>
      <c r="S2148" t="s">
        <v>150</v>
      </c>
      <c r="U2148">
        <v>4110</v>
      </c>
      <c r="V2148" t="s">
        <v>92</v>
      </c>
      <c r="W2148" t="s">
        <v>56</v>
      </c>
      <c r="X2148" t="s">
        <v>151</v>
      </c>
      <c r="Y2148" t="s">
        <v>152</v>
      </c>
      <c r="Z2148" t="s">
        <v>65</v>
      </c>
    </row>
    <row r="2149" spans="1:26" x14ac:dyDescent="0.3">
      <c r="A2149">
        <v>10114</v>
      </c>
      <c r="B2149">
        <v>32</v>
      </c>
      <c r="C2149">
        <v>100</v>
      </c>
      <c r="D2149">
        <v>7</v>
      </c>
      <c r="E2149">
        <v>3667.52</v>
      </c>
      <c r="F2149" s="1">
        <v>37712</v>
      </c>
      <c r="G2149" t="s">
        <v>39</v>
      </c>
      <c r="H2149">
        <v>2</v>
      </c>
      <c r="I2149">
        <v>4</v>
      </c>
      <c r="J2149" t="str">
        <f>TEXT(DATE(2012,Table1[[#This Row],[MONTH_ID]],10),"mmm")</f>
        <v>Apr</v>
      </c>
      <c r="K2149">
        <v>2003</v>
      </c>
      <c r="L2149" t="s">
        <v>518</v>
      </c>
      <c r="M2149">
        <v>96</v>
      </c>
      <c r="N2149" t="s">
        <v>663</v>
      </c>
      <c r="O2149" t="s">
        <v>417</v>
      </c>
      <c r="P2149" t="s">
        <v>418</v>
      </c>
      <c r="Q2149" t="s">
        <v>419</v>
      </c>
      <c r="S2149" t="s">
        <v>62</v>
      </c>
      <c r="U2149">
        <v>75012</v>
      </c>
      <c r="V2149" t="s">
        <v>55</v>
      </c>
      <c r="W2149" t="s">
        <v>56</v>
      </c>
      <c r="X2149" t="s">
        <v>420</v>
      </c>
      <c r="Y2149" t="s">
        <v>421</v>
      </c>
      <c r="Z2149" t="s">
        <v>65</v>
      </c>
    </row>
    <row r="2150" spans="1:26" x14ac:dyDescent="0.3">
      <c r="A2150">
        <v>10126</v>
      </c>
      <c r="B2150">
        <v>43</v>
      </c>
      <c r="C2150">
        <v>96.31</v>
      </c>
      <c r="D2150">
        <v>3</v>
      </c>
      <c r="E2150">
        <v>4141.33</v>
      </c>
      <c r="F2150" s="1">
        <v>37769</v>
      </c>
      <c r="G2150" t="s">
        <v>39</v>
      </c>
      <c r="H2150">
        <v>2</v>
      </c>
      <c r="I2150">
        <v>5</v>
      </c>
      <c r="J2150" t="str">
        <f>TEXT(DATE(2012,Table1[[#This Row],[MONTH_ID]],10),"mmm")</f>
        <v>May</v>
      </c>
      <c r="K2150">
        <v>2003</v>
      </c>
      <c r="L2150" t="s">
        <v>518</v>
      </c>
      <c r="M2150">
        <v>96</v>
      </c>
      <c r="N2150" t="s">
        <v>663</v>
      </c>
      <c r="O2150" t="s">
        <v>205</v>
      </c>
      <c r="P2150" t="s">
        <v>206</v>
      </c>
      <c r="Q2150" t="s">
        <v>207</v>
      </c>
      <c r="S2150" t="s">
        <v>191</v>
      </c>
      <c r="U2150">
        <v>28023</v>
      </c>
      <c r="V2150" t="s">
        <v>192</v>
      </c>
      <c r="W2150" t="s">
        <v>56</v>
      </c>
      <c r="X2150" t="s">
        <v>208</v>
      </c>
      <c r="Y2150" t="s">
        <v>209</v>
      </c>
      <c r="Z2150" t="s">
        <v>65</v>
      </c>
    </row>
    <row r="2151" spans="1:26" x14ac:dyDescent="0.3">
      <c r="A2151">
        <v>10140</v>
      </c>
      <c r="B2151">
        <v>26</v>
      </c>
      <c r="C2151">
        <v>100</v>
      </c>
      <c r="D2151">
        <v>3</v>
      </c>
      <c r="E2151">
        <v>2829.58</v>
      </c>
      <c r="F2151" s="1">
        <v>37826</v>
      </c>
      <c r="G2151" t="s">
        <v>39</v>
      </c>
      <c r="H2151">
        <v>3</v>
      </c>
      <c r="I2151">
        <v>7</v>
      </c>
      <c r="J2151" t="str">
        <f>TEXT(DATE(2012,Table1[[#This Row],[MONTH_ID]],10),"mmm")</f>
        <v>Jul</v>
      </c>
      <c r="K2151">
        <v>2003</v>
      </c>
      <c r="L2151" t="s">
        <v>518</v>
      </c>
      <c r="M2151">
        <v>96</v>
      </c>
      <c r="N2151" t="s">
        <v>663</v>
      </c>
      <c r="O2151" t="s">
        <v>76</v>
      </c>
      <c r="P2151">
        <v>6505556809</v>
      </c>
      <c r="Q2151" t="s">
        <v>77</v>
      </c>
      <c r="S2151" t="s">
        <v>78</v>
      </c>
      <c r="T2151" t="s">
        <v>69</v>
      </c>
      <c r="U2151">
        <v>94217</v>
      </c>
      <c r="V2151" t="s">
        <v>46</v>
      </c>
      <c r="W2151" t="s">
        <v>47</v>
      </c>
      <c r="X2151" t="s">
        <v>79</v>
      </c>
      <c r="Y2151" t="s">
        <v>80</v>
      </c>
      <c r="Z2151" t="s">
        <v>50</v>
      </c>
    </row>
    <row r="2152" spans="1:26" x14ac:dyDescent="0.3">
      <c r="A2152">
        <v>10151</v>
      </c>
      <c r="B2152">
        <v>27</v>
      </c>
      <c r="C2152">
        <v>100</v>
      </c>
      <c r="D2152">
        <v>10</v>
      </c>
      <c r="E2152">
        <v>3068.55</v>
      </c>
      <c r="F2152" s="1">
        <v>37885</v>
      </c>
      <c r="G2152" t="s">
        <v>39</v>
      </c>
      <c r="H2152">
        <v>3</v>
      </c>
      <c r="I2152">
        <v>9</v>
      </c>
      <c r="J2152" t="str">
        <f>TEXT(DATE(2012,Table1[[#This Row],[MONTH_ID]],10),"mmm")</f>
        <v>Sep</v>
      </c>
      <c r="K2152">
        <v>2003</v>
      </c>
      <c r="L2152" t="s">
        <v>518</v>
      </c>
      <c r="M2152">
        <v>96</v>
      </c>
      <c r="N2152" t="s">
        <v>663</v>
      </c>
      <c r="O2152" t="s">
        <v>405</v>
      </c>
      <c r="P2152" t="s">
        <v>406</v>
      </c>
      <c r="Q2152" t="s">
        <v>407</v>
      </c>
      <c r="S2152" t="s">
        <v>408</v>
      </c>
      <c r="U2152">
        <v>90110</v>
      </c>
      <c r="V2152" t="s">
        <v>144</v>
      </c>
      <c r="W2152" t="s">
        <v>56</v>
      </c>
      <c r="X2152" t="s">
        <v>409</v>
      </c>
      <c r="Y2152" t="s">
        <v>410</v>
      </c>
      <c r="Z2152" t="s">
        <v>65</v>
      </c>
    </row>
    <row r="2153" spans="1:26" x14ac:dyDescent="0.3">
      <c r="A2153">
        <v>10164</v>
      </c>
      <c r="B2153">
        <v>24</v>
      </c>
      <c r="C2153">
        <v>100</v>
      </c>
      <c r="D2153">
        <v>1</v>
      </c>
      <c r="E2153">
        <v>2634.96</v>
      </c>
      <c r="F2153" s="1">
        <v>37915</v>
      </c>
      <c r="G2153" t="s">
        <v>422</v>
      </c>
      <c r="H2153">
        <v>4</v>
      </c>
      <c r="I2153">
        <v>10</v>
      </c>
      <c r="J2153" t="str">
        <f>TEXT(DATE(2012,Table1[[#This Row],[MONTH_ID]],10),"mmm")</f>
        <v>Oct</v>
      </c>
      <c r="K2153">
        <v>2003</v>
      </c>
      <c r="L2153" t="s">
        <v>518</v>
      </c>
      <c r="M2153">
        <v>96</v>
      </c>
      <c r="N2153" t="s">
        <v>663</v>
      </c>
      <c r="O2153" t="s">
        <v>423</v>
      </c>
      <c r="P2153" t="s">
        <v>424</v>
      </c>
      <c r="Q2153" t="s">
        <v>425</v>
      </c>
      <c r="S2153" t="s">
        <v>426</v>
      </c>
      <c r="U2153">
        <v>8010</v>
      </c>
      <c r="V2153" t="s">
        <v>162</v>
      </c>
      <c r="W2153" t="s">
        <v>56</v>
      </c>
      <c r="X2153" t="s">
        <v>427</v>
      </c>
      <c r="Y2153" t="s">
        <v>428</v>
      </c>
      <c r="Z2153" t="s">
        <v>50</v>
      </c>
    </row>
    <row r="2154" spans="1:26" x14ac:dyDescent="0.3">
      <c r="A2154">
        <v>10175</v>
      </c>
      <c r="B2154">
        <v>22</v>
      </c>
      <c r="C2154">
        <v>100</v>
      </c>
      <c r="D2154">
        <v>8</v>
      </c>
      <c r="E2154">
        <v>2436.7199999999998</v>
      </c>
      <c r="F2154" s="1">
        <v>37931</v>
      </c>
      <c r="G2154" t="s">
        <v>39</v>
      </c>
      <c r="H2154">
        <v>4</v>
      </c>
      <c r="I2154">
        <v>11</v>
      </c>
      <c r="J2154" t="str">
        <f>TEXT(DATE(2012,Table1[[#This Row],[MONTH_ID]],10),"mmm")</f>
        <v>Nov</v>
      </c>
      <c r="K2154">
        <v>2003</v>
      </c>
      <c r="L2154" t="s">
        <v>518</v>
      </c>
      <c r="M2154">
        <v>96</v>
      </c>
      <c r="N2154" t="s">
        <v>663</v>
      </c>
      <c r="O2154" t="s">
        <v>343</v>
      </c>
      <c r="P2154" t="s">
        <v>344</v>
      </c>
      <c r="Q2154" t="s">
        <v>345</v>
      </c>
      <c r="S2154" t="s">
        <v>346</v>
      </c>
      <c r="U2154" t="s">
        <v>347</v>
      </c>
      <c r="V2154" t="s">
        <v>184</v>
      </c>
      <c r="W2154" t="s">
        <v>56</v>
      </c>
      <c r="X2154" t="s">
        <v>75</v>
      </c>
      <c r="Y2154" t="s">
        <v>348</v>
      </c>
      <c r="Z2154" t="s">
        <v>50</v>
      </c>
    </row>
    <row r="2155" spans="1:26" x14ac:dyDescent="0.3">
      <c r="A2155">
        <v>10184</v>
      </c>
      <c r="B2155">
        <v>46</v>
      </c>
      <c r="C2155">
        <v>100</v>
      </c>
      <c r="D2155">
        <v>13</v>
      </c>
      <c r="E2155">
        <v>4607.3599999999997</v>
      </c>
      <c r="F2155" s="1">
        <v>37939</v>
      </c>
      <c r="G2155" t="s">
        <v>39</v>
      </c>
      <c r="H2155">
        <v>4</v>
      </c>
      <c r="I2155">
        <v>11</v>
      </c>
      <c r="J2155" t="str">
        <f>TEXT(DATE(2012,Table1[[#This Row],[MONTH_ID]],10),"mmm")</f>
        <v>Nov</v>
      </c>
      <c r="K2155">
        <v>2003</v>
      </c>
      <c r="L2155" t="s">
        <v>518</v>
      </c>
      <c r="M2155">
        <v>96</v>
      </c>
      <c r="N2155" t="s">
        <v>663</v>
      </c>
      <c r="O2155" t="s">
        <v>534</v>
      </c>
      <c r="P2155" t="s">
        <v>535</v>
      </c>
      <c r="Q2155" t="s">
        <v>536</v>
      </c>
      <c r="S2155" t="s">
        <v>537</v>
      </c>
      <c r="U2155">
        <v>41101</v>
      </c>
      <c r="V2155" t="s">
        <v>192</v>
      </c>
      <c r="W2155" t="s">
        <v>56</v>
      </c>
      <c r="X2155" t="s">
        <v>538</v>
      </c>
      <c r="Y2155" t="s">
        <v>539</v>
      </c>
      <c r="Z2155" t="s">
        <v>65</v>
      </c>
    </row>
    <row r="2156" spans="1:26" x14ac:dyDescent="0.3">
      <c r="A2156">
        <v>10194</v>
      </c>
      <c r="B2156">
        <v>37</v>
      </c>
      <c r="C2156">
        <v>97.27</v>
      </c>
      <c r="D2156">
        <v>3</v>
      </c>
      <c r="E2156">
        <v>3598.99</v>
      </c>
      <c r="F2156" s="1">
        <v>37950</v>
      </c>
      <c r="G2156" t="s">
        <v>39</v>
      </c>
      <c r="H2156">
        <v>4</v>
      </c>
      <c r="I2156">
        <v>11</v>
      </c>
      <c r="J2156" t="str">
        <f>TEXT(DATE(2012,Table1[[#This Row],[MONTH_ID]],10),"mmm")</f>
        <v>Nov</v>
      </c>
      <c r="K2156">
        <v>2003</v>
      </c>
      <c r="L2156" t="s">
        <v>518</v>
      </c>
      <c r="M2156">
        <v>96</v>
      </c>
      <c r="N2156" t="s">
        <v>663</v>
      </c>
      <c r="O2156" t="s">
        <v>233</v>
      </c>
      <c r="P2156" t="s">
        <v>234</v>
      </c>
      <c r="Q2156" t="s">
        <v>235</v>
      </c>
      <c r="S2156" t="s">
        <v>236</v>
      </c>
      <c r="U2156">
        <v>69004</v>
      </c>
      <c r="V2156" t="s">
        <v>55</v>
      </c>
      <c r="W2156" t="s">
        <v>56</v>
      </c>
      <c r="X2156" t="s">
        <v>237</v>
      </c>
      <c r="Y2156" t="s">
        <v>238</v>
      </c>
      <c r="Z2156" t="s">
        <v>65</v>
      </c>
    </row>
    <row r="2157" spans="1:26" x14ac:dyDescent="0.3">
      <c r="A2157">
        <v>10207</v>
      </c>
      <c r="B2157">
        <v>49</v>
      </c>
      <c r="C2157">
        <v>80.900000000000006</v>
      </c>
      <c r="D2157">
        <v>14</v>
      </c>
      <c r="E2157">
        <v>3964.1</v>
      </c>
      <c r="F2157" s="1">
        <v>37964</v>
      </c>
      <c r="G2157" t="s">
        <v>39</v>
      </c>
      <c r="H2157">
        <v>4</v>
      </c>
      <c r="I2157">
        <v>12</v>
      </c>
      <c r="J2157" t="str">
        <f>TEXT(DATE(2012,Table1[[#This Row],[MONTH_ID]],10),"mmm")</f>
        <v>Dec</v>
      </c>
      <c r="K2157">
        <v>2003</v>
      </c>
      <c r="L2157" t="s">
        <v>518</v>
      </c>
      <c r="M2157">
        <v>96</v>
      </c>
      <c r="N2157" t="s">
        <v>663</v>
      </c>
      <c r="O2157" t="s">
        <v>429</v>
      </c>
      <c r="P2157">
        <v>6175552555</v>
      </c>
      <c r="Q2157" t="s">
        <v>430</v>
      </c>
      <c r="S2157" t="s">
        <v>395</v>
      </c>
      <c r="T2157" t="s">
        <v>137</v>
      </c>
      <c r="U2157">
        <v>51003</v>
      </c>
      <c r="V2157" t="s">
        <v>46</v>
      </c>
      <c r="W2157" t="s">
        <v>47</v>
      </c>
      <c r="X2157" t="s">
        <v>431</v>
      </c>
      <c r="Y2157" t="s">
        <v>290</v>
      </c>
      <c r="Z2157" t="s">
        <v>65</v>
      </c>
    </row>
    <row r="2158" spans="1:26" x14ac:dyDescent="0.3">
      <c r="A2158">
        <v>10217</v>
      </c>
      <c r="B2158">
        <v>21</v>
      </c>
      <c r="C2158">
        <v>100</v>
      </c>
      <c r="D2158">
        <v>3</v>
      </c>
      <c r="E2158">
        <v>2244.9</v>
      </c>
      <c r="F2158" s="1">
        <v>38021</v>
      </c>
      <c r="G2158" t="s">
        <v>39</v>
      </c>
      <c r="H2158">
        <v>1</v>
      </c>
      <c r="I2158">
        <v>2</v>
      </c>
      <c r="J2158" t="str">
        <f>TEXT(DATE(2012,Table1[[#This Row],[MONTH_ID]],10),"mmm")</f>
        <v>Feb</v>
      </c>
      <c r="K2158">
        <v>2004</v>
      </c>
      <c r="L2158" t="s">
        <v>518</v>
      </c>
      <c r="M2158">
        <v>96</v>
      </c>
      <c r="N2158" t="s">
        <v>663</v>
      </c>
      <c r="O2158" t="s">
        <v>432</v>
      </c>
      <c r="P2158" t="s">
        <v>433</v>
      </c>
      <c r="Q2158" t="s">
        <v>434</v>
      </c>
      <c r="R2158" t="s">
        <v>435</v>
      </c>
      <c r="S2158" t="s">
        <v>213</v>
      </c>
      <c r="U2158">
        <v>69045</v>
      </c>
      <c r="V2158" t="s">
        <v>213</v>
      </c>
      <c r="W2158" t="s">
        <v>110</v>
      </c>
      <c r="X2158" t="s">
        <v>436</v>
      </c>
      <c r="Y2158" t="s">
        <v>437</v>
      </c>
      <c r="Z2158" t="s">
        <v>50</v>
      </c>
    </row>
    <row r="2159" spans="1:26" x14ac:dyDescent="0.3">
      <c r="A2159">
        <v>10229</v>
      </c>
      <c r="B2159">
        <v>25</v>
      </c>
      <c r="C2159">
        <v>100</v>
      </c>
      <c r="D2159">
        <v>8</v>
      </c>
      <c r="E2159">
        <v>2793</v>
      </c>
      <c r="F2159" s="1">
        <v>38057</v>
      </c>
      <c r="G2159" t="s">
        <v>39</v>
      </c>
      <c r="H2159">
        <v>1</v>
      </c>
      <c r="I2159">
        <v>3</v>
      </c>
      <c r="J2159" t="str">
        <f>TEXT(DATE(2012,Table1[[#This Row],[MONTH_ID]],10),"mmm")</f>
        <v>Mar</v>
      </c>
      <c r="K2159">
        <v>2004</v>
      </c>
      <c r="L2159" t="s">
        <v>518</v>
      </c>
      <c r="M2159">
        <v>96</v>
      </c>
      <c r="N2159" t="s">
        <v>663</v>
      </c>
      <c r="O2159" t="s">
        <v>286</v>
      </c>
      <c r="P2159">
        <v>4155551450</v>
      </c>
      <c r="Q2159" t="s">
        <v>287</v>
      </c>
      <c r="S2159" t="s">
        <v>288</v>
      </c>
      <c r="T2159" t="s">
        <v>69</v>
      </c>
      <c r="U2159">
        <v>97562</v>
      </c>
      <c r="V2159" t="s">
        <v>46</v>
      </c>
      <c r="W2159" t="s">
        <v>47</v>
      </c>
      <c r="X2159" t="s">
        <v>289</v>
      </c>
      <c r="Y2159" t="s">
        <v>290</v>
      </c>
      <c r="Z2159" t="s">
        <v>50</v>
      </c>
    </row>
    <row r="2160" spans="1:26" x14ac:dyDescent="0.3">
      <c r="A2160">
        <v>10245</v>
      </c>
      <c r="B2160">
        <v>37</v>
      </c>
      <c r="C2160">
        <v>100</v>
      </c>
      <c r="D2160">
        <v>1</v>
      </c>
      <c r="E2160">
        <v>4133.6400000000003</v>
      </c>
      <c r="F2160" s="1">
        <v>38111</v>
      </c>
      <c r="G2160" t="s">
        <v>39</v>
      </c>
      <c r="H2160">
        <v>2</v>
      </c>
      <c r="I2160">
        <v>5</v>
      </c>
      <c r="J2160" t="str">
        <f>TEXT(DATE(2012,Table1[[#This Row],[MONTH_ID]],10),"mmm")</f>
        <v>May</v>
      </c>
      <c r="K2160">
        <v>2004</v>
      </c>
      <c r="L2160" t="s">
        <v>518</v>
      </c>
      <c r="M2160">
        <v>96</v>
      </c>
      <c r="N2160" t="s">
        <v>663</v>
      </c>
      <c r="O2160" t="s">
        <v>256</v>
      </c>
      <c r="P2160">
        <v>2035559545</v>
      </c>
      <c r="Q2160" t="s">
        <v>257</v>
      </c>
      <c r="S2160" t="s">
        <v>258</v>
      </c>
      <c r="T2160" t="s">
        <v>126</v>
      </c>
      <c r="U2160">
        <v>97823</v>
      </c>
      <c r="V2160" t="s">
        <v>46</v>
      </c>
      <c r="W2160" t="s">
        <v>47</v>
      </c>
      <c r="X2160" t="s">
        <v>97</v>
      </c>
      <c r="Y2160" t="s">
        <v>259</v>
      </c>
      <c r="Z2160" t="s">
        <v>65</v>
      </c>
    </row>
    <row r="2161" spans="1:26" x14ac:dyDescent="0.3">
      <c r="A2161">
        <v>10259</v>
      </c>
      <c r="B2161">
        <v>45</v>
      </c>
      <c r="C2161">
        <v>86.68</v>
      </c>
      <c r="D2161">
        <v>11</v>
      </c>
      <c r="E2161">
        <v>3900.6</v>
      </c>
      <c r="F2161" s="1">
        <v>38153</v>
      </c>
      <c r="G2161" t="s">
        <v>39</v>
      </c>
      <c r="H2161">
        <v>2</v>
      </c>
      <c r="I2161">
        <v>6</v>
      </c>
      <c r="J2161" t="str">
        <f>TEXT(DATE(2012,Table1[[#This Row],[MONTH_ID]],10),"mmm")</f>
        <v>Jun</v>
      </c>
      <c r="K2161">
        <v>2004</v>
      </c>
      <c r="L2161" t="s">
        <v>518</v>
      </c>
      <c r="M2161">
        <v>96</v>
      </c>
      <c r="N2161" t="s">
        <v>663</v>
      </c>
      <c r="O2161" t="s">
        <v>432</v>
      </c>
      <c r="P2161" t="s">
        <v>433</v>
      </c>
      <c r="Q2161" t="s">
        <v>434</v>
      </c>
      <c r="R2161" t="s">
        <v>435</v>
      </c>
      <c r="S2161" t="s">
        <v>213</v>
      </c>
      <c r="U2161">
        <v>69045</v>
      </c>
      <c r="V2161" t="s">
        <v>213</v>
      </c>
      <c r="W2161" t="s">
        <v>110</v>
      </c>
      <c r="X2161" t="s">
        <v>436</v>
      </c>
      <c r="Y2161" t="s">
        <v>437</v>
      </c>
      <c r="Z2161" t="s">
        <v>65</v>
      </c>
    </row>
    <row r="2162" spans="1:26" x14ac:dyDescent="0.3">
      <c r="A2162">
        <v>10270</v>
      </c>
      <c r="B2162">
        <v>32</v>
      </c>
      <c r="C2162">
        <v>85.72</v>
      </c>
      <c r="D2162">
        <v>1</v>
      </c>
      <c r="E2162">
        <v>2743.04</v>
      </c>
      <c r="F2162" s="1">
        <v>38187</v>
      </c>
      <c r="G2162" t="s">
        <v>39</v>
      </c>
      <c r="H2162">
        <v>3</v>
      </c>
      <c r="I2162">
        <v>7</v>
      </c>
      <c r="J2162" t="str">
        <f>TEXT(DATE(2012,Table1[[#This Row],[MONTH_ID]],10),"mmm")</f>
        <v>Jul</v>
      </c>
      <c r="K2162">
        <v>2004</v>
      </c>
      <c r="L2162" t="s">
        <v>518</v>
      </c>
      <c r="M2162">
        <v>96</v>
      </c>
      <c r="N2162" t="s">
        <v>663</v>
      </c>
      <c r="O2162" t="s">
        <v>166</v>
      </c>
      <c r="P2162" t="s">
        <v>167</v>
      </c>
      <c r="Q2162" t="s">
        <v>168</v>
      </c>
      <c r="R2162" t="s">
        <v>169</v>
      </c>
      <c r="S2162" t="s">
        <v>170</v>
      </c>
      <c r="T2162" t="s">
        <v>171</v>
      </c>
      <c r="U2162">
        <v>2067</v>
      </c>
      <c r="V2162" t="s">
        <v>109</v>
      </c>
      <c r="W2162" t="s">
        <v>110</v>
      </c>
      <c r="X2162" t="s">
        <v>172</v>
      </c>
      <c r="Y2162" t="s">
        <v>173</v>
      </c>
      <c r="Z2162" t="s">
        <v>50</v>
      </c>
    </row>
    <row r="2163" spans="1:26" x14ac:dyDescent="0.3">
      <c r="A2163">
        <v>10281</v>
      </c>
      <c r="B2163">
        <v>29</v>
      </c>
      <c r="C2163">
        <v>82.83</v>
      </c>
      <c r="D2163">
        <v>8</v>
      </c>
      <c r="E2163">
        <v>2402.0700000000002</v>
      </c>
      <c r="F2163" s="1">
        <v>38218</v>
      </c>
      <c r="G2163" t="s">
        <v>39</v>
      </c>
      <c r="H2163">
        <v>3</v>
      </c>
      <c r="I2163">
        <v>8</v>
      </c>
      <c r="J2163" t="str">
        <f>TEXT(DATE(2012,Table1[[#This Row],[MONTH_ID]],10),"mmm")</f>
        <v>Aug</v>
      </c>
      <c r="K2163">
        <v>2004</v>
      </c>
      <c r="L2163" t="s">
        <v>518</v>
      </c>
      <c r="M2163">
        <v>96</v>
      </c>
      <c r="N2163" t="s">
        <v>663</v>
      </c>
      <c r="O2163" t="s">
        <v>153</v>
      </c>
      <c r="P2163">
        <v>2155551555</v>
      </c>
      <c r="Q2163" t="s">
        <v>154</v>
      </c>
      <c r="S2163" t="s">
        <v>155</v>
      </c>
      <c r="T2163" t="s">
        <v>156</v>
      </c>
      <c r="U2163">
        <v>70267</v>
      </c>
      <c r="V2163" t="s">
        <v>46</v>
      </c>
      <c r="W2163" t="s">
        <v>47</v>
      </c>
      <c r="X2163" t="s">
        <v>48</v>
      </c>
      <c r="Y2163" t="s">
        <v>157</v>
      </c>
      <c r="Z2163" t="s">
        <v>50</v>
      </c>
    </row>
    <row r="2164" spans="1:26" x14ac:dyDescent="0.3">
      <c r="A2164">
        <v>10291</v>
      </c>
      <c r="B2164">
        <v>26</v>
      </c>
      <c r="C2164">
        <v>83.79</v>
      </c>
      <c r="D2164">
        <v>3</v>
      </c>
      <c r="E2164">
        <v>2178.54</v>
      </c>
      <c r="F2164" s="1">
        <v>38238</v>
      </c>
      <c r="G2164" t="s">
        <v>39</v>
      </c>
      <c r="H2164">
        <v>3</v>
      </c>
      <c r="I2164">
        <v>9</v>
      </c>
      <c r="J2164" t="str">
        <f>TEXT(DATE(2012,Table1[[#This Row],[MONTH_ID]],10),"mmm")</f>
        <v>Sep</v>
      </c>
      <c r="K2164">
        <v>2004</v>
      </c>
      <c r="L2164" t="s">
        <v>518</v>
      </c>
      <c r="M2164">
        <v>96</v>
      </c>
      <c r="N2164" t="s">
        <v>663</v>
      </c>
      <c r="O2164" t="s">
        <v>275</v>
      </c>
      <c r="P2164" t="s">
        <v>276</v>
      </c>
      <c r="Q2164" t="s">
        <v>277</v>
      </c>
      <c r="S2164" t="s">
        <v>278</v>
      </c>
      <c r="U2164" t="s">
        <v>279</v>
      </c>
      <c r="V2164" t="s">
        <v>202</v>
      </c>
      <c r="W2164" t="s">
        <v>56</v>
      </c>
      <c r="X2164" t="s">
        <v>280</v>
      </c>
      <c r="Y2164" t="s">
        <v>220</v>
      </c>
      <c r="Z2164" t="s">
        <v>50</v>
      </c>
    </row>
    <row r="2165" spans="1:26" x14ac:dyDescent="0.3">
      <c r="A2165">
        <v>10305</v>
      </c>
      <c r="B2165">
        <v>28</v>
      </c>
      <c r="C2165">
        <v>100</v>
      </c>
      <c r="D2165">
        <v>12</v>
      </c>
      <c r="E2165">
        <v>3155.04</v>
      </c>
      <c r="F2165" s="1">
        <v>38273</v>
      </c>
      <c r="G2165" t="s">
        <v>39</v>
      </c>
      <c r="H2165">
        <v>4</v>
      </c>
      <c r="I2165">
        <v>10</v>
      </c>
      <c r="J2165" t="str">
        <f>TEXT(DATE(2012,Table1[[#This Row],[MONTH_ID]],10),"mmm")</f>
        <v>Oct</v>
      </c>
      <c r="K2165">
        <v>2004</v>
      </c>
      <c r="L2165" t="s">
        <v>518</v>
      </c>
      <c r="M2165">
        <v>96</v>
      </c>
      <c r="N2165" t="s">
        <v>663</v>
      </c>
      <c r="O2165" t="s">
        <v>134</v>
      </c>
      <c r="P2165">
        <v>6175558555</v>
      </c>
      <c r="Q2165" t="s">
        <v>135</v>
      </c>
      <c r="S2165" t="s">
        <v>136</v>
      </c>
      <c r="T2165" t="s">
        <v>137</v>
      </c>
      <c r="U2165">
        <v>51247</v>
      </c>
      <c r="V2165" t="s">
        <v>46</v>
      </c>
      <c r="W2165" t="s">
        <v>47</v>
      </c>
      <c r="X2165" t="s">
        <v>138</v>
      </c>
      <c r="Y2165" t="s">
        <v>139</v>
      </c>
      <c r="Z2165" t="s">
        <v>65</v>
      </c>
    </row>
    <row r="2166" spans="1:26" x14ac:dyDescent="0.3">
      <c r="A2166">
        <v>10313</v>
      </c>
      <c r="B2166">
        <v>27</v>
      </c>
      <c r="C2166">
        <v>87.64</v>
      </c>
      <c r="D2166">
        <v>6</v>
      </c>
      <c r="E2166">
        <v>2366.2800000000002</v>
      </c>
      <c r="F2166" s="1">
        <v>38282</v>
      </c>
      <c r="G2166" t="s">
        <v>39</v>
      </c>
      <c r="H2166">
        <v>4</v>
      </c>
      <c r="I2166">
        <v>10</v>
      </c>
      <c r="J2166" t="str">
        <f>TEXT(DATE(2012,Table1[[#This Row],[MONTH_ID]],10),"mmm")</f>
        <v>Oct</v>
      </c>
      <c r="K2166">
        <v>2004</v>
      </c>
      <c r="L2166" t="s">
        <v>518</v>
      </c>
      <c r="M2166">
        <v>96</v>
      </c>
      <c r="N2166" t="s">
        <v>663</v>
      </c>
      <c r="O2166" t="s">
        <v>239</v>
      </c>
      <c r="P2166" t="s">
        <v>240</v>
      </c>
      <c r="Q2166" t="s">
        <v>241</v>
      </c>
      <c r="S2166" t="s">
        <v>242</v>
      </c>
      <c r="T2166" t="s">
        <v>243</v>
      </c>
      <c r="U2166" t="s">
        <v>244</v>
      </c>
      <c r="V2166" t="s">
        <v>245</v>
      </c>
      <c r="W2166" t="s">
        <v>47</v>
      </c>
      <c r="X2166" t="s">
        <v>246</v>
      </c>
      <c r="Y2166" t="s">
        <v>247</v>
      </c>
      <c r="Z2166" t="s">
        <v>50</v>
      </c>
    </row>
    <row r="2167" spans="1:26" x14ac:dyDescent="0.3">
      <c r="A2167">
        <v>10324</v>
      </c>
      <c r="B2167">
        <v>20</v>
      </c>
      <c r="C2167">
        <v>98.18</v>
      </c>
      <c r="D2167">
        <v>11</v>
      </c>
      <c r="E2167">
        <v>1963.6</v>
      </c>
      <c r="F2167" s="1">
        <v>38296</v>
      </c>
      <c r="G2167" t="s">
        <v>39</v>
      </c>
      <c r="H2167">
        <v>4</v>
      </c>
      <c r="I2167">
        <v>11</v>
      </c>
      <c r="J2167" t="str">
        <f>TEXT(DATE(2012,Table1[[#This Row],[MONTH_ID]],10),"mmm")</f>
        <v>Nov</v>
      </c>
      <c r="K2167">
        <v>2004</v>
      </c>
      <c r="L2167" t="s">
        <v>518</v>
      </c>
      <c r="M2167">
        <v>96</v>
      </c>
      <c r="N2167" t="s">
        <v>663</v>
      </c>
      <c r="O2167" t="s">
        <v>113</v>
      </c>
      <c r="P2167">
        <v>2125551500</v>
      </c>
      <c r="Q2167" t="s">
        <v>114</v>
      </c>
      <c r="R2167" t="s">
        <v>115</v>
      </c>
      <c r="S2167" t="s">
        <v>44</v>
      </c>
      <c r="T2167" t="s">
        <v>45</v>
      </c>
      <c r="U2167">
        <v>10022</v>
      </c>
      <c r="V2167" t="s">
        <v>46</v>
      </c>
      <c r="W2167" t="s">
        <v>47</v>
      </c>
      <c r="X2167" t="s">
        <v>116</v>
      </c>
      <c r="Y2167" t="s">
        <v>117</v>
      </c>
      <c r="Z2167" t="s">
        <v>50</v>
      </c>
    </row>
    <row r="2168" spans="1:26" x14ac:dyDescent="0.3">
      <c r="A2168">
        <v>10335</v>
      </c>
      <c r="B2168">
        <v>44</v>
      </c>
      <c r="C2168">
        <v>100</v>
      </c>
      <c r="D2168">
        <v>1</v>
      </c>
      <c r="E2168">
        <v>4746.28</v>
      </c>
      <c r="F2168" s="1">
        <v>38310</v>
      </c>
      <c r="G2168" t="s">
        <v>39</v>
      </c>
      <c r="H2168">
        <v>4</v>
      </c>
      <c r="I2168">
        <v>11</v>
      </c>
      <c r="J2168" t="str">
        <f>TEXT(DATE(2012,Table1[[#This Row],[MONTH_ID]],10),"mmm")</f>
        <v>Nov</v>
      </c>
      <c r="K2168">
        <v>2004</v>
      </c>
      <c r="L2168" t="s">
        <v>518</v>
      </c>
      <c r="M2168">
        <v>96</v>
      </c>
      <c r="N2168" t="s">
        <v>663</v>
      </c>
      <c r="O2168" t="s">
        <v>286</v>
      </c>
      <c r="P2168">
        <v>4155551450</v>
      </c>
      <c r="Q2168" t="s">
        <v>287</v>
      </c>
      <c r="S2168" t="s">
        <v>288</v>
      </c>
      <c r="T2168" t="s">
        <v>69</v>
      </c>
      <c r="U2168">
        <v>97562</v>
      </c>
      <c r="V2168" t="s">
        <v>46</v>
      </c>
      <c r="W2168" t="s">
        <v>47</v>
      </c>
      <c r="X2168" t="s">
        <v>289</v>
      </c>
      <c r="Y2168" t="s">
        <v>290</v>
      </c>
      <c r="Z2168" t="s">
        <v>65</v>
      </c>
    </row>
    <row r="2169" spans="1:26" x14ac:dyDescent="0.3">
      <c r="A2169">
        <v>10348</v>
      </c>
      <c r="B2169">
        <v>42</v>
      </c>
      <c r="C2169">
        <v>100</v>
      </c>
      <c r="D2169">
        <v>3</v>
      </c>
      <c r="E2169">
        <v>6386.94</v>
      </c>
      <c r="F2169" s="1">
        <v>38292</v>
      </c>
      <c r="G2169" t="s">
        <v>39</v>
      </c>
      <c r="H2169">
        <v>4</v>
      </c>
      <c r="I2169">
        <v>11</v>
      </c>
      <c r="J2169" t="str">
        <f>TEXT(DATE(2012,Table1[[#This Row],[MONTH_ID]],10),"mmm")</f>
        <v>Nov</v>
      </c>
      <c r="K2169">
        <v>2004</v>
      </c>
      <c r="L2169" t="s">
        <v>518</v>
      </c>
      <c r="M2169">
        <v>96</v>
      </c>
      <c r="N2169" t="s">
        <v>663</v>
      </c>
      <c r="O2169" t="s">
        <v>205</v>
      </c>
      <c r="P2169" t="s">
        <v>206</v>
      </c>
      <c r="Q2169" t="s">
        <v>207</v>
      </c>
      <c r="S2169" t="s">
        <v>191</v>
      </c>
      <c r="U2169">
        <v>28023</v>
      </c>
      <c r="V2169" t="s">
        <v>192</v>
      </c>
      <c r="W2169" t="s">
        <v>56</v>
      </c>
      <c r="X2169" t="s">
        <v>208</v>
      </c>
      <c r="Y2169" t="s">
        <v>209</v>
      </c>
      <c r="Z2169" t="s">
        <v>65</v>
      </c>
    </row>
    <row r="2170" spans="1:26" x14ac:dyDescent="0.3">
      <c r="A2170">
        <v>10358</v>
      </c>
      <c r="B2170">
        <v>41</v>
      </c>
      <c r="C2170">
        <v>100</v>
      </c>
      <c r="D2170">
        <v>1</v>
      </c>
      <c r="E2170">
        <v>4428</v>
      </c>
      <c r="F2170" s="1">
        <v>38331</v>
      </c>
      <c r="G2170" t="s">
        <v>39</v>
      </c>
      <c r="H2170">
        <v>4</v>
      </c>
      <c r="I2170">
        <v>12</v>
      </c>
      <c r="J2170" t="str">
        <f>TEXT(DATE(2012,Table1[[#This Row],[MONTH_ID]],10),"mmm")</f>
        <v>Dec</v>
      </c>
      <c r="K2170">
        <v>2004</v>
      </c>
      <c r="L2170" t="s">
        <v>518</v>
      </c>
      <c r="M2170">
        <v>96</v>
      </c>
      <c r="N2170" t="s">
        <v>663</v>
      </c>
      <c r="O2170" t="s">
        <v>188</v>
      </c>
      <c r="P2170" t="s">
        <v>189</v>
      </c>
      <c r="Q2170" t="s">
        <v>190</v>
      </c>
      <c r="S2170" t="s">
        <v>191</v>
      </c>
      <c r="U2170">
        <v>28034</v>
      </c>
      <c r="V2170" t="s">
        <v>192</v>
      </c>
      <c r="W2170" t="s">
        <v>56</v>
      </c>
      <c r="X2170" t="s">
        <v>193</v>
      </c>
      <c r="Y2170" t="s">
        <v>194</v>
      </c>
      <c r="Z2170" t="s">
        <v>65</v>
      </c>
    </row>
    <row r="2171" spans="1:26" x14ac:dyDescent="0.3">
      <c r="A2171">
        <v>10371</v>
      </c>
      <c r="B2171">
        <v>26</v>
      </c>
      <c r="C2171">
        <v>100</v>
      </c>
      <c r="D2171">
        <v>1</v>
      </c>
      <c r="E2171">
        <v>4044.04</v>
      </c>
      <c r="F2171" s="1">
        <v>38375</v>
      </c>
      <c r="G2171" t="s">
        <v>39</v>
      </c>
      <c r="H2171">
        <v>1</v>
      </c>
      <c r="I2171">
        <v>1</v>
      </c>
      <c r="J2171" t="str">
        <f>TEXT(DATE(2012,Table1[[#This Row],[MONTH_ID]],10),"mmm")</f>
        <v>Jan</v>
      </c>
      <c r="K2171">
        <v>2005</v>
      </c>
      <c r="L2171" t="s">
        <v>518</v>
      </c>
      <c r="M2171">
        <v>96</v>
      </c>
      <c r="N2171" t="s">
        <v>663</v>
      </c>
      <c r="O2171" t="s">
        <v>286</v>
      </c>
      <c r="P2171">
        <v>4155551450</v>
      </c>
      <c r="Q2171" t="s">
        <v>287</v>
      </c>
      <c r="S2171" t="s">
        <v>288</v>
      </c>
      <c r="T2171" t="s">
        <v>69</v>
      </c>
      <c r="U2171">
        <v>97562</v>
      </c>
      <c r="V2171" t="s">
        <v>46</v>
      </c>
      <c r="W2171" t="s">
        <v>47</v>
      </c>
      <c r="X2171" t="s">
        <v>289</v>
      </c>
      <c r="Y2171" t="s">
        <v>290</v>
      </c>
      <c r="Z2171" t="s">
        <v>65</v>
      </c>
    </row>
    <row r="2172" spans="1:26" x14ac:dyDescent="0.3">
      <c r="A2172">
        <v>10382</v>
      </c>
      <c r="B2172">
        <v>26</v>
      </c>
      <c r="C2172">
        <v>100</v>
      </c>
      <c r="D2172">
        <v>6</v>
      </c>
      <c r="E2172">
        <v>2708.42</v>
      </c>
      <c r="F2172" s="1">
        <v>38400</v>
      </c>
      <c r="G2172" t="s">
        <v>39</v>
      </c>
      <c r="H2172">
        <v>1</v>
      </c>
      <c r="I2172">
        <v>2</v>
      </c>
      <c r="J2172" t="str">
        <f>TEXT(DATE(2012,Table1[[#This Row],[MONTH_ID]],10),"mmm")</f>
        <v>Feb</v>
      </c>
      <c r="K2172">
        <v>2005</v>
      </c>
      <c r="L2172" t="s">
        <v>518</v>
      </c>
      <c r="M2172">
        <v>96</v>
      </c>
      <c r="N2172" t="s">
        <v>663</v>
      </c>
      <c r="O2172" t="s">
        <v>286</v>
      </c>
      <c r="P2172">
        <v>4155551450</v>
      </c>
      <c r="Q2172" t="s">
        <v>287</v>
      </c>
      <c r="S2172" t="s">
        <v>288</v>
      </c>
      <c r="T2172" t="s">
        <v>69</v>
      </c>
      <c r="U2172">
        <v>97562</v>
      </c>
      <c r="V2172" t="s">
        <v>46</v>
      </c>
      <c r="W2172" t="s">
        <v>47</v>
      </c>
      <c r="X2172" t="s">
        <v>289</v>
      </c>
      <c r="Y2172" t="s">
        <v>290</v>
      </c>
      <c r="Z2172" t="s">
        <v>50</v>
      </c>
    </row>
    <row r="2173" spans="1:26" x14ac:dyDescent="0.3">
      <c r="A2173">
        <v>10411</v>
      </c>
      <c r="B2173">
        <v>26</v>
      </c>
      <c r="C2173">
        <v>100</v>
      </c>
      <c r="D2173">
        <v>1</v>
      </c>
      <c r="E2173">
        <v>2904.72</v>
      </c>
      <c r="F2173" s="1">
        <v>38473</v>
      </c>
      <c r="G2173" t="s">
        <v>39</v>
      </c>
      <c r="H2173">
        <v>2</v>
      </c>
      <c r="I2173">
        <v>5</v>
      </c>
      <c r="J2173" t="str">
        <f>TEXT(DATE(2012,Table1[[#This Row],[MONTH_ID]],10),"mmm")</f>
        <v>May</v>
      </c>
      <c r="K2173">
        <v>2005</v>
      </c>
      <c r="L2173" t="s">
        <v>518</v>
      </c>
      <c r="M2173">
        <v>96</v>
      </c>
      <c r="N2173" t="s">
        <v>663</v>
      </c>
      <c r="O2173" t="s">
        <v>306</v>
      </c>
      <c r="P2173" t="s">
        <v>307</v>
      </c>
      <c r="Q2173" t="s">
        <v>308</v>
      </c>
      <c r="S2173" t="s">
        <v>309</v>
      </c>
      <c r="T2173" t="s">
        <v>310</v>
      </c>
      <c r="U2173" t="s">
        <v>311</v>
      </c>
      <c r="V2173" t="s">
        <v>245</v>
      </c>
      <c r="W2173" t="s">
        <v>47</v>
      </c>
      <c r="X2173" t="s">
        <v>312</v>
      </c>
      <c r="Y2173" t="s">
        <v>313</v>
      </c>
      <c r="Z2173" t="s">
        <v>50</v>
      </c>
    </row>
    <row r="2174" spans="1:26" x14ac:dyDescent="0.3">
      <c r="A2174">
        <v>10425</v>
      </c>
      <c r="B2174">
        <v>41</v>
      </c>
      <c r="C2174">
        <v>86.68</v>
      </c>
      <c r="D2174">
        <v>11</v>
      </c>
      <c r="E2174">
        <v>3553.88</v>
      </c>
      <c r="F2174" s="1">
        <v>38503</v>
      </c>
      <c r="G2174" t="s">
        <v>314</v>
      </c>
      <c r="H2174">
        <v>2</v>
      </c>
      <c r="I2174">
        <v>5</v>
      </c>
      <c r="J2174" t="str">
        <f>TEXT(DATE(2012,Table1[[#This Row],[MONTH_ID]],10),"mmm")</f>
        <v>May</v>
      </c>
      <c r="K2174">
        <v>2005</v>
      </c>
      <c r="L2174" t="s">
        <v>518</v>
      </c>
      <c r="M2174">
        <v>96</v>
      </c>
      <c r="N2174" t="s">
        <v>663</v>
      </c>
      <c r="O2174" t="s">
        <v>128</v>
      </c>
      <c r="P2174" t="s">
        <v>129</v>
      </c>
      <c r="Q2174" t="s">
        <v>130</v>
      </c>
      <c r="S2174" t="s">
        <v>131</v>
      </c>
      <c r="U2174">
        <v>44000</v>
      </c>
      <c r="V2174" t="s">
        <v>55</v>
      </c>
      <c r="W2174" t="s">
        <v>56</v>
      </c>
      <c r="X2174" t="s">
        <v>132</v>
      </c>
      <c r="Y2174" t="s">
        <v>133</v>
      </c>
      <c r="Z2174" t="s">
        <v>65</v>
      </c>
    </row>
    <row r="2175" spans="1:26" x14ac:dyDescent="0.3">
      <c r="A2175">
        <v>10107</v>
      </c>
      <c r="B2175">
        <v>20</v>
      </c>
      <c r="C2175">
        <v>92.9</v>
      </c>
      <c r="D2175">
        <v>8</v>
      </c>
      <c r="E2175">
        <v>1858</v>
      </c>
      <c r="F2175" s="1">
        <v>37676</v>
      </c>
      <c r="G2175" t="s">
        <v>39</v>
      </c>
      <c r="H2175">
        <v>1</v>
      </c>
      <c r="I2175">
        <v>2</v>
      </c>
      <c r="J2175" t="str">
        <f>TEXT(DATE(2012,Table1[[#This Row],[MONTH_ID]],10),"mmm")</f>
        <v>Feb</v>
      </c>
      <c r="K2175">
        <v>2003</v>
      </c>
      <c r="L2175" t="s">
        <v>40</v>
      </c>
      <c r="M2175">
        <v>99</v>
      </c>
      <c r="N2175" t="s">
        <v>664</v>
      </c>
      <c r="O2175" t="s">
        <v>42</v>
      </c>
      <c r="P2175">
        <v>2125557818</v>
      </c>
      <c r="Q2175" t="s">
        <v>43</v>
      </c>
      <c r="S2175" t="s">
        <v>44</v>
      </c>
      <c r="T2175" t="s">
        <v>45</v>
      </c>
      <c r="U2175">
        <v>10022</v>
      </c>
      <c r="V2175" t="s">
        <v>46</v>
      </c>
      <c r="W2175" t="s">
        <v>47</v>
      </c>
      <c r="X2175" t="s">
        <v>48</v>
      </c>
      <c r="Y2175" t="s">
        <v>49</v>
      </c>
      <c r="Z2175" t="s">
        <v>50</v>
      </c>
    </row>
    <row r="2176" spans="1:26" x14ac:dyDescent="0.3">
      <c r="A2176">
        <v>10120</v>
      </c>
      <c r="B2176">
        <v>22</v>
      </c>
      <c r="C2176">
        <v>100</v>
      </c>
      <c r="D2176">
        <v>6</v>
      </c>
      <c r="E2176">
        <v>2461.36</v>
      </c>
      <c r="F2176" s="1">
        <v>37740</v>
      </c>
      <c r="G2176" t="s">
        <v>39</v>
      </c>
      <c r="H2176">
        <v>2</v>
      </c>
      <c r="I2176">
        <v>4</v>
      </c>
      <c r="J2176" t="str">
        <f>TEXT(DATE(2012,Table1[[#This Row],[MONTH_ID]],10),"mmm")</f>
        <v>Apr</v>
      </c>
      <c r="K2176">
        <v>2003</v>
      </c>
      <c r="L2176" t="s">
        <v>40</v>
      </c>
      <c r="M2176">
        <v>99</v>
      </c>
      <c r="N2176" t="s">
        <v>664</v>
      </c>
      <c r="O2176" t="s">
        <v>103</v>
      </c>
      <c r="P2176" t="s">
        <v>104</v>
      </c>
      <c r="Q2176" t="s">
        <v>105</v>
      </c>
      <c r="R2176" t="s">
        <v>106</v>
      </c>
      <c r="S2176" t="s">
        <v>107</v>
      </c>
      <c r="T2176" t="s">
        <v>108</v>
      </c>
      <c r="U2176">
        <v>3004</v>
      </c>
      <c r="V2176" t="s">
        <v>109</v>
      </c>
      <c r="W2176" t="s">
        <v>110</v>
      </c>
      <c r="X2176" t="s">
        <v>111</v>
      </c>
      <c r="Y2176" t="s">
        <v>112</v>
      </c>
      <c r="Z2176" t="s">
        <v>50</v>
      </c>
    </row>
    <row r="2177" spans="1:26" x14ac:dyDescent="0.3">
      <c r="A2177">
        <v>10133</v>
      </c>
      <c r="B2177">
        <v>23</v>
      </c>
      <c r="C2177">
        <v>100</v>
      </c>
      <c r="D2177">
        <v>1</v>
      </c>
      <c r="E2177">
        <v>2642.01</v>
      </c>
      <c r="F2177" s="1">
        <v>37799</v>
      </c>
      <c r="G2177" t="s">
        <v>39</v>
      </c>
      <c r="H2177">
        <v>2</v>
      </c>
      <c r="I2177">
        <v>6</v>
      </c>
      <c r="J2177" t="str">
        <f>TEXT(DATE(2012,Table1[[#This Row],[MONTH_ID]],10),"mmm")</f>
        <v>Jun</v>
      </c>
      <c r="K2177">
        <v>2003</v>
      </c>
      <c r="L2177" t="s">
        <v>40</v>
      </c>
      <c r="M2177">
        <v>99</v>
      </c>
      <c r="N2177" t="s">
        <v>664</v>
      </c>
      <c r="O2177" t="s">
        <v>188</v>
      </c>
      <c r="P2177" t="s">
        <v>189</v>
      </c>
      <c r="Q2177" t="s">
        <v>190</v>
      </c>
      <c r="S2177" t="s">
        <v>191</v>
      </c>
      <c r="U2177">
        <v>28034</v>
      </c>
      <c r="V2177" t="s">
        <v>192</v>
      </c>
      <c r="W2177" t="s">
        <v>56</v>
      </c>
      <c r="X2177" t="s">
        <v>193</v>
      </c>
      <c r="Y2177" t="s">
        <v>194</v>
      </c>
      <c r="Z2177" t="s">
        <v>50</v>
      </c>
    </row>
    <row r="2178" spans="1:26" x14ac:dyDescent="0.3">
      <c r="A2178">
        <v>10145</v>
      </c>
      <c r="B2178">
        <v>33</v>
      </c>
      <c r="C2178">
        <v>93.9</v>
      </c>
      <c r="D2178">
        <v>12</v>
      </c>
      <c r="E2178">
        <v>3098.7</v>
      </c>
      <c r="F2178" s="1">
        <v>37858</v>
      </c>
      <c r="G2178" t="s">
        <v>39</v>
      </c>
      <c r="H2178">
        <v>3</v>
      </c>
      <c r="I2178">
        <v>8</v>
      </c>
      <c r="J2178" t="str">
        <f>TEXT(DATE(2012,Table1[[#This Row],[MONTH_ID]],10),"mmm")</f>
        <v>Aug</v>
      </c>
      <c r="K2178">
        <v>2003</v>
      </c>
      <c r="L2178" t="s">
        <v>40</v>
      </c>
      <c r="M2178">
        <v>99</v>
      </c>
      <c r="N2178" t="s">
        <v>664</v>
      </c>
      <c r="O2178" t="s">
        <v>66</v>
      </c>
      <c r="P2178">
        <v>6265557265</v>
      </c>
      <c r="Q2178" t="s">
        <v>67</v>
      </c>
      <c r="S2178" t="s">
        <v>68</v>
      </c>
      <c r="T2178" t="s">
        <v>69</v>
      </c>
      <c r="U2178">
        <v>90003</v>
      </c>
      <c r="V2178" t="s">
        <v>46</v>
      </c>
      <c r="W2178" t="s">
        <v>47</v>
      </c>
      <c r="X2178" t="s">
        <v>70</v>
      </c>
      <c r="Y2178" t="s">
        <v>71</v>
      </c>
      <c r="Z2178" t="s">
        <v>65</v>
      </c>
    </row>
    <row r="2179" spans="1:26" x14ac:dyDescent="0.3">
      <c r="A2179">
        <v>10168</v>
      </c>
      <c r="B2179">
        <v>28</v>
      </c>
      <c r="C2179">
        <v>100</v>
      </c>
      <c r="D2179">
        <v>7</v>
      </c>
      <c r="E2179">
        <v>3244.36</v>
      </c>
      <c r="F2179" s="1">
        <v>37922</v>
      </c>
      <c r="G2179" t="s">
        <v>39</v>
      </c>
      <c r="H2179">
        <v>4</v>
      </c>
      <c r="I2179">
        <v>10</v>
      </c>
      <c r="J2179" t="str">
        <f>TEXT(DATE(2012,Table1[[#This Row],[MONTH_ID]],10),"mmm")</f>
        <v>Oct</v>
      </c>
      <c r="K2179">
        <v>2003</v>
      </c>
      <c r="L2179" t="s">
        <v>40</v>
      </c>
      <c r="M2179">
        <v>99</v>
      </c>
      <c r="N2179" t="s">
        <v>664</v>
      </c>
      <c r="O2179" t="s">
        <v>76</v>
      </c>
      <c r="P2179">
        <v>6505556809</v>
      </c>
      <c r="Q2179" t="s">
        <v>77</v>
      </c>
      <c r="S2179" t="s">
        <v>78</v>
      </c>
      <c r="T2179" t="s">
        <v>69</v>
      </c>
      <c r="U2179">
        <v>94217</v>
      </c>
      <c r="V2179" t="s">
        <v>46</v>
      </c>
      <c r="W2179" t="s">
        <v>47</v>
      </c>
      <c r="X2179" t="s">
        <v>79</v>
      </c>
      <c r="Y2179" t="s">
        <v>80</v>
      </c>
      <c r="Z2179" t="s">
        <v>65</v>
      </c>
    </row>
    <row r="2180" spans="1:26" x14ac:dyDescent="0.3">
      <c r="A2180">
        <v>10188</v>
      </c>
      <c r="B2180">
        <v>44</v>
      </c>
      <c r="C2180">
        <v>98.89</v>
      </c>
      <c r="D2180">
        <v>7</v>
      </c>
      <c r="E2180">
        <v>4351.16</v>
      </c>
      <c r="F2180" s="1">
        <v>37943</v>
      </c>
      <c r="G2180" t="s">
        <v>39</v>
      </c>
      <c r="H2180">
        <v>4</v>
      </c>
      <c r="I2180">
        <v>11</v>
      </c>
      <c r="J2180" t="str">
        <f>TEXT(DATE(2012,Table1[[#This Row],[MONTH_ID]],10),"mmm")</f>
        <v>Nov</v>
      </c>
      <c r="K2180">
        <v>2003</v>
      </c>
      <c r="L2180" t="s">
        <v>40</v>
      </c>
      <c r="M2180">
        <v>99</v>
      </c>
      <c r="N2180" t="s">
        <v>664</v>
      </c>
      <c r="O2180" t="s">
        <v>87</v>
      </c>
      <c r="P2180" t="s">
        <v>88</v>
      </c>
      <c r="Q2180" t="s">
        <v>89</v>
      </c>
      <c r="S2180" t="s">
        <v>90</v>
      </c>
      <c r="U2180" t="s">
        <v>91</v>
      </c>
      <c r="V2180" t="s">
        <v>92</v>
      </c>
      <c r="W2180" t="s">
        <v>56</v>
      </c>
      <c r="X2180" t="s">
        <v>93</v>
      </c>
      <c r="Y2180" t="s">
        <v>94</v>
      </c>
      <c r="Z2180" t="s">
        <v>65</v>
      </c>
    </row>
    <row r="2181" spans="1:26" x14ac:dyDescent="0.3">
      <c r="A2181">
        <v>10210</v>
      </c>
      <c r="B2181">
        <v>46</v>
      </c>
      <c r="C2181">
        <v>79.91</v>
      </c>
      <c r="D2181">
        <v>5</v>
      </c>
      <c r="E2181">
        <v>3675.86</v>
      </c>
      <c r="F2181" s="1">
        <v>37998</v>
      </c>
      <c r="G2181" t="s">
        <v>39</v>
      </c>
      <c r="H2181">
        <v>1</v>
      </c>
      <c r="I2181">
        <v>1</v>
      </c>
      <c r="J2181" t="str">
        <f>TEXT(DATE(2012,Table1[[#This Row],[MONTH_ID]],10),"mmm")</f>
        <v>Jan</v>
      </c>
      <c r="K2181">
        <v>2004</v>
      </c>
      <c r="L2181" t="s">
        <v>40</v>
      </c>
      <c r="M2181">
        <v>99</v>
      </c>
      <c r="N2181" t="s">
        <v>664</v>
      </c>
      <c r="O2181" t="s">
        <v>316</v>
      </c>
      <c r="P2181" t="s">
        <v>317</v>
      </c>
      <c r="Q2181" t="s">
        <v>318</v>
      </c>
      <c r="S2181" t="s">
        <v>319</v>
      </c>
      <c r="T2181" t="s">
        <v>319</v>
      </c>
      <c r="U2181" t="s">
        <v>320</v>
      </c>
      <c r="V2181" t="s">
        <v>214</v>
      </c>
      <c r="W2181" t="s">
        <v>214</v>
      </c>
      <c r="X2181" t="s">
        <v>321</v>
      </c>
      <c r="Y2181" t="s">
        <v>322</v>
      </c>
      <c r="Z2181" t="s">
        <v>65</v>
      </c>
    </row>
    <row r="2182" spans="1:26" x14ac:dyDescent="0.3">
      <c r="A2182">
        <v>10223</v>
      </c>
      <c r="B2182">
        <v>21</v>
      </c>
      <c r="C2182">
        <v>100</v>
      </c>
      <c r="D2182">
        <v>7</v>
      </c>
      <c r="E2182">
        <v>2475.27</v>
      </c>
      <c r="F2182" s="1">
        <v>38037</v>
      </c>
      <c r="G2182" t="s">
        <v>39</v>
      </c>
      <c r="H2182">
        <v>1</v>
      </c>
      <c r="I2182">
        <v>2</v>
      </c>
      <c r="J2182" t="str">
        <f>TEXT(DATE(2012,Table1[[#This Row],[MONTH_ID]],10),"mmm")</f>
        <v>Feb</v>
      </c>
      <c r="K2182">
        <v>2004</v>
      </c>
      <c r="L2182" t="s">
        <v>40</v>
      </c>
      <c r="M2182">
        <v>99</v>
      </c>
      <c r="N2182" t="s">
        <v>664</v>
      </c>
      <c r="O2182" t="s">
        <v>103</v>
      </c>
      <c r="P2182" t="s">
        <v>104</v>
      </c>
      <c r="Q2182" t="s">
        <v>105</v>
      </c>
      <c r="R2182" t="s">
        <v>106</v>
      </c>
      <c r="S2182" t="s">
        <v>107</v>
      </c>
      <c r="T2182" t="s">
        <v>108</v>
      </c>
      <c r="U2182">
        <v>3004</v>
      </c>
      <c r="V2182" t="s">
        <v>109</v>
      </c>
      <c r="W2182" t="s">
        <v>110</v>
      </c>
      <c r="X2182" t="s">
        <v>111</v>
      </c>
      <c r="Y2182" t="s">
        <v>112</v>
      </c>
      <c r="Z2182" t="s">
        <v>50</v>
      </c>
    </row>
    <row r="2183" spans="1:26" x14ac:dyDescent="0.3">
      <c r="A2183">
        <v>10235</v>
      </c>
      <c r="B2183">
        <v>41</v>
      </c>
      <c r="C2183">
        <v>100</v>
      </c>
      <c r="D2183">
        <v>1</v>
      </c>
      <c r="E2183">
        <v>4177.49</v>
      </c>
      <c r="F2183" s="1">
        <v>38079</v>
      </c>
      <c r="G2183" t="s">
        <v>39</v>
      </c>
      <c r="H2183">
        <v>2</v>
      </c>
      <c r="I2183">
        <v>4</v>
      </c>
      <c r="J2183" t="str">
        <f>TEXT(DATE(2012,Table1[[#This Row],[MONTH_ID]],10),"mmm")</f>
        <v>Apr</v>
      </c>
      <c r="K2183">
        <v>2004</v>
      </c>
      <c r="L2183" t="s">
        <v>40</v>
      </c>
      <c r="M2183">
        <v>99</v>
      </c>
      <c r="N2183" t="s">
        <v>664</v>
      </c>
      <c r="O2183" t="s">
        <v>387</v>
      </c>
      <c r="P2183" t="s">
        <v>388</v>
      </c>
      <c r="Q2183" t="s">
        <v>389</v>
      </c>
      <c r="S2183" t="s">
        <v>390</v>
      </c>
      <c r="T2183" t="s">
        <v>243</v>
      </c>
      <c r="U2183" t="s">
        <v>391</v>
      </c>
      <c r="V2183" t="s">
        <v>245</v>
      </c>
      <c r="W2183" t="s">
        <v>47</v>
      </c>
      <c r="X2183" t="s">
        <v>392</v>
      </c>
      <c r="Y2183" t="s">
        <v>186</v>
      </c>
      <c r="Z2183" t="s">
        <v>65</v>
      </c>
    </row>
    <row r="2184" spans="1:26" x14ac:dyDescent="0.3">
      <c r="A2184">
        <v>10250</v>
      </c>
      <c r="B2184">
        <v>31</v>
      </c>
      <c r="C2184">
        <v>100</v>
      </c>
      <c r="D2184">
        <v>2</v>
      </c>
      <c r="E2184">
        <v>3282.28</v>
      </c>
      <c r="F2184" s="1">
        <v>38118</v>
      </c>
      <c r="G2184" t="s">
        <v>39</v>
      </c>
      <c r="H2184">
        <v>2</v>
      </c>
      <c r="I2184">
        <v>5</v>
      </c>
      <c r="J2184" t="str">
        <f>TEXT(DATE(2012,Table1[[#This Row],[MONTH_ID]],10),"mmm")</f>
        <v>May</v>
      </c>
      <c r="K2184">
        <v>2004</v>
      </c>
      <c r="L2184" t="s">
        <v>40</v>
      </c>
      <c r="M2184">
        <v>99</v>
      </c>
      <c r="N2184" t="s">
        <v>664</v>
      </c>
      <c r="O2184" t="s">
        <v>411</v>
      </c>
      <c r="P2184">
        <v>4085553659</v>
      </c>
      <c r="Q2184" t="s">
        <v>412</v>
      </c>
      <c r="S2184" t="s">
        <v>413</v>
      </c>
      <c r="T2184" t="s">
        <v>69</v>
      </c>
      <c r="U2184">
        <v>94217</v>
      </c>
      <c r="V2184" t="s">
        <v>46</v>
      </c>
      <c r="W2184" t="s">
        <v>47</v>
      </c>
      <c r="X2184" t="s">
        <v>116</v>
      </c>
      <c r="Y2184" t="s">
        <v>414</v>
      </c>
      <c r="Z2184" t="s">
        <v>65</v>
      </c>
    </row>
    <row r="2185" spans="1:26" x14ac:dyDescent="0.3">
      <c r="A2185">
        <v>10263</v>
      </c>
      <c r="B2185">
        <v>31</v>
      </c>
      <c r="C2185">
        <v>79.91</v>
      </c>
      <c r="D2185">
        <v>8</v>
      </c>
      <c r="E2185">
        <v>2477.21</v>
      </c>
      <c r="F2185" s="1">
        <v>38166</v>
      </c>
      <c r="G2185" t="s">
        <v>39</v>
      </c>
      <c r="H2185">
        <v>2</v>
      </c>
      <c r="I2185">
        <v>6</v>
      </c>
      <c r="J2185" t="str">
        <f>TEXT(DATE(2012,Table1[[#This Row],[MONTH_ID]],10),"mmm")</f>
        <v>Jun</v>
      </c>
      <c r="K2185">
        <v>2004</v>
      </c>
      <c r="L2185" t="s">
        <v>40</v>
      </c>
      <c r="M2185">
        <v>99</v>
      </c>
      <c r="N2185" t="s">
        <v>664</v>
      </c>
      <c r="O2185" t="s">
        <v>123</v>
      </c>
      <c r="P2185">
        <v>2035552570</v>
      </c>
      <c r="Q2185" t="s">
        <v>124</v>
      </c>
      <c r="S2185" t="s">
        <v>125</v>
      </c>
      <c r="T2185" t="s">
        <v>126</v>
      </c>
      <c r="U2185">
        <v>97562</v>
      </c>
      <c r="V2185" t="s">
        <v>46</v>
      </c>
      <c r="W2185" t="s">
        <v>47</v>
      </c>
      <c r="X2185" t="s">
        <v>127</v>
      </c>
      <c r="Y2185" t="s">
        <v>71</v>
      </c>
      <c r="Z2185" t="s">
        <v>50</v>
      </c>
    </row>
    <row r="2186" spans="1:26" x14ac:dyDescent="0.3">
      <c r="A2186">
        <v>10275</v>
      </c>
      <c r="B2186">
        <v>23</v>
      </c>
      <c r="C2186">
        <v>81.91</v>
      </c>
      <c r="D2186">
        <v>7</v>
      </c>
      <c r="E2186">
        <v>1883.93</v>
      </c>
      <c r="F2186" s="1">
        <v>38191</v>
      </c>
      <c r="G2186" t="s">
        <v>39</v>
      </c>
      <c r="H2186">
        <v>3</v>
      </c>
      <c r="I2186">
        <v>7</v>
      </c>
      <c r="J2186" t="str">
        <f>TEXT(DATE(2012,Table1[[#This Row],[MONTH_ID]],10),"mmm")</f>
        <v>Jul</v>
      </c>
      <c r="K2186">
        <v>2004</v>
      </c>
      <c r="L2186" t="s">
        <v>40</v>
      </c>
      <c r="M2186">
        <v>99</v>
      </c>
      <c r="N2186" t="s">
        <v>664</v>
      </c>
      <c r="O2186" t="s">
        <v>128</v>
      </c>
      <c r="P2186" t="s">
        <v>129</v>
      </c>
      <c r="Q2186" t="s">
        <v>130</v>
      </c>
      <c r="S2186" t="s">
        <v>131</v>
      </c>
      <c r="U2186">
        <v>44000</v>
      </c>
      <c r="V2186" t="s">
        <v>55</v>
      </c>
      <c r="W2186" t="s">
        <v>56</v>
      </c>
      <c r="X2186" t="s">
        <v>132</v>
      </c>
      <c r="Y2186" t="s">
        <v>133</v>
      </c>
      <c r="Z2186" t="s">
        <v>50</v>
      </c>
    </row>
    <row r="2187" spans="1:26" x14ac:dyDescent="0.3">
      <c r="A2187">
        <v>10285</v>
      </c>
      <c r="B2187">
        <v>37</v>
      </c>
      <c r="C2187">
        <v>98.89</v>
      </c>
      <c r="D2187">
        <v>12</v>
      </c>
      <c r="E2187">
        <v>3658.93</v>
      </c>
      <c r="F2187" s="1">
        <v>38226</v>
      </c>
      <c r="G2187" t="s">
        <v>39</v>
      </c>
      <c r="H2187">
        <v>3</v>
      </c>
      <c r="I2187">
        <v>8</v>
      </c>
      <c r="J2187" t="str">
        <f>TEXT(DATE(2012,Table1[[#This Row],[MONTH_ID]],10),"mmm")</f>
        <v>Aug</v>
      </c>
      <c r="K2187">
        <v>2004</v>
      </c>
      <c r="L2187" t="s">
        <v>40</v>
      </c>
      <c r="M2187">
        <v>99</v>
      </c>
      <c r="N2187" t="s">
        <v>664</v>
      </c>
      <c r="O2187" t="s">
        <v>134</v>
      </c>
      <c r="P2187">
        <v>6175558555</v>
      </c>
      <c r="Q2187" t="s">
        <v>135</v>
      </c>
      <c r="S2187" t="s">
        <v>136</v>
      </c>
      <c r="T2187" t="s">
        <v>137</v>
      </c>
      <c r="U2187">
        <v>51247</v>
      </c>
      <c r="V2187" t="s">
        <v>46</v>
      </c>
      <c r="W2187" t="s">
        <v>47</v>
      </c>
      <c r="X2187" t="s">
        <v>138</v>
      </c>
      <c r="Y2187" t="s">
        <v>139</v>
      </c>
      <c r="Z2187" t="s">
        <v>65</v>
      </c>
    </row>
    <row r="2188" spans="1:26" x14ac:dyDescent="0.3">
      <c r="A2188">
        <v>10297</v>
      </c>
      <c r="B2188">
        <v>26</v>
      </c>
      <c r="C2188">
        <v>100</v>
      </c>
      <c r="D2188">
        <v>2</v>
      </c>
      <c r="E2188">
        <v>2856.88</v>
      </c>
      <c r="F2188" s="1">
        <v>38246</v>
      </c>
      <c r="G2188" t="s">
        <v>39</v>
      </c>
      <c r="H2188">
        <v>3</v>
      </c>
      <c r="I2188">
        <v>9</v>
      </c>
      <c r="J2188" t="str">
        <f>TEXT(DATE(2012,Table1[[#This Row],[MONTH_ID]],10),"mmm")</f>
        <v>Sep</v>
      </c>
      <c r="K2188">
        <v>2004</v>
      </c>
      <c r="L2188" t="s">
        <v>40</v>
      </c>
      <c r="M2188">
        <v>99</v>
      </c>
      <c r="N2188" t="s">
        <v>664</v>
      </c>
      <c r="O2188" t="s">
        <v>493</v>
      </c>
      <c r="P2188" t="s">
        <v>494</v>
      </c>
      <c r="Q2188" t="s">
        <v>495</v>
      </c>
      <c r="R2188" t="s">
        <v>496</v>
      </c>
      <c r="S2188" t="s">
        <v>497</v>
      </c>
      <c r="U2188">
        <v>2</v>
      </c>
      <c r="V2188" t="s">
        <v>498</v>
      </c>
      <c r="W2188" t="s">
        <v>56</v>
      </c>
      <c r="X2188" t="s">
        <v>499</v>
      </c>
      <c r="Y2188" t="s">
        <v>500</v>
      </c>
      <c r="Z2188" t="s">
        <v>50</v>
      </c>
    </row>
    <row r="2189" spans="1:26" x14ac:dyDescent="0.3">
      <c r="A2189">
        <v>10308</v>
      </c>
      <c r="B2189">
        <v>24</v>
      </c>
      <c r="C2189">
        <v>79.91</v>
      </c>
      <c r="D2189">
        <v>5</v>
      </c>
      <c r="E2189">
        <v>1917.84</v>
      </c>
      <c r="F2189" s="1">
        <v>38275</v>
      </c>
      <c r="G2189" t="s">
        <v>39</v>
      </c>
      <c r="H2189">
        <v>4</v>
      </c>
      <c r="I2189">
        <v>10</v>
      </c>
      <c r="J2189" t="str">
        <f>TEXT(DATE(2012,Table1[[#This Row],[MONTH_ID]],10),"mmm")</f>
        <v>Oct</v>
      </c>
      <c r="K2189">
        <v>2004</v>
      </c>
      <c r="L2189" t="s">
        <v>40</v>
      </c>
      <c r="M2189">
        <v>99</v>
      </c>
      <c r="N2189" t="s">
        <v>664</v>
      </c>
      <c r="O2189" t="s">
        <v>331</v>
      </c>
      <c r="P2189">
        <v>9145554562</v>
      </c>
      <c r="Q2189" t="s">
        <v>332</v>
      </c>
      <c r="S2189" t="s">
        <v>333</v>
      </c>
      <c r="T2189" t="s">
        <v>45</v>
      </c>
      <c r="U2189">
        <v>24067</v>
      </c>
      <c r="V2189" t="s">
        <v>46</v>
      </c>
      <c r="W2189" t="s">
        <v>47</v>
      </c>
      <c r="X2189" t="s">
        <v>116</v>
      </c>
      <c r="Y2189" t="s">
        <v>252</v>
      </c>
      <c r="Z2189" t="s">
        <v>50</v>
      </c>
    </row>
    <row r="2190" spans="1:26" x14ac:dyDescent="0.3">
      <c r="A2190">
        <v>10318</v>
      </c>
      <c r="B2190">
        <v>47</v>
      </c>
      <c r="C2190">
        <v>100</v>
      </c>
      <c r="D2190">
        <v>7</v>
      </c>
      <c r="E2190">
        <v>5305.36</v>
      </c>
      <c r="F2190" s="1">
        <v>38293</v>
      </c>
      <c r="G2190" t="s">
        <v>39</v>
      </c>
      <c r="H2190">
        <v>4</v>
      </c>
      <c r="I2190">
        <v>11</v>
      </c>
      <c r="J2190" t="str">
        <f>TEXT(DATE(2012,Table1[[#This Row],[MONTH_ID]],10),"mmm")</f>
        <v>Nov</v>
      </c>
      <c r="K2190">
        <v>2004</v>
      </c>
      <c r="L2190" t="s">
        <v>40</v>
      </c>
      <c r="M2190">
        <v>99</v>
      </c>
      <c r="N2190" t="s">
        <v>664</v>
      </c>
      <c r="O2190" t="s">
        <v>153</v>
      </c>
      <c r="P2190">
        <v>2155551555</v>
      </c>
      <c r="Q2190" t="s">
        <v>154</v>
      </c>
      <c r="S2190" t="s">
        <v>155</v>
      </c>
      <c r="T2190" t="s">
        <v>156</v>
      </c>
      <c r="U2190">
        <v>70267</v>
      </c>
      <c r="V2190" t="s">
        <v>46</v>
      </c>
      <c r="W2190" t="s">
        <v>47</v>
      </c>
      <c r="X2190" t="s">
        <v>48</v>
      </c>
      <c r="Y2190" t="s">
        <v>157</v>
      </c>
      <c r="Z2190" t="s">
        <v>65</v>
      </c>
    </row>
    <row r="2191" spans="1:26" x14ac:dyDescent="0.3">
      <c r="A2191">
        <v>10329</v>
      </c>
      <c r="B2191">
        <v>45</v>
      </c>
      <c r="C2191">
        <v>63.91</v>
      </c>
      <c r="D2191">
        <v>11</v>
      </c>
      <c r="E2191">
        <v>2875.95</v>
      </c>
      <c r="F2191" s="1">
        <v>38306</v>
      </c>
      <c r="G2191" t="s">
        <v>39</v>
      </c>
      <c r="H2191">
        <v>4</v>
      </c>
      <c r="I2191">
        <v>11</v>
      </c>
      <c r="J2191" t="str">
        <f>TEXT(DATE(2012,Table1[[#This Row],[MONTH_ID]],10),"mmm")</f>
        <v>Nov</v>
      </c>
      <c r="K2191">
        <v>2004</v>
      </c>
      <c r="L2191" t="s">
        <v>40</v>
      </c>
      <c r="M2191">
        <v>99</v>
      </c>
      <c r="N2191" t="s">
        <v>664</v>
      </c>
      <c r="O2191" t="s">
        <v>42</v>
      </c>
      <c r="P2191">
        <v>2125557818</v>
      </c>
      <c r="Q2191" t="s">
        <v>43</v>
      </c>
      <c r="S2191" t="s">
        <v>44</v>
      </c>
      <c r="T2191" t="s">
        <v>45</v>
      </c>
      <c r="U2191">
        <v>10022</v>
      </c>
      <c r="V2191" t="s">
        <v>46</v>
      </c>
      <c r="W2191" t="s">
        <v>47</v>
      </c>
      <c r="X2191" t="s">
        <v>48</v>
      </c>
      <c r="Y2191" t="s">
        <v>49</v>
      </c>
      <c r="Z2191" t="s">
        <v>50</v>
      </c>
    </row>
    <row r="2192" spans="1:26" x14ac:dyDescent="0.3">
      <c r="A2192">
        <v>10340</v>
      </c>
      <c r="B2192">
        <v>55</v>
      </c>
      <c r="C2192">
        <v>100</v>
      </c>
      <c r="D2192">
        <v>2</v>
      </c>
      <c r="E2192">
        <v>6482.85</v>
      </c>
      <c r="F2192" s="1">
        <v>38315</v>
      </c>
      <c r="G2192" t="s">
        <v>39</v>
      </c>
      <c r="H2192">
        <v>4</v>
      </c>
      <c r="I2192">
        <v>11</v>
      </c>
      <c r="J2192" t="str">
        <f>TEXT(DATE(2012,Table1[[#This Row],[MONTH_ID]],10),"mmm")</f>
        <v>Nov</v>
      </c>
      <c r="K2192">
        <v>2004</v>
      </c>
      <c r="L2192" t="s">
        <v>40</v>
      </c>
      <c r="M2192">
        <v>99</v>
      </c>
      <c r="N2192" t="s">
        <v>664</v>
      </c>
      <c r="O2192" t="s">
        <v>366</v>
      </c>
      <c r="P2192" t="s">
        <v>367</v>
      </c>
      <c r="Q2192" t="s">
        <v>368</v>
      </c>
      <c r="S2192" t="s">
        <v>369</v>
      </c>
      <c r="U2192">
        <v>8022</v>
      </c>
      <c r="V2192" t="s">
        <v>192</v>
      </c>
      <c r="W2192" t="s">
        <v>56</v>
      </c>
      <c r="X2192" t="s">
        <v>370</v>
      </c>
      <c r="Y2192" t="s">
        <v>371</v>
      </c>
      <c r="Z2192" t="s">
        <v>65</v>
      </c>
    </row>
    <row r="2193" spans="1:26" x14ac:dyDescent="0.3">
      <c r="A2193">
        <v>10353</v>
      </c>
      <c r="B2193">
        <v>46</v>
      </c>
      <c r="C2193">
        <v>81.17</v>
      </c>
      <c r="D2193">
        <v>5</v>
      </c>
      <c r="E2193">
        <v>3733.82</v>
      </c>
      <c r="F2193" s="1">
        <v>38325</v>
      </c>
      <c r="G2193" t="s">
        <v>39</v>
      </c>
      <c r="H2193">
        <v>4</v>
      </c>
      <c r="I2193">
        <v>12</v>
      </c>
      <c r="J2193" t="str">
        <f>TEXT(DATE(2012,Table1[[#This Row],[MONTH_ID]],10),"mmm")</f>
        <v>Dec</v>
      </c>
      <c r="K2193">
        <v>2004</v>
      </c>
      <c r="L2193" t="s">
        <v>40</v>
      </c>
      <c r="M2193">
        <v>99</v>
      </c>
      <c r="N2193" t="s">
        <v>664</v>
      </c>
      <c r="O2193" t="s">
        <v>582</v>
      </c>
      <c r="P2193">
        <v>2035554407</v>
      </c>
      <c r="Q2193" t="s">
        <v>583</v>
      </c>
      <c r="S2193" t="s">
        <v>530</v>
      </c>
      <c r="T2193" t="s">
        <v>126</v>
      </c>
      <c r="U2193">
        <v>97561</v>
      </c>
      <c r="V2193" t="s">
        <v>46</v>
      </c>
      <c r="W2193" t="s">
        <v>47</v>
      </c>
      <c r="X2193" t="s">
        <v>584</v>
      </c>
      <c r="Y2193" t="s">
        <v>585</v>
      </c>
      <c r="Z2193" t="s">
        <v>65</v>
      </c>
    </row>
    <row r="2194" spans="1:26" x14ac:dyDescent="0.3">
      <c r="A2194">
        <v>10363</v>
      </c>
      <c r="B2194">
        <v>50</v>
      </c>
      <c r="C2194">
        <v>100</v>
      </c>
      <c r="D2194">
        <v>2</v>
      </c>
      <c r="E2194">
        <v>6576.5</v>
      </c>
      <c r="F2194" s="1">
        <v>38358</v>
      </c>
      <c r="G2194" t="s">
        <v>39</v>
      </c>
      <c r="H2194">
        <v>1</v>
      </c>
      <c r="I2194">
        <v>1</v>
      </c>
      <c r="J2194" t="str">
        <f>TEXT(DATE(2012,Table1[[#This Row],[MONTH_ID]],10),"mmm")</f>
        <v>Jan</v>
      </c>
      <c r="K2194">
        <v>2005</v>
      </c>
      <c r="L2194" t="s">
        <v>40</v>
      </c>
      <c r="M2194">
        <v>99</v>
      </c>
      <c r="N2194" t="s">
        <v>664</v>
      </c>
      <c r="O2194" t="s">
        <v>481</v>
      </c>
      <c r="P2194" t="s">
        <v>482</v>
      </c>
      <c r="Q2194" t="s">
        <v>483</v>
      </c>
      <c r="S2194" t="s">
        <v>484</v>
      </c>
      <c r="U2194" t="s">
        <v>485</v>
      </c>
      <c r="V2194" t="s">
        <v>144</v>
      </c>
      <c r="W2194" t="s">
        <v>56</v>
      </c>
      <c r="X2194" t="s">
        <v>486</v>
      </c>
      <c r="Y2194" t="s">
        <v>487</v>
      </c>
      <c r="Z2194" t="s">
        <v>65</v>
      </c>
    </row>
    <row r="2195" spans="1:26" x14ac:dyDescent="0.3">
      <c r="A2195">
        <v>10375</v>
      </c>
      <c r="B2195">
        <v>37</v>
      </c>
      <c r="C2195">
        <v>100</v>
      </c>
      <c r="D2195">
        <v>3</v>
      </c>
      <c r="E2195">
        <v>6353.27</v>
      </c>
      <c r="F2195" s="1">
        <v>38386</v>
      </c>
      <c r="G2195" t="s">
        <v>39</v>
      </c>
      <c r="H2195">
        <v>1</v>
      </c>
      <c r="I2195">
        <v>2</v>
      </c>
      <c r="J2195" t="str">
        <f>TEXT(DATE(2012,Table1[[#This Row],[MONTH_ID]],10),"mmm")</f>
        <v>Feb</v>
      </c>
      <c r="K2195">
        <v>2005</v>
      </c>
      <c r="L2195" t="s">
        <v>40</v>
      </c>
      <c r="M2195">
        <v>99</v>
      </c>
      <c r="N2195" t="s">
        <v>664</v>
      </c>
      <c r="O2195" t="s">
        <v>128</v>
      </c>
      <c r="P2195" t="s">
        <v>129</v>
      </c>
      <c r="Q2195" t="s">
        <v>130</v>
      </c>
      <c r="S2195" t="s">
        <v>131</v>
      </c>
      <c r="U2195">
        <v>44000</v>
      </c>
      <c r="V2195" t="s">
        <v>55</v>
      </c>
      <c r="W2195" t="s">
        <v>56</v>
      </c>
      <c r="X2195" t="s">
        <v>132</v>
      </c>
      <c r="Y2195" t="s">
        <v>133</v>
      </c>
      <c r="Z2195" t="s">
        <v>65</v>
      </c>
    </row>
    <row r="2196" spans="1:26" x14ac:dyDescent="0.3">
      <c r="A2196">
        <v>10387</v>
      </c>
      <c r="B2196">
        <v>44</v>
      </c>
      <c r="C2196">
        <v>94.9</v>
      </c>
      <c r="D2196">
        <v>1</v>
      </c>
      <c r="E2196">
        <v>4175.6000000000004</v>
      </c>
      <c r="F2196" s="1">
        <v>38413</v>
      </c>
      <c r="G2196" t="s">
        <v>39</v>
      </c>
      <c r="H2196">
        <v>1</v>
      </c>
      <c r="I2196">
        <v>3</v>
      </c>
      <c r="J2196" t="str">
        <f>TEXT(DATE(2012,Table1[[#This Row],[MONTH_ID]],10),"mmm")</f>
        <v>Mar</v>
      </c>
      <c r="K2196">
        <v>2005</v>
      </c>
      <c r="L2196" t="s">
        <v>40</v>
      </c>
      <c r="M2196">
        <v>99</v>
      </c>
      <c r="N2196" t="s">
        <v>664</v>
      </c>
      <c r="O2196" t="s">
        <v>210</v>
      </c>
      <c r="P2196" t="s">
        <v>211</v>
      </c>
      <c r="Q2196" t="s">
        <v>212</v>
      </c>
      <c r="S2196" t="s">
        <v>213</v>
      </c>
      <c r="U2196">
        <v>79903</v>
      </c>
      <c r="V2196" t="s">
        <v>213</v>
      </c>
      <c r="W2196" t="s">
        <v>214</v>
      </c>
      <c r="X2196" t="s">
        <v>215</v>
      </c>
      <c r="Y2196" t="s">
        <v>216</v>
      </c>
      <c r="Z2196" t="s">
        <v>65</v>
      </c>
    </row>
    <row r="2197" spans="1:26" x14ac:dyDescent="0.3">
      <c r="A2197">
        <v>10401</v>
      </c>
      <c r="B2197">
        <v>49</v>
      </c>
      <c r="C2197">
        <v>100</v>
      </c>
      <c r="D2197">
        <v>1</v>
      </c>
      <c r="E2197">
        <v>4992.6099999999997</v>
      </c>
      <c r="F2197" s="1">
        <v>38445</v>
      </c>
      <c r="G2197" t="s">
        <v>415</v>
      </c>
      <c r="H2197">
        <v>2</v>
      </c>
      <c r="I2197">
        <v>4</v>
      </c>
      <c r="J2197" t="str">
        <f>TEXT(DATE(2012,Table1[[#This Row],[MONTH_ID]],10),"mmm")</f>
        <v>Apr</v>
      </c>
      <c r="K2197">
        <v>2005</v>
      </c>
      <c r="L2197" t="s">
        <v>40</v>
      </c>
      <c r="M2197">
        <v>99</v>
      </c>
      <c r="N2197" t="s">
        <v>664</v>
      </c>
      <c r="O2197" t="s">
        <v>118</v>
      </c>
      <c r="P2197">
        <v>2015559350</v>
      </c>
      <c r="Q2197" t="s">
        <v>119</v>
      </c>
      <c r="S2197" t="s">
        <v>120</v>
      </c>
      <c r="T2197" t="s">
        <v>121</v>
      </c>
      <c r="U2197">
        <v>94019</v>
      </c>
      <c r="V2197" t="s">
        <v>46</v>
      </c>
      <c r="W2197" t="s">
        <v>47</v>
      </c>
      <c r="X2197" t="s">
        <v>75</v>
      </c>
      <c r="Y2197" t="s">
        <v>122</v>
      </c>
      <c r="Z2197" t="s">
        <v>65</v>
      </c>
    </row>
    <row r="2198" spans="1:26" x14ac:dyDescent="0.3">
      <c r="A2198">
        <v>10416</v>
      </c>
      <c r="B2198">
        <v>45</v>
      </c>
      <c r="C2198">
        <v>100</v>
      </c>
      <c r="D2198">
        <v>2</v>
      </c>
      <c r="E2198">
        <v>4764.6000000000004</v>
      </c>
      <c r="F2198" s="1">
        <v>38482</v>
      </c>
      <c r="G2198" t="s">
        <v>39</v>
      </c>
      <c r="H2198">
        <v>2</v>
      </c>
      <c r="I2198">
        <v>5</v>
      </c>
      <c r="J2198" t="str">
        <f>TEXT(DATE(2012,Table1[[#This Row],[MONTH_ID]],10),"mmm")</f>
        <v>May</v>
      </c>
      <c r="K2198">
        <v>2005</v>
      </c>
      <c r="L2198" t="s">
        <v>40</v>
      </c>
      <c r="M2198">
        <v>99</v>
      </c>
      <c r="N2198" t="s">
        <v>664</v>
      </c>
      <c r="O2198" t="s">
        <v>466</v>
      </c>
      <c r="P2198" t="s">
        <v>467</v>
      </c>
      <c r="Q2198" t="s">
        <v>468</v>
      </c>
      <c r="S2198" t="s">
        <v>469</v>
      </c>
      <c r="U2198">
        <v>42100</v>
      </c>
      <c r="V2198" t="s">
        <v>272</v>
      </c>
      <c r="W2198" t="s">
        <v>56</v>
      </c>
      <c r="X2198" t="s">
        <v>470</v>
      </c>
      <c r="Y2198" t="s">
        <v>471</v>
      </c>
      <c r="Z2198" t="s">
        <v>65</v>
      </c>
    </row>
    <row r="2199" spans="1:26" x14ac:dyDescent="0.3">
      <c r="A2199">
        <v>10108</v>
      </c>
      <c r="B2199">
        <v>27</v>
      </c>
      <c r="C2199">
        <v>43.45</v>
      </c>
      <c r="D2199">
        <v>13</v>
      </c>
      <c r="E2199">
        <v>1173.1500000000001</v>
      </c>
      <c r="F2199" s="1">
        <v>37683</v>
      </c>
      <c r="G2199" t="s">
        <v>39</v>
      </c>
      <c r="H2199">
        <v>1</v>
      </c>
      <c r="I2199">
        <v>3</v>
      </c>
      <c r="J2199" t="str">
        <f>TEXT(DATE(2012,Table1[[#This Row],[MONTH_ID]],10),"mmm")</f>
        <v>Mar</v>
      </c>
      <c r="K2199">
        <v>2003</v>
      </c>
      <c r="L2199" t="s">
        <v>40</v>
      </c>
      <c r="M2199">
        <v>40</v>
      </c>
      <c r="N2199" t="s">
        <v>665</v>
      </c>
      <c r="O2199" t="s">
        <v>439</v>
      </c>
      <c r="P2199" t="s">
        <v>440</v>
      </c>
      <c r="Q2199" t="s">
        <v>441</v>
      </c>
      <c r="S2199" t="s">
        <v>442</v>
      </c>
      <c r="U2199" t="s">
        <v>443</v>
      </c>
      <c r="V2199" t="s">
        <v>444</v>
      </c>
      <c r="W2199" t="s">
        <v>214</v>
      </c>
      <c r="X2199" t="s">
        <v>445</v>
      </c>
      <c r="Y2199" t="s">
        <v>446</v>
      </c>
      <c r="Z2199" t="s">
        <v>50</v>
      </c>
    </row>
    <row r="2200" spans="1:26" x14ac:dyDescent="0.3">
      <c r="A2200">
        <v>10122</v>
      </c>
      <c r="B2200">
        <v>31</v>
      </c>
      <c r="C2200">
        <v>44.66</v>
      </c>
      <c r="D2200">
        <v>17</v>
      </c>
      <c r="E2200">
        <v>1384.46</v>
      </c>
      <c r="F2200" s="1">
        <v>37749</v>
      </c>
      <c r="G2200" t="s">
        <v>39</v>
      </c>
      <c r="H2200">
        <v>2</v>
      </c>
      <c r="I2200">
        <v>5</v>
      </c>
      <c r="J2200" t="str">
        <f>TEXT(DATE(2012,Table1[[#This Row],[MONTH_ID]],10),"mmm")</f>
        <v>May</v>
      </c>
      <c r="K2200">
        <v>2003</v>
      </c>
      <c r="L2200" t="s">
        <v>40</v>
      </c>
      <c r="M2200">
        <v>40</v>
      </c>
      <c r="N2200" t="s">
        <v>665</v>
      </c>
      <c r="O2200" t="s">
        <v>447</v>
      </c>
      <c r="P2200" t="s">
        <v>448</v>
      </c>
      <c r="Q2200" t="s">
        <v>449</v>
      </c>
      <c r="S2200" t="s">
        <v>450</v>
      </c>
      <c r="U2200">
        <v>13008</v>
      </c>
      <c r="V2200" t="s">
        <v>55</v>
      </c>
      <c r="W2200" t="s">
        <v>56</v>
      </c>
      <c r="X2200" t="s">
        <v>451</v>
      </c>
      <c r="Y2200" t="s">
        <v>452</v>
      </c>
      <c r="Z2200" t="s">
        <v>50</v>
      </c>
    </row>
    <row r="2201" spans="1:26" x14ac:dyDescent="0.3">
      <c r="A2201">
        <v>10135</v>
      </c>
      <c r="B2201">
        <v>33</v>
      </c>
      <c r="C2201">
        <v>40.229999999999997</v>
      </c>
      <c r="D2201">
        <v>14</v>
      </c>
      <c r="E2201">
        <v>1327.59</v>
      </c>
      <c r="F2201" s="1">
        <v>37804</v>
      </c>
      <c r="G2201" t="s">
        <v>39</v>
      </c>
      <c r="H2201">
        <v>3</v>
      </c>
      <c r="I2201">
        <v>7</v>
      </c>
      <c r="J2201" t="str">
        <f>TEXT(DATE(2012,Table1[[#This Row],[MONTH_ID]],10),"mmm")</f>
        <v>Jul</v>
      </c>
      <c r="K2201">
        <v>2003</v>
      </c>
      <c r="L2201" t="s">
        <v>40</v>
      </c>
      <c r="M2201">
        <v>40</v>
      </c>
      <c r="N2201" t="s">
        <v>665</v>
      </c>
      <c r="O2201" t="s">
        <v>286</v>
      </c>
      <c r="P2201">
        <v>4155551450</v>
      </c>
      <c r="Q2201" t="s">
        <v>287</v>
      </c>
      <c r="S2201" t="s">
        <v>288</v>
      </c>
      <c r="T2201" t="s">
        <v>69</v>
      </c>
      <c r="U2201">
        <v>97562</v>
      </c>
      <c r="V2201" t="s">
        <v>46</v>
      </c>
      <c r="W2201" t="s">
        <v>47</v>
      </c>
      <c r="X2201" t="s">
        <v>289</v>
      </c>
      <c r="Y2201" t="s">
        <v>290</v>
      </c>
      <c r="Z2201" t="s">
        <v>50</v>
      </c>
    </row>
    <row r="2202" spans="1:26" x14ac:dyDescent="0.3">
      <c r="A2202">
        <v>10145</v>
      </c>
      <c r="B2202">
        <v>31</v>
      </c>
      <c r="C2202">
        <v>35.799999999999997</v>
      </c>
      <c r="D2202">
        <v>1</v>
      </c>
      <c r="E2202">
        <v>1109.8</v>
      </c>
      <c r="F2202" s="1">
        <v>37858</v>
      </c>
      <c r="G2202" t="s">
        <v>39</v>
      </c>
      <c r="H2202">
        <v>3</v>
      </c>
      <c r="I2202">
        <v>8</v>
      </c>
      <c r="J2202" t="str">
        <f>TEXT(DATE(2012,Table1[[#This Row],[MONTH_ID]],10),"mmm")</f>
        <v>Aug</v>
      </c>
      <c r="K2202">
        <v>2003</v>
      </c>
      <c r="L2202" t="s">
        <v>40</v>
      </c>
      <c r="M2202">
        <v>40</v>
      </c>
      <c r="N2202" t="s">
        <v>665</v>
      </c>
      <c r="O2202" t="s">
        <v>66</v>
      </c>
      <c r="P2202">
        <v>6265557265</v>
      </c>
      <c r="Q2202" t="s">
        <v>67</v>
      </c>
      <c r="S2202" t="s">
        <v>68</v>
      </c>
      <c r="T2202" t="s">
        <v>69</v>
      </c>
      <c r="U2202">
        <v>90003</v>
      </c>
      <c r="V2202" t="s">
        <v>46</v>
      </c>
      <c r="W2202" t="s">
        <v>47</v>
      </c>
      <c r="X2202" t="s">
        <v>70</v>
      </c>
      <c r="Y2202" t="s">
        <v>71</v>
      </c>
      <c r="Z2202" t="s">
        <v>50</v>
      </c>
    </row>
    <row r="2203" spans="1:26" x14ac:dyDescent="0.3">
      <c r="A2203">
        <v>10159</v>
      </c>
      <c r="B2203">
        <v>35</v>
      </c>
      <c r="C2203">
        <v>35.4</v>
      </c>
      <c r="D2203">
        <v>9</v>
      </c>
      <c r="E2203">
        <v>1239</v>
      </c>
      <c r="F2203" s="1">
        <v>37904</v>
      </c>
      <c r="G2203" t="s">
        <v>39</v>
      </c>
      <c r="H2203">
        <v>4</v>
      </c>
      <c r="I2203">
        <v>10</v>
      </c>
      <c r="J2203" t="str">
        <f>TEXT(DATE(2012,Table1[[#This Row],[MONTH_ID]],10),"mmm")</f>
        <v>Oct</v>
      </c>
      <c r="K2203">
        <v>2003</v>
      </c>
      <c r="L2203" t="s">
        <v>40</v>
      </c>
      <c r="M2203">
        <v>40</v>
      </c>
      <c r="N2203" t="s">
        <v>665</v>
      </c>
      <c r="O2203" t="s">
        <v>72</v>
      </c>
      <c r="P2203">
        <v>6505551386</v>
      </c>
      <c r="Q2203" t="s">
        <v>73</v>
      </c>
      <c r="S2203" t="s">
        <v>74</v>
      </c>
      <c r="T2203" t="s">
        <v>69</v>
      </c>
      <c r="V2203" t="s">
        <v>46</v>
      </c>
      <c r="W2203" t="s">
        <v>47</v>
      </c>
      <c r="X2203" t="s">
        <v>75</v>
      </c>
      <c r="Y2203" t="s">
        <v>71</v>
      </c>
      <c r="Z2203" t="s">
        <v>50</v>
      </c>
    </row>
    <row r="2204" spans="1:26" x14ac:dyDescent="0.3">
      <c r="A2204">
        <v>10169</v>
      </c>
      <c r="B2204">
        <v>26</v>
      </c>
      <c r="C2204">
        <v>39.83</v>
      </c>
      <c r="D2204">
        <v>9</v>
      </c>
      <c r="E2204">
        <v>1035.58</v>
      </c>
      <c r="F2204" s="1">
        <v>37929</v>
      </c>
      <c r="G2204" t="s">
        <v>39</v>
      </c>
      <c r="H2204">
        <v>4</v>
      </c>
      <c r="I2204">
        <v>11</v>
      </c>
      <c r="J2204" t="str">
        <f>TEXT(DATE(2012,Table1[[#This Row],[MONTH_ID]],10),"mmm")</f>
        <v>Nov</v>
      </c>
      <c r="K2204">
        <v>2003</v>
      </c>
      <c r="L2204" t="s">
        <v>40</v>
      </c>
      <c r="M2204">
        <v>40</v>
      </c>
      <c r="N2204" t="s">
        <v>665</v>
      </c>
      <c r="O2204" t="s">
        <v>299</v>
      </c>
      <c r="P2204" t="s">
        <v>300</v>
      </c>
      <c r="Q2204" t="s">
        <v>301</v>
      </c>
      <c r="R2204" t="s">
        <v>302</v>
      </c>
      <c r="S2204" t="s">
        <v>303</v>
      </c>
      <c r="T2204" t="s">
        <v>171</v>
      </c>
      <c r="U2204">
        <v>2060</v>
      </c>
      <c r="V2204" t="s">
        <v>109</v>
      </c>
      <c r="W2204" t="s">
        <v>110</v>
      </c>
      <c r="X2204" t="s">
        <v>304</v>
      </c>
      <c r="Y2204" t="s">
        <v>305</v>
      </c>
      <c r="Z2204" t="s">
        <v>50</v>
      </c>
    </row>
    <row r="2205" spans="1:26" x14ac:dyDescent="0.3">
      <c r="A2205">
        <v>10180</v>
      </c>
      <c r="B2205">
        <v>34</v>
      </c>
      <c r="C2205">
        <v>45.46</v>
      </c>
      <c r="D2205">
        <v>4</v>
      </c>
      <c r="E2205">
        <v>1545.64</v>
      </c>
      <c r="F2205" s="1">
        <v>37936</v>
      </c>
      <c r="G2205" t="s">
        <v>39</v>
      </c>
      <c r="H2205">
        <v>4</v>
      </c>
      <c r="I2205">
        <v>11</v>
      </c>
      <c r="J2205" t="str">
        <f>TEXT(DATE(2012,Table1[[#This Row],[MONTH_ID]],10),"mmm")</f>
        <v>Nov</v>
      </c>
      <c r="K2205">
        <v>2003</v>
      </c>
      <c r="L2205" t="s">
        <v>40</v>
      </c>
      <c r="M2205">
        <v>40</v>
      </c>
      <c r="N2205" t="s">
        <v>665</v>
      </c>
      <c r="O2205" t="s">
        <v>81</v>
      </c>
      <c r="P2205" t="s">
        <v>82</v>
      </c>
      <c r="Q2205" t="s">
        <v>83</v>
      </c>
      <c r="S2205" t="s">
        <v>84</v>
      </c>
      <c r="U2205">
        <v>59000</v>
      </c>
      <c r="V2205" t="s">
        <v>55</v>
      </c>
      <c r="W2205" t="s">
        <v>56</v>
      </c>
      <c r="X2205" t="s">
        <v>85</v>
      </c>
      <c r="Y2205" t="s">
        <v>86</v>
      </c>
      <c r="Z2205" t="s">
        <v>50</v>
      </c>
    </row>
    <row r="2206" spans="1:26" x14ac:dyDescent="0.3">
      <c r="A2206">
        <v>10190</v>
      </c>
      <c r="B2206">
        <v>46</v>
      </c>
      <c r="C2206">
        <v>32.99</v>
      </c>
      <c r="D2206">
        <v>1</v>
      </c>
      <c r="E2206">
        <v>1517.54</v>
      </c>
      <c r="F2206" s="1">
        <v>37944</v>
      </c>
      <c r="G2206" t="s">
        <v>39</v>
      </c>
      <c r="H2206">
        <v>4</v>
      </c>
      <c r="I2206">
        <v>11</v>
      </c>
      <c r="J2206" t="str">
        <f>TEXT(DATE(2012,Table1[[#This Row],[MONTH_ID]],10),"mmm")</f>
        <v>Nov</v>
      </c>
      <c r="K2206">
        <v>2003</v>
      </c>
      <c r="L2206" t="s">
        <v>40</v>
      </c>
      <c r="M2206">
        <v>40</v>
      </c>
      <c r="N2206" t="s">
        <v>665</v>
      </c>
      <c r="O2206" t="s">
        <v>188</v>
      </c>
      <c r="P2206" t="s">
        <v>189</v>
      </c>
      <c r="Q2206" t="s">
        <v>190</v>
      </c>
      <c r="S2206" t="s">
        <v>191</v>
      </c>
      <c r="U2206">
        <v>28034</v>
      </c>
      <c r="V2206" t="s">
        <v>192</v>
      </c>
      <c r="W2206" t="s">
        <v>56</v>
      </c>
      <c r="X2206" t="s">
        <v>193</v>
      </c>
      <c r="Y2206" t="s">
        <v>194</v>
      </c>
      <c r="Z2206" t="s">
        <v>50</v>
      </c>
    </row>
    <row r="2207" spans="1:26" x14ac:dyDescent="0.3">
      <c r="A2207">
        <v>10211</v>
      </c>
      <c r="B2207">
        <v>41</v>
      </c>
      <c r="C2207">
        <v>42.24</v>
      </c>
      <c r="D2207">
        <v>9</v>
      </c>
      <c r="E2207">
        <v>1731.84</v>
      </c>
      <c r="F2207" s="1">
        <v>38001</v>
      </c>
      <c r="G2207" t="s">
        <v>39</v>
      </c>
      <c r="H2207">
        <v>1</v>
      </c>
      <c r="I2207">
        <v>1</v>
      </c>
      <c r="J2207" t="str">
        <f>TEXT(DATE(2012,Table1[[#This Row],[MONTH_ID]],10),"mmm")</f>
        <v>Jan</v>
      </c>
      <c r="K2207">
        <v>2004</v>
      </c>
      <c r="L2207" t="s">
        <v>40</v>
      </c>
      <c r="M2207">
        <v>40</v>
      </c>
      <c r="N2207" t="s">
        <v>665</v>
      </c>
      <c r="O2207" t="s">
        <v>98</v>
      </c>
      <c r="P2207" t="s">
        <v>99</v>
      </c>
      <c r="Q2207" t="s">
        <v>100</v>
      </c>
      <c r="S2207" t="s">
        <v>62</v>
      </c>
      <c r="U2207">
        <v>75016</v>
      </c>
      <c r="V2207" t="s">
        <v>55</v>
      </c>
      <c r="W2207" t="s">
        <v>56</v>
      </c>
      <c r="X2207" t="s">
        <v>101</v>
      </c>
      <c r="Y2207" t="s">
        <v>102</v>
      </c>
      <c r="Z2207" t="s">
        <v>50</v>
      </c>
    </row>
    <row r="2208" spans="1:26" x14ac:dyDescent="0.3">
      <c r="A2208">
        <v>10224</v>
      </c>
      <c r="B2208">
        <v>43</v>
      </c>
      <c r="C2208">
        <v>39.43</v>
      </c>
      <c r="D2208">
        <v>2</v>
      </c>
      <c r="E2208">
        <v>1695.49</v>
      </c>
      <c r="F2208" s="1">
        <v>38038</v>
      </c>
      <c r="G2208" t="s">
        <v>39</v>
      </c>
      <c r="H2208">
        <v>1</v>
      </c>
      <c r="I2208">
        <v>2</v>
      </c>
      <c r="J2208" t="str">
        <f>TEXT(DATE(2012,Table1[[#This Row],[MONTH_ID]],10),"mmm")</f>
        <v>Feb</v>
      </c>
      <c r="K2208">
        <v>2004</v>
      </c>
      <c r="L2208" t="s">
        <v>40</v>
      </c>
      <c r="M2208">
        <v>40</v>
      </c>
      <c r="N2208" t="s">
        <v>665</v>
      </c>
      <c r="O2208" t="s">
        <v>81</v>
      </c>
      <c r="P2208" t="s">
        <v>82</v>
      </c>
      <c r="Q2208" t="s">
        <v>83</v>
      </c>
      <c r="S2208" t="s">
        <v>84</v>
      </c>
      <c r="U2208">
        <v>59000</v>
      </c>
      <c r="V2208" t="s">
        <v>55</v>
      </c>
      <c r="W2208" t="s">
        <v>56</v>
      </c>
      <c r="X2208" t="s">
        <v>85</v>
      </c>
      <c r="Y2208" t="s">
        <v>86</v>
      </c>
      <c r="Z2208" t="s">
        <v>50</v>
      </c>
    </row>
    <row r="2209" spans="1:26" x14ac:dyDescent="0.3">
      <c r="A2209">
        <v>10237</v>
      </c>
      <c r="B2209">
        <v>26</v>
      </c>
      <c r="C2209">
        <v>40.229999999999997</v>
      </c>
      <c r="D2209">
        <v>2</v>
      </c>
      <c r="E2209">
        <v>1045.98</v>
      </c>
      <c r="F2209" s="1">
        <v>38082</v>
      </c>
      <c r="G2209" t="s">
        <v>39</v>
      </c>
      <c r="H2209">
        <v>2</v>
      </c>
      <c r="I2209">
        <v>4</v>
      </c>
      <c r="J2209" t="str">
        <f>TEXT(DATE(2012,Table1[[#This Row],[MONTH_ID]],10),"mmm")</f>
        <v>Apr</v>
      </c>
      <c r="K2209">
        <v>2004</v>
      </c>
      <c r="L2209" t="s">
        <v>40</v>
      </c>
      <c r="M2209">
        <v>40</v>
      </c>
      <c r="N2209" t="s">
        <v>665</v>
      </c>
      <c r="O2209" t="s">
        <v>113</v>
      </c>
      <c r="P2209">
        <v>2125551500</v>
      </c>
      <c r="Q2209" t="s">
        <v>114</v>
      </c>
      <c r="R2209" t="s">
        <v>115</v>
      </c>
      <c r="S2209" t="s">
        <v>44</v>
      </c>
      <c r="T2209" t="s">
        <v>45</v>
      </c>
      <c r="U2209">
        <v>10022</v>
      </c>
      <c r="V2209" t="s">
        <v>46</v>
      </c>
      <c r="W2209" t="s">
        <v>47</v>
      </c>
      <c r="X2209" t="s">
        <v>116</v>
      </c>
      <c r="Y2209" t="s">
        <v>117</v>
      </c>
      <c r="Z2209" t="s">
        <v>50</v>
      </c>
    </row>
    <row r="2210" spans="1:26" x14ac:dyDescent="0.3">
      <c r="A2210">
        <v>10252</v>
      </c>
      <c r="B2210">
        <v>36</v>
      </c>
      <c r="C2210">
        <v>48.28</v>
      </c>
      <c r="D2210">
        <v>6</v>
      </c>
      <c r="E2210">
        <v>1738.08</v>
      </c>
      <c r="F2210" s="1">
        <v>38133</v>
      </c>
      <c r="G2210" t="s">
        <v>39</v>
      </c>
      <c r="H2210">
        <v>2</v>
      </c>
      <c r="I2210">
        <v>5</v>
      </c>
      <c r="J2210" t="str">
        <f>TEXT(DATE(2012,Table1[[#This Row],[MONTH_ID]],10),"mmm")</f>
        <v>May</v>
      </c>
      <c r="K2210">
        <v>2004</v>
      </c>
      <c r="L2210" t="s">
        <v>40</v>
      </c>
      <c r="M2210">
        <v>40</v>
      </c>
      <c r="N2210" t="s">
        <v>665</v>
      </c>
      <c r="O2210" t="s">
        <v>98</v>
      </c>
      <c r="P2210" t="s">
        <v>99</v>
      </c>
      <c r="Q2210" t="s">
        <v>100</v>
      </c>
      <c r="S2210" t="s">
        <v>62</v>
      </c>
      <c r="U2210">
        <v>75016</v>
      </c>
      <c r="V2210" t="s">
        <v>55</v>
      </c>
      <c r="W2210" t="s">
        <v>56</v>
      </c>
      <c r="X2210" t="s">
        <v>101</v>
      </c>
      <c r="Y2210" t="s">
        <v>102</v>
      </c>
      <c r="Z2210" t="s">
        <v>50</v>
      </c>
    </row>
    <row r="2211" spans="1:26" x14ac:dyDescent="0.3">
      <c r="A2211">
        <v>10264</v>
      </c>
      <c r="B2211">
        <v>20</v>
      </c>
      <c r="C2211">
        <v>32.590000000000003</v>
      </c>
      <c r="D2211">
        <v>4</v>
      </c>
      <c r="E2211">
        <v>651.79999999999995</v>
      </c>
      <c r="F2211" s="1">
        <v>38168</v>
      </c>
      <c r="G2211" t="s">
        <v>39</v>
      </c>
      <c r="H2211">
        <v>2</v>
      </c>
      <c r="I2211">
        <v>6</v>
      </c>
      <c r="J2211" t="str">
        <f>TEXT(DATE(2012,Table1[[#This Row],[MONTH_ID]],10),"mmm")</f>
        <v>Jun</v>
      </c>
      <c r="K2211">
        <v>2004</v>
      </c>
      <c r="L2211" t="s">
        <v>40</v>
      </c>
      <c r="M2211">
        <v>40</v>
      </c>
      <c r="N2211" t="s">
        <v>665</v>
      </c>
      <c r="O2211" t="s">
        <v>393</v>
      </c>
      <c r="P2211">
        <v>6175559555</v>
      </c>
      <c r="Q2211" t="s">
        <v>394</v>
      </c>
      <c r="S2211" t="s">
        <v>395</v>
      </c>
      <c r="T2211" t="s">
        <v>137</v>
      </c>
      <c r="U2211">
        <v>51003</v>
      </c>
      <c r="V2211" t="s">
        <v>46</v>
      </c>
      <c r="W2211" t="s">
        <v>47</v>
      </c>
      <c r="X2211" t="s">
        <v>396</v>
      </c>
      <c r="Y2211" t="s">
        <v>80</v>
      </c>
      <c r="Z2211" t="s">
        <v>50</v>
      </c>
    </row>
    <row r="2212" spans="1:26" x14ac:dyDescent="0.3">
      <c r="A2212">
        <v>10276</v>
      </c>
      <c r="B2212">
        <v>27</v>
      </c>
      <c r="C2212">
        <v>36.61</v>
      </c>
      <c r="D2212">
        <v>10</v>
      </c>
      <c r="E2212">
        <v>988.47</v>
      </c>
      <c r="F2212" s="1">
        <v>38201</v>
      </c>
      <c r="G2212" t="s">
        <v>39</v>
      </c>
      <c r="H2212">
        <v>3</v>
      </c>
      <c r="I2212">
        <v>8</v>
      </c>
      <c r="J2212" t="str">
        <f>TEXT(DATE(2012,Table1[[#This Row],[MONTH_ID]],10),"mmm")</f>
        <v>Aug</v>
      </c>
      <c r="K2212">
        <v>2004</v>
      </c>
      <c r="L2212" t="s">
        <v>40</v>
      </c>
      <c r="M2212">
        <v>40</v>
      </c>
      <c r="N2212" t="s">
        <v>665</v>
      </c>
      <c r="O2212" t="s">
        <v>472</v>
      </c>
      <c r="P2212">
        <v>6175557555</v>
      </c>
      <c r="Q2212" t="s">
        <v>473</v>
      </c>
      <c r="S2212" t="s">
        <v>297</v>
      </c>
      <c r="T2212" t="s">
        <v>137</v>
      </c>
      <c r="U2212">
        <v>58339</v>
      </c>
      <c r="V2212" t="s">
        <v>46</v>
      </c>
      <c r="W2212" t="s">
        <v>47</v>
      </c>
      <c r="X2212" t="s">
        <v>474</v>
      </c>
      <c r="Y2212" t="s">
        <v>475</v>
      </c>
      <c r="Z2212" t="s">
        <v>50</v>
      </c>
    </row>
    <row r="2213" spans="1:26" x14ac:dyDescent="0.3">
      <c r="A2213">
        <v>10285</v>
      </c>
      <c r="B2213">
        <v>37</v>
      </c>
      <c r="C2213">
        <v>41.03</v>
      </c>
      <c r="D2213">
        <v>1</v>
      </c>
      <c r="E2213">
        <v>1518.11</v>
      </c>
      <c r="F2213" s="1">
        <v>38226</v>
      </c>
      <c r="G2213" t="s">
        <v>39</v>
      </c>
      <c r="H2213">
        <v>3</v>
      </c>
      <c r="I2213">
        <v>8</v>
      </c>
      <c r="J2213" t="str">
        <f>TEXT(DATE(2012,Table1[[#This Row],[MONTH_ID]],10),"mmm")</f>
        <v>Aug</v>
      </c>
      <c r="K2213">
        <v>2004</v>
      </c>
      <c r="L2213" t="s">
        <v>40</v>
      </c>
      <c r="M2213">
        <v>40</v>
      </c>
      <c r="N2213" t="s">
        <v>665</v>
      </c>
      <c r="O2213" t="s">
        <v>134</v>
      </c>
      <c r="P2213">
        <v>6175558555</v>
      </c>
      <c r="Q2213" t="s">
        <v>135</v>
      </c>
      <c r="S2213" t="s">
        <v>136</v>
      </c>
      <c r="T2213" t="s">
        <v>137</v>
      </c>
      <c r="U2213">
        <v>51247</v>
      </c>
      <c r="V2213" t="s">
        <v>46</v>
      </c>
      <c r="W2213" t="s">
        <v>47</v>
      </c>
      <c r="X2213" t="s">
        <v>138</v>
      </c>
      <c r="Y2213" t="s">
        <v>139</v>
      </c>
      <c r="Z2213" t="s">
        <v>50</v>
      </c>
    </row>
    <row r="2214" spans="1:26" x14ac:dyDescent="0.3">
      <c r="A2214">
        <v>10299</v>
      </c>
      <c r="B2214">
        <v>24</v>
      </c>
      <c r="C2214">
        <v>42.24</v>
      </c>
      <c r="D2214">
        <v>4</v>
      </c>
      <c r="E2214">
        <v>1013.76</v>
      </c>
      <c r="F2214" s="1">
        <v>38260</v>
      </c>
      <c r="G2214" t="s">
        <v>39</v>
      </c>
      <c r="H2214">
        <v>3</v>
      </c>
      <c r="I2214">
        <v>9</v>
      </c>
      <c r="J2214" t="str">
        <f>TEXT(DATE(2012,Table1[[#This Row],[MONTH_ID]],10),"mmm")</f>
        <v>Sep</v>
      </c>
      <c r="K2214">
        <v>2004</v>
      </c>
      <c r="L2214" t="s">
        <v>40</v>
      </c>
      <c r="M2214">
        <v>40</v>
      </c>
      <c r="N2214" t="s">
        <v>665</v>
      </c>
      <c r="O2214" t="s">
        <v>140</v>
      </c>
      <c r="P2214" t="s">
        <v>141</v>
      </c>
      <c r="Q2214" t="s">
        <v>142</v>
      </c>
      <c r="S2214" t="s">
        <v>143</v>
      </c>
      <c r="U2214">
        <v>21240</v>
      </c>
      <c r="V2214" t="s">
        <v>144</v>
      </c>
      <c r="W2214" t="s">
        <v>56</v>
      </c>
      <c r="X2214" t="s">
        <v>145</v>
      </c>
      <c r="Y2214" t="s">
        <v>146</v>
      </c>
      <c r="Z2214" t="s">
        <v>50</v>
      </c>
    </row>
    <row r="2215" spans="1:26" x14ac:dyDescent="0.3">
      <c r="A2215">
        <v>10310</v>
      </c>
      <c r="B2215">
        <v>36</v>
      </c>
      <c r="C2215">
        <v>43.05</v>
      </c>
      <c r="D2215">
        <v>17</v>
      </c>
      <c r="E2215">
        <v>1549.8</v>
      </c>
      <c r="F2215" s="1">
        <v>38276</v>
      </c>
      <c r="G2215" t="s">
        <v>39</v>
      </c>
      <c r="H2215">
        <v>4</v>
      </c>
      <c r="I2215">
        <v>10</v>
      </c>
      <c r="J2215" t="str">
        <f>TEXT(DATE(2012,Table1[[#This Row],[MONTH_ID]],10),"mmm")</f>
        <v>Oct</v>
      </c>
      <c r="K2215">
        <v>2004</v>
      </c>
      <c r="L2215" t="s">
        <v>40</v>
      </c>
      <c r="M2215">
        <v>40</v>
      </c>
      <c r="N2215" t="s">
        <v>665</v>
      </c>
      <c r="O2215" t="s">
        <v>453</v>
      </c>
      <c r="P2215" t="s">
        <v>454</v>
      </c>
      <c r="Q2215" t="s">
        <v>455</v>
      </c>
      <c r="S2215" t="s">
        <v>456</v>
      </c>
      <c r="U2215">
        <v>50739</v>
      </c>
      <c r="V2215" t="s">
        <v>457</v>
      </c>
      <c r="W2215" t="s">
        <v>56</v>
      </c>
      <c r="X2215" t="s">
        <v>458</v>
      </c>
      <c r="Y2215" t="s">
        <v>459</v>
      </c>
      <c r="Z2215" t="s">
        <v>50</v>
      </c>
    </row>
    <row r="2216" spans="1:26" x14ac:dyDescent="0.3">
      <c r="A2216">
        <v>10319</v>
      </c>
      <c r="B2216">
        <v>29</v>
      </c>
      <c r="C2216">
        <v>38.22</v>
      </c>
      <c r="D2216">
        <v>5</v>
      </c>
      <c r="E2216">
        <v>1108.3800000000001</v>
      </c>
      <c r="F2216" s="1">
        <v>38294</v>
      </c>
      <c r="G2216" t="s">
        <v>39</v>
      </c>
      <c r="H2216">
        <v>4</v>
      </c>
      <c r="I2216">
        <v>11</v>
      </c>
      <c r="J2216" t="str">
        <f>TEXT(DATE(2012,Table1[[#This Row],[MONTH_ID]],10),"mmm")</f>
        <v>Nov</v>
      </c>
      <c r="K2216">
        <v>2004</v>
      </c>
      <c r="L2216" t="s">
        <v>40</v>
      </c>
      <c r="M2216">
        <v>40</v>
      </c>
      <c r="N2216" t="s">
        <v>665</v>
      </c>
      <c r="O2216" t="s">
        <v>521</v>
      </c>
      <c r="P2216">
        <v>2125551957</v>
      </c>
      <c r="Q2216" t="s">
        <v>522</v>
      </c>
      <c r="R2216" t="s">
        <v>523</v>
      </c>
      <c r="S2216" t="s">
        <v>44</v>
      </c>
      <c r="T2216" t="s">
        <v>45</v>
      </c>
      <c r="U2216">
        <v>10022</v>
      </c>
      <c r="V2216" t="s">
        <v>46</v>
      </c>
      <c r="W2216" t="s">
        <v>47</v>
      </c>
      <c r="X2216" t="s">
        <v>524</v>
      </c>
      <c r="Y2216" t="s">
        <v>525</v>
      </c>
      <c r="Z2216" t="s">
        <v>50</v>
      </c>
    </row>
    <row r="2217" spans="1:26" x14ac:dyDescent="0.3">
      <c r="A2217">
        <v>10331</v>
      </c>
      <c r="B2217">
        <v>28</v>
      </c>
      <c r="C2217">
        <v>100</v>
      </c>
      <c r="D2217">
        <v>3</v>
      </c>
      <c r="E2217">
        <v>4102.5600000000004</v>
      </c>
      <c r="F2217" s="1">
        <v>38308</v>
      </c>
      <c r="G2217" t="s">
        <v>39</v>
      </c>
      <c r="H2217">
        <v>4</v>
      </c>
      <c r="I2217">
        <v>11</v>
      </c>
      <c r="J2217" t="str">
        <f>TEXT(DATE(2012,Table1[[#This Row],[MONTH_ID]],10),"mmm")</f>
        <v>Nov</v>
      </c>
      <c r="K2217">
        <v>2004</v>
      </c>
      <c r="L2217" t="s">
        <v>40</v>
      </c>
      <c r="M2217">
        <v>40</v>
      </c>
      <c r="N2217" t="s">
        <v>665</v>
      </c>
      <c r="O2217" t="s">
        <v>323</v>
      </c>
      <c r="P2217">
        <v>2155559857</v>
      </c>
      <c r="Q2217" t="s">
        <v>324</v>
      </c>
      <c r="S2217" t="s">
        <v>230</v>
      </c>
      <c r="T2217" t="s">
        <v>156</v>
      </c>
      <c r="U2217">
        <v>71270</v>
      </c>
      <c r="V2217" t="s">
        <v>46</v>
      </c>
      <c r="W2217" t="s">
        <v>47</v>
      </c>
      <c r="X2217" t="s">
        <v>138</v>
      </c>
      <c r="Y2217" t="s">
        <v>325</v>
      </c>
      <c r="Z2217" t="s">
        <v>65</v>
      </c>
    </row>
    <row r="2218" spans="1:26" x14ac:dyDescent="0.3">
      <c r="A2218">
        <v>10343</v>
      </c>
      <c r="B2218">
        <v>29</v>
      </c>
      <c r="C2218">
        <v>100</v>
      </c>
      <c r="D2218">
        <v>5</v>
      </c>
      <c r="E2218">
        <v>3713.16</v>
      </c>
      <c r="F2218" s="1">
        <v>38315</v>
      </c>
      <c r="G2218" t="s">
        <v>39</v>
      </c>
      <c r="H2218">
        <v>4</v>
      </c>
      <c r="I2218">
        <v>11</v>
      </c>
      <c r="J2218" t="str">
        <f>TEXT(DATE(2012,Table1[[#This Row],[MONTH_ID]],10),"mmm")</f>
        <v>Nov</v>
      </c>
      <c r="K2218">
        <v>2004</v>
      </c>
      <c r="L2218" t="s">
        <v>40</v>
      </c>
      <c r="M2218">
        <v>40</v>
      </c>
      <c r="N2218" t="s">
        <v>665</v>
      </c>
      <c r="O2218" t="s">
        <v>51</v>
      </c>
      <c r="P2218" t="s">
        <v>52</v>
      </c>
      <c r="Q2218" t="s">
        <v>53</v>
      </c>
      <c r="S2218" t="s">
        <v>54</v>
      </c>
      <c r="U2218">
        <v>51100</v>
      </c>
      <c r="V2218" t="s">
        <v>55</v>
      </c>
      <c r="W2218" t="s">
        <v>56</v>
      </c>
      <c r="X2218" t="s">
        <v>57</v>
      </c>
      <c r="Y2218" t="s">
        <v>58</v>
      </c>
      <c r="Z2218" t="s">
        <v>65</v>
      </c>
    </row>
    <row r="2219" spans="1:26" x14ac:dyDescent="0.3">
      <c r="A2219">
        <v>10355</v>
      </c>
      <c r="B2219">
        <v>38</v>
      </c>
      <c r="C2219">
        <v>39.83</v>
      </c>
      <c r="D2219">
        <v>10</v>
      </c>
      <c r="E2219">
        <v>1513.54</v>
      </c>
      <c r="F2219" s="1">
        <v>38328</v>
      </c>
      <c r="G2219" t="s">
        <v>39</v>
      </c>
      <c r="H2219">
        <v>4</v>
      </c>
      <c r="I2219">
        <v>12</v>
      </c>
      <c r="J2219" t="str">
        <f>TEXT(DATE(2012,Table1[[#This Row],[MONTH_ID]],10),"mmm")</f>
        <v>Dec</v>
      </c>
      <c r="K2219">
        <v>2004</v>
      </c>
      <c r="L2219" t="s">
        <v>40</v>
      </c>
      <c r="M2219">
        <v>40</v>
      </c>
      <c r="N2219" t="s">
        <v>665</v>
      </c>
      <c r="O2219" t="s">
        <v>188</v>
      </c>
      <c r="P2219" t="s">
        <v>189</v>
      </c>
      <c r="Q2219" t="s">
        <v>190</v>
      </c>
      <c r="S2219" t="s">
        <v>191</v>
      </c>
      <c r="U2219">
        <v>28034</v>
      </c>
      <c r="V2219" t="s">
        <v>192</v>
      </c>
      <c r="W2219" t="s">
        <v>56</v>
      </c>
      <c r="X2219" t="s">
        <v>193</v>
      </c>
      <c r="Y2219" t="s">
        <v>194</v>
      </c>
      <c r="Z2219" t="s">
        <v>50</v>
      </c>
    </row>
    <row r="2220" spans="1:26" x14ac:dyDescent="0.3">
      <c r="A2220">
        <v>10364</v>
      </c>
      <c r="B2220">
        <v>48</v>
      </c>
      <c r="C2220">
        <v>48.28</v>
      </c>
      <c r="D2220">
        <v>1</v>
      </c>
      <c r="E2220">
        <v>2317.44</v>
      </c>
      <c r="F2220" s="1">
        <v>38358</v>
      </c>
      <c r="G2220" t="s">
        <v>39</v>
      </c>
      <c r="H2220">
        <v>1</v>
      </c>
      <c r="I2220">
        <v>1</v>
      </c>
      <c r="J2220" t="str">
        <f>TEXT(DATE(2012,Table1[[#This Row],[MONTH_ID]],10),"mmm")</f>
        <v>Jan</v>
      </c>
      <c r="K2220">
        <v>2005</v>
      </c>
      <c r="L2220" t="s">
        <v>40</v>
      </c>
      <c r="M2220">
        <v>40</v>
      </c>
      <c r="N2220" t="s">
        <v>665</v>
      </c>
      <c r="O2220" t="s">
        <v>447</v>
      </c>
      <c r="P2220" t="s">
        <v>448</v>
      </c>
      <c r="Q2220" t="s">
        <v>449</v>
      </c>
      <c r="S2220" t="s">
        <v>450</v>
      </c>
      <c r="U2220">
        <v>13008</v>
      </c>
      <c r="V2220" t="s">
        <v>55</v>
      </c>
      <c r="W2220" t="s">
        <v>56</v>
      </c>
      <c r="X2220" t="s">
        <v>451</v>
      </c>
      <c r="Y2220" t="s">
        <v>452</v>
      </c>
      <c r="Z2220" t="s">
        <v>50</v>
      </c>
    </row>
    <row r="2221" spans="1:26" x14ac:dyDescent="0.3">
      <c r="A2221">
        <v>10378</v>
      </c>
      <c r="B2221">
        <v>40</v>
      </c>
      <c r="C2221">
        <v>82.46</v>
      </c>
      <c r="D2221">
        <v>1</v>
      </c>
      <c r="E2221">
        <v>3298.4</v>
      </c>
      <c r="F2221" s="1">
        <v>38393</v>
      </c>
      <c r="G2221" t="s">
        <v>39</v>
      </c>
      <c r="H2221">
        <v>1</v>
      </c>
      <c r="I2221">
        <v>2</v>
      </c>
      <c r="J2221" t="str">
        <f>TEXT(DATE(2012,Table1[[#This Row],[MONTH_ID]],10),"mmm")</f>
        <v>Feb</v>
      </c>
      <c r="K2221">
        <v>2005</v>
      </c>
      <c r="L2221" t="s">
        <v>40</v>
      </c>
      <c r="M2221">
        <v>40</v>
      </c>
      <c r="N2221" t="s">
        <v>665</v>
      </c>
      <c r="O2221" t="s">
        <v>188</v>
      </c>
      <c r="P2221" t="s">
        <v>189</v>
      </c>
      <c r="Q2221" t="s">
        <v>190</v>
      </c>
      <c r="S2221" t="s">
        <v>191</v>
      </c>
      <c r="U2221">
        <v>28034</v>
      </c>
      <c r="V2221" t="s">
        <v>192</v>
      </c>
      <c r="W2221" t="s">
        <v>56</v>
      </c>
      <c r="X2221" t="s">
        <v>193</v>
      </c>
      <c r="Y2221" t="s">
        <v>194</v>
      </c>
      <c r="Z2221" t="s">
        <v>65</v>
      </c>
    </row>
    <row r="2222" spans="1:26" x14ac:dyDescent="0.3">
      <c r="A2222">
        <v>10390</v>
      </c>
      <c r="B2222">
        <v>41</v>
      </c>
      <c r="C2222">
        <v>44.56</v>
      </c>
      <c r="D2222">
        <v>11</v>
      </c>
      <c r="E2222">
        <v>1826.96</v>
      </c>
      <c r="F2222" s="1">
        <v>38415</v>
      </c>
      <c r="G2222" t="s">
        <v>39</v>
      </c>
      <c r="H2222">
        <v>1</v>
      </c>
      <c r="I2222">
        <v>3</v>
      </c>
      <c r="J2222" t="str">
        <f>TEXT(DATE(2012,Table1[[#This Row],[MONTH_ID]],10),"mmm")</f>
        <v>Mar</v>
      </c>
      <c r="K2222">
        <v>2005</v>
      </c>
      <c r="L2222" t="s">
        <v>40</v>
      </c>
      <c r="M2222">
        <v>40</v>
      </c>
      <c r="N2222" t="s">
        <v>665</v>
      </c>
      <c r="O2222" t="s">
        <v>286</v>
      </c>
      <c r="P2222">
        <v>4155551450</v>
      </c>
      <c r="Q2222" t="s">
        <v>287</v>
      </c>
      <c r="S2222" t="s">
        <v>288</v>
      </c>
      <c r="T2222" t="s">
        <v>69</v>
      </c>
      <c r="U2222">
        <v>97562</v>
      </c>
      <c r="V2222" t="s">
        <v>46</v>
      </c>
      <c r="W2222" t="s">
        <v>47</v>
      </c>
      <c r="X2222" t="s">
        <v>289</v>
      </c>
      <c r="Y2222" t="s">
        <v>290</v>
      </c>
      <c r="Z2222" t="s">
        <v>50</v>
      </c>
    </row>
    <row r="2223" spans="1:26" x14ac:dyDescent="0.3">
      <c r="A2223">
        <v>10403</v>
      </c>
      <c r="B2223">
        <v>30</v>
      </c>
      <c r="C2223">
        <v>40.229999999999997</v>
      </c>
      <c r="D2223">
        <v>2</v>
      </c>
      <c r="E2223">
        <v>1206.9000000000001</v>
      </c>
      <c r="F2223" s="1">
        <v>38450</v>
      </c>
      <c r="G2223" t="s">
        <v>39</v>
      </c>
      <c r="H2223">
        <v>2</v>
      </c>
      <c r="I2223">
        <v>4</v>
      </c>
      <c r="J2223" t="str">
        <f>TEXT(DATE(2012,Table1[[#This Row],[MONTH_ID]],10),"mmm")</f>
        <v>Apr</v>
      </c>
      <c r="K2223">
        <v>2005</v>
      </c>
      <c r="L2223" t="s">
        <v>40</v>
      </c>
      <c r="M2223">
        <v>40</v>
      </c>
      <c r="N2223" t="s">
        <v>665</v>
      </c>
      <c r="O2223" t="s">
        <v>179</v>
      </c>
      <c r="P2223" t="s">
        <v>180</v>
      </c>
      <c r="Q2223" t="s">
        <v>181</v>
      </c>
      <c r="S2223" t="s">
        <v>182</v>
      </c>
      <c r="U2223" t="s">
        <v>183</v>
      </c>
      <c r="V2223" t="s">
        <v>184</v>
      </c>
      <c r="W2223" t="s">
        <v>56</v>
      </c>
      <c r="X2223" t="s">
        <v>185</v>
      </c>
      <c r="Y2223" t="s">
        <v>186</v>
      </c>
      <c r="Z2223" t="s">
        <v>50</v>
      </c>
    </row>
    <row r="2224" spans="1:26" x14ac:dyDescent="0.3">
      <c r="A2224">
        <v>10104</v>
      </c>
      <c r="B2224">
        <v>35</v>
      </c>
      <c r="C2224">
        <v>47.62</v>
      </c>
      <c r="D2224">
        <v>11</v>
      </c>
      <c r="E2224">
        <v>1666.7</v>
      </c>
      <c r="F2224" s="1">
        <v>37652</v>
      </c>
      <c r="G2224" t="s">
        <v>39</v>
      </c>
      <c r="H2224">
        <v>1</v>
      </c>
      <c r="I2224">
        <v>1</v>
      </c>
      <c r="J2224" t="str">
        <f>TEXT(DATE(2012,Table1[[#This Row],[MONTH_ID]],10),"mmm")</f>
        <v>Jan</v>
      </c>
      <c r="K2224">
        <v>2003</v>
      </c>
      <c r="L2224" t="s">
        <v>518</v>
      </c>
      <c r="M2224">
        <v>54</v>
      </c>
      <c r="N2224" t="s">
        <v>666</v>
      </c>
      <c r="O2224" t="s">
        <v>188</v>
      </c>
      <c r="P2224" t="s">
        <v>189</v>
      </c>
      <c r="Q2224" t="s">
        <v>190</v>
      </c>
      <c r="S2224" t="s">
        <v>191</v>
      </c>
      <c r="U2224">
        <v>28034</v>
      </c>
      <c r="V2224" t="s">
        <v>192</v>
      </c>
      <c r="W2224" t="s">
        <v>56</v>
      </c>
      <c r="X2224" t="s">
        <v>193</v>
      </c>
      <c r="Y2224" t="s">
        <v>194</v>
      </c>
      <c r="Z2224" t="s">
        <v>50</v>
      </c>
    </row>
    <row r="2225" spans="1:26" x14ac:dyDescent="0.3">
      <c r="A2225">
        <v>10114</v>
      </c>
      <c r="B2225">
        <v>28</v>
      </c>
      <c r="C2225">
        <v>55.73</v>
      </c>
      <c r="D2225">
        <v>2</v>
      </c>
      <c r="E2225">
        <v>1560.44</v>
      </c>
      <c r="F2225" s="1">
        <v>37712</v>
      </c>
      <c r="G2225" t="s">
        <v>39</v>
      </c>
      <c r="H2225">
        <v>2</v>
      </c>
      <c r="I2225">
        <v>4</v>
      </c>
      <c r="J2225" t="str">
        <f>TEXT(DATE(2012,Table1[[#This Row],[MONTH_ID]],10),"mmm")</f>
        <v>Apr</v>
      </c>
      <c r="K2225">
        <v>2003</v>
      </c>
      <c r="L2225" t="s">
        <v>518</v>
      </c>
      <c r="M2225">
        <v>54</v>
      </c>
      <c r="N2225" t="s">
        <v>666</v>
      </c>
      <c r="O2225" t="s">
        <v>417</v>
      </c>
      <c r="P2225" t="s">
        <v>418</v>
      </c>
      <c r="Q2225" t="s">
        <v>419</v>
      </c>
      <c r="S2225" t="s">
        <v>62</v>
      </c>
      <c r="U2225">
        <v>75012</v>
      </c>
      <c r="V2225" t="s">
        <v>55</v>
      </c>
      <c r="W2225" t="s">
        <v>56</v>
      </c>
      <c r="X2225" t="s">
        <v>420</v>
      </c>
      <c r="Y2225" t="s">
        <v>421</v>
      </c>
      <c r="Z2225" t="s">
        <v>50</v>
      </c>
    </row>
    <row r="2226" spans="1:26" x14ac:dyDescent="0.3">
      <c r="A2226">
        <v>10127</v>
      </c>
      <c r="B2226">
        <v>45</v>
      </c>
      <c r="C2226">
        <v>51.95</v>
      </c>
      <c r="D2226">
        <v>13</v>
      </c>
      <c r="E2226">
        <v>2337.75</v>
      </c>
      <c r="F2226" s="1">
        <v>37775</v>
      </c>
      <c r="G2226" t="s">
        <v>39</v>
      </c>
      <c r="H2226">
        <v>2</v>
      </c>
      <c r="I2226">
        <v>6</v>
      </c>
      <c r="J2226" t="str">
        <f>TEXT(DATE(2012,Table1[[#This Row],[MONTH_ID]],10),"mmm")</f>
        <v>Jun</v>
      </c>
      <c r="K2226">
        <v>2003</v>
      </c>
      <c r="L2226" t="s">
        <v>518</v>
      </c>
      <c r="M2226">
        <v>54</v>
      </c>
      <c r="N2226" t="s">
        <v>666</v>
      </c>
      <c r="O2226" t="s">
        <v>489</v>
      </c>
      <c r="P2226">
        <v>2125557413</v>
      </c>
      <c r="Q2226" t="s">
        <v>490</v>
      </c>
      <c r="R2226" t="s">
        <v>491</v>
      </c>
      <c r="S2226" t="s">
        <v>44</v>
      </c>
      <c r="T2226" t="s">
        <v>45</v>
      </c>
      <c r="U2226">
        <v>10022</v>
      </c>
      <c r="V2226" t="s">
        <v>46</v>
      </c>
      <c r="W2226" t="s">
        <v>47</v>
      </c>
      <c r="X2226" t="s">
        <v>70</v>
      </c>
      <c r="Y2226" t="s">
        <v>492</v>
      </c>
      <c r="Z2226" t="s">
        <v>50</v>
      </c>
    </row>
    <row r="2227" spans="1:26" x14ac:dyDescent="0.3">
      <c r="A2227">
        <v>10141</v>
      </c>
      <c r="B2227">
        <v>24</v>
      </c>
      <c r="C2227">
        <v>45.99</v>
      </c>
      <c r="D2227">
        <v>7</v>
      </c>
      <c r="E2227">
        <v>1103.76</v>
      </c>
      <c r="F2227" s="1">
        <v>37834</v>
      </c>
      <c r="G2227" t="s">
        <v>39</v>
      </c>
      <c r="H2227">
        <v>3</v>
      </c>
      <c r="I2227">
        <v>8</v>
      </c>
      <c r="J2227" t="str">
        <f>TEXT(DATE(2012,Table1[[#This Row],[MONTH_ID]],10),"mmm")</f>
        <v>Aug</v>
      </c>
      <c r="K2227">
        <v>2003</v>
      </c>
      <c r="L2227" t="s">
        <v>518</v>
      </c>
      <c r="M2227">
        <v>54</v>
      </c>
      <c r="N2227" t="s">
        <v>666</v>
      </c>
      <c r="O2227" t="s">
        <v>481</v>
      </c>
      <c r="P2227" t="s">
        <v>482</v>
      </c>
      <c r="Q2227" t="s">
        <v>483</v>
      </c>
      <c r="S2227" t="s">
        <v>484</v>
      </c>
      <c r="U2227" t="s">
        <v>485</v>
      </c>
      <c r="V2227" t="s">
        <v>144</v>
      </c>
      <c r="W2227" t="s">
        <v>56</v>
      </c>
      <c r="X2227" t="s">
        <v>486</v>
      </c>
      <c r="Y2227" t="s">
        <v>487</v>
      </c>
      <c r="Z2227" t="s">
        <v>50</v>
      </c>
    </row>
    <row r="2228" spans="1:26" x14ac:dyDescent="0.3">
      <c r="A2228">
        <v>10151</v>
      </c>
      <c r="B2228">
        <v>41</v>
      </c>
      <c r="C2228">
        <v>63.85</v>
      </c>
      <c r="D2228">
        <v>5</v>
      </c>
      <c r="E2228">
        <v>2617.85</v>
      </c>
      <c r="F2228" s="1">
        <v>37885</v>
      </c>
      <c r="G2228" t="s">
        <v>39</v>
      </c>
      <c r="H2228">
        <v>3</v>
      </c>
      <c r="I2228">
        <v>9</v>
      </c>
      <c r="J2228" t="str">
        <f>TEXT(DATE(2012,Table1[[#This Row],[MONTH_ID]],10),"mmm")</f>
        <v>Sep</v>
      </c>
      <c r="K2228">
        <v>2003</v>
      </c>
      <c r="L2228" t="s">
        <v>518</v>
      </c>
      <c r="M2228">
        <v>54</v>
      </c>
      <c r="N2228" t="s">
        <v>666</v>
      </c>
      <c r="O2228" t="s">
        <v>405</v>
      </c>
      <c r="P2228" t="s">
        <v>406</v>
      </c>
      <c r="Q2228" t="s">
        <v>407</v>
      </c>
      <c r="S2228" t="s">
        <v>408</v>
      </c>
      <c r="U2228">
        <v>90110</v>
      </c>
      <c r="V2228" t="s">
        <v>144</v>
      </c>
      <c r="W2228" t="s">
        <v>56</v>
      </c>
      <c r="X2228" t="s">
        <v>409</v>
      </c>
      <c r="Y2228" t="s">
        <v>410</v>
      </c>
      <c r="Z2228" t="s">
        <v>50</v>
      </c>
    </row>
    <row r="2229" spans="1:26" x14ac:dyDescent="0.3">
      <c r="A2229">
        <v>10165</v>
      </c>
      <c r="B2229">
        <v>48</v>
      </c>
      <c r="C2229">
        <v>45.99</v>
      </c>
      <c r="D2229">
        <v>14</v>
      </c>
      <c r="E2229">
        <v>2207.52</v>
      </c>
      <c r="F2229" s="1">
        <v>37916</v>
      </c>
      <c r="G2229" t="s">
        <v>39</v>
      </c>
      <c r="H2229">
        <v>4</v>
      </c>
      <c r="I2229">
        <v>10</v>
      </c>
      <c r="J2229" t="str">
        <f>TEXT(DATE(2012,Table1[[#This Row],[MONTH_ID]],10),"mmm")</f>
        <v>Oct</v>
      </c>
      <c r="K2229">
        <v>2003</v>
      </c>
      <c r="L2229" t="s">
        <v>518</v>
      </c>
      <c r="M2229">
        <v>54</v>
      </c>
      <c r="N2229" t="s">
        <v>666</v>
      </c>
      <c r="O2229" t="s">
        <v>210</v>
      </c>
      <c r="P2229" t="s">
        <v>211</v>
      </c>
      <c r="Q2229" t="s">
        <v>212</v>
      </c>
      <c r="S2229" t="s">
        <v>213</v>
      </c>
      <c r="U2229">
        <v>79903</v>
      </c>
      <c r="V2229" t="s">
        <v>213</v>
      </c>
      <c r="W2229" t="s">
        <v>214</v>
      </c>
      <c r="X2229" t="s">
        <v>215</v>
      </c>
      <c r="Y2229" t="s">
        <v>216</v>
      </c>
      <c r="Z2229" t="s">
        <v>50</v>
      </c>
    </row>
    <row r="2230" spans="1:26" x14ac:dyDescent="0.3">
      <c r="A2230">
        <v>10175</v>
      </c>
      <c r="B2230">
        <v>50</v>
      </c>
      <c r="C2230">
        <v>63.31</v>
      </c>
      <c r="D2230">
        <v>3</v>
      </c>
      <c r="E2230">
        <v>3165.5</v>
      </c>
      <c r="F2230" s="1">
        <v>37931</v>
      </c>
      <c r="G2230" t="s">
        <v>39</v>
      </c>
      <c r="H2230">
        <v>4</v>
      </c>
      <c r="I2230">
        <v>11</v>
      </c>
      <c r="J2230" t="str">
        <f>TEXT(DATE(2012,Table1[[#This Row],[MONTH_ID]],10),"mmm")</f>
        <v>Nov</v>
      </c>
      <c r="K2230">
        <v>2003</v>
      </c>
      <c r="L2230" t="s">
        <v>518</v>
      </c>
      <c r="M2230">
        <v>54</v>
      </c>
      <c r="N2230" t="s">
        <v>666</v>
      </c>
      <c r="O2230" t="s">
        <v>343</v>
      </c>
      <c r="P2230" t="s">
        <v>344</v>
      </c>
      <c r="Q2230" t="s">
        <v>345</v>
      </c>
      <c r="S2230" t="s">
        <v>346</v>
      </c>
      <c r="U2230" t="s">
        <v>347</v>
      </c>
      <c r="V2230" t="s">
        <v>184</v>
      </c>
      <c r="W2230" t="s">
        <v>56</v>
      </c>
      <c r="X2230" t="s">
        <v>75</v>
      </c>
      <c r="Y2230" t="s">
        <v>348</v>
      </c>
      <c r="Z2230" t="s">
        <v>65</v>
      </c>
    </row>
    <row r="2231" spans="1:26" x14ac:dyDescent="0.3">
      <c r="A2231">
        <v>10184</v>
      </c>
      <c r="B2231">
        <v>33</v>
      </c>
      <c r="C2231">
        <v>62.77</v>
      </c>
      <c r="D2231">
        <v>8</v>
      </c>
      <c r="E2231">
        <v>2071.41</v>
      </c>
      <c r="F2231" s="1">
        <v>37939</v>
      </c>
      <c r="G2231" t="s">
        <v>39</v>
      </c>
      <c r="H2231">
        <v>4</v>
      </c>
      <c r="I2231">
        <v>11</v>
      </c>
      <c r="J2231" t="str">
        <f>TEXT(DATE(2012,Table1[[#This Row],[MONTH_ID]],10),"mmm")</f>
        <v>Nov</v>
      </c>
      <c r="K2231">
        <v>2003</v>
      </c>
      <c r="L2231" t="s">
        <v>518</v>
      </c>
      <c r="M2231">
        <v>54</v>
      </c>
      <c r="N2231" t="s">
        <v>666</v>
      </c>
      <c r="O2231" t="s">
        <v>534</v>
      </c>
      <c r="P2231" t="s">
        <v>535</v>
      </c>
      <c r="Q2231" t="s">
        <v>536</v>
      </c>
      <c r="S2231" t="s">
        <v>537</v>
      </c>
      <c r="U2231">
        <v>41101</v>
      </c>
      <c r="V2231" t="s">
        <v>192</v>
      </c>
      <c r="W2231" t="s">
        <v>56</v>
      </c>
      <c r="X2231" t="s">
        <v>538</v>
      </c>
      <c r="Y2231" t="s">
        <v>539</v>
      </c>
      <c r="Z2231" t="s">
        <v>50</v>
      </c>
    </row>
    <row r="2232" spans="1:26" x14ac:dyDescent="0.3">
      <c r="A2232">
        <v>10195</v>
      </c>
      <c r="B2232">
        <v>32</v>
      </c>
      <c r="C2232">
        <v>43.29</v>
      </c>
      <c r="D2232">
        <v>8</v>
      </c>
      <c r="E2232">
        <v>1385.28</v>
      </c>
      <c r="F2232" s="1">
        <v>37950</v>
      </c>
      <c r="G2232" t="s">
        <v>39</v>
      </c>
      <c r="H2232">
        <v>4</v>
      </c>
      <c r="I2232">
        <v>11</v>
      </c>
      <c r="J2232" t="str">
        <f>TEXT(DATE(2012,Table1[[#This Row],[MONTH_ID]],10),"mmm")</f>
        <v>Nov</v>
      </c>
      <c r="K2232">
        <v>2003</v>
      </c>
      <c r="L2232" t="s">
        <v>518</v>
      </c>
      <c r="M2232">
        <v>54</v>
      </c>
      <c r="N2232" t="s">
        <v>666</v>
      </c>
      <c r="O2232" t="s">
        <v>331</v>
      </c>
      <c r="P2232">
        <v>9145554562</v>
      </c>
      <c r="Q2232" t="s">
        <v>332</v>
      </c>
      <c r="S2232" t="s">
        <v>333</v>
      </c>
      <c r="T2232" t="s">
        <v>45</v>
      </c>
      <c r="U2232">
        <v>24067</v>
      </c>
      <c r="V2232" t="s">
        <v>46</v>
      </c>
      <c r="W2232" t="s">
        <v>47</v>
      </c>
      <c r="X2232" t="s">
        <v>116</v>
      </c>
      <c r="Y2232" t="s">
        <v>252</v>
      </c>
      <c r="Z2232" t="s">
        <v>50</v>
      </c>
    </row>
    <row r="2233" spans="1:26" x14ac:dyDescent="0.3">
      <c r="A2233">
        <v>10207</v>
      </c>
      <c r="B2233">
        <v>27</v>
      </c>
      <c r="C2233">
        <v>60.06</v>
      </c>
      <c r="D2233">
        <v>9</v>
      </c>
      <c r="E2233">
        <v>1621.62</v>
      </c>
      <c r="F2233" s="1">
        <v>37964</v>
      </c>
      <c r="G2233" t="s">
        <v>39</v>
      </c>
      <c r="H2233">
        <v>4</v>
      </c>
      <c r="I2233">
        <v>12</v>
      </c>
      <c r="J2233" t="str">
        <f>TEXT(DATE(2012,Table1[[#This Row],[MONTH_ID]],10),"mmm")</f>
        <v>Dec</v>
      </c>
      <c r="K2233">
        <v>2003</v>
      </c>
      <c r="L2233" t="s">
        <v>518</v>
      </c>
      <c r="M2233">
        <v>54</v>
      </c>
      <c r="N2233" t="s">
        <v>666</v>
      </c>
      <c r="O2233" t="s">
        <v>429</v>
      </c>
      <c r="P2233">
        <v>6175552555</v>
      </c>
      <c r="Q2233" t="s">
        <v>430</v>
      </c>
      <c r="S2233" t="s">
        <v>395</v>
      </c>
      <c r="T2233" t="s">
        <v>137</v>
      </c>
      <c r="U2233">
        <v>51003</v>
      </c>
      <c r="V2233" t="s">
        <v>46</v>
      </c>
      <c r="W2233" t="s">
        <v>47</v>
      </c>
      <c r="X2233" t="s">
        <v>431</v>
      </c>
      <c r="Y2233" t="s">
        <v>290</v>
      </c>
      <c r="Z2233" t="s">
        <v>50</v>
      </c>
    </row>
    <row r="2234" spans="1:26" x14ac:dyDescent="0.3">
      <c r="A2234">
        <v>10219</v>
      </c>
      <c r="B2234">
        <v>35</v>
      </c>
      <c r="C2234">
        <v>55.19</v>
      </c>
      <c r="D2234">
        <v>4</v>
      </c>
      <c r="E2234">
        <v>1931.65</v>
      </c>
      <c r="F2234" s="1">
        <v>38027</v>
      </c>
      <c r="G2234" t="s">
        <v>39</v>
      </c>
      <c r="H2234">
        <v>1</v>
      </c>
      <c r="I2234">
        <v>2</v>
      </c>
      <c r="J2234" t="str">
        <f>TEXT(DATE(2012,Table1[[#This Row],[MONTH_ID]],10),"mmm")</f>
        <v>Feb</v>
      </c>
      <c r="K2234">
        <v>2004</v>
      </c>
      <c r="L2234" t="s">
        <v>518</v>
      </c>
      <c r="M2234">
        <v>54</v>
      </c>
      <c r="N2234" t="s">
        <v>666</v>
      </c>
      <c r="O2234" t="s">
        <v>540</v>
      </c>
      <c r="P2234">
        <v>4155554312</v>
      </c>
      <c r="Q2234" t="s">
        <v>541</v>
      </c>
      <c r="S2234" t="s">
        <v>542</v>
      </c>
      <c r="T2234" t="s">
        <v>69</v>
      </c>
      <c r="U2234">
        <v>94217</v>
      </c>
      <c r="V2234" t="s">
        <v>46</v>
      </c>
      <c r="W2234" t="s">
        <v>47</v>
      </c>
      <c r="X2234" t="s">
        <v>543</v>
      </c>
      <c r="Y2234" t="s">
        <v>414</v>
      </c>
      <c r="Z2234" t="s">
        <v>50</v>
      </c>
    </row>
    <row r="2235" spans="1:26" x14ac:dyDescent="0.3">
      <c r="A2235">
        <v>10229</v>
      </c>
      <c r="B2235">
        <v>23</v>
      </c>
      <c r="C2235">
        <v>54.11</v>
      </c>
      <c r="D2235">
        <v>3</v>
      </c>
      <c r="E2235">
        <v>1244.53</v>
      </c>
      <c r="F2235" s="1">
        <v>38057</v>
      </c>
      <c r="G2235" t="s">
        <v>39</v>
      </c>
      <c r="H2235">
        <v>1</v>
      </c>
      <c r="I2235">
        <v>3</v>
      </c>
      <c r="J2235" t="str">
        <f>TEXT(DATE(2012,Table1[[#This Row],[MONTH_ID]],10),"mmm")</f>
        <v>Mar</v>
      </c>
      <c r="K2235">
        <v>2004</v>
      </c>
      <c r="L2235" t="s">
        <v>518</v>
      </c>
      <c r="M2235">
        <v>54</v>
      </c>
      <c r="N2235" t="s">
        <v>666</v>
      </c>
      <c r="O2235" t="s">
        <v>286</v>
      </c>
      <c r="P2235">
        <v>4155551450</v>
      </c>
      <c r="Q2235" t="s">
        <v>287</v>
      </c>
      <c r="S2235" t="s">
        <v>288</v>
      </c>
      <c r="T2235" t="s">
        <v>69</v>
      </c>
      <c r="U2235">
        <v>97562</v>
      </c>
      <c r="V2235" t="s">
        <v>46</v>
      </c>
      <c r="W2235" t="s">
        <v>47</v>
      </c>
      <c r="X2235" t="s">
        <v>289</v>
      </c>
      <c r="Y2235" t="s">
        <v>290</v>
      </c>
      <c r="Z2235" t="s">
        <v>50</v>
      </c>
    </row>
    <row r="2236" spans="1:26" x14ac:dyDescent="0.3">
      <c r="A2236">
        <v>10246</v>
      </c>
      <c r="B2236">
        <v>35</v>
      </c>
      <c r="C2236">
        <v>48.7</v>
      </c>
      <c r="D2236">
        <v>7</v>
      </c>
      <c r="E2236">
        <v>1704.5</v>
      </c>
      <c r="F2236" s="1">
        <v>38112</v>
      </c>
      <c r="G2236" t="s">
        <v>39</v>
      </c>
      <c r="H2236">
        <v>2</v>
      </c>
      <c r="I2236">
        <v>5</v>
      </c>
      <c r="J2236" t="str">
        <f>TEXT(DATE(2012,Table1[[#This Row],[MONTH_ID]],10),"mmm")</f>
        <v>May</v>
      </c>
      <c r="K2236">
        <v>2004</v>
      </c>
      <c r="L2236" t="s">
        <v>518</v>
      </c>
      <c r="M2236">
        <v>54</v>
      </c>
      <c r="N2236" t="s">
        <v>666</v>
      </c>
      <c r="O2236" t="s">
        <v>188</v>
      </c>
      <c r="P2236" t="s">
        <v>189</v>
      </c>
      <c r="Q2236" t="s">
        <v>190</v>
      </c>
      <c r="S2236" t="s">
        <v>191</v>
      </c>
      <c r="U2236">
        <v>28034</v>
      </c>
      <c r="V2236" t="s">
        <v>192</v>
      </c>
      <c r="W2236" t="s">
        <v>56</v>
      </c>
      <c r="X2236" t="s">
        <v>193</v>
      </c>
      <c r="Y2236" t="s">
        <v>194</v>
      </c>
      <c r="Z2236" t="s">
        <v>50</v>
      </c>
    </row>
    <row r="2237" spans="1:26" x14ac:dyDescent="0.3">
      <c r="A2237">
        <v>10259</v>
      </c>
      <c r="B2237">
        <v>40</v>
      </c>
      <c r="C2237">
        <v>43.83</v>
      </c>
      <c r="D2237">
        <v>6</v>
      </c>
      <c r="E2237">
        <v>1753.2</v>
      </c>
      <c r="F2237" s="1">
        <v>38153</v>
      </c>
      <c r="G2237" t="s">
        <v>39</v>
      </c>
      <c r="H2237">
        <v>2</v>
      </c>
      <c r="I2237">
        <v>6</v>
      </c>
      <c r="J2237" t="str">
        <f>TEXT(DATE(2012,Table1[[#This Row],[MONTH_ID]],10),"mmm")</f>
        <v>Jun</v>
      </c>
      <c r="K2237">
        <v>2004</v>
      </c>
      <c r="L2237" t="s">
        <v>518</v>
      </c>
      <c r="M2237">
        <v>54</v>
      </c>
      <c r="N2237" t="s">
        <v>666</v>
      </c>
      <c r="O2237" t="s">
        <v>432</v>
      </c>
      <c r="P2237" t="s">
        <v>433</v>
      </c>
      <c r="Q2237" t="s">
        <v>434</v>
      </c>
      <c r="R2237" t="s">
        <v>435</v>
      </c>
      <c r="S2237" t="s">
        <v>213</v>
      </c>
      <c r="U2237">
        <v>69045</v>
      </c>
      <c r="V2237" t="s">
        <v>213</v>
      </c>
      <c r="W2237" t="s">
        <v>110</v>
      </c>
      <c r="X2237" t="s">
        <v>436</v>
      </c>
      <c r="Y2237" t="s">
        <v>437</v>
      </c>
      <c r="Z2237" t="s">
        <v>50</v>
      </c>
    </row>
    <row r="2238" spans="1:26" x14ac:dyDescent="0.3">
      <c r="A2238">
        <v>10271</v>
      </c>
      <c r="B2238">
        <v>35</v>
      </c>
      <c r="C2238">
        <v>47.62</v>
      </c>
      <c r="D2238">
        <v>7</v>
      </c>
      <c r="E2238">
        <v>1666.7</v>
      </c>
      <c r="F2238" s="1">
        <v>38188</v>
      </c>
      <c r="G2238" t="s">
        <v>39</v>
      </c>
      <c r="H2238">
        <v>3</v>
      </c>
      <c r="I2238">
        <v>7</v>
      </c>
      <c r="J2238" t="str">
        <f>TEXT(DATE(2012,Table1[[#This Row],[MONTH_ID]],10),"mmm")</f>
        <v>Jul</v>
      </c>
      <c r="K2238">
        <v>2004</v>
      </c>
      <c r="L2238" t="s">
        <v>518</v>
      </c>
      <c r="M2238">
        <v>54</v>
      </c>
      <c r="N2238" t="s">
        <v>666</v>
      </c>
      <c r="O2238" t="s">
        <v>286</v>
      </c>
      <c r="P2238">
        <v>4155551450</v>
      </c>
      <c r="Q2238" t="s">
        <v>287</v>
      </c>
      <c r="S2238" t="s">
        <v>288</v>
      </c>
      <c r="T2238" t="s">
        <v>69</v>
      </c>
      <c r="U2238">
        <v>97562</v>
      </c>
      <c r="V2238" t="s">
        <v>46</v>
      </c>
      <c r="W2238" t="s">
        <v>47</v>
      </c>
      <c r="X2238" t="s">
        <v>289</v>
      </c>
      <c r="Y2238" t="s">
        <v>290</v>
      </c>
      <c r="Z2238" t="s">
        <v>50</v>
      </c>
    </row>
    <row r="2239" spans="1:26" x14ac:dyDescent="0.3">
      <c r="A2239">
        <v>10281</v>
      </c>
      <c r="B2239">
        <v>31</v>
      </c>
      <c r="C2239">
        <v>55.19</v>
      </c>
      <c r="D2239">
        <v>3</v>
      </c>
      <c r="E2239">
        <v>1710.89</v>
      </c>
      <c r="F2239" s="1">
        <v>38218</v>
      </c>
      <c r="G2239" t="s">
        <v>39</v>
      </c>
      <c r="H2239">
        <v>3</v>
      </c>
      <c r="I2239">
        <v>8</v>
      </c>
      <c r="J2239" t="str">
        <f>TEXT(DATE(2012,Table1[[#This Row],[MONTH_ID]],10),"mmm")</f>
        <v>Aug</v>
      </c>
      <c r="K2239">
        <v>2004</v>
      </c>
      <c r="L2239" t="s">
        <v>518</v>
      </c>
      <c r="M2239">
        <v>54</v>
      </c>
      <c r="N2239" t="s">
        <v>666</v>
      </c>
      <c r="O2239" t="s">
        <v>153</v>
      </c>
      <c r="P2239">
        <v>2155551555</v>
      </c>
      <c r="Q2239" t="s">
        <v>154</v>
      </c>
      <c r="S2239" t="s">
        <v>155</v>
      </c>
      <c r="T2239" t="s">
        <v>156</v>
      </c>
      <c r="U2239">
        <v>70267</v>
      </c>
      <c r="V2239" t="s">
        <v>46</v>
      </c>
      <c r="W2239" t="s">
        <v>47</v>
      </c>
      <c r="X2239" t="s">
        <v>48</v>
      </c>
      <c r="Y2239" t="s">
        <v>157</v>
      </c>
      <c r="Z2239" t="s">
        <v>50</v>
      </c>
    </row>
    <row r="2240" spans="1:26" x14ac:dyDescent="0.3">
      <c r="A2240">
        <v>10292</v>
      </c>
      <c r="B2240">
        <v>50</v>
      </c>
      <c r="C2240">
        <v>46.53</v>
      </c>
      <c r="D2240">
        <v>10</v>
      </c>
      <c r="E2240">
        <v>2326.5</v>
      </c>
      <c r="F2240" s="1">
        <v>38238</v>
      </c>
      <c r="G2240" t="s">
        <v>39</v>
      </c>
      <c r="H2240">
        <v>3</v>
      </c>
      <c r="I2240">
        <v>9</v>
      </c>
      <c r="J2240" t="str">
        <f>TEXT(DATE(2012,Table1[[#This Row],[MONTH_ID]],10),"mmm")</f>
        <v>Sep</v>
      </c>
      <c r="K2240">
        <v>2004</v>
      </c>
      <c r="L2240" t="s">
        <v>518</v>
      </c>
      <c r="M2240">
        <v>54</v>
      </c>
      <c r="N2240" t="s">
        <v>666</v>
      </c>
      <c r="O2240" t="s">
        <v>42</v>
      </c>
      <c r="P2240">
        <v>2125557818</v>
      </c>
      <c r="Q2240" t="s">
        <v>43</v>
      </c>
      <c r="S2240" t="s">
        <v>44</v>
      </c>
      <c r="T2240" t="s">
        <v>45</v>
      </c>
      <c r="U2240">
        <v>10022</v>
      </c>
      <c r="V2240" t="s">
        <v>46</v>
      </c>
      <c r="W2240" t="s">
        <v>47</v>
      </c>
      <c r="X2240" t="s">
        <v>48</v>
      </c>
      <c r="Y2240" t="s">
        <v>49</v>
      </c>
      <c r="Z2240" t="s">
        <v>50</v>
      </c>
    </row>
    <row r="2241" spans="1:26" x14ac:dyDescent="0.3">
      <c r="A2241">
        <v>10305</v>
      </c>
      <c r="B2241">
        <v>40</v>
      </c>
      <c r="C2241">
        <v>57.9</v>
      </c>
      <c r="D2241">
        <v>7</v>
      </c>
      <c r="E2241">
        <v>2316</v>
      </c>
      <c r="F2241" s="1">
        <v>38273</v>
      </c>
      <c r="G2241" t="s">
        <v>39</v>
      </c>
      <c r="H2241">
        <v>4</v>
      </c>
      <c r="I2241">
        <v>10</v>
      </c>
      <c r="J2241" t="str">
        <f>TEXT(DATE(2012,Table1[[#This Row],[MONTH_ID]],10),"mmm")</f>
        <v>Oct</v>
      </c>
      <c r="K2241">
        <v>2004</v>
      </c>
      <c r="L2241" t="s">
        <v>518</v>
      </c>
      <c r="M2241">
        <v>54</v>
      </c>
      <c r="N2241" t="s">
        <v>666</v>
      </c>
      <c r="O2241" t="s">
        <v>134</v>
      </c>
      <c r="P2241">
        <v>6175558555</v>
      </c>
      <c r="Q2241" t="s">
        <v>135</v>
      </c>
      <c r="S2241" t="s">
        <v>136</v>
      </c>
      <c r="T2241" t="s">
        <v>137</v>
      </c>
      <c r="U2241">
        <v>51247</v>
      </c>
      <c r="V2241" t="s">
        <v>46</v>
      </c>
      <c r="W2241" t="s">
        <v>47</v>
      </c>
      <c r="X2241" t="s">
        <v>138</v>
      </c>
      <c r="Y2241" t="s">
        <v>139</v>
      </c>
      <c r="Z2241" t="s">
        <v>50</v>
      </c>
    </row>
    <row r="2242" spans="1:26" x14ac:dyDescent="0.3">
      <c r="A2242">
        <v>10313</v>
      </c>
      <c r="B2242">
        <v>38</v>
      </c>
      <c r="C2242">
        <v>45.45</v>
      </c>
      <c r="D2242">
        <v>1</v>
      </c>
      <c r="E2242">
        <v>1727.1</v>
      </c>
      <c r="F2242" s="1">
        <v>38282</v>
      </c>
      <c r="G2242" t="s">
        <v>39</v>
      </c>
      <c r="H2242">
        <v>4</v>
      </c>
      <c r="I2242">
        <v>10</v>
      </c>
      <c r="J2242" t="str">
        <f>TEXT(DATE(2012,Table1[[#This Row],[MONTH_ID]],10),"mmm")</f>
        <v>Oct</v>
      </c>
      <c r="K2242">
        <v>2004</v>
      </c>
      <c r="L2242" t="s">
        <v>518</v>
      </c>
      <c r="M2242">
        <v>54</v>
      </c>
      <c r="N2242" t="s">
        <v>666</v>
      </c>
      <c r="O2242" t="s">
        <v>239</v>
      </c>
      <c r="P2242" t="s">
        <v>240</v>
      </c>
      <c r="Q2242" t="s">
        <v>241</v>
      </c>
      <c r="S2242" t="s">
        <v>242</v>
      </c>
      <c r="T2242" t="s">
        <v>243</v>
      </c>
      <c r="U2242" t="s">
        <v>244</v>
      </c>
      <c r="V2242" t="s">
        <v>245</v>
      </c>
      <c r="W2242" t="s">
        <v>47</v>
      </c>
      <c r="X2242" t="s">
        <v>246</v>
      </c>
      <c r="Y2242" t="s">
        <v>247</v>
      </c>
      <c r="Z2242" t="s">
        <v>50</v>
      </c>
    </row>
    <row r="2243" spans="1:26" x14ac:dyDescent="0.3">
      <c r="A2243">
        <v>10325</v>
      </c>
      <c r="B2243">
        <v>38</v>
      </c>
      <c r="C2243">
        <v>100</v>
      </c>
      <c r="D2243">
        <v>3</v>
      </c>
      <c r="E2243">
        <v>8844.1200000000008</v>
      </c>
      <c r="F2243" s="1">
        <v>38296</v>
      </c>
      <c r="G2243" t="s">
        <v>39</v>
      </c>
      <c r="H2243">
        <v>4</v>
      </c>
      <c r="I2243">
        <v>11</v>
      </c>
      <c r="J2243" t="str">
        <f>TEXT(DATE(2012,Table1[[#This Row],[MONTH_ID]],10),"mmm")</f>
        <v>Nov</v>
      </c>
      <c r="K2243">
        <v>2004</v>
      </c>
      <c r="L2243" t="s">
        <v>518</v>
      </c>
      <c r="M2243">
        <v>54</v>
      </c>
      <c r="N2243" t="s">
        <v>666</v>
      </c>
      <c r="O2243" t="s">
        <v>147</v>
      </c>
      <c r="P2243" t="s">
        <v>148</v>
      </c>
      <c r="Q2243" t="s">
        <v>149</v>
      </c>
      <c r="S2243" t="s">
        <v>150</v>
      </c>
      <c r="U2243">
        <v>4110</v>
      </c>
      <c r="V2243" t="s">
        <v>92</v>
      </c>
      <c r="W2243" t="s">
        <v>56</v>
      </c>
      <c r="X2243" t="s">
        <v>151</v>
      </c>
      <c r="Y2243" t="s">
        <v>152</v>
      </c>
      <c r="Z2243" t="s">
        <v>165</v>
      </c>
    </row>
    <row r="2244" spans="1:26" x14ac:dyDescent="0.3">
      <c r="A2244">
        <v>10335</v>
      </c>
      <c r="B2244">
        <v>40</v>
      </c>
      <c r="C2244">
        <v>60.6</v>
      </c>
      <c r="D2244">
        <v>3</v>
      </c>
      <c r="E2244">
        <v>2424</v>
      </c>
      <c r="F2244" s="1">
        <v>38310</v>
      </c>
      <c r="G2244" t="s">
        <v>39</v>
      </c>
      <c r="H2244">
        <v>4</v>
      </c>
      <c r="I2244">
        <v>11</v>
      </c>
      <c r="J2244" t="str">
        <f>TEXT(DATE(2012,Table1[[#This Row],[MONTH_ID]],10),"mmm")</f>
        <v>Nov</v>
      </c>
      <c r="K2244">
        <v>2004</v>
      </c>
      <c r="L2244" t="s">
        <v>518</v>
      </c>
      <c r="M2244">
        <v>54</v>
      </c>
      <c r="N2244" t="s">
        <v>666</v>
      </c>
      <c r="O2244" t="s">
        <v>286</v>
      </c>
      <c r="P2244">
        <v>4155551450</v>
      </c>
      <c r="Q2244" t="s">
        <v>287</v>
      </c>
      <c r="S2244" t="s">
        <v>288</v>
      </c>
      <c r="T2244" t="s">
        <v>69</v>
      </c>
      <c r="U2244">
        <v>97562</v>
      </c>
      <c r="V2244" t="s">
        <v>46</v>
      </c>
      <c r="W2244" t="s">
        <v>47</v>
      </c>
      <c r="X2244" t="s">
        <v>289</v>
      </c>
      <c r="Y2244" t="s">
        <v>290</v>
      </c>
      <c r="Z2244" t="s">
        <v>50</v>
      </c>
    </row>
    <row r="2245" spans="1:26" x14ac:dyDescent="0.3">
      <c r="A2245">
        <v>10349</v>
      </c>
      <c r="B2245">
        <v>33</v>
      </c>
      <c r="C2245">
        <v>46.53</v>
      </c>
      <c r="D2245">
        <v>1</v>
      </c>
      <c r="E2245">
        <v>1535.49</v>
      </c>
      <c r="F2245" s="1">
        <v>38322</v>
      </c>
      <c r="G2245" t="s">
        <v>39</v>
      </c>
      <c r="H2245">
        <v>4</v>
      </c>
      <c r="I2245">
        <v>12</v>
      </c>
      <c r="J2245" t="str">
        <f>TEXT(DATE(2012,Table1[[#This Row],[MONTH_ID]],10),"mmm")</f>
        <v>Dec</v>
      </c>
      <c r="K2245">
        <v>2004</v>
      </c>
      <c r="L2245" t="s">
        <v>518</v>
      </c>
      <c r="M2245">
        <v>54</v>
      </c>
      <c r="N2245" t="s">
        <v>666</v>
      </c>
      <c r="O2245" t="s">
        <v>489</v>
      </c>
      <c r="P2245">
        <v>2125557413</v>
      </c>
      <c r="Q2245" t="s">
        <v>490</v>
      </c>
      <c r="R2245" t="s">
        <v>491</v>
      </c>
      <c r="S2245" t="s">
        <v>44</v>
      </c>
      <c r="T2245" t="s">
        <v>45</v>
      </c>
      <c r="U2245">
        <v>10022</v>
      </c>
      <c r="V2245" t="s">
        <v>46</v>
      </c>
      <c r="W2245" t="s">
        <v>47</v>
      </c>
      <c r="X2245" t="s">
        <v>70</v>
      </c>
      <c r="Y2245" t="s">
        <v>492</v>
      </c>
      <c r="Z2245" t="s">
        <v>50</v>
      </c>
    </row>
    <row r="2246" spans="1:26" x14ac:dyDescent="0.3">
      <c r="A2246">
        <v>10359</v>
      </c>
      <c r="B2246">
        <v>36</v>
      </c>
      <c r="C2246">
        <v>100</v>
      </c>
      <c r="D2246">
        <v>3</v>
      </c>
      <c r="E2246">
        <v>6358.68</v>
      </c>
      <c r="F2246" s="1">
        <v>38336</v>
      </c>
      <c r="G2246" t="s">
        <v>39</v>
      </c>
      <c r="H2246">
        <v>4</v>
      </c>
      <c r="I2246">
        <v>12</v>
      </c>
      <c r="J2246" t="str">
        <f>TEXT(DATE(2012,Table1[[#This Row],[MONTH_ID]],10),"mmm")</f>
        <v>Dec</v>
      </c>
      <c r="K2246">
        <v>2004</v>
      </c>
      <c r="L2246" t="s">
        <v>518</v>
      </c>
      <c r="M2246">
        <v>54</v>
      </c>
      <c r="N2246" t="s">
        <v>666</v>
      </c>
      <c r="O2246" t="s">
        <v>51</v>
      </c>
      <c r="P2246" t="s">
        <v>52</v>
      </c>
      <c r="Q2246" t="s">
        <v>53</v>
      </c>
      <c r="S2246" t="s">
        <v>54</v>
      </c>
      <c r="U2246">
        <v>51100</v>
      </c>
      <c r="V2246" t="s">
        <v>55</v>
      </c>
      <c r="W2246" t="s">
        <v>56</v>
      </c>
      <c r="X2246" t="s">
        <v>57</v>
      </c>
      <c r="Y2246" t="s">
        <v>58</v>
      </c>
      <c r="Z2246" t="s">
        <v>65</v>
      </c>
    </row>
    <row r="2247" spans="1:26" x14ac:dyDescent="0.3">
      <c r="A2247">
        <v>10371</v>
      </c>
      <c r="B2247">
        <v>20</v>
      </c>
      <c r="C2247">
        <v>66.47</v>
      </c>
      <c r="D2247">
        <v>2</v>
      </c>
      <c r="E2247">
        <v>1329.4</v>
      </c>
      <c r="F2247" s="1">
        <v>38375</v>
      </c>
      <c r="G2247" t="s">
        <v>39</v>
      </c>
      <c r="H2247">
        <v>1</v>
      </c>
      <c r="I2247">
        <v>1</v>
      </c>
      <c r="J2247" t="str">
        <f>TEXT(DATE(2012,Table1[[#This Row],[MONTH_ID]],10),"mmm")</f>
        <v>Jan</v>
      </c>
      <c r="K2247">
        <v>2005</v>
      </c>
      <c r="L2247" t="s">
        <v>518</v>
      </c>
      <c r="M2247">
        <v>54</v>
      </c>
      <c r="N2247" t="s">
        <v>666</v>
      </c>
      <c r="O2247" t="s">
        <v>286</v>
      </c>
      <c r="P2247">
        <v>4155551450</v>
      </c>
      <c r="Q2247" t="s">
        <v>287</v>
      </c>
      <c r="S2247" t="s">
        <v>288</v>
      </c>
      <c r="T2247" t="s">
        <v>69</v>
      </c>
      <c r="U2247">
        <v>97562</v>
      </c>
      <c r="V2247" t="s">
        <v>46</v>
      </c>
      <c r="W2247" t="s">
        <v>47</v>
      </c>
      <c r="X2247" t="s">
        <v>289</v>
      </c>
      <c r="Y2247" t="s">
        <v>290</v>
      </c>
      <c r="Z2247" t="s">
        <v>50</v>
      </c>
    </row>
    <row r="2248" spans="1:26" x14ac:dyDescent="0.3">
      <c r="A2248">
        <v>10383</v>
      </c>
      <c r="B2248">
        <v>32</v>
      </c>
      <c r="C2248">
        <v>53.18</v>
      </c>
      <c r="D2248">
        <v>5</v>
      </c>
      <c r="E2248">
        <v>1701.76</v>
      </c>
      <c r="F2248" s="1">
        <v>38405</v>
      </c>
      <c r="G2248" t="s">
        <v>39</v>
      </c>
      <c r="H2248">
        <v>1</v>
      </c>
      <c r="I2248">
        <v>2</v>
      </c>
      <c r="J2248" t="str">
        <f>TEXT(DATE(2012,Table1[[#This Row],[MONTH_ID]],10),"mmm")</f>
        <v>Feb</v>
      </c>
      <c r="K2248">
        <v>2005</v>
      </c>
      <c r="L2248" t="s">
        <v>518</v>
      </c>
      <c r="M2248">
        <v>54</v>
      </c>
      <c r="N2248" t="s">
        <v>666</v>
      </c>
      <c r="O2248" t="s">
        <v>188</v>
      </c>
      <c r="P2248" t="s">
        <v>189</v>
      </c>
      <c r="Q2248" t="s">
        <v>190</v>
      </c>
      <c r="S2248" t="s">
        <v>191</v>
      </c>
      <c r="U2248">
        <v>28034</v>
      </c>
      <c r="V2248" t="s">
        <v>192</v>
      </c>
      <c r="W2248" t="s">
        <v>56</v>
      </c>
      <c r="X2248" t="s">
        <v>193</v>
      </c>
      <c r="Y2248" t="s">
        <v>194</v>
      </c>
      <c r="Z2248" t="s">
        <v>50</v>
      </c>
    </row>
    <row r="2249" spans="1:26" x14ac:dyDescent="0.3">
      <c r="A2249">
        <v>10394</v>
      </c>
      <c r="B2249">
        <v>36</v>
      </c>
      <c r="C2249">
        <v>62.77</v>
      </c>
      <c r="D2249">
        <v>3</v>
      </c>
      <c r="E2249">
        <v>2259.7199999999998</v>
      </c>
      <c r="F2249" s="1">
        <v>38426</v>
      </c>
      <c r="G2249" t="s">
        <v>39</v>
      </c>
      <c r="H2249">
        <v>1</v>
      </c>
      <c r="I2249">
        <v>3</v>
      </c>
      <c r="J2249" t="str">
        <f>TEXT(DATE(2012,Table1[[#This Row],[MONTH_ID]],10),"mmm")</f>
        <v>Mar</v>
      </c>
      <c r="K2249">
        <v>2005</v>
      </c>
      <c r="L2249" t="s">
        <v>518</v>
      </c>
      <c r="M2249">
        <v>54</v>
      </c>
      <c r="N2249" t="s">
        <v>666</v>
      </c>
      <c r="O2249" t="s">
        <v>188</v>
      </c>
      <c r="P2249" t="s">
        <v>189</v>
      </c>
      <c r="Q2249" t="s">
        <v>190</v>
      </c>
      <c r="S2249" t="s">
        <v>191</v>
      </c>
      <c r="U2249">
        <v>28034</v>
      </c>
      <c r="V2249" t="s">
        <v>192</v>
      </c>
      <c r="W2249" t="s">
        <v>56</v>
      </c>
      <c r="X2249" t="s">
        <v>193</v>
      </c>
      <c r="Y2249" t="s">
        <v>194</v>
      </c>
      <c r="Z2249" t="s">
        <v>50</v>
      </c>
    </row>
    <row r="2250" spans="1:26" x14ac:dyDescent="0.3">
      <c r="A2250">
        <v>10412</v>
      </c>
      <c r="B2250">
        <v>19</v>
      </c>
      <c r="C2250">
        <v>48.7</v>
      </c>
      <c r="D2250">
        <v>7</v>
      </c>
      <c r="E2250">
        <v>925.3</v>
      </c>
      <c r="F2250" s="1">
        <v>38475</v>
      </c>
      <c r="G2250" t="s">
        <v>39</v>
      </c>
      <c r="H2250">
        <v>2</v>
      </c>
      <c r="I2250">
        <v>5</v>
      </c>
      <c r="J2250" t="str">
        <f>TEXT(DATE(2012,Table1[[#This Row],[MONTH_ID]],10),"mmm")</f>
        <v>May</v>
      </c>
      <c r="K2250">
        <v>2005</v>
      </c>
      <c r="L2250" t="s">
        <v>518</v>
      </c>
      <c r="M2250">
        <v>54</v>
      </c>
      <c r="N2250" t="s">
        <v>666</v>
      </c>
      <c r="O2250" t="s">
        <v>188</v>
      </c>
      <c r="P2250" t="s">
        <v>189</v>
      </c>
      <c r="Q2250" t="s">
        <v>190</v>
      </c>
      <c r="S2250" t="s">
        <v>191</v>
      </c>
      <c r="U2250">
        <v>28034</v>
      </c>
      <c r="V2250" t="s">
        <v>192</v>
      </c>
      <c r="W2250" t="s">
        <v>56</v>
      </c>
      <c r="X2250" t="s">
        <v>193</v>
      </c>
      <c r="Y2250" t="s">
        <v>194</v>
      </c>
      <c r="Z2250" t="s">
        <v>50</v>
      </c>
    </row>
    <row r="2251" spans="1:26" x14ac:dyDescent="0.3">
      <c r="A2251">
        <v>10425</v>
      </c>
      <c r="B2251">
        <v>11</v>
      </c>
      <c r="C2251">
        <v>43.83</v>
      </c>
      <c r="D2251">
        <v>6</v>
      </c>
      <c r="E2251">
        <v>482.13</v>
      </c>
      <c r="F2251" s="1">
        <v>38503</v>
      </c>
      <c r="G2251" t="s">
        <v>314</v>
      </c>
      <c r="H2251">
        <v>2</v>
      </c>
      <c r="I2251">
        <v>5</v>
      </c>
      <c r="J2251" t="str">
        <f>TEXT(DATE(2012,Table1[[#This Row],[MONTH_ID]],10),"mmm")</f>
        <v>May</v>
      </c>
      <c r="K2251">
        <v>2005</v>
      </c>
      <c r="L2251" t="s">
        <v>518</v>
      </c>
      <c r="M2251">
        <v>54</v>
      </c>
      <c r="N2251" t="s">
        <v>666</v>
      </c>
      <c r="O2251" t="s">
        <v>128</v>
      </c>
      <c r="P2251" t="s">
        <v>129</v>
      </c>
      <c r="Q2251" t="s">
        <v>130</v>
      </c>
      <c r="S2251" t="s">
        <v>131</v>
      </c>
      <c r="U2251">
        <v>44000</v>
      </c>
      <c r="V2251" t="s">
        <v>55</v>
      </c>
      <c r="W2251" t="s">
        <v>56</v>
      </c>
      <c r="X2251" t="s">
        <v>132</v>
      </c>
      <c r="Y2251" t="s">
        <v>133</v>
      </c>
      <c r="Z2251" t="s">
        <v>50</v>
      </c>
    </row>
    <row r="2252" spans="1:26" x14ac:dyDescent="0.3">
      <c r="A2252">
        <v>10104</v>
      </c>
      <c r="B2252">
        <v>49</v>
      </c>
      <c r="C2252">
        <v>65.87</v>
      </c>
      <c r="D2252">
        <v>4</v>
      </c>
      <c r="E2252">
        <v>3227.63</v>
      </c>
      <c r="F2252" s="1">
        <v>37652</v>
      </c>
      <c r="G2252" t="s">
        <v>39</v>
      </c>
      <c r="H2252">
        <v>1</v>
      </c>
      <c r="I2252">
        <v>1</v>
      </c>
      <c r="J2252" t="str">
        <f>TEXT(DATE(2012,Table1[[#This Row],[MONTH_ID]],10),"mmm")</f>
        <v>Jan</v>
      </c>
      <c r="K2252">
        <v>2003</v>
      </c>
      <c r="L2252" t="s">
        <v>619</v>
      </c>
      <c r="M2252">
        <v>62</v>
      </c>
      <c r="N2252" t="s">
        <v>667</v>
      </c>
      <c r="O2252" t="s">
        <v>188</v>
      </c>
      <c r="P2252" t="s">
        <v>189</v>
      </c>
      <c r="Q2252" t="s">
        <v>190</v>
      </c>
      <c r="S2252" t="s">
        <v>191</v>
      </c>
      <c r="U2252">
        <v>28034</v>
      </c>
      <c r="V2252" t="s">
        <v>192</v>
      </c>
      <c r="W2252" t="s">
        <v>56</v>
      </c>
      <c r="X2252" t="s">
        <v>193</v>
      </c>
      <c r="Y2252" t="s">
        <v>194</v>
      </c>
      <c r="Z2252" t="s">
        <v>65</v>
      </c>
    </row>
    <row r="2253" spans="1:26" x14ac:dyDescent="0.3">
      <c r="A2253">
        <v>10116</v>
      </c>
      <c r="B2253">
        <v>27</v>
      </c>
      <c r="C2253">
        <v>63.38</v>
      </c>
      <c r="D2253">
        <v>1</v>
      </c>
      <c r="E2253">
        <v>1711.26</v>
      </c>
      <c r="F2253" s="1">
        <v>37722</v>
      </c>
      <c r="G2253" t="s">
        <v>39</v>
      </c>
      <c r="H2253">
        <v>2</v>
      </c>
      <c r="I2253">
        <v>4</v>
      </c>
      <c r="J2253" t="str">
        <f>TEXT(DATE(2012,Table1[[#This Row],[MONTH_ID]],10),"mmm")</f>
        <v>Apr</v>
      </c>
      <c r="K2253">
        <v>2003</v>
      </c>
      <c r="L2253" t="s">
        <v>619</v>
      </c>
      <c r="M2253">
        <v>62</v>
      </c>
      <c r="N2253" t="s">
        <v>667</v>
      </c>
      <c r="O2253" t="s">
        <v>591</v>
      </c>
      <c r="P2253" t="s">
        <v>592</v>
      </c>
      <c r="Q2253" t="s">
        <v>593</v>
      </c>
      <c r="S2253" t="s">
        <v>594</v>
      </c>
      <c r="U2253" t="s">
        <v>595</v>
      </c>
      <c r="V2253" t="s">
        <v>384</v>
      </c>
      <c r="W2253" t="s">
        <v>56</v>
      </c>
      <c r="X2253" t="s">
        <v>596</v>
      </c>
      <c r="Y2253" t="s">
        <v>597</v>
      </c>
      <c r="Z2253" t="s">
        <v>50</v>
      </c>
    </row>
    <row r="2254" spans="1:26" x14ac:dyDescent="0.3">
      <c r="A2254">
        <v>10127</v>
      </c>
      <c r="B2254">
        <v>29</v>
      </c>
      <c r="C2254">
        <v>70.84</v>
      </c>
      <c r="D2254">
        <v>6</v>
      </c>
      <c r="E2254">
        <v>2054.36</v>
      </c>
      <c r="F2254" s="1">
        <v>37775</v>
      </c>
      <c r="G2254" t="s">
        <v>39</v>
      </c>
      <c r="H2254">
        <v>2</v>
      </c>
      <c r="I2254">
        <v>6</v>
      </c>
      <c r="J2254" t="str">
        <f>TEXT(DATE(2012,Table1[[#This Row],[MONTH_ID]],10),"mmm")</f>
        <v>Jun</v>
      </c>
      <c r="K2254">
        <v>2003</v>
      </c>
      <c r="L2254" t="s">
        <v>619</v>
      </c>
      <c r="M2254">
        <v>62</v>
      </c>
      <c r="N2254" t="s">
        <v>667</v>
      </c>
      <c r="O2254" t="s">
        <v>489</v>
      </c>
      <c r="P2254">
        <v>2125557413</v>
      </c>
      <c r="Q2254" t="s">
        <v>490</v>
      </c>
      <c r="R2254" t="s">
        <v>491</v>
      </c>
      <c r="S2254" t="s">
        <v>44</v>
      </c>
      <c r="T2254" t="s">
        <v>45</v>
      </c>
      <c r="U2254">
        <v>10022</v>
      </c>
      <c r="V2254" t="s">
        <v>46</v>
      </c>
      <c r="W2254" t="s">
        <v>47</v>
      </c>
      <c r="X2254" t="s">
        <v>70</v>
      </c>
      <c r="Y2254" t="s">
        <v>492</v>
      </c>
      <c r="Z2254" t="s">
        <v>50</v>
      </c>
    </row>
    <row r="2255" spans="1:26" x14ac:dyDescent="0.3">
      <c r="A2255">
        <v>10142</v>
      </c>
      <c r="B2255">
        <v>42</v>
      </c>
      <c r="C2255">
        <v>74.569999999999993</v>
      </c>
      <c r="D2255">
        <v>16</v>
      </c>
      <c r="E2255">
        <v>3131.94</v>
      </c>
      <c r="F2255" s="1">
        <v>37841</v>
      </c>
      <c r="G2255" t="s">
        <v>39</v>
      </c>
      <c r="H2255">
        <v>3</v>
      </c>
      <c r="I2255">
        <v>8</v>
      </c>
      <c r="J2255" t="str">
        <f>TEXT(DATE(2012,Table1[[#This Row],[MONTH_ID]],10),"mmm")</f>
        <v>Aug</v>
      </c>
      <c r="K2255">
        <v>2003</v>
      </c>
      <c r="L2255" t="s">
        <v>619</v>
      </c>
      <c r="M2255">
        <v>62</v>
      </c>
      <c r="N2255" t="s">
        <v>667</v>
      </c>
      <c r="O2255" t="s">
        <v>286</v>
      </c>
      <c r="P2255">
        <v>4155551450</v>
      </c>
      <c r="Q2255" t="s">
        <v>287</v>
      </c>
      <c r="S2255" t="s">
        <v>288</v>
      </c>
      <c r="T2255" t="s">
        <v>69</v>
      </c>
      <c r="U2255">
        <v>97562</v>
      </c>
      <c r="V2255" t="s">
        <v>46</v>
      </c>
      <c r="W2255" t="s">
        <v>47</v>
      </c>
      <c r="X2255" t="s">
        <v>289</v>
      </c>
      <c r="Y2255" t="s">
        <v>290</v>
      </c>
      <c r="Z2255" t="s">
        <v>65</v>
      </c>
    </row>
    <row r="2256" spans="1:26" x14ac:dyDescent="0.3">
      <c r="A2256">
        <v>10152</v>
      </c>
      <c r="B2256">
        <v>33</v>
      </c>
      <c r="C2256">
        <v>50.95</v>
      </c>
      <c r="D2256">
        <v>2</v>
      </c>
      <c r="E2256">
        <v>1681.35</v>
      </c>
      <c r="F2256" s="1">
        <v>37889</v>
      </c>
      <c r="G2256" t="s">
        <v>39</v>
      </c>
      <c r="H2256">
        <v>3</v>
      </c>
      <c r="I2256">
        <v>9</v>
      </c>
      <c r="J2256" t="str">
        <f>TEXT(DATE(2012,Table1[[#This Row],[MONTH_ID]],10),"mmm")</f>
        <v>Sep</v>
      </c>
      <c r="K2256">
        <v>2003</v>
      </c>
      <c r="L2256" t="s">
        <v>619</v>
      </c>
      <c r="M2256">
        <v>62</v>
      </c>
      <c r="N2256" t="s">
        <v>667</v>
      </c>
      <c r="O2256" t="s">
        <v>221</v>
      </c>
      <c r="P2256" t="s">
        <v>222</v>
      </c>
      <c r="Q2256" t="s">
        <v>223</v>
      </c>
      <c r="S2256" t="s">
        <v>224</v>
      </c>
      <c r="T2256" t="s">
        <v>225</v>
      </c>
      <c r="U2256">
        <v>4101</v>
      </c>
      <c r="V2256" t="s">
        <v>109</v>
      </c>
      <c r="W2256" t="s">
        <v>110</v>
      </c>
      <c r="X2256" t="s">
        <v>226</v>
      </c>
      <c r="Y2256" t="s">
        <v>227</v>
      </c>
      <c r="Z2256" t="s">
        <v>50</v>
      </c>
    </row>
    <row r="2257" spans="1:26" x14ac:dyDescent="0.3">
      <c r="A2257">
        <v>10165</v>
      </c>
      <c r="B2257">
        <v>44</v>
      </c>
      <c r="C2257">
        <v>53.44</v>
      </c>
      <c r="D2257">
        <v>7</v>
      </c>
      <c r="E2257">
        <v>2351.36</v>
      </c>
      <c r="F2257" s="1">
        <v>37916</v>
      </c>
      <c r="G2257" t="s">
        <v>39</v>
      </c>
      <c r="H2257">
        <v>4</v>
      </c>
      <c r="I2257">
        <v>10</v>
      </c>
      <c r="J2257" t="str">
        <f>TEXT(DATE(2012,Table1[[#This Row],[MONTH_ID]],10),"mmm")</f>
        <v>Oct</v>
      </c>
      <c r="K2257">
        <v>2003</v>
      </c>
      <c r="L2257" t="s">
        <v>619</v>
      </c>
      <c r="M2257">
        <v>62</v>
      </c>
      <c r="N2257" t="s">
        <v>667</v>
      </c>
      <c r="O2257" t="s">
        <v>210</v>
      </c>
      <c r="P2257" t="s">
        <v>211</v>
      </c>
      <c r="Q2257" t="s">
        <v>212</v>
      </c>
      <c r="S2257" t="s">
        <v>213</v>
      </c>
      <c r="U2257">
        <v>79903</v>
      </c>
      <c r="V2257" t="s">
        <v>213</v>
      </c>
      <c r="W2257" t="s">
        <v>214</v>
      </c>
      <c r="X2257" t="s">
        <v>215</v>
      </c>
      <c r="Y2257" t="s">
        <v>216</v>
      </c>
      <c r="Z2257" t="s">
        <v>50</v>
      </c>
    </row>
    <row r="2258" spans="1:26" x14ac:dyDescent="0.3">
      <c r="A2258">
        <v>10176</v>
      </c>
      <c r="B2258">
        <v>22</v>
      </c>
      <c r="C2258">
        <v>64</v>
      </c>
      <c r="D2258">
        <v>6</v>
      </c>
      <c r="E2258">
        <v>1408</v>
      </c>
      <c r="F2258" s="1">
        <v>37931</v>
      </c>
      <c r="G2258" t="s">
        <v>39</v>
      </c>
      <c r="H2258">
        <v>4</v>
      </c>
      <c r="I2258">
        <v>11</v>
      </c>
      <c r="J2258" t="str">
        <f>TEXT(DATE(2012,Table1[[#This Row],[MONTH_ID]],10),"mmm")</f>
        <v>Nov</v>
      </c>
      <c r="K2258">
        <v>2003</v>
      </c>
      <c r="L2258" t="s">
        <v>619</v>
      </c>
      <c r="M2258">
        <v>62</v>
      </c>
      <c r="N2258" t="s">
        <v>667</v>
      </c>
      <c r="O2258" t="s">
        <v>466</v>
      </c>
      <c r="P2258" t="s">
        <v>467</v>
      </c>
      <c r="Q2258" t="s">
        <v>468</v>
      </c>
      <c r="S2258" t="s">
        <v>469</v>
      </c>
      <c r="U2258">
        <v>42100</v>
      </c>
      <c r="V2258" t="s">
        <v>272</v>
      </c>
      <c r="W2258" t="s">
        <v>56</v>
      </c>
      <c r="X2258" t="s">
        <v>470</v>
      </c>
      <c r="Y2258" t="s">
        <v>471</v>
      </c>
      <c r="Z2258" t="s">
        <v>50</v>
      </c>
    </row>
    <row r="2259" spans="1:26" x14ac:dyDescent="0.3">
      <c r="A2259">
        <v>10184</v>
      </c>
      <c r="B2259">
        <v>48</v>
      </c>
      <c r="C2259">
        <v>50.95</v>
      </c>
      <c r="D2259">
        <v>1</v>
      </c>
      <c r="E2259">
        <v>2445.6</v>
      </c>
      <c r="F2259" s="1">
        <v>37939</v>
      </c>
      <c r="G2259" t="s">
        <v>39</v>
      </c>
      <c r="H2259">
        <v>4</v>
      </c>
      <c r="I2259">
        <v>11</v>
      </c>
      <c r="J2259" t="str">
        <f>TEXT(DATE(2012,Table1[[#This Row],[MONTH_ID]],10),"mmm")</f>
        <v>Nov</v>
      </c>
      <c r="K2259">
        <v>2003</v>
      </c>
      <c r="L2259" t="s">
        <v>619</v>
      </c>
      <c r="M2259">
        <v>62</v>
      </c>
      <c r="N2259" t="s">
        <v>667</v>
      </c>
      <c r="O2259" t="s">
        <v>534</v>
      </c>
      <c r="P2259" t="s">
        <v>535</v>
      </c>
      <c r="Q2259" t="s">
        <v>536</v>
      </c>
      <c r="S2259" t="s">
        <v>537</v>
      </c>
      <c r="U2259">
        <v>41101</v>
      </c>
      <c r="V2259" t="s">
        <v>192</v>
      </c>
      <c r="W2259" t="s">
        <v>56</v>
      </c>
      <c r="X2259" t="s">
        <v>538</v>
      </c>
      <c r="Y2259" t="s">
        <v>539</v>
      </c>
      <c r="Z2259" t="s">
        <v>50</v>
      </c>
    </row>
    <row r="2260" spans="1:26" x14ac:dyDescent="0.3">
      <c r="A2260">
        <v>10195</v>
      </c>
      <c r="B2260">
        <v>33</v>
      </c>
      <c r="C2260">
        <v>54.68</v>
      </c>
      <c r="D2260">
        <v>1</v>
      </c>
      <c r="E2260">
        <v>1804.44</v>
      </c>
      <c r="F2260" s="1">
        <v>37950</v>
      </c>
      <c r="G2260" t="s">
        <v>39</v>
      </c>
      <c r="H2260">
        <v>4</v>
      </c>
      <c r="I2260">
        <v>11</v>
      </c>
      <c r="J2260" t="str">
        <f>TEXT(DATE(2012,Table1[[#This Row],[MONTH_ID]],10),"mmm")</f>
        <v>Nov</v>
      </c>
      <c r="K2260">
        <v>2003</v>
      </c>
      <c r="L2260" t="s">
        <v>619</v>
      </c>
      <c r="M2260">
        <v>62</v>
      </c>
      <c r="N2260" t="s">
        <v>667</v>
      </c>
      <c r="O2260" t="s">
        <v>331</v>
      </c>
      <c r="P2260">
        <v>9145554562</v>
      </c>
      <c r="Q2260" t="s">
        <v>332</v>
      </c>
      <c r="S2260" t="s">
        <v>333</v>
      </c>
      <c r="T2260" t="s">
        <v>45</v>
      </c>
      <c r="U2260">
        <v>24067</v>
      </c>
      <c r="V2260" t="s">
        <v>46</v>
      </c>
      <c r="W2260" t="s">
        <v>47</v>
      </c>
      <c r="X2260" t="s">
        <v>116</v>
      </c>
      <c r="Y2260" t="s">
        <v>252</v>
      </c>
      <c r="Z2260" t="s">
        <v>50</v>
      </c>
    </row>
    <row r="2261" spans="1:26" x14ac:dyDescent="0.3">
      <c r="A2261">
        <v>10207</v>
      </c>
      <c r="B2261">
        <v>45</v>
      </c>
      <c r="C2261">
        <v>56.55</v>
      </c>
      <c r="D2261">
        <v>2</v>
      </c>
      <c r="E2261">
        <v>2544.75</v>
      </c>
      <c r="F2261" s="1">
        <v>37964</v>
      </c>
      <c r="G2261" t="s">
        <v>39</v>
      </c>
      <c r="H2261">
        <v>4</v>
      </c>
      <c r="I2261">
        <v>12</v>
      </c>
      <c r="J2261" t="str">
        <f>TEXT(DATE(2012,Table1[[#This Row],[MONTH_ID]],10),"mmm")</f>
        <v>Dec</v>
      </c>
      <c r="K2261">
        <v>2003</v>
      </c>
      <c r="L2261" t="s">
        <v>619</v>
      </c>
      <c r="M2261">
        <v>62</v>
      </c>
      <c r="N2261" t="s">
        <v>667</v>
      </c>
      <c r="O2261" t="s">
        <v>429</v>
      </c>
      <c r="P2261">
        <v>6175552555</v>
      </c>
      <c r="Q2261" t="s">
        <v>430</v>
      </c>
      <c r="S2261" t="s">
        <v>395</v>
      </c>
      <c r="T2261" t="s">
        <v>137</v>
      </c>
      <c r="U2261">
        <v>51003</v>
      </c>
      <c r="V2261" t="s">
        <v>46</v>
      </c>
      <c r="W2261" t="s">
        <v>47</v>
      </c>
      <c r="X2261" t="s">
        <v>431</v>
      </c>
      <c r="Y2261" t="s">
        <v>290</v>
      </c>
      <c r="Z2261" t="s">
        <v>50</v>
      </c>
    </row>
    <row r="2262" spans="1:26" x14ac:dyDescent="0.3">
      <c r="A2262">
        <v>10220</v>
      </c>
      <c r="B2262">
        <v>20</v>
      </c>
      <c r="C2262">
        <v>52.82</v>
      </c>
      <c r="D2262">
        <v>6</v>
      </c>
      <c r="E2262">
        <v>1056.4000000000001</v>
      </c>
      <c r="F2262" s="1">
        <v>38029</v>
      </c>
      <c r="G2262" t="s">
        <v>39</v>
      </c>
      <c r="H2262">
        <v>1</v>
      </c>
      <c r="I2262">
        <v>2</v>
      </c>
      <c r="J2262" t="str">
        <f>TEXT(DATE(2012,Table1[[#This Row],[MONTH_ID]],10),"mmm")</f>
        <v>Feb</v>
      </c>
      <c r="K2262">
        <v>2004</v>
      </c>
      <c r="L2262" t="s">
        <v>619</v>
      </c>
      <c r="M2262">
        <v>62</v>
      </c>
      <c r="N2262" t="s">
        <v>667</v>
      </c>
      <c r="O2262" t="s">
        <v>493</v>
      </c>
      <c r="P2262" t="s">
        <v>494</v>
      </c>
      <c r="Q2262" t="s">
        <v>495</v>
      </c>
      <c r="R2262" t="s">
        <v>496</v>
      </c>
      <c r="S2262" t="s">
        <v>497</v>
      </c>
      <c r="U2262">
        <v>2</v>
      </c>
      <c r="V2262" t="s">
        <v>498</v>
      </c>
      <c r="W2262" t="s">
        <v>56</v>
      </c>
      <c r="X2262" t="s">
        <v>499</v>
      </c>
      <c r="Y2262" t="s">
        <v>500</v>
      </c>
      <c r="Z2262" t="s">
        <v>50</v>
      </c>
    </row>
    <row r="2263" spans="1:26" x14ac:dyDescent="0.3">
      <c r="A2263">
        <v>10230</v>
      </c>
      <c r="B2263">
        <v>46</v>
      </c>
      <c r="C2263">
        <v>60.9</v>
      </c>
      <c r="D2263">
        <v>4</v>
      </c>
      <c r="E2263">
        <v>2801.4</v>
      </c>
      <c r="F2263" s="1">
        <v>38061</v>
      </c>
      <c r="G2263" t="s">
        <v>39</v>
      </c>
      <c r="H2263">
        <v>1</v>
      </c>
      <c r="I2263">
        <v>3</v>
      </c>
      <c r="J2263" t="str">
        <f>TEXT(DATE(2012,Table1[[#This Row],[MONTH_ID]],10),"mmm")</f>
        <v>Mar</v>
      </c>
      <c r="K2263">
        <v>2004</v>
      </c>
      <c r="L2263" t="s">
        <v>619</v>
      </c>
      <c r="M2263">
        <v>62</v>
      </c>
      <c r="N2263" t="s">
        <v>667</v>
      </c>
      <c r="O2263" t="s">
        <v>476</v>
      </c>
      <c r="P2263" t="s">
        <v>477</v>
      </c>
      <c r="Q2263" t="s">
        <v>478</v>
      </c>
      <c r="S2263" t="s">
        <v>479</v>
      </c>
      <c r="U2263">
        <v>60528</v>
      </c>
      <c r="V2263" t="s">
        <v>457</v>
      </c>
      <c r="W2263" t="s">
        <v>56</v>
      </c>
      <c r="X2263" t="s">
        <v>480</v>
      </c>
      <c r="Y2263" t="s">
        <v>428</v>
      </c>
      <c r="Z2263" t="s">
        <v>50</v>
      </c>
    </row>
    <row r="2264" spans="1:26" x14ac:dyDescent="0.3">
      <c r="A2264">
        <v>10247</v>
      </c>
      <c r="B2264">
        <v>40</v>
      </c>
      <c r="C2264">
        <v>49.71</v>
      </c>
      <c r="D2264">
        <v>6</v>
      </c>
      <c r="E2264">
        <v>1988.4</v>
      </c>
      <c r="F2264" s="1">
        <v>38112</v>
      </c>
      <c r="G2264" t="s">
        <v>39</v>
      </c>
      <c r="H2264">
        <v>2</v>
      </c>
      <c r="I2264">
        <v>5</v>
      </c>
      <c r="J2264" t="str">
        <f>TEXT(DATE(2012,Table1[[#This Row],[MONTH_ID]],10),"mmm")</f>
        <v>May</v>
      </c>
      <c r="K2264">
        <v>2004</v>
      </c>
      <c r="L2264" t="s">
        <v>619</v>
      </c>
      <c r="M2264">
        <v>62</v>
      </c>
      <c r="N2264" t="s">
        <v>667</v>
      </c>
      <c r="O2264" t="s">
        <v>481</v>
      </c>
      <c r="P2264" t="s">
        <v>482</v>
      </c>
      <c r="Q2264" t="s">
        <v>483</v>
      </c>
      <c r="S2264" t="s">
        <v>484</v>
      </c>
      <c r="U2264" t="s">
        <v>485</v>
      </c>
      <c r="V2264" t="s">
        <v>144</v>
      </c>
      <c r="W2264" t="s">
        <v>56</v>
      </c>
      <c r="X2264" t="s">
        <v>486</v>
      </c>
      <c r="Y2264" t="s">
        <v>487</v>
      </c>
      <c r="Z2264" t="s">
        <v>50</v>
      </c>
    </row>
    <row r="2265" spans="1:26" x14ac:dyDescent="0.3">
      <c r="A2265">
        <v>10272</v>
      </c>
      <c r="B2265">
        <v>45</v>
      </c>
      <c r="C2265">
        <v>64.63</v>
      </c>
      <c r="D2265">
        <v>6</v>
      </c>
      <c r="E2265">
        <v>2908.35</v>
      </c>
      <c r="F2265" s="1">
        <v>38188</v>
      </c>
      <c r="G2265" t="s">
        <v>39</v>
      </c>
      <c r="H2265">
        <v>3</v>
      </c>
      <c r="I2265">
        <v>7</v>
      </c>
      <c r="J2265" t="str">
        <f>TEXT(DATE(2012,Table1[[#This Row],[MONTH_ID]],10),"mmm")</f>
        <v>Jul</v>
      </c>
      <c r="K2265">
        <v>2004</v>
      </c>
      <c r="L2265" t="s">
        <v>619</v>
      </c>
      <c r="M2265">
        <v>62</v>
      </c>
      <c r="N2265" t="s">
        <v>667</v>
      </c>
      <c r="O2265" t="s">
        <v>153</v>
      </c>
      <c r="P2265">
        <v>2155551555</v>
      </c>
      <c r="Q2265" t="s">
        <v>154</v>
      </c>
      <c r="S2265" t="s">
        <v>155</v>
      </c>
      <c r="T2265" t="s">
        <v>156</v>
      </c>
      <c r="U2265">
        <v>70267</v>
      </c>
      <c r="V2265" t="s">
        <v>46</v>
      </c>
      <c r="W2265" t="s">
        <v>47</v>
      </c>
      <c r="X2265" t="s">
        <v>48</v>
      </c>
      <c r="Y2265" t="s">
        <v>157</v>
      </c>
      <c r="Z2265" t="s">
        <v>50</v>
      </c>
    </row>
    <row r="2266" spans="1:26" x14ac:dyDescent="0.3">
      <c r="A2266">
        <v>10282</v>
      </c>
      <c r="B2266">
        <v>36</v>
      </c>
      <c r="C2266">
        <v>59.65</v>
      </c>
      <c r="D2266">
        <v>9</v>
      </c>
      <c r="E2266">
        <v>2147.4</v>
      </c>
      <c r="F2266" s="1">
        <v>38219</v>
      </c>
      <c r="G2266" t="s">
        <v>39</v>
      </c>
      <c r="H2266">
        <v>3</v>
      </c>
      <c r="I2266">
        <v>8</v>
      </c>
      <c r="J2266" t="str">
        <f>TEXT(DATE(2012,Table1[[#This Row],[MONTH_ID]],10),"mmm")</f>
        <v>Aug</v>
      </c>
      <c r="K2266">
        <v>2004</v>
      </c>
      <c r="L2266" t="s">
        <v>619</v>
      </c>
      <c r="M2266">
        <v>62</v>
      </c>
      <c r="N2266" t="s">
        <v>667</v>
      </c>
      <c r="O2266" t="s">
        <v>286</v>
      </c>
      <c r="P2266">
        <v>4155551450</v>
      </c>
      <c r="Q2266" t="s">
        <v>287</v>
      </c>
      <c r="S2266" t="s">
        <v>288</v>
      </c>
      <c r="T2266" t="s">
        <v>69</v>
      </c>
      <c r="U2266">
        <v>97562</v>
      </c>
      <c r="V2266" t="s">
        <v>46</v>
      </c>
      <c r="W2266" t="s">
        <v>47</v>
      </c>
      <c r="X2266" t="s">
        <v>289</v>
      </c>
      <c r="Y2266" t="s">
        <v>290</v>
      </c>
      <c r="Z2266" t="s">
        <v>50</v>
      </c>
    </row>
    <row r="2267" spans="1:26" x14ac:dyDescent="0.3">
      <c r="A2267">
        <v>10292</v>
      </c>
      <c r="B2267">
        <v>31</v>
      </c>
      <c r="C2267">
        <v>67.73</v>
      </c>
      <c r="D2267">
        <v>3</v>
      </c>
      <c r="E2267">
        <v>2099.63</v>
      </c>
      <c r="F2267" s="1">
        <v>38238</v>
      </c>
      <c r="G2267" t="s">
        <v>39</v>
      </c>
      <c r="H2267">
        <v>3</v>
      </c>
      <c r="I2267">
        <v>9</v>
      </c>
      <c r="J2267" t="str">
        <f>TEXT(DATE(2012,Table1[[#This Row],[MONTH_ID]],10),"mmm")</f>
        <v>Sep</v>
      </c>
      <c r="K2267">
        <v>2004</v>
      </c>
      <c r="L2267" t="s">
        <v>619</v>
      </c>
      <c r="M2267">
        <v>62</v>
      </c>
      <c r="N2267" t="s">
        <v>667</v>
      </c>
      <c r="O2267" t="s">
        <v>42</v>
      </c>
      <c r="P2267">
        <v>2125557818</v>
      </c>
      <c r="Q2267" t="s">
        <v>43</v>
      </c>
      <c r="S2267" t="s">
        <v>44</v>
      </c>
      <c r="T2267" t="s">
        <v>45</v>
      </c>
      <c r="U2267">
        <v>10022</v>
      </c>
      <c r="V2267" t="s">
        <v>46</v>
      </c>
      <c r="W2267" t="s">
        <v>47</v>
      </c>
      <c r="X2267" t="s">
        <v>48</v>
      </c>
      <c r="Y2267" t="s">
        <v>49</v>
      </c>
      <c r="Z2267" t="s">
        <v>50</v>
      </c>
    </row>
    <row r="2268" spans="1:26" x14ac:dyDescent="0.3">
      <c r="A2268">
        <v>10306</v>
      </c>
      <c r="B2268">
        <v>46</v>
      </c>
      <c r="C2268">
        <v>50.33</v>
      </c>
      <c r="D2268">
        <v>17</v>
      </c>
      <c r="E2268">
        <v>2315.1799999999998</v>
      </c>
      <c r="F2268" s="1">
        <v>38274</v>
      </c>
      <c r="G2268" t="s">
        <v>39</v>
      </c>
      <c r="H2268">
        <v>4</v>
      </c>
      <c r="I2268">
        <v>10</v>
      </c>
      <c r="J2268" t="str">
        <f>TEXT(DATE(2012,Table1[[#This Row],[MONTH_ID]],10),"mmm")</f>
        <v>Oct</v>
      </c>
      <c r="K2268">
        <v>2004</v>
      </c>
      <c r="L2268" t="s">
        <v>619</v>
      </c>
      <c r="M2268">
        <v>62</v>
      </c>
      <c r="N2268" t="s">
        <v>667</v>
      </c>
      <c r="O2268" t="s">
        <v>506</v>
      </c>
      <c r="P2268" t="s">
        <v>507</v>
      </c>
      <c r="Q2268" t="s">
        <v>508</v>
      </c>
      <c r="S2268" t="s">
        <v>509</v>
      </c>
      <c r="U2268" t="s">
        <v>510</v>
      </c>
      <c r="V2268" t="s">
        <v>184</v>
      </c>
      <c r="W2268" t="s">
        <v>56</v>
      </c>
      <c r="X2268" t="s">
        <v>511</v>
      </c>
      <c r="Y2268" t="s">
        <v>108</v>
      </c>
      <c r="Z2268" t="s">
        <v>50</v>
      </c>
    </row>
    <row r="2269" spans="1:26" x14ac:dyDescent="0.3">
      <c r="A2269">
        <v>10314</v>
      </c>
      <c r="B2269">
        <v>35</v>
      </c>
      <c r="C2269">
        <v>66.489999999999995</v>
      </c>
      <c r="D2269">
        <v>9</v>
      </c>
      <c r="E2269">
        <v>2327.15</v>
      </c>
      <c r="F2269" s="1">
        <v>38282</v>
      </c>
      <c r="G2269" t="s">
        <v>39</v>
      </c>
      <c r="H2269">
        <v>4</v>
      </c>
      <c r="I2269">
        <v>10</v>
      </c>
      <c r="J2269" t="str">
        <f>TEXT(DATE(2012,Table1[[#This Row],[MONTH_ID]],10),"mmm")</f>
        <v>Oct</v>
      </c>
      <c r="K2269">
        <v>2004</v>
      </c>
      <c r="L2269" t="s">
        <v>619</v>
      </c>
      <c r="M2269">
        <v>62</v>
      </c>
      <c r="N2269" t="s">
        <v>667</v>
      </c>
      <c r="O2269" t="s">
        <v>512</v>
      </c>
      <c r="P2269" t="s">
        <v>513</v>
      </c>
      <c r="Q2269" t="s">
        <v>514</v>
      </c>
      <c r="S2269" t="s">
        <v>515</v>
      </c>
      <c r="U2269">
        <v>8200</v>
      </c>
      <c r="V2269" t="s">
        <v>340</v>
      </c>
      <c r="W2269" t="s">
        <v>56</v>
      </c>
      <c r="X2269" t="s">
        <v>516</v>
      </c>
      <c r="Y2269" t="s">
        <v>517</v>
      </c>
      <c r="Z2269" t="s">
        <v>50</v>
      </c>
    </row>
    <row r="2270" spans="1:26" x14ac:dyDescent="0.3">
      <c r="A2270">
        <v>10325</v>
      </c>
      <c r="B2270">
        <v>28</v>
      </c>
      <c r="C2270">
        <v>100</v>
      </c>
      <c r="D2270">
        <v>2</v>
      </c>
      <c r="E2270">
        <v>5377.4</v>
      </c>
      <c r="F2270" s="1">
        <v>38296</v>
      </c>
      <c r="G2270" t="s">
        <v>39</v>
      </c>
      <c r="H2270">
        <v>4</v>
      </c>
      <c r="I2270">
        <v>11</v>
      </c>
      <c r="J2270" t="str">
        <f>TEXT(DATE(2012,Table1[[#This Row],[MONTH_ID]],10),"mmm")</f>
        <v>Nov</v>
      </c>
      <c r="K2270">
        <v>2004</v>
      </c>
      <c r="L2270" t="s">
        <v>619</v>
      </c>
      <c r="M2270">
        <v>62</v>
      </c>
      <c r="N2270" t="s">
        <v>667</v>
      </c>
      <c r="O2270" t="s">
        <v>147</v>
      </c>
      <c r="P2270" t="s">
        <v>148</v>
      </c>
      <c r="Q2270" t="s">
        <v>149</v>
      </c>
      <c r="S2270" t="s">
        <v>150</v>
      </c>
      <c r="U2270">
        <v>4110</v>
      </c>
      <c r="V2270" t="s">
        <v>92</v>
      </c>
      <c r="W2270" t="s">
        <v>56</v>
      </c>
      <c r="X2270" t="s">
        <v>151</v>
      </c>
      <c r="Y2270" t="s">
        <v>152</v>
      </c>
      <c r="Z2270" t="s">
        <v>65</v>
      </c>
    </row>
    <row r="2271" spans="1:26" x14ac:dyDescent="0.3">
      <c r="A2271">
        <v>10336</v>
      </c>
      <c r="B2271">
        <v>31</v>
      </c>
      <c r="C2271">
        <v>84.71</v>
      </c>
      <c r="D2271">
        <v>9</v>
      </c>
      <c r="E2271">
        <v>2626.01</v>
      </c>
      <c r="F2271" s="1">
        <v>38311</v>
      </c>
      <c r="G2271" t="s">
        <v>39</v>
      </c>
      <c r="H2271">
        <v>4</v>
      </c>
      <c r="I2271">
        <v>11</v>
      </c>
      <c r="J2271" t="str">
        <f>TEXT(DATE(2012,Table1[[#This Row],[MONTH_ID]],10),"mmm")</f>
        <v>Nov</v>
      </c>
      <c r="K2271">
        <v>2004</v>
      </c>
      <c r="L2271" t="s">
        <v>619</v>
      </c>
      <c r="M2271">
        <v>62</v>
      </c>
      <c r="N2271" t="s">
        <v>667</v>
      </c>
      <c r="O2271" t="s">
        <v>417</v>
      </c>
      <c r="P2271" t="s">
        <v>418</v>
      </c>
      <c r="Q2271" t="s">
        <v>419</v>
      </c>
      <c r="S2271" t="s">
        <v>62</v>
      </c>
      <c r="U2271">
        <v>75012</v>
      </c>
      <c r="V2271" t="s">
        <v>55</v>
      </c>
      <c r="W2271" t="s">
        <v>56</v>
      </c>
      <c r="X2271" t="s">
        <v>420</v>
      </c>
      <c r="Y2271" t="s">
        <v>421</v>
      </c>
      <c r="Z2271" t="s">
        <v>50</v>
      </c>
    </row>
    <row r="2272" spans="1:26" x14ac:dyDescent="0.3">
      <c r="A2272">
        <v>10350</v>
      </c>
      <c r="B2272">
        <v>27</v>
      </c>
      <c r="C2272">
        <v>100</v>
      </c>
      <c r="D2272">
        <v>14</v>
      </c>
      <c r="E2272">
        <v>4406.3999999999996</v>
      </c>
      <c r="F2272" s="1">
        <v>38323</v>
      </c>
      <c r="G2272" t="s">
        <v>39</v>
      </c>
      <c r="H2272">
        <v>4</v>
      </c>
      <c r="I2272">
        <v>12</v>
      </c>
      <c r="J2272" t="str">
        <f>TEXT(DATE(2012,Table1[[#This Row],[MONTH_ID]],10),"mmm")</f>
        <v>Dec</v>
      </c>
      <c r="K2272">
        <v>2004</v>
      </c>
      <c r="L2272" t="s">
        <v>619</v>
      </c>
      <c r="M2272">
        <v>62</v>
      </c>
      <c r="N2272" t="s">
        <v>667</v>
      </c>
      <c r="O2272" t="s">
        <v>188</v>
      </c>
      <c r="P2272" t="s">
        <v>189</v>
      </c>
      <c r="Q2272" t="s">
        <v>190</v>
      </c>
      <c r="S2272" t="s">
        <v>191</v>
      </c>
      <c r="U2272">
        <v>28034</v>
      </c>
      <c r="V2272" t="s">
        <v>192</v>
      </c>
      <c r="W2272" t="s">
        <v>56</v>
      </c>
      <c r="X2272" t="s">
        <v>193</v>
      </c>
      <c r="Y2272" t="s">
        <v>194</v>
      </c>
      <c r="Z2272" t="s">
        <v>65</v>
      </c>
    </row>
    <row r="2273" spans="1:26" x14ac:dyDescent="0.3">
      <c r="A2273">
        <v>10359</v>
      </c>
      <c r="B2273">
        <v>22</v>
      </c>
      <c r="C2273">
        <v>100</v>
      </c>
      <c r="D2273">
        <v>1</v>
      </c>
      <c r="E2273">
        <v>4301.22</v>
      </c>
      <c r="F2273" s="1">
        <v>38336</v>
      </c>
      <c r="G2273" t="s">
        <v>39</v>
      </c>
      <c r="H2273">
        <v>4</v>
      </c>
      <c r="I2273">
        <v>12</v>
      </c>
      <c r="J2273" t="str">
        <f>TEXT(DATE(2012,Table1[[#This Row],[MONTH_ID]],10),"mmm")</f>
        <v>Dec</v>
      </c>
      <c r="K2273">
        <v>2004</v>
      </c>
      <c r="L2273" t="s">
        <v>619</v>
      </c>
      <c r="M2273">
        <v>62</v>
      </c>
      <c r="N2273" t="s">
        <v>667</v>
      </c>
      <c r="O2273" t="s">
        <v>51</v>
      </c>
      <c r="P2273" t="s">
        <v>52</v>
      </c>
      <c r="Q2273" t="s">
        <v>53</v>
      </c>
      <c r="S2273" t="s">
        <v>54</v>
      </c>
      <c r="U2273">
        <v>51100</v>
      </c>
      <c r="V2273" t="s">
        <v>55</v>
      </c>
      <c r="W2273" t="s">
        <v>56</v>
      </c>
      <c r="X2273" t="s">
        <v>57</v>
      </c>
      <c r="Y2273" t="s">
        <v>58</v>
      </c>
      <c r="Z2273" t="s">
        <v>65</v>
      </c>
    </row>
    <row r="2274" spans="1:26" x14ac:dyDescent="0.3">
      <c r="A2274">
        <v>10371</v>
      </c>
      <c r="B2274">
        <v>30</v>
      </c>
      <c r="C2274">
        <v>99.55</v>
      </c>
      <c r="D2274">
        <v>11</v>
      </c>
      <c r="E2274">
        <v>2986.5</v>
      </c>
      <c r="F2274" s="1">
        <v>38375</v>
      </c>
      <c r="G2274" t="s">
        <v>39</v>
      </c>
      <c r="H2274">
        <v>1</v>
      </c>
      <c r="I2274">
        <v>1</v>
      </c>
      <c r="J2274" t="str">
        <f>TEXT(DATE(2012,Table1[[#This Row],[MONTH_ID]],10),"mmm")</f>
        <v>Jan</v>
      </c>
      <c r="K2274">
        <v>2005</v>
      </c>
      <c r="L2274" t="s">
        <v>619</v>
      </c>
      <c r="M2274">
        <v>62</v>
      </c>
      <c r="N2274" t="s">
        <v>667</v>
      </c>
      <c r="O2274" t="s">
        <v>286</v>
      </c>
      <c r="P2274">
        <v>4155551450</v>
      </c>
      <c r="Q2274" t="s">
        <v>287</v>
      </c>
      <c r="S2274" t="s">
        <v>288</v>
      </c>
      <c r="T2274" t="s">
        <v>69</v>
      </c>
      <c r="U2274">
        <v>97562</v>
      </c>
      <c r="V2274" t="s">
        <v>46</v>
      </c>
      <c r="W2274" t="s">
        <v>47</v>
      </c>
      <c r="X2274" t="s">
        <v>289</v>
      </c>
      <c r="Y2274" t="s">
        <v>290</v>
      </c>
      <c r="Z2274" t="s">
        <v>50</v>
      </c>
    </row>
    <row r="2275" spans="1:26" x14ac:dyDescent="0.3">
      <c r="A2275">
        <v>10383</v>
      </c>
      <c r="B2275">
        <v>44</v>
      </c>
      <c r="C2275">
        <v>36.07</v>
      </c>
      <c r="D2275">
        <v>8</v>
      </c>
      <c r="E2275">
        <v>1587.08</v>
      </c>
      <c r="F2275" s="1">
        <v>38405</v>
      </c>
      <c r="G2275" t="s">
        <v>39</v>
      </c>
      <c r="H2275">
        <v>1</v>
      </c>
      <c r="I2275">
        <v>2</v>
      </c>
      <c r="J2275" t="str">
        <f>TEXT(DATE(2012,Table1[[#This Row],[MONTH_ID]],10),"mmm")</f>
        <v>Feb</v>
      </c>
      <c r="K2275">
        <v>2005</v>
      </c>
      <c r="L2275" t="s">
        <v>619</v>
      </c>
      <c r="M2275">
        <v>62</v>
      </c>
      <c r="N2275" t="s">
        <v>667</v>
      </c>
      <c r="O2275" t="s">
        <v>188</v>
      </c>
      <c r="P2275" t="s">
        <v>189</v>
      </c>
      <c r="Q2275" t="s">
        <v>190</v>
      </c>
      <c r="S2275" t="s">
        <v>191</v>
      </c>
      <c r="U2275">
        <v>28034</v>
      </c>
      <c r="V2275" t="s">
        <v>192</v>
      </c>
      <c r="W2275" t="s">
        <v>56</v>
      </c>
      <c r="X2275" t="s">
        <v>193</v>
      </c>
      <c r="Y2275" t="s">
        <v>194</v>
      </c>
      <c r="Z2275" t="s">
        <v>50</v>
      </c>
    </row>
    <row r="2276" spans="1:26" x14ac:dyDescent="0.3">
      <c r="A2276">
        <v>10394</v>
      </c>
      <c r="B2276">
        <v>30</v>
      </c>
      <c r="C2276">
        <v>60.28</v>
      </c>
      <c r="D2276">
        <v>4</v>
      </c>
      <c r="E2276">
        <v>1808.4</v>
      </c>
      <c r="F2276" s="1">
        <v>38426</v>
      </c>
      <c r="G2276" t="s">
        <v>39</v>
      </c>
      <c r="H2276">
        <v>1</v>
      </c>
      <c r="I2276">
        <v>3</v>
      </c>
      <c r="J2276" t="str">
        <f>TEXT(DATE(2012,Table1[[#This Row],[MONTH_ID]],10),"mmm")</f>
        <v>Mar</v>
      </c>
      <c r="K2276">
        <v>2005</v>
      </c>
      <c r="L2276" t="s">
        <v>619</v>
      </c>
      <c r="M2276">
        <v>62</v>
      </c>
      <c r="N2276" t="s">
        <v>667</v>
      </c>
      <c r="O2276" t="s">
        <v>188</v>
      </c>
      <c r="P2276" t="s">
        <v>189</v>
      </c>
      <c r="Q2276" t="s">
        <v>190</v>
      </c>
      <c r="S2276" t="s">
        <v>191</v>
      </c>
      <c r="U2276">
        <v>28034</v>
      </c>
      <c r="V2276" t="s">
        <v>192</v>
      </c>
      <c r="W2276" t="s">
        <v>56</v>
      </c>
      <c r="X2276" t="s">
        <v>193</v>
      </c>
      <c r="Y2276" t="s">
        <v>194</v>
      </c>
      <c r="Z2276" t="s">
        <v>50</v>
      </c>
    </row>
    <row r="2277" spans="1:26" x14ac:dyDescent="0.3">
      <c r="A2277">
        <v>10413</v>
      </c>
      <c r="B2277">
        <v>24</v>
      </c>
      <c r="C2277">
        <v>49.71</v>
      </c>
      <c r="D2277">
        <v>6</v>
      </c>
      <c r="E2277">
        <v>1193.04</v>
      </c>
      <c r="F2277" s="1">
        <v>38477</v>
      </c>
      <c r="G2277" t="s">
        <v>39</v>
      </c>
      <c r="H2277">
        <v>2</v>
      </c>
      <c r="I2277">
        <v>5</v>
      </c>
      <c r="J2277" t="str">
        <f>TEXT(DATE(2012,Table1[[#This Row],[MONTH_ID]],10),"mmm")</f>
        <v>May</v>
      </c>
      <c r="K2277">
        <v>2005</v>
      </c>
      <c r="L2277" t="s">
        <v>619</v>
      </c>
      <c r="M2277">
        <v>62</v>
      </c>
      <c r="N2277" t="s">
        <v>667</v>
      </c>
      <c r="O2277" t="s">
        <v>123</v>
      </c>
      <c r="P2277">
        <v>2035552570</v>
      </c>
      <c r="Q2277" t="s">
        <v>124</v>
      </c>
      <c r="S2277" t="s">
        <v>125</v>
      </c>
      <c r="T2277" t="s">
        <v>126</v>
      </c>
      <c r="U2277">
        <v>97562</v>
      </c>
      <c r="V2277" t="s">
        <v>46</v>
      </c>
      <c r="W2277" t="s">
        <v>47</v>
      </c>
      <c r="X2277" t="s">
        <v>127</v>
      </c>
      <c r="Y2277" t="s">
        <v>71</v>
      </c>
      <c r="Z2277" t="s">
        <v>50</v>
      </c>
    </row>
    <row r="2278" spans="1:26" x14ac:dyDescent="0.3">
      <c r="A2278">
        <v>10103</v>
      </c>
      <c r="B2278">
        <v>45</v>
      </c>
      <c r="C2278">
        <v>75.63</v>
      </c>
      <c r="D2278">
        <v>7</v>
      </c>
      <c r="E2278">
        <v>3403.35</v>
      </c>
      <c r="F2278" s="1">
        <v>37650</v>
      </c>
      <c r="G2278" t="s">
        <v>39</v>
      </c>
      <c r="H2278">
        <v>1</v>
      </c>
      <c r="I2278">
        <v>1</v>
      </c>
      <c r="J2278" t="str">
        <f>TEXT(DATE(2012,Table1[[#This Row],[MONTH_ID]],10),"mmm")</f>
        <v>Jan</v>
      </c>
      <c r="K2278">
        <v>2003</v>
      </c>
      <c r="L2278" t="s">
        <v>518</v>
      </c>
      <c r="M2278">
        <v>64</v>
      </c>
      <c r="N2278" t="s">
        <v>668</v>
      </c>
      <c r="O2278" t="s">
        <v>147</v>
      </c>
      <c r="P2278" t="s">
        <v>148</v>
      </c>
      <c r="Q2278" t="s">
        <v>149</v>
      </c>
      <c r="S2278" t="s">
        <v>150</v>
      </c>
      <c r="U2278">
        <v>4110</v>
      </c>
      <c r="V2278" t="s">
        <v>92</v>
      </c>
      <c r="W2278" t="s">
        <v>56</v>
      </c>
      <c r="X2278" t="s">
        <v>151</v>
      </c>
      <c r="Y2278" t="s">
        <v>152</v>
      </c>
      <c r="Z2278" t="s">
        <v>65</v>
      </c>
    </row>
    <row r="2279" spans="1:26" x14ac:dyDescent="0.3">
      <c r="A2279">
        <v>10113</v>
      </c>
      <c r="B2279">
        <v>23</v>
      </c>
      <c r="C2279">
        <v>68.52</v>
      </c>
      <c r="D2279">
        <v>1</v>
      </c>
      <c r="E2279">
        <v>1575.96</v>
      </c>
      <c r="F2279" s="1">
        <v>37706</v>
      </c>
      <c r="G2279" t="s">
        <v>39</v>
      </c>
      <c r="H2279">
        <v>1</v>
      </c>
      <c r="I2279">
        <v>3</v>
      </c>
      <c r="J2279" t="str">
        <f>TEXT(DATE(2012,Table1[[#This Row],[MONTH_ID]],10),"mmm")</f>
        <v>Mar</v>
      </c>
      <c r="K2279">
        <v>2003</v>
      </c>
      <c r="L2279" t="s">
        <v>518</v>
      </c>
      <c r="M2279">
        <v>64</v>
      </c>
      <c r="N2279" t="s">
        <v>668</v>
      </c>
      <c r="O2279" t="s">
        <v>286</v>
      </c>
      <c r="P2279">
        <v>4155551450</v>
      </c>
      <c r="Q2279" t="s">
        <v>287</v>
      </c>
      <c r="S2279" t="s">
        <v>288</v>
      </c>
      <c r="T2279" t="s">
        <v>69</v>
      </c>
      <c r="U2279">
        <v>97562</v>
      </c>
      <c r="V2279" t="s">
        <v>46</v>
      </c>
      <c r="W2279" t="s">
        <v>47</v>
      </c>
      <c r="X2279" t="s">
        <v>289</v>
      </c>
      <c r="Y2279" t="s">
        <v>290</v>
      </c>
      <c r="Z2279" t="s">
        <v>50</v>
      </c>
    </row>
    <row r="2280" spans="1:26" x14ac:dyDescent="0.3">
      <c r="A2280">
        <v>10126</v>
      </c>
      <c r="B2280">
        <v>26</v>
      </c>
      <c r="C2280">
        <v>62.7</v>
      </c>
      <c r="D2280">
        <v>7</v>
      </c>
      <c r="E2280">
        <v>1630.2</v>
      </c>
      <c r="F2280" s="1">
        <v>37769</v>
      </c>
      <c r="G2280" t="s">
        <v>39</v>
      </c>
      <c r="H2280">
        <v>2</v>
      </c>
      <c r="I2280">
        <v>5</v>
      </c>
      <c r="J2280" t="str">
        <f>TEXT(DATE(2012,Table1[[#This Row],[MONTH_ID]],10),"mmm")</f>
        <v>May</v>
      </c>
      <c r="K2280">
        <v>2003</v>
      </c>
      <c r="L2280" t="s">
        <v>518</v>
      </c>
      <c r="M2280">
        <v>64</v>
      </c>
      <c r="N2280" t="s">
        <v>668</v>
      </c>
      <c r="O2280" t="s">
        <v>205</v>
      </c>
      <c r="P2280" t="s">
        <v>206</v>
      </c>
      <c r="Q2280" t="s">
        <v>207</v>
      </c>
      <c r="S2280" t="s">
        <v>191</v>
      </c>
      <c r="U2280">
        <v>28023</v>
      </c>
      <c r="V2280" t="s">
        <v>192</v>
      </c>
      <c r="W2280" t="s">
        <v>56</v>
      </c>
      <c r="X2280" t="s">
        <v>208</v>
      </c>
      <c r="Y2280" t="s">
        <v>209</v>
      </c>
      <c r="Z2280" t="s">
        <v>50</v>
      </c>
    </row>
    <row r="2281" spans="1:26" x14ac:dyDescent="0.3">
      <c r="A2281">
        <v>10140</v>
      </c>
      <c r="B2281">
        <v>28</v>
      </c>
      <c r="C2281">
        <v>60.76</v>
      </c>
      <c r="D2281">
        <v>7</v>
      </c>
      <c r="E2281">
        <v>1701.28</v>
      </c>
      <c r="F2281" s="1">
        <v>37826</v>
      </c>
      <c r="G2281" t="s">
        <v>39</v>
      </c>
      <c r="H2281">
        <v>3</v>
      </c>
      <c r="I2281">
        <v>7</v>
      </c>
      <c r="J2281" t="str">
        <f>TEXT(DATE(2012,Table1[[#This Row],[MONTH_ID]],10),"mmm")</f>
        <v>Jul</v>
      </c>
      <c r="K2281">
        <v>2003</v>
      </c>
      <c r="L2281" t="s">
        <v>518</v>
      </c>
      <c r="M2281">
        <v>64</v>
      </c>
      <c r="N2281" t="s">
        <v>668</v>
      </c>
      <c r="O2281" t="s">
        <v>76</v>
      </c>
      <c r="P2281">
        <v>6505556809</v>
      </c>
      <c r="Q2281" t="s">
        <v>77</v>
      </c>
      <c r="S2281" t="s">
        <v>78</v>
      </c>
      <c r="T2281" t="s">
        <v>69</v>
      </c>
      <c r="U2281">
        <v>94217</v>
      </c>
      <c r="V2281" t="s">
        <v>46</v>
      </c>
      <c r="W2281" t="s">
        <v>47</v>
      </c>
      <c r="X2281" t="s">
        <v>79</v>
      </c>
      <c r="Y2281" t="s">
        <v>80</v>
      </c>
      <c r="Z2281" t="s">
        <v>50</v>
      </c>
    </row>
    <row r="2282" spans="1:26" x14ac:dyDescent="0.3">
      <c r="A2282">
        <v>10150</v>
      </c>
      <c r="B2282">
        <v>49</v>
      </c>
      <c r="C2282">
        <v>58.18</v>
      </c>
      <c r="D2282">
        <v>4</v>
      </c>
      <c r="E2282">
        <v>2850.82</v>
      </c>
      <c r="F2282" s="1">
        <v>37883</v>
      </c>
      <c r="G2282" t="s">
        <v>39</v>
      </c>
      <c r="H2282">
        <v>3</v>
      </c>
      <c r="I2282">
        <v>9</v>
      </c>
      <c r="J2282" t="str">
        <f>TEXT(DATE(2012,Table1[[#This Row],[MONTH_ID]],10),"mmm")</f>
        <v>Sep</v>
      </c>
      <c r="K2282">
        <v>2003</v>
      </c>
      <c r="L2282" t="s">
        <v>518</v>
      </c>
      <c r="M2282">
        <v>64</v>
      </c>
      <c r="N2282" t="s">
        <v>668</v>
      </c>
      <c r="O2282" t="s">
        <v>210</v>
      </c>
      <c r="P2282" t="s">
        <v>211</v>
      </c>
      <c r="Q2282" t="s">
        <v>212</v>
      </c>
      <c r="S2282" t="s">
        <v>213</v>
      </c>
      <c r="U2282">
        <v>79903</v>
      </c>
      <c r="V2282" t="s">
        <v>213</v>
      </c>
      <c r="W2282" t="s">
        <v>214</v>
      </c>
      <c r="X2282" t="s">
        <v>215</v>
      </c>
      <c r="Y2282" t="s">
        <v>216</v>
      </c>
      <c r="Z2282" t="s">
        <v>50</v>
      </c>
    </row>
    <row r="2283" spans="1:26" x14ac:dyDescent="0.3">
      <c r="A2283">
        <v>10164</v>
      </c>
      <c r="B2283">
        <v>49</v>
      </c>
      <c r="C2283">
        <v>54.94</v>
      </c>
      <c r="D2283">
        <v>5</v>
      </c>
      <c r="E2283">
        <v>2692.06</v>
      </c>
      <c r="F2283" s="1">
        <v>37915</v>
      </c>
      <c r="G2283" t="s">
        <v>422</v>
      </c>
      <c r="H2283">
        <v>4</v>
      </c>
      <c r="I2283">
        <v>10</v>
      </c>
      <c r="J2283" t="str">
        <f>TEXT(DATE(2012,Table1[[#This Row],[MONTH_ID]],10),"mmm")</f>
        <v>Oct</v>
      </c>
      <c r="K2283">
        <v>2003</v>
      </c>
      <c r="L2283" t="s">
        <v>518</v>
      </c>
      <c r="M2283">
        <v>64</v>
      </c>
      <c r="N2283" t="s">
        <v>668</v>
      </c>
      <c r="O2283" t="s">
        <v>423</v>
      </c>
      <c r="P2283" t="s">
        <v>424</v>
      </c>
      <c r="Q2283" t="s">
        <v>425</v>
      </c>
      <c r="S2283" t="s">
        <v>426</v>
      </c>
      <c r="U2283">
        <v>8010</v>
      </c>
      <c r="V2283" t="s">
        <v>162</v>
      </c>
      <c r="W2283" t="s">
        <v>56</v>
      </c>
      <c r="X2283" t="s">
        <v>427</v>
      </c>
      <c r="Y2283" t="s">
        <v>428</v>
      </c>
      <c r="Z2283" t="s">
        <v>50</v>
      </c>
    </row>
    <row r="2284" spans="1:26" x14ac:dyDescent="0.3">
      <c r="A2284">
        <v>10175</v>
      </c>
      <c r="B2284">
        <v>29</v>
      </c>
      <c r="C2284">
        <v>74.98</v>
      </c>
      <c r="D2284">
        <v>12</v>
      </c>
      <c r="E2284">
        <v>2174.42</v>
      </c>
      <c r="F2284" s="1">
        <v>37931</v>
      </c>
      <c r="G2284" t="s">
        <v>39</v>
      </c>
      <c r="H2284">
        <v>4</v>
      </c>
      <c r="I2284">
        <v>11</v>
      </c>
      <c r="J2284" t="str">
        <f>TEXT(DATE(2012,Table1[[#This Row],[MONTH_ID]],10),"mmm")</f>
        <v>Nov</v>
      </c>
      <c r="K2284">
        <v>2003</v>
      </c>
      <c r="L2284" t="s">
        <v>518</v>
      </c>
      <c r="M2284">
        <v>64</v>
      </c>
      <c r="N2284" t="s">
        <v>668</v>
      </c>
      <c r="O2284" t="s">
        <v>343</v>
      </c>
      <c r="P2284" t="s">
        <v>344</v>
      </c>
      <c r="Q2284" t="s">
        <v>345</v>
      </c>
      <c r="S2284" t="s">
        <v>346</v>
      </c>
      <c r="U2284" t="s">
        <v>347</v>
      </c>
      <c r="V2284" t="s">
        <v>184</v>
      </c>
      <c r="W2284" t="s">
        <v>56</v>
      </c>
      <c r="X2284" t="s">
        <v>75</v>
      </c>
      <c r="Y2284" t="s">
        <v>348</v>
      </c>
      <c r="Z2284" t="s">
        <v>50</v>
      </c>
    </row>
    <row r="2285" spans="1:26" x14ac:dyDescent="0.3">
      <c r="A2285">
        <v>10183</v>
      </c>
      <c r="B2285">
        <v>49</v>
      </c>
      <c r="C2285">
        <v>64.64</v>
      </c>
      <c r="D2285">
        <v>4</v>
      </c>
      <c r="E2285">
        <v>3167.36</v>
      </c>
      <c r="F2285" s="1">
        <v>37938</v>
      </c>
      <c r="G2285" t="s">
        <v>39</v>
      </c>
      <c r="H2285">
        <v>4</v>
      </c>
      <c r="I2285">
        <v>11</v>
      </c>
      <c r="J2285" t="str">
        <f>TEXT(DATE(2012,Table1[[#This Row],[MONTH_ID]],10),"mmm")</f>
        <v>Nov</v>
      </c>
      <c r="K2285">
        <v>2003</v>
      </c>
      <c r="L2285" t="s">
        <v>518</v>
      </c>
      <c r="M2285">
        <v>64</v>
      </c>
      <c r="N2285" t="s">
        <v>668</v>
      </c>
      <c r="O2285" t="s">
        <v>228</v>
      </c>
      <c r="P2285">
        <v>2155554695</v>
      </c>
      <c r="Q2285" t="s">
        <v>229</v>
      </c>
      <c r="S2285" t="s">
        <v>230</v>
      </c>
      <c r="T2285" t="s">
        <v>156</v>
      </c>
      <c r="U2285">
        <v>71270</v>
      </c>
      <c r="V2285" t="s">
        <v>46</v>
      </c>
      <c r="W2285" t="s">
        <v>47</v>
      </c>
      <c r="X2285" t="s">
        <v>231</v>
      </c>
      <c r="Y2285" t="s">
        <v>232</v>
      </c>
      <c r="Z2285" t="s">
        <v>65</v>
      </c>
    </row>
    <row r="2286" spans="1:26" x14ac:dyDescent="0.3">
      <c r="A2286">
        <v>10194</v>
      </c>
      <c r="B2286">
        <v>39</v>
      </c>
      <c r="C2286">
        <v>54.94</v>
      </c>
      <c r="D2286">
        <v>7</v>
      </c>
      <c r="E2286">
        <v>2142.66</v>
      </c>
      <c r="F2286" s="1">
        <v>37950</v>
      </c>
      <c r="G2286" t="s">
        <v>39</v>
      </c>
      <c r="H2286">
        <v>4</v>
      </c>
      <c r="I2286">
        <v>11</v>
      </c>
      <c r="J2286" t="str">
        <f>TEXT(DATE(2012,Table1[[#This Row],[MONTH_ID]],10),"mmm")</f>
        <v>Nov</v>
      </c>
      <c r="K2286">
        <v>2003</v>
      </c>
      <c r="L2286" t="s">
        <v>518</v>
      </c>
      <c r="M2286">
        <v>64</v>
      </c>
      <c r="N2286" t="s">
        <v>668</v>
      </c>
      <c r="O2286" t="s">
        <v>233</v>
      </c>
      <c r="P2286" t="s">
        <v>234</v>
      </c>
      <c r="Q2286" t="s">
        <v>235</v>
      </c>
      <c r="S2286" t="s">
        <v>236</v>
      </c>
      <c r="U2286">
        <v>69004</v>
      </c>
      <c r="V2286" t="s">
        <v>55</v>
      </c>
      <c r="W2286" t="s">
        <v>56</v>
      </c>
      <c r="X2286" t="s">
        <v>237</v>
      </c>
      <c r="Y2286" t="s">
        <v>238</v>
      </c>
      <c r="Z2286" t="s">
        <v>50</v>
      </c>
    </row>
    <row r="2287" spans="1:26" x14ac:dyDescent="0.3">
      <c r="A2287">
        <v>10206</v>
      </c>
      <c r="B2287">
        <v>36</v>
      </c>
      <c r="C2287">
        <v>58.82</v>
      </c>
      <c r="D2287">
        <v>2</v>
      </c>
      <c r="E2287">
        <v>2117.52</v>
      </c>
      <c r="F2287" s="1">
        <v>37960</v>
      </c>
      <c r="G2287" t="s">
        <v>39</v>
      </c>
      <c r="H2287">
        <v>4</v>
      </c>
      <c r="I2287">
        <v>12</v>
      </c>
      <c r="J2287" t="str">
        <f>TEXT(DATE(2012,Table1[[#This Row],[MONTH_ID]],10),"mmm")</f>
        <v>Dec</v>
      </c>
      <c r="K2287">
        <v>2003</v>
      </c>
      <c r="L2287" t="s">
        <v>518</v>
      </c>
      <c r="M2287">
        <v>64</v>
      </c>
      <c r="N2287" t="s">
        <v>668</v>
      </c>
      <c r="O2287" t="s">
        <v>239</v>
      </c>
      <c r="P2287" t="s">
        <v>240</v>
      </c>
      <c r="Q2287" t="s">
        <v>241</v>
      </c>
      <c r="S2287" t="s">
        <v>242</v>
      </c>
      <c r="T2287" t="s">
        <v>243</v>
      </c>
      <c r="U2287" t="s">
        <v>244</v>
      </c>
      <c r="V2287" t="s">
        <v>245</v>
      </c>
      <c r="W2287" t="s">
        <v>47</v>
      </c>
      <c r="X2287" t="s">
        <v>246</v>
      </c>
      <c r="Y2287" t="s">
        <v>247</v>
      </c>
      <c r="Z2287" t="s">
        <v>50</v>
      </c>
    </row>
    <row r="2288" spans="1:26" x14ac:dyDescent="0.3">
      <c r="A2288">
        <v>10217</v>
      </c>
      <c r="B2288">
        <v>39</v>
      </c>
      <c r="C2288">
        <v>62.05</v>
      </c>
      <c r="D2288">
        <v>7</v>
      </c>
      <c r="E2288">
        <v>2419.9499999999998</v>
      </c>
      <c r="F2288" s="1">
        <v>38021</v>
      </c>
      <c r="G2288" t="s">
        <v>39</v>
      </c>
      <c r="H2288">
        <v>1</v>
      </c>
      <c r="I2288">
        <v>2</v>
      </c>
      <c r="J2288" t="str">
        <f>TEXT(DATE(2012,Table1[[#This Row],[MONTH_ID]],10),"mmm")</f>
        <v>Feb</v>
      </c>
      <c r="K2288">
        <v>2004</v>
      </c>
      <c r="L2288" t="s">
        <v>518</v>
      </c>
      <c r="M2288">
        <v>64</v>
      </c>
      <c r="N2288" t="s">
        <v>668</v>
      </c>
      <c r="O2288" t="s">
        <v>432</v>
      </c>
      <c r="P2288" t="s">
        <v>433</v>
      </c>
      <c r="Q2288" t="s">
        <v>434</v>
      </c>
      <c r="R2288" t="s">
        <v>435</v>
      </c>
      <c r="S2288" t="s">
        <v>213</v>
      </c>
      <c r="U2288">
        <v>69045</v>
      </c>
      <c r="V2288" t="s">
        <v>213</v>
      </c>
      <c r="W2288" t="s">
        <v>110</v>
      </c>
      <c r="X2288" t="s">
        <v>436</v>
      </c>
      <c r="Y2288" t="s">
        <v>437</v>
      </c>
      <c r="Z2288" t="s">
        <v>50</v>
      </c>
    </row>
    <row r="2289" spans="1:26" x14ac:dyDescent="0.3">
      <c r="A2289">
        <v>10229</v>
      </c>
      <c r="B2289">
        <v>30</v>
      </c>
      <c r="C2289">
        <v>73.040000000000006</v>
      </c>
      <c r="D2289">
        <v>12</v>
      </c>
      <c r="E2289">
        <v>2191.1999999999998</v>
      </c>
      <c r="F2289" s="1">
        <v>38057</v>
      </c>
      <c r="G2289" t="s">
        <v>39</v>
      </c>
      <c r="H2289">
        <v>1</v>
      </c>
      <c r="I2289">
        <v>3</v>
      </c>
      <c r="J2289" t="str">
        <f>TEXT(DATE(2012,Table1[[#This Row],[MONTH_ID]],10),"mmm")</f>
        <v>Mar</v>
      </c>
      <c r="K2289">
        <v>2004</v>
      </c>
      <c r="L2289" t="s">
        <v>518</v>
      </c>
      <c r="M2289">
        <v>64</v>
      </c>
      <c r="N2289" t="s">
        <v>668</v>
      </c>
      <c r="O2289" t="s">
        <v>286</v>
      </c>
      <c r="P2289">
        <v>4155551450</v>
      </c>
      <c r="Q2289" t="s">
        <v>287</v>
      </c>
      <c r="S2289" t="s">
        <v>288</v>
      </c>
      <c r="T2289" t="s">
        <v>69</v>
      </c>
      <c r="U2289">
        <v>97562</v>
      </c>
      <c r="V2289" t="s">
        <v>46</v>
      </c>
      <c r="W2289" t="s">
        <v>47</v>
      </c>
      <c r="X2289" t="s">
        <v>289</v>
      </c>
      <c r="Y2289" t="s">
        <v>290</v>
      </c>
      <c r="Z2289" t="s">
        <v>50</v>
      </c>
    </row>
    <row r="2290" spans="1:26" x14ac:dyDescent="0.3">
      <c r="A2290">
        <v>10245</v>
      </c>
      <c r="B2290">
        <v>44</v>
      </c>
      <c r="C2290">
        <v>69.16</v>
      </c>
      <c r="D2290">
        <v>5</v>
      </c>
      <c r="E2290">
        <v>3043.04</v>
      </c>
      <c r="F2290" s="1">
        <v>38111</v>
      </c>
      <c r="G2290" t="s">
        <v>39</v>
      </c>
      <c r="H2290">
        <v>2</v>
      </c>
      <c r="I2290">
        <v>5</v>
      </c>
      <c r="J2290" t="str">
        <f>TEXT(DATE(2012,Table1[[#This Row],[MONTH_ID]],10),"mmm")</f>
        <v>May</v>
      </c>
      <c r="K2290">
        <v>2004</v>
      </c>
      <c r="L2290" t="s">
        <v>518</v>
      </c>
      <c r="M2290">
        <v>64</v>
      </c>
      <c r="N2290" t="s">
        <v>668</v>
      </c>
      <c r="O2290" t="s">
        <v>256</v>
      </c>
      <c r="P2290">
        <v>2035559545</v>
      </c>
      <c r="Q2290" t="s">
        <v>257</v>
      </c>
      <c r="S2290" t="s">
        <v>258</v>
      </c>
      <c r="T2290" t="s">
        <v>126</v>
      </c>
      <c r="U2290">
        <v>97823</v>
      </c>
      <c r="V2290" t="s">
        <v>46</v>
      </c>
      <c r="W2290" t="s">
        <v>47</v>
      </c>
      <c r="X2290" t="s">
        <v>97</v>
      </c>
      <c r="Y2290" t="s">
        <v>259</v>
      </c>
      <c r="Z2290" t="s">
        <v>65</v>
      </c>
    </row>
    <row r="2291" spans="1:26" x14ac:dyDescent="0.3">
      <c r="A2291">
        <v>10258</v>
      </c>
      <c r="B2291">
        <v>20</v>
      </c>
      <c r="C2291">
        <v>61.41</v>
      </c>
      <c r="D2291">
        <v>2</v>
      </c>
      <c r="E2291">
        <v>1228.2</v>
      </c>
      <c r="F2291" s="1">
        <v>38153</v>
      </c>
      <c r="G2291" t="s">
        <v>39</v>
      </c>
      <c r="H2291">
        <v>2</v>
      </c>
      <c r="I2291">
        <v>6</v>
      </c>
      <c r="J2291" t="str">
        <f>TEXT(DATE(2012,Table1[[#This Row],[MONTH_ID]],10),"mmm")</f>
        <v>Jun</v>
      </c>
      <c r="K2291">
        <v>2004</v>
      </c>
      <c r="L2291" t="s">
        <v>518</v>
      </c>
      <c r="M2291">
        <v>64</v>
      </c>
      <c r="N2291" t="s">
        <v>668</v>
      </c>
      <c r="O2291" t="s">
        <v>260</v>
      </c>
      <c r="P2291" t="s">
        <v>261</v>
      </c>
      <c r="Q2291" t="s">
        <v>262</v>
      </c>
      <c r="S2291" t="s">
        <v>263</v>
      </c>
      <c r="T2291" t="s">
        <v>264</v>
      </c>
      <c r="U2291" t="s">
        <v>265</v>
      </c>
      <c r="V2291" t="s">
        <v>214</v>
      </c>
      <c r="W2291" t="s">
        <v>214</v>
      </c>
      <c r="X2291" t="s">
        <v>266</v>
      </c>
      <c r="Y2291" t="s">
        <v>267</v>
      </c>
      <c r="Z2291" t="s">
        <v>50</v>
      </c>
    </row>
    <row r="2292" spans="1:26" x14ac:dyDescent="0.3">
      <c r="A2292">
        <v>10270</v>
      </c>
      <c r="B2292">
        <v>21</v>
      </c>
      <c r="C2292">
        <v>63.35</v>
      </c>
      <c r="D2292">
        <v>5</v>
      </c>
      <c r="E2292">
        <v>1330.35</v>
      </c>
      <c r="F2292" s="1">
        <v>38187</v>
      </c>
      <c r="G2292" t="s">
        <v>39</v>
      </c>
      <c r="H2292">
        <v>3</v>
      </c>
      <c r="I2292">
        <v>7</v>
      </c>
      <c r="J2292" t="str">
        <f>TEXT(DATE(2012,Table1[[#This Row],[MONTH_ID]],10),"mmm")</f>
        <v>Jul</v>
      </c>
      <c r="K2292">
        <v>2004</v>
      </c>
      <c r="L2292" t="s">
        <v>518</v>
      </c>
      <c r="M2292">
        <v>64</v>
      </c>
      <c r="N2292" t="s">
        <v>668</v>
      </c>
      <c r="O2292" t="s">
        <v>166</v>
      </c>
      <c r="P2292" t="s">
        <v>167</v>
      </c>
      <c r="Q2292" t="s">
        <v>168</v>
      </c>
      <c r="R2292" t="s">
        <v>169</v>
      </c>
      <c r="S2292" t="s">
        <v>170</v>
      </c>
      <c r="T2292" t="s">
        <v>171</v>
      </c>
      <c r="U2292">
        <v>2067</v>
      </c>
      <c r="V2292" t="s">
        <v>109</v>
      </c>
      <c r="W2292" t="s">
        <v>110</v>
      </c>
      <c r="X2292" t="s">
        <v>172</v>
      </c>
      <c r="Y2292" t="s">
        <v>173</v>
      </c>
      <c r="Z2292" t="s">
        <v>50</v>
      </c>
    </row>
    <row r="2293" spans="1:26" x14ac:dyDescent="0.3">
      <c r="A2293">
        <v>10281</v>
      </c>
      <c r="B2293">
        <v>36</v>
      </c>
      <c r="C2293">
        <v>77.569999999999993</v>
      </c>
      <c r="D2293">
        <v>12</v>
      </c>
      <c r="E2293">
        <v>2792.52</v>
      </c>
      <c r="F2293" s="1">
        <v>38218</v>
      </c>
      <c r="G2293" t="s">
        <v>39</v>
      </c>
      <c r="H2293">
        <v>3</v>
      </c>
      <c r="I2293">
        <v>8</v>
      </c>
      <c r="J2293" t="str">
        <f>TEXT(DATE(2012,Table1[[#This Row],[MONTH_ID]],10),"mmm")</f>
        <v>Aug</v>
      </c>
      <c r="K2293">
        <v>2004</v>
      </c>
      <c r="L2293" t="s">
        <v>518</v>
      </c>
      <c r="M2293">
        <v>64</v>
      </c>
      <c r="N2293" t="s">
        <v>668</v>
      </c>
      <c r="O2293" t="s">
        <v>153</v>
      </c>
      <c r="P2293">
        <v>2155551555</v>
      </c>
      <c r="Q2293" t="s">
        <v>154</v>
      </c>
      <c r="S2293" t="s">
        <v>155</v>
      </c>
      <c r="T2293" t="s">
        <v>156</v>
      </c>
      <c r="U2293">
        <v>70267</v>
      </c>
      <c r="V2293" t="s">
        <v>46</v>
      </c>
      <c r="W2293" t="s">
        <v>47</v>
      </c>
      <c r="X2293" t="s">
        <v>48</v>
      </c>
      <c r="Y2293" t="s">
        <v>157</v>
      </c>
      <c r="Z2293" t="s">
        <v>50</v>
      </c>
    </row>
    <row r="2294" spans="1:26" x14ac:dyDescent="0.3">
      <c r="A2294">
        <v>10291</v>
      </c>
      <c r="B2294">
        <v>32</v>
      </c>
      <c r="C2294">
        <v>71.75</v>
      </c>
      <c r="D2294">
        <v>7</v>
      </c>
      <c r="E2294">
        <v>2296</v>
      </c>
      <c r="F2294" s="1">
        <v>38238</v>
      </c>
      <c r="G2294" t="s">
        <v>39</v>
      </c>
      <c r="H2294">
        <v>3</v>
      </c>
      <c r="I2294">
        <v>9</v>
      </c>
      <c r="J2294" t="str">
        <f>TEXT(DATE(2012,Table1[[#This Row],[MONTH_ID]],10),"mmm")</f>
        <v>Sep</v>
      </c>
      <c r="K2294">
        <v>2004</v>
      </c>
      <c r="L2294" t="s">
        <v>518</v>
      </c>
      <c r="M2294">
        <v>64</v>
      </c>
      <c r="N2294" t="s">
        <v>668</v>
      </c>
      <c r="O2294" t="s">
        <v>275</v>
      </c>
      <c r="P2294" t="s">
        <v>276</v>
      </c>
      <c r="Q2294" t="s">
        <v>277</v>
      </c>
      <c r="S2294" t="s">
        <v>278</v>
      </c>
      <c r="U2294" t="s">
        <v>279</v>
      </c>
      <c r="V2294" t="s">
        <v>202</v>
      </c>
      <c r="W2294" t="s">
        <v>56</v>
      </c>
      <c r="X2294" t="s">
        <v>280</v>
      </c>
      <c r="Y2294" t="s">
        <v>220</v>
      </c>
      <c r="Z2294" t="s">
        <v>50</v>
      </c>
    </row>
    <row r="2295" spans="1:26" x14ac:dyDescent="0.3">
      <c r="A2295">
        <v>10304</v>
      </c>
      <c r="B2295">
        <v>36</v>
      </c>
      <c r="C2295">
        <v>73.040000000000006</v>
      </c>
      <c r="D2295">
        <v>2</v>
      </c>
      <c r="E2295">
        <v>2629.44</v>
      </c>
      <c r="F2295" s="1">
        <v>38271</v>
      </c>
      <c r="G2295" t="s">
        <v>39</v>
      </c>
      <c r="H2295">
        <v>4</v>
      </c>
      <c r="I2295">
        <v>10</v>
      </c>
      <c r="J2295" t="str">
        <f>TEXT(DATE(2012,Table1[[#This Row],[MONTH_ID]],10),"mmm")</f>
        <v>Oct</v>
      </c>
      <c r="K2295">
        <v>2004</v>
      </c>
      <c r="L2295" t="s">
        <v>518</v>
      </c>
      <c r="M2295">
        <v>64</v>
      </c>
      <c r="N2295" t="s">
        <v>668</v>
      </c>
      <c r="O2295" t="s">
        <v>281</v>
      </c>
      <c r="P2295" t="s">
        <v>282</v>
      </c>
      <c r="Q2295" t="s">
        <v>283</v>
      </c>
      <c r="S2295" t="s">
        <v>284</v>
      </c>
      <c r="U2295">
        <v>78000</v>
      </c>
      <c r="V2295" t="s">
        <v>55</v>
      </c>
      <c r="W2295" t="s">
        <v>56</v>
      </c>
      <c r="X2295" t="s">
        <v>285</v>
      </c>
      <c r="Y2295" t="s">
        <v>64</v>
      </c>
      <c r="Z2295" t="s">
        <v>50</v>
      </c>
    </row>
    <row r="2296" spans="1:26" x14ac:dyDescent="0.3">
      <c r="A2296">
        <v>10313</v>
      </c>
      <c r="B2296">
        <v>34</v>
      </c>
      <c r="C2296">
        <v>56.24</v>
      </c>
      <c r="D2296">
        <v>10</v>
      </c>
      <c r="E2296">
        <v>1912.16</v>
      </c>
      <c r="F2296" s="1">
        <v>38282</v>
      </c>
      <c r="G2296" t="s">
        <v>39</v>
      </c>
      <c r="H2296">
        <v>4</v>
      </c>
      <c r="I2296">
        <v>10</v>
      </c>
      <c r="J2296" t="str">
        <f>TEXT(DATE(2012,Table1[[#This Row],[MONTH_ID]],10),"mmm")</f>
        <v>Oct</v>
      </c>
      <c r="K2296">
        <v>2004</v>
      </c>
      <c r="L2296" t="s">
        <v>518</v>
      </c>
      <c r="M2296">
        <v>64</v>
      </c>
      <c r="N2296" t="s">
        <v>668</v>
      </c>
      <c r="O2296" t="s">
        <v>239</v>
      </c>
      <c r="P2296" t="s">
        <v>240</v>
      </c>
      <c r="Q2296" t="s">
        <v>241</v>
      </c>
      <c r="S2296" t="s">
        <v>242</v>
      </c>
      <c r="T2296" t="s">
        <v>243</v>
      </c>
      <c r="U2296" t="s">
        <v>244</v>
      </c>
      <c r="V2296" t="s">
        <v>245</v>
      </c>
      <c r="W2296" t="s">
        <v>47</v>
      </c>
      <c r="X2296" t="s">
        <v>246</v>
      </c>
      <c r="Y2296" t="s">
        <v>247</v>
      </c>
      <c r="Z2296" t="s">
        <v>50</v>
      </c>
    </row>
    <row r="2297" spans="1:26" x14ac:dyDescent="0.3">
      <c r="A2297">
        <v>10324</v>
      </c>
      <c r="B2297">
        <v>48</v>
      </c>
      <c r="C2297">
        <v>100</v>
      </c>
      <c r="D2297">
        <v>4</v>
      </c>
      <c r="E2297">
        <v>8209.44</v>
      </c>
      <c r="F2297" s="1">
        <v>38296</v>
      </c>
      <c r="G2297" t="s">
        <v>39</v>
      </c>
      <c r="H2297">
        <v>4</v>
      </c>
      <c r="I2297">
        <v>11</v>
      </c>
      <c r="J2297" t="str">
        <f>TEXT(DATE(2012,Table1[[#This Row],[MONTH_ID]],10),"mmm")</f>
        <v>Nov</v>
      </c>
      <c r="K2297">
        <v>2004</v>
      </c>
      <c r="L2297" t="s">
        <v>518</v>
      </c>
      <c r="M2297">
        <v>64</v>
      </c>
      <c r="N2297" t="s">
        <v>668</v>
      </c>
      <c r="O2297" t="s">
        <v>113</v>
      </c>
      <c r="P2297">
        <v>2125551500</v>
      </c>
      <c r="Q2297" t="s">
        <v>114</v>
      </c>
      <c r="R2297" t="s">
        <v>115</v>
      </c>
      <c r="S2297" t="s">
        <v>44</v>
      </c>
      <c r="T2297" t="s">
        <v>45</v>
      </c>
      <c r="U2297">
        <v>10022</v>
      </c>
      <c r="V2297" t="s">
        <v>46</v>
      </c>
      <c r="W2297" t="s">
        <v>47</v>
      </c>
      <c r="X2297" t="s">
        <v>116</v>
      </c>
      <c r="Y2297" t="s">
        <v>117</v>
      </c>
      <c r="Z2297" t="s">
        <v>165</v>
      </c>
    </row>
    <row r="2298" spans="1:26" x14ac:dyDescent="0.3">
      <c r="A2298">
        <v>10333</v>
      </c>
      <c r="B2298">
        <v>33</v>
      </c>
      <c r="C2298">
        <v>73.69</v>
      </c>
      <c r="D2298">
        <v>4</v>
      </c>
      <c r="E2298">
        <v>2431.77</v>
      </c>
      <c r="F2298" s="1">
        <v>38309</v>
      </c>
      <c r="G2298" t="s">
        <v>39</v>
      </c>
      <c r="H2298">
        <v>4</v>
      </c>
      <c r="I2298">
        <v>11</v>
      </c>
      <c r="J2298" t="str">
        <f>TEXT(DATE(2012,Table1[[#This Row],[MONTH_ID]],10),"mmm")</f>
        <v>Nov</v>
      </c>
      <c r="K2298">
        <v>2004</v>
      </c>
      <c r="L2298" t="s">
        <v>518</v>
      </c>
      <c r="M2298">
        <v>64</v>
      </c>
      <c r="N2298" t="s">
        <v>668</v>
      </c>
      <c r="O2298" t="s">
        <v>95</v>
      </c>
      <c r="P2298">
        <v>6505555787</v>
      </c>
      <c r="Q2298" t="s">
        <v>96</v>
      </c>
      <c r="S2298" t="s">
        <v>74</v>
      </c>
      <c r="T2298" t="s">
        <v>69</v>
      </c>
      <c r="V2298" t="s">
        <v>46</v>
      </c>
      <c r="W2298" t="s">
        <v>47</v>
      </c>
      <c r="X2298" t="s">
        <v>97</v>
      </c>
      <c r="Y2298" t="s">
        <v>71</v>
      </c>
      <c r="Z2298" t="s">
        <v>50</v>
      </c>
    </row>
    <row r="2299" spans="1:26" x14ac:dyDescent="0.3">
      <c r="A2299">
        <v>10348</v>
      </c>
      <c r="B2299">
        <v>31</v>
      </c>
      <c r="C2299">
        <v>100</v>
      </c>
      <c r="D2299">
        <v>5</v>
      </c>
      <c r="E2299">
        <v>3139.99</v>
      </c>
      <c r="F2299" s="1">
        <v>38292</v>
      </c>
      <c r="G2299" t="s">
        <v>39</v>
      </c>
      <c r="H2299">
        <v>4</v>
      </c>
      <c r="I2299">
        <v>11</v>
      </c>
      <c r="J2299" t="str">
        <f>TEXT(DATE(2012,Table1[[#This Row],[MONTH_ID]],10),"mmm")</f>
        <v>Nov</v>
      </c>
      <c r="K2299">
        <v>2004</v>
      </c>
      <c r="L2299" t="s">
        <v>518</v>
      </c>
      <c r="M2299">
        <v>64</v>
      </c>
      <c r="N2299" t="s">
        <v>668</v>
      </c>
      <c r="O2299" t="s">
        <v>205</v>
      </c>
      <c r="P2299" t="s">
        <v>206</v>
      </c>
      <c r="Q2299" t="s">
        <v>207</v>
      </c>
      <c r="S2299" t="s">
        <v>191</v>
      </c>
      <c r="U2299">
        <v>28023</v>
      </c>
      <c r="V2299" t="s">
        <v>192</v>
      </c>
      <c r="W2299" t="s">
        <v>56</v>
      </c>
      <c r="X2299" t="s">
        <v>208</v>
      </c>
      <c r="Y2299" t="s">
        <v>209</v>
      </c>
      <c r="Z2299" t="s">
        <v>65</v>
      </c>
    </row>
    <row r="2300" spans="1:26" x14ac:dyDescent="0.3">
      <c r="A2300">
        <v>10358</v>
      </c>
      <c r="B2300">
        <v>36</v>
      </c>
      <c r="C2300">
        <v>100</v>
      </c>
      <c r="D2300">
        <v>2</v>
      </c>
      <c r="E2300">
        <v>5669.64</v>
      </c>
      <c r="F2300" s="1">
        <v>38331</v>
      </c>
      <c r="G2300" t="s">
        <v>39</v>
      </c>
      <c r="H2300">
        <v>4</v>
      </c>
      <c r="I2300">
        <v>12</v>
      </c>
      <c r="J2300" t="str">
        <f>TEXT(DATE(2012,Table1[[#This Row],[MONTH_ID]],10),"mmm")</f>
        <v>Dec</v>
      </c>
      <c r="K2300">
        <v>2004</v>
      </c>
      <c r="L2300" t="s">
        <v>518</v>
      </c>
      <c r="M2300">
        <v>64</v>
      </c>
      <c r="N2300" t="s">
        <v>668</v>
      </c>
      <c r="O2300" t="s">
        <v>188</v>
      </c>
      <c r="P2300" t="s">
        <v>189</v>
      </c>
      <c r="Q2300" t="s">
        <v>190</v>
      </c>
      <c r="S2300" t="s">
        <v>191</v>
      </c>
      <c r="U2300">
        <v>28034</v>
      </c>
      <c r="V2300" t="s">
        <v>192</v>
      </c>
      <c r="W2300" t="s">
        <v>56</v>
      </c>
      <c r="X2300" t="s">
        <v>193</v>
      </c>
      <c r="Y2300" t="s">
        <v>194</v>
      </c>
      <c r="Z2300" t="s">
        <v>65</v>
      </c>
    </row>
    <row r="2301" spans="1:26" x14ac:dyDescent="0.3">
      <c r="A2301">
        <v>10370</v>
      </c>
      <c r="B2301">
        <v>25</v>
      </c>
      <c r="C2301">
        <v>100</v>
      </c>
      <c r="D2301">
        <v>3</v>
      </c>
      <c r="E2301">
        <v>3160.25</v>
      </c>
      <c r="F2301" s="1">
        <v>38372</v>
      </c>
      <c r="G2301" t="s">
        <v>39</v>
      </c>
      <c r="H2301">
        <v>1</v>
      </c>
      <c r="I2301">
        <v>1</v>
      </c>
      <c r="J2301" t="str">
        <f>TEXT(DATE(2012,Table1[[#This Row],[MONTH_ID]],10),"mmm")</f>
        <v>Jan</v>
      </c>
      <c r="K2301">
        <v>2005</v>
      </c>
      <c r="L2301" t="s">
        <v>518</v>
      </c>
      <c r="M2301">
        <v>64</v>
      </c>
      <c r="N2301" t="s">
        <v>668</v>
      </c>
      <c r="O2301" t="s">
        <v>299</v>
      </c>
      <c r="P2301" t="s">
        <v>300</v>
      </c>
      <c r="Q2301" t="s">
        <v>301</v>
      </c>
      <c r="R2301" t="s">
        <v>302</v>
      </c>
      <c r="S2301" t="s">
        <v>303</v>
      </c>
      <c r="T2301" t="s">
        <v>171</v>
      </c>
      <c r="U2301">
        <v>2060</v>
      </c>
      <c r="V2301" t="s">
        <v>109</v>
      </c>
      <c r="W2301" t="s">
        <v>110</v>
      </c>
      <c r="X2301" t="s">
        <v>304</v>
      </c>
      <c r="Y2301" t="s">
        <v>305</v>
      </c>
      <c r="Z2301" t="s">
        <v>65</v>
      </c>
    </row>
    <row r="2302" spans="1:26" x14ac:dyDescent="0.3">
      <c r="A2302">
        <v>10382</v>
      </c>
      <c r="B2302">
        <v>48</v>
      </c>
      <c r="C2302">
        <v>100</v>
      </c>
      <c r="D2302">
        <v>8</v>
      </c>
      <c r="E2302">
        <v>6799.68</v>
      </c>
      <c r="F2302" s="1">
        <v>38400</v>
      </c>
      <c r="G2302" t="s">
        <v>39</v>
      </c>
      <c r="H2302">
        <v>1</v>
      </c>
      <c r="I2302">
        <v>2</v>
      </c>
      <c r="J2302" t="str">
        <f>TEXT(DATE(2012,Table1[[#This Row],[MONTH_ID]],10),"mmm")</f>
        <v>Feb</v>
      </c>
      <c r="K2302">
        <v>2005</v>
      </c>
      <c r="L2302" t="s">
        <v>518</v>
      </c>
      <c r="M2302">
        <v>64</v>
      </c>
      <c r="N2302" t="s">
        <v>668</v>
      </c>
      <c r="O2302" t="s">
        <v>286</v>
      </c>
      <c r="P2302">
        <v>4155551450</v>
      </c>
      <c r="Q2302" t="s">
        <v>287</v>
      </c>
      <c r="S2302" t="s">
        <v>288</v>
      </c>
      <c r="T2302" t="s">
        <v>69</v>
      </c>
      <c r="U2302">
        <v>97562</v>
      </c>
      <c r="V2302" t="s">
        <v>46</v>
      </c>
      <c r="W2302" t="s">
        <v>47</v>
      </c>
      <c r="X2302" t="s">
        <v>289</v>
      </c>
      <c r="Y2302" t="s">
        <v>290</v>
      </c>
      <c r="Z2302" t="s">
        <v>65</v>
      </c>
    </row>
    <row r="2303" spans="1:26" x14ac:dyDescent="0.3">
      <c r="A2303">
        <v>10411</v>
      </c>
      <c r="B2303">
        <v>27</v>
      </c>
      <c r="C2303">
        <v>69.16</v>
      </c>
      <c r="D2303">
        <v>5</v>
      </c>
      <c r="E2303">
        <v>1867.32</v>
      </c>
      <c r="F2303" s="1">
        <v>38473</v>
      </c>
      <c r="G2303" t="s">
        <v>39</v>
      </c>
      <c r="H2303">
        <v>2</v>
      </c>
      <c r="I2303">
        <v>5</v>
      </c>
      <c r="J2303" t="str">
        <f>TEXT(DATE(2012,Table1[[#This Row],[MONTH_ID]],10),"mmm")</f>
        <v>May</v>
      </c>
      <c r="K2303">
        <v>2005</v>
      </c>
      <c r="L2303" t="s">
        <v>518</v>
      </c>
      <c r="M2303">
        <v>64</v>
      </c>
      <c r="N2303" t="s">
        <v>668</v>
      </c>
      <c r="O2303" t="s">
        <v>306</v>
      </c>
      <c r="P2303" t="s">
        <v>307</v>
      </c>
      <c r="Q2303" t="s">
        <v>308</v>
      </c>
      <c r="S2303" t="s">
        <v>309</v>
      </c>
      <c r="T2303" t="s">
        <v>310</v>
      </c>
      <c r="U2303" t="s">
        <v>311</v>
      </c>
      <c r="V2303" t="s">
        <v>245</v>
      </c>
      <c r="W2303" t="s">
        <v>47</v>
      </c>
      <c r="X2303" t="s">
        <v>312</v>
      </c>
      <c r="Y2303" t="s">
        <v>313</v>
      </c>
      <c r="Z2303" t="s">
        <v>50</v>
      </c>
    </row>
    <row r="2304" spans="1:26" x14ac:dyDescent="0.3">
      <c r="A2304">
        <v>10424</v>
      </c>
      <c r="B2304">
        <v>44</v>
      </c>
      <c r="C2304">
        <v>61.41</v>
      </c>
      <c r="D2304">
        <v>2</v>
      </c>
      <c r="E2304">
        <v>2702.04</v>
      </c>
      <c r="F2304" s="1">
        <v>38503</v>
      </c>
      <c r="G2304" t="s">
        <v>314</v>
      </c>
      <c r="H2304">
        <v>2</v>
      </c>
      <c r="I2304">
        <v>5</v>
      </c>
      <c r="J2304" t="str">
        <f>TEXT(DATE(2012,Table1[[#This Row],[MONTH_ID]],10),"mmm")</f>
        <v>May</v>
      </c>
      <c r="K2304">
        <v>2005</v>
      </c>
      <c r="L2304" t="s">
        <v>518</v>
      </c>
      <c r="M2304">
        <v>64</v>
      </c>
      <c r="N2304" t="s">
        <v>668</v>
      </c>
      <c r="O2304" t="s">
        <v>188</v>
      </c>
      <c r="P2304" t="s">
        <v>189</v>
      </c>
      <c r="Q2304" t="s">
        <v>190</v>
      </c>
      <c r="S2304" t="s">
        <v>191</v>
      </c>
      <c r="U2304">
        <v>28034</v>
      </c>
      <c r="V2304" t="s">
        <v>192</v>
      </c>
      <c r="W2304" t="s">
        <v>56</v>
      </c>
      <c r="X2304" t="s">
        <v>193</v>
      </c>
      <c r="Y2304" t="s">
        <v>194</v>
      </c>
      <c r="Z2304" t="s">
        <v>50</v>
      </c>
    </row>
    <row r="2305" spans="1:26" x14ac:dyDescent="0.3">
      <c r="A2305">
        <v>10106</v>
      </c>
      <c r="B2305">
        <v>33</v>
      </c>
      <c r="C2305">
        <v>72.92</v>
      </c>
      <c r="D2305">
        <v>5</v>
      </c>
      <c r="E2305">
        <v>2406.36</v>
      </c>
      <c r="F2305" s="1">
        <v>37669</v>
      </c>
      <c r="G2305" t="s">
        <v>39</v>
      </c>
      <c r="H2305">
        <v>1</v>
      </c>
      <c r="I2305">
        <v>2</v>
      </c>
      <c r="J2305" t="str">
        <f>TEXT(DATE(2012,Table1[[#This Row],[MONTH_ID]],10),"mmm")</f>
        <v>Feb</v>
      </c>
      <c r="K2305">
        <v>2003</v>
      </c>
      <c r="L2305" t="s">
        <v>564</v>
      </c>
      <c r="M2305">
        <v>68</v>
      </c>
      <c r="N2305" t="s">
        <v>669</v>
      </c>
      <c r="O2305" t="s">
        <v>566</v>
      </c>
      <c r="P2305" t="s">
        <v>567</v>
      </c>
      <c r="Q2305" t="s">
        <v>568</v>
      </c>
      <c r="S2305" t="s">
        <v>569</v>
      </c>
      <c r="U2305">
        <v>24100</v>
      </c>
      <c r="V2305" t="s">
        <v>272</v>
      </c>
      <c r="W2305" t="s">
        <v>56</v>
      </c>
      <c r="X2305" t="s">
        <v>570</v>
      </c>
      <c r="Y2305" t="s">
        <v>571</v>
      </c>
      <c r="Z2305" t="s">
        <v>50</v>
      </c>
    </row>
    <row r="2306" spans="1:26" x14ac:dyDescent="0.3">
      <c r="A2306">
        <v>10120</v>
      </c>
      <c r="B2306">
        <v>29</v>
      </c>
      <c r="C2306">
        <v>72.23</v>
      </c>
      <c r="D2306">
        <v>11</v>
      </c>
      <c r="E2306">
        <v>2094.67</v>
      </c>
      <c r="F2306" s="1">
        <v>37740</v>
      </c>
      <c r="G2306" t="s">
        <v>39</v>
      </c>
      <c r="H2306">
        <v>2</v>
      </c>
      <c r="I2306">
        <v>4</v>
      </c>
      <c r="J2306" t="str">
        <f>TEXT(DATE(2012,Table1[[#This Row],[MONTH_ID]],10),"mmm")</f>
        <v>Apr</v>
      </c>
      <c r="K2306">
        <v>2003</v>
      </c>
      <c r="L2306" t="s">
        <v>564</v>
      </c>
      <c r="M2306">
        <v>68</v>
      </c>
      <c r="N2306" t="s">
        <v>669</v>
      </c>
      <c r="O2306" t="s">
        <v>103</v>
      </c>
      <c r="P2306" t="s">
        <v>104</v>
      </c>
      <c r="Q2306" t="s">
        <v>105</v>
      </c>
      <c r="R2306" t="s">
        <v>106</v>
      </c>
      <c r="S2306" t="s">
        <v>107</v>
      </c>
      <c r="T2306" t="s">
        <v>108</v>
      </c>
      <c r="U2306">
        <v>3004</v>
      </c>
      <c r="V2306" t="s">
        <v>109</v>
      </c>
      <c r="W2306" t="s">
        <v>110</v>
      </c>
      <c r="X2306" t="s">
        <v>111</v>
      </c>
      <c r="Y2306" t="s">
        <v>112</v>
      </c>
      <c r="Z2306" t="s">
        <v>50</v>
      </c>
    </row>
    <row r="2307" spans="1:26" x14ac:dyDescent="0.3">
      <c r="A2307">
        <v>10133</v>
      </c>
      <c r="B2307">
        <v>49</v>
      </c>
      <c r="C2307">
        <v>57.1</v>
      </c>
      <c r="D2307">
        <v>6</v>
      </c>
      <c r="E2307">
        <v>2797.9</v>
      </c>
      <c r="F2307" s="1">
        <v>37799</v>
      </c>
      <c r="G2307" t="s">
        <v>39</v>
      </c>
      <c r="H2307">
        <v>2</v>
      </c>
      <c r="I2307">
        <v>6</v>
      </c>
      <c r="J2307" t="str">
        <f>TEXT(DATE(2012,Table1[[#This Row],[MONTH_ID]],10),"mmm")</f>
        <v>Jun</v>
      </c>
      <c r="K2307">
        <v>2003</v>
      </c>
      <c r="L2307" t="s">
        <v>564</v>
      </c>
      <c r="M2307">
        <v>68</v>
      </c>
      <c r="N2307" t="s">
        <v>669</v>
      </c>
      <c r="O2307" t="s">
        <v>188</v>
      </c>
      <c r="P2307" t="s">
        <v>189</v>
      </c>
      <c r="Q2307" t="s">
        <v>190</v>
      </c>
      <c r="S2307" t="s">
        <v>191</v>
      </c>
      <c r="U2307">
        <v>28034</v>
      </c>
      <c r="V2307" t="s">
        <v>192</v>
      </c>
      <c r="W2307" t="s">
        <v>56</v>
      </c>
      <c r="X2307" t="s">
        <v>193</v>
      </c>
      <c r="Y2307" t="s">
        <v>194</v>
      </c>
      <c r="Z2307" t="s">
        <v>50</v>
      </c>
    </row>
    <row r="2308" spans="1:26" x14ac:dyDescent="0.3">
      <c r="A2308">
        <v>10144</v>
      </c>
      <c r="B2308">
        <v>20</v>
      </c>
      <c r="C2308">
        <v>81.86</v>
      </c>
      <c r="D2308">
        <v>1</v>
      </c>
      <c r="E2308">
        <v>1637.2</v>
      </c>
      <c r="F2308" s="1">
        <v>37846</v>
      </c>
      <c r="G2308" t="s">
        <v>39</v>
      </c>
      <c r="H2308">
        <v>3</v>
      </c>
      <c r="I2308">
        <v>8</v>
      </c>
      <c r="J2308" t="str">
        <f>TEXT(DATE(2012,Table1[[#This Row],[MONTH_ID]],10),"mmm")</f>
        <v>Aug</v>
      </c>
      <c r="K2308">
        <v>2003</v>
      </c>
      <c r="L2308" t="s">
        <v>564</v>
      </c>
      <c r="M2308">
        <v>68</v>
      </c>
      <c r="N2308" t="s">
        <v>669</v>
      </c>
      <c r="O2308" t="s">
        <v>591</v>
      </c>
      <c r="P2308" t="s">
        <v>592</v>
      </c>
      <c r="Q2308" t="s">
        <v>593</v>
      </c>
      <c r="S2308" t="s">
        <v>594</v>
      </c>
      <c r="U2308" t="s">
        <v>595</v>
      </c>
      <c r="V2308" t="s">
        <v>384</v>
      </c>
      <c r="W2308" t="s">
        <v>56</v>
      </c>
      <c r="X2308" t="s">
        <v>596</v>
      </c>
      <c r="Y2308" t="s">
        <v>597</v>
      </c>
      <c r="Z2308" t="s">
        <v>50</v>
      </c>
    </row>
    <row r="2309" spans="1:26" x14ac:dyDescent="0.3">
      <c r="A2309">
        <v>10168</v>
      </c>
      <c r="B2309">
        <v>31</v>
      </c>
      <c r="C2309">
        <v>73.61</v>
      </c>
      <c r="D2309">
        <v>12</v>
      </c>
      <c r="E2309">
        <v>2281.91</v>
      </c>
      <c r="F2309" s="1">
        <v>37922</v>
      </c>
      <c r="G2309" t="s">
        <v>39</v>
      </c>
      <c r="H2309">
        <v>4</v>
      </c>
      <c r="I2309">
        <v>10</v>
      </c>
      <c r="J2309" t="str">
        <f>TEXT(DATE(2012,Table1[[#This Row],[MONTH_ID]],10),"mmm")</f>
        <v>Oct</v>
      </c>
      <c r="K2309">
        <v>2003</v>
      </c>
      <c r="L2309" t="s">
        <v>564</v>
      </c>
      <c r="M2309">
        <v>68</v>
      </c>
      <c r="N2309" t="s">
        <v>669</v>
      </c>
      <c r="O2309" t="s">
        <v>76</v>
      </c>
      <c r="P2309">
        <v>6505556809</v>
      </c>
      <c r="Q2309" t="s">
        <v>77</v>
      </c>
      <c r="S2309" t="s">
        <v>78</v>
      </c>
      <c r="T2309" t="s">
        <v>69</v>
      </c>
      <c r="U2309">
        <v>94217</v>
      </c>
      <c r="V2309" t="s">
        <v>46</v>
      </c>
      <c r="W2309" t="s">
        <v>47</v>
      </c>
      <c r="X2309" t="s">
        <v>79</v>
      </c>
      <c r="Y2309" t="s">
        <v>80</v>
      </c>
      <c r="Z2309" t="s">
        <v>50</v>
      </c>
    </row>
    <row r="2310" spans="1:26" x14ac:dyDescent="0.3">
      <c r="A2310">
        <v>10210</v>
      </c>
      <c r="B2310">
        <v>39</v>
      </c>
      <c r="C2310">
        <v>59.16</v>
      </c>
      <c r="D2310">
        <v>10</v>
      </c>
      <c r="E2310">
        <v>2307.2399999999998</v>
      </c>
      <c r="F2310" s="1">
        <v>37998</v>
      </c>
      <c r="G2310" t="s">
        <v>39</v>
      </c>
      <c r="H2310">
        <v>1</v>
      </c>
      <c r="I2310">
        <v>1</v>
      </c>
      <c r="J2310" t="str">
        <f>TEXT(DATE(2012,Table1[[#This Row],[MONTH_ID]],10),"mmm")</f>
        <v>Jan</v>
      </c>
      <c r="K2310">
        <v>2004</v>
      </c>
      <c r="L2310" t="s">
        <v>564</v>
      </c>
      <c r="M2310">
        <v>68</v>
      </c>
      <c r="N2310" t="s">
        <v>669</v>
      </c>
      <c r="O2310" t="s">
        <v>316</v>
      </c>
      <c r="P2310" t="s">
        <v>317</v>
      </c>
      <c r="Q2310" t="s">
        <v>318</v>
      </c>
      <c r="S2310" t="s">
        <v>319</v>
      </c>
      <c r="T2310" t="s">
        <v>319</v>
      </c>
      <c r="U2310" t="s">
        <v>320</v>
      </c>
      <c r="V2310" t="s">
        <v>214</v>
      </c>
      <c r="W2310" t="s">
        <v>214</v>
      </c>
      <c r="X2310" t="s">
        <v>321</v>
      </c>
      <c r="Y2310" t="s">
        <v>322</v>
      </c>
      <c r="Z2310" t="s">
        <v>50</v>
      </c>
    </row>
    <row r="2311" spans="1:26" x14ac:dyDescent="0.3">
      <c r="A2311">
        <v>10223</v>
      </c>
      <c r="B2311">
        <v>20</v>
      </c>
      <c r="C2311">
        <v>66.040000000000006</v>
      </c>
      <c r="D2311">
        <v>12</v>
      </c>
      <c r="E2311">
        <v>1320.8</v>
      </c>
      <c r="F2311" s="1">
        <v>38037</v>
      </c>
      <c r="G2311" t="s">
        <v>39</v>
      </c>
      <c r="H2311">
        <v>1</v>
      </c>
      <c r="I2311">
        <v>2</v>
      </c>
      <c r="J2311" t="str">
        <f>TEXT(DATE(2012,Table1[[#This Row],[MONTH_ID]],10),"mmm")</f>
        <v>Feb</v>
      </c>
      <c r="K2311">
        <v>2004</v>
      </c>
      <c r="L2311" t="s">
        <v>564</v>
      </c>
      <c r="M2311">
        <v>68</v>
      </c>
      <c r="N2311" t="s">
        <v>669</v>
      </c>
      <c r="O2311" t="s">
        <v>103</v>
      </c>
      <c r="P2311" t="s">
        <v>104</v>
      </c>
      <c r="Q2311" t="s">
        <v>105</v>
      </c>
      <c r="R2311" t="s">
        <v>106</v>
      </c>
      <c r="S2311" t="s">
        <v>107</v>
      </c>
      <c r="T2311" t="s">
        <v>108</v>
      </c>
      <c r="U2311">
        <v>3004</v>
      </c>
      <c r="V2311" t="s">
        <v>109</v>
      </c>
      <c r="W2311" t="s">
        <v>110</v>
      </c>
      <c r="X2311" t="s">
        <v>111</v>
      </c>
      <c r="Y2311" t="s">
        <v>112</v>
      </c>
      <c r="Z2311" t="s">
        <v>50</v>
      </c>
    </row>
    <row r="2312" spans="1:26" x14ac:dyDescent="0.3">
      <c r="A2312">
        <v>10235</v>
      </c>
      <c r="B2312">
        <v>34</v>
      </c>
      <c r="C2312">
        <v>77.73</v>
      </c>
      <c r="D2312">
        <v>6</v>
      </c>
      <c r="E2312">
        <v>2642.82</v>
      </c>
      <c r="F2312" s="1">
        <v>38079</v>
      </c>
      <c r="G2312" t="s">
        <v>39</v>
      </c>
      <c r="H2312">
        <v>2</v>
      </c>
      <c r="I2312">
        <v>4</v>
      </c>
      <c r="J2312" t="str">
        <f>TEXT(DATE(2012,Table1[[#This Row],[MONTH_ID]],10),"mmm")</f>
        <v>Apr</v>
      </c>
      <c r="K2312">
        <v>2004</v>
      </c>
      <c r="L2312" t="s">
        <v>564</v>
      </c>
      <c r="M2312">
        <v>68</v>
      </c>
      <c r="N2312" t="s">
        <v>669</v>
      </c>
      <c r="O2312" t="s">
        <v>387</v>
      </c>
      <c r="P2312" t="s">
        <v>388</v>
      </c>
      <c r="Q2312" t="s">
        <v>389</v>
      </c>
      <c r="S2312" t="s">
        <v>390</v>
      </c>
      <c r="T2312" t="s">
        <v>243</v>
      </c>
      <c r="U2312" t="s">
        <v>391</v>
      </c>
      <c r="V2312" t="s">
        <v>245</v>
      </c>
      <c r="W2312" t="s">
        <v>47</v>
      </c>
      <c r="X2312" t="s">
        <v>392</v>
      </c>
      <c r="Y2312" t="s">
        <v>186</v>
      </c>
      <c r="Z2312" t="s">
        <v>50</v>
      </c>
    </row>
    <row r="2313" spans="1:26" x14ac:dyDescent="0.3">
      <c r="A2313">
        <v>10250</v>
      </c>
      <c r="B2313">
        <v>50</v>
      </c>
      <c r="C2313">
        <v>61.22</v>
      </c>
      <c r="D2313">
        <v>7</v>
      </c>
      <c r="E2313">
        <v>3061</v>
      </c>
      <c r="F2313" s="1">
        <v>38118</v>
      </c>
      <c r="G2313" t="s">
        <v>39</v>
      </c>
      <c r="H2313">
        <v>2</v>
      </c>
      <c r="I2313">
        <v>5</v>
      </c>
      <c r="J2313" t="str">
        <f>TEXT(DATE(2012,Table1[[#This Row],[MONTH_ID]],10),"mmm")</f>
        <v>May</v>
      </c>
      <c r="K2313">
        <v>2004</v>
      </c>
      <c r="L2313" t="s">
        <v>564</v>
      </c>
      <c r="M2313">
        <v>68</v>
      </c>
      <c r="N2313" t="s">
        <v>669</v>
      </c>
      <c r="O2313" t="s">
        <v>411</v>
      </c>
      <c r="P2313">
        <v>4085553659</v>
      </c>
      <c r="Q2313" t="s">
        <v>412</v>
      </c>
      <c r="S2313" t="s">
        <v>413</v>
      </c>
      <c r="T2313" t="s">
        <v>69</v>
      </c>
      <c r="U2313">
        <v>94217</v>
      </c>
      <c r="V2313" t="s">
        <v>46</v>
      </c>
      <c r="W2313" t="s">
        <v>47</v>
      </c>
      <c r="X2313" t="s">
        <v>116</v>
      </c>
      <c r="Y2313" t="s">
        <v>414</v>
      </c>
      <c r="Z2313" t="s">
        <v>65</v>
      </c>
    </row>
    <row r="2314" spans="1:26" x14ac:dyDescent="0.3">
      <c r="A2314">
        <v>10262</v>
      </c>
      <c r="B2314">
        <v>40</v>
      </c>
      <c r="C2314">
        <v>79.11</v>
      </c>
      <c r="D2314">
        <v>2</v>
      </c>
      <c r="E2314">
        <v>3164.4</v>
      </c>
      <c r="F2314" s="1">
        <v>38162</v>
      </c>
      <c r="G2314" t="s">
        <v>353</v>
      </c>
      <c r="H2314">
        <v>2</v>
      </c>
      <c r="I2314">
        <v>6</v>
      </c>
      <c r="J2314" t="str">
        <f>TEXT(DATE(2012,Table1[[#This Row],[MONTH_ID]],10),"mmm")</f>
        <v>Jun</v>
      </c>
      <c r="K2314">
        <v>2004</v>
      </c>
      <c r="L2314" t="s">
        <v>564</v>
      </c>
      <c r="M2314">
        <v>68</v>
      </c>
      <c r="N2314" t="s">
        <v>669</v>
      </c>
      <c r="O2314" t="s">
        <v>188</v>
      </c>
      <c r="P2314" t="s">
        <v>189</v>
      </c>
      <c r="Q2314" t="s">
        <v>190</v>
      </c>
      <c r="S2314" t="s">
        <v>191</v>
      </c>
      <c r="U2314">
        <v>28034</v>
      </c>
      <c r="V2314" t="s">
        <v>192</v>
      </c>
      <c r="W2314" t="s">
        <v>56</v>
      </c>
      <c r="X2314" t="s">
        <v>193</v>
      </c>
      <c r="Y2314" t="s">
        <v>194</v>
      </c>
      <c r="Z2314" t="s">
        <v>65</v>
      </c>
    </row>
    <row r="2315" spans="1:26" x14ac:dyDescent="0.3">
      <c r="A2315">
        <v>10275</v>
      </c>
      <c r="B2315">
        <v>28</v>
      </c>
      <c r="C2315">
        <v>63.97</v>
      </c>
      <c r="D2315">
        <v>12</v>
      </c>
      <c r="E2315">
        <v>1791.16</v>
      </c>
      <c r="F2315" s="1">
        <v>38191</v>
      </c>
      <c r="G2315" t="s">
        <v>39</v>
      </c>
      <c r="H2315">
        <v>3</v>
      </c>
      <c r="I2315">
        <v>7</v>
      </c>
      <c r="J2315" t="str">
        <f>TEXT(DATE(2012,Table1[[#This Row],[MONTH_ID]],10),"mmm")</f>
        <v>Jul</v>
      </c>
      <c r="K2315">
        <v>2004</v>
      </c>
      <c r="L2315" t="s">
        <v>564</v>
      </c>
      <c r="M2315">
        <v>68</v>
      </c>
      <c r="N2315" t="s">
        <v>669</v>
      </c>
      <c r="O2315" t="s">
        <v>128</v>
      </c>
      <c r="P2315" t="s">
        <v>129</v>
      </c>
      <c r="Q2315" t="s">
        <v>130</v>
      </c>
      <c r="S2315" t="s">
        <v>131</v>
      </c>
      <c r="U2315">
        <v>44000</v>
      </c>
      <c r="V2315" t="s">
        <v>55</v>
      </c>
      <c r="W2315" t="s">
        <v>56</v>
      </c>
      <c r="X2315" t="s">
        <v>132</v>
      </c>
      <c r="Y2315" t="s">
        <v>133</v>
      </c>
      <c r="Z2315" t="s">
        <v>50</v>
      </c>
    </row>
    <row r="2316" spans="1:26" x14ac:dyDescent="0.3">
      <c r="A2316">
        <v>10284</v>
      </c>
      <c r="B2316">
        <v>50</v>
      </c>
      <c r="C2316">
        <v>81.86</v>
      </c>
      <c r="D2316">
        <v>4</v>
      </c>
      <c r="E2316">
        <v>4093</v>
      </c>
      <c r="F2316" s="1">
        <v>38220</v>
      </c>
      <c r="G2316" t="s">
        <v>39</v>
      </c>
      <c r="H2316">
        <v>3</v>
      </c>
      <c r="I2316">
        <v>8</v>
      </c>
      <c r="J2316" t="str">
        <f>TEXT(DATE(2012,Table1[[#This Row],[MONTH_ID]],10),"mmm")</f>
        <v>Aug</v>
      </c>
      <c r="K2316">
        <v>2004</v>
      </c>
      <c r="L2316" t="s">
        <v>564</v>
      </c>
      <c r="M2316">
        <v>68</v>
      </c>
      <c r="N2316" t="s">
        <v>669</v>
      </c>
      <c r="O2316" t="s">
        <v>557</v>
      </c>
      <c r="P2316" t="s">
        <v>558</v>
      </c>
      <c r="Q2316" t="s">
        <v>559</v>
      </c>
      <c r="S2316" t="s">
        <v>560</v>
      </c>
      <c r="U2316" t="s">
        <v>561</v>
      </c>
      <c r="V2316" t="s">
        <v>92</v>
      </c>
      <c r="W2316" t="s">
        <v>56</v>
      </c>
      <c r="X2316" t="s">
        <v>562</v>
      </c>
      <c r="Y2316" t="s">
        <v>563</v>
      </c>
      <c r="Z2316" t="s">
        <v>65</v>
      </c>
    </row>
    <row r="2317" spans="1:26" x14ac:dyDescent="0.3">
      <c r="A2317">
        <v>10297</v>
      </c>
      <c r="B2317">
        <v>28</v>
      </c>
      <c r="C2317">
        <v>79.8</v>
      </c>
      <c r="D2317">
        <v>7</v>
      </c>
      <c r="E2317">
        <v>2234.4</v>
      </c>
      <c r="F2317" s="1">
        <v>38246</v>
      </c>
      <c r="G2317" t="s">
        <v>39</v>
      </c>
      <c r="H2317">
        <v>3</v>
      </c>
      <c r="I2317">
        <v>9</v>
      </c>
      <c r="J2317" t="str">
        <f>TEXT(DATE(2012,Table1[[#This Row],[MONTH_ID]],10),"mmm")</f>
        <v>Sep</v>
      </c>
      <c r="K2317">
        <v>2004</v>
      </c>
      <c r="L2317" t="s">
        <v>564</v>
      </c>
      <c r="M2317">
        <v>68</v>
      </c>
      <c r="N2317" t="s">
        <v>669</v>
      </c>
      <c r="O2317" t="s">
        <v>493</v>
      </c>
      <c r="P2317" t="s">
        <v>494</v>
      </c>
      <c r="Q2317" t="s">
        <v>495</v>
      </c>
      <c r="R2317" t="s">
        <v>496</v>
      </c>
      <c r="S2317" t="s">
        <v>497</v>
      </c>
      <c r="U2317">
        <v>2</v>
      </c>
      <c r="V2317" t="s">
        <v>498</v>
      </c>
      <c r="W2317" t="s">
        <v>56</v>
      </c>
      <c r="X2317" t="s">
        <v>499</v>
      </c>
      <c r="Y2317" t="s">
        <v>500</v>
      </c>
      <c r="Z2317" t="s">
        <v>50</v>
      </c>
    </row>
    <row r="2318" spans="1:26" x14ac:dyDescent="0.3">
      <c r="A2318">
        <v>10308</v>
      </c>
      <c r="B2318">
        <v>46</v>
      </c>
      <c r="C2318">
        <v>66.040000000000006</v>
      </c>
      <c r="D2318">
        <v>10</v>
      </c>
      <c r="E2318">
        <v>3037.84</v>
      </c>
      <c r="F2318" s="1">
        <v>38275</v>
      </c>
      <c r="G2318" t="s">
        <v>39</v>
      </c>
      <c r="H2318">
        <v>4</v>
      </c>
      <c r="I2318">
        <v>10</v>
      </c>
      <c r="J2318" t="str">
        <f>TEXT(DATE(2012,Table1[[#This Row],[MONTH_ID]],10),"mmm")</f>
        <v>Oct</v>
      </c>
      <c r="K2318">
        <v>2004</v>
      </c>
      <c r="L2318" t="s">
        <v>564</v>
      </c>
      <c r="M2318">
        <v>68</v>
      </c>
      <c r="N2318" t="s">
        <v>669</v>
      </c>
      <c r="O2318" t="s">
        <v>331</v>
      </c>
      <c r="P2318">
        <v>9145554562</v>
      </c>
      <c r="Q2318" t="s">
        <v>332</v>
      </c>
      <c r="S2318" t="s">
        <v>333</v>
      </c>
      <c r="T2318" t="s">
        <v>45</v>
      </c>
      <c r="U2318">
        <v>24067</v>
      </c>
      <c r="V2318" t="s">
        <v>46</v>
      </c>
      <c r="W2318" t="s">
        <v>47</v>
      </c>
      <c r="X2318" t="s">
        <v>116</v>
      </c>
      <c r="Y2318" t="s">
        <v>252</v>
      </c>
      <c r="Z2318" t="s">
        <v>65</v>
      </c>
    </row>
    <row r="2319" spans="1:26" x14ac:dyDescent="0.3">
      <c r="A2319">
        <v>10316</v>
      </c>
      <c r="B2319">
        <v>24</v>
      </c>
      <c r="C2319">
        <v>59.16</v>
      </c>
      <c r="D2319">
        <v>2</v>
      </c>
      <c r="E2319">
        <v>1419.84</v>
      </c>
      <c r="F2319" s="1">
        <v>38292</v>
      </c>
      <c r="G2319" t="s">
        <v>39</v>
      </c>
      <c r="H2319">
        <v>4</v>
      </c>
      <c r="I2319">
        <v>11</v>
      </c>
      <c r="J2319" t="str">
        <f>TEXT(DATE(2012,Table1[[#This Row],[MONTH_ID]],10),"mmm")</f>
        <v>Nov</v>
      </c>
      <c r="K2319">
        <v>2004</v>
      </c>
      <c r="L2319" t="s">
        <v>564</v>
      </c>
      <c r="M2319">
        <v>68</v>
      </c>
      <c r="N2319" t="s">
        <v>669</v>
      </c>
      <c r="O2319" t="s">
        <v>397</v>
      </c>
      <c r="P2319" t="s">
        <v>398</v>
      </c>
      <c r="Q2319" t="s">
        <v>399</v>
      </c>
      <c r="S2319" t="s">
        <v>400</v>
      </c>
      <c r="T2319" t="s">
        <v>401</v>
      </c>
      <c r="U2319" t="s">
        <v>402</v>
      </c>
      <c r="V2319" t="s">
        <v>184</v>
      </c>
      <c r="W2319" t="s">
        <v>56</v>
      </c>
      <c r="X2319" t="s">
        <v>403</v>
      </c>
      <c r="Y2319" t="s">
        <v>404</v>
      </c>
      <c r="Z2319" t="s">
        <v>50</v>
      </c>
    </row>
    <row r="2320" spans="1:26" x14ac:dyDescent="0.3">
      <c r="A2320">
        <v>10328</v>
      </c>
      <c r="B2320">
        <v>24</v>
      </c>
      <c r="C2320">
        <v>81.17</v>
      </c>
      <c r="D2320">
        <v>5</v>
      </c>
      <c r="E2320">
        <v>1948.08</v>
      </c>
      <c r="F2320" s="1">
        <v>38303</v>
      </c>
      <c r="G2320" t="s">
        <v>39</v>
      </c>
      <c r="H2320">
        <v>4</v>
      </c>
      <c r="I2320">
        <v>11</v>
      </c>
      <c r="J2320" t="str">
        <f>TEXT(DATE(2012,Table1[[#This Row],[MONTH_ID]],10),"mmm")</f>
        <v>Nov</v>
      </c>
      <c r="K2320">
        <v>2004</v>
      </c>
      <c r="L2320" t="s">
        <v>564</v>
      </c>
      <c r="M2320">
        <v>68</v>
      </c>
      <c r="N2320" t="s">
        <v>669</v>
      </c>
      <c r="O2320" t="s">
        <v>566</v>
      </c>
      <c r="P2320" t="s">
        <v>567</v>
      </c>
      <c r="Q2320" t="s">
        <v>568</v>
      </c>
      <c r="S2320" t="s">
        <v>569</v>
      </c>
      <c r="U2320">
        <v>24100</v>
      </c>
      <c r="V2320" t="s">
        <v>272</v>
      </c>
      <c r="W2320" t="s">
        <v>56</v>
      </c>
      <c r="X2320" t="s">
        <v>570</v>
      </c>
      <c r="Y2320" t="s">
        <v>571</v>
      </c>
      <c r="Z2320" t="s">
        <v>50</v>
      </c>
    </row>
    <row r="2321" spans="1:26" x14ac:dyDescent="0.3">
      <c r="A2321">
        <v>10340</v>
      </c>
      <c r="B2321">
        <v>39</v>
      </c>
      <c r="C2321">
        <v>59.16</v>
      </c>
      <c r="D2321">
        <v>3</v>
      </c>
      <c r="E2321">
        <v>2307.2399999999998</v>
      </c>
      <c r="F2321" s="1">
        <v>38315</v>
      </c>
      <c r="G2321" t="s">
        <v>39</v>
      </c>
      <c r="H2321">
        <v>4</v>
      </c>
      <c r="I2321">
        <v>11</v>
      </c>
      <c r="J2321" t="str">
        <f>TEXT(DATE(2012,Table1[[#This Row],[MONTH_ID]],10),"mmm")</f>
        <v>Nov</v>
      </c>
      <c r="K2321">
        <v>2004</v>
      </c>
      <c r="L2321" t="s">
        <v>564</v>
      </c>
      <c r="M2321">
        <v>68</v>
      </c>
      <c r="N2321" t="s">
        <v>669</v>
      </c>
      <c r="O2321" t="s">
        <v>366</v>
      </c>
      <c r="P2321" t="s">
        <v>367</v>
      </c>
      <c r="Q2321" t="s">
        <v>368</v>
      </c>
      <c r="S2321" t="s">
        <v>369</v>
      </c>
      <c r="U2321">
        <v>8022</v>
      </c>
      <c r="V2321" t="s">
        <v>192</v>
      </c>
      <c r="W2321" t="s">
        <v>56</v>
      </c>
      <c r="X2321" t="s">
        <v>370</v>
      </c>
      <c r="Y2321" t="s">
        <v>371</v>
      </c>
      <c r="Z2321" t="s">
        <v>50</v>
      </c>
    </row>
    <row r="2322" spans="1:26" x14ac:dyDescent="0.3">
      <c r="A2322">
        <v>10353</v>
      </c>
      <c r="B2322">
        <v>40</v>
      </c>
      <c r="C2322">
        <v>44.51</v>
      </c>
      <c r="D2322">
        <v>7</v>
      </c>
      <c r="E2322">
        <v>1780.4</v>
      </c>
      <c r="F2322" s="1">
        <v>38325</v>
      </c>
      <c r="G2322" t="s">
        <v>39</v>
      </c>
      <c r="H2322">
        <v>4</v>
      </c>
      <c r="I2322">
        <v>12</v>
      </c>
      <c r="J2322" t="str">
        <f>TEXT(DATE(2012,Table1[[#This Row],[MONTH_ID]],10),"mmm")</f>
        <v>Dec</v>
      </c>
      <c r="K2322">
        <v>2004</v>
      </c>
      <c r="L2322" t="s">
        <v>564</v>
      </c>
      <c r="M2322">
        <v>68</v>
      </c>
      <c r="N2322" t="s">
        <v>669</v>
      </c>
      <c r="O2322" t="s">
        <v>582</v>
      </c>
      <c r="P2322">
        <v>2035554407</v>
      </c>
      <c r="Q2322" t="s">
        <v>583</v>
      </c>
      <c r="S2322" t="s">
        <v>530</v>
      </c>
      <c r="T2322" t="s">
        <v>126</v>
      </c>
      <c r="U2322">
        <v>97561</v>
      </c>
      <c r="V2322" t="s">
        <v>46</v>
      </c>
      <c r="W2322" t="s">
        <v>47</v>
      </c>
      <c r="X2322" t="s">
        <v>584</v>
      </c>
      <c r="Y2322" t="s">
        <v>585</v>
      </c>
      <c r="Z2322" t="s">
        <v>50</v>
      </c>
    </row>
    <row r="2323" spans="1:26" x14ac:dyDescent="0.3">
      <c r="A2323">
        <v>10361</v>
      </c>
      <c r="B2323">
        <v>49</v>
      </c>
      <c r="C2323">
        <v>72.33</v>
      </c>
      <c r="D2323">
        <v>2</v>
      </c>
      <c r="E2323">
        <v>3544.17</v>
      </c>
      <c r="F2323" s="1">
        <v>38338</v>
      </c>
      <c r="G2323" t="s">
        <v>39</v>
      </c>
      <c r="H2323">
        <v>4</v>
      </c>
      <c r="I2323">
        <v>12</v>
      </c>
      <c r="J2323" t="str">
        <f>TEXT(DATE(2012,Table1[[#This Row],[MONTH_ID]],10),"mmm")</f>
        <v>Dec</v>
      </c>
      <c r="K2323">
        <v>2004</v>
      </c>
      <c r="L2323" t="s">
        <v>564</v>
      </c>
      <c r="M2323">
        <v>68</v>
      </c>
      <c r="N2323" t="s">
        <v>669</v>
      </c>
      <c r="O2323" t="s">
        <v>166</v>
      </c>
      <c r="P2323" t="s">
        <v>167</v>
      </c>
      <c r="Q2323" t="s">
        <v>168</v>
      </c>
      <c r="R2323" t="s">
        <v>169</v>
      </c>
      <c r="S2323" t="s">
        <v>170</v>
      </c>
      <c r="T2323" t="s">
        <v>171</v>
      </c>
      <c r="U2323">
        <v>2067</v>
      </c>
      <c r="V2323" t="s">
        <v>109</v>
      </c>
      <c r="W2323" t="s">
        <v>110</v>
      </c>
      <c r="X2323" t="s">
        <v>172</v>
      </c>
      <c r="Y2323" t="s">
        <v>173</v>
      </c>
      <c r="Z2323" t="s">
        <v>65</v>
      </c>
    </row>
    <row r="2324" spans="1:26" x14ac:dyDescent="0.3">
      <c r="A2324">
        <v>10375</v>
      </c>
      <c r="B2324">
        <v>44</v>
      </c>
      <c r="C2324">
        <v>82.26</v>
      </c>
      <c r="D2324">
        <v>4</v>
      </c>
      <c r="E2324">
        <v>3619.44</v>
      </c>
      <c r="F2324" s="1">
        <v>38386</v>
      </c>
      <c r="G2324" t="s">
        <v>39</v>
      </c>
      <c r="H2324">
        <v>1</v>
      </c>
      <c r="I2324">
        <v>2</v>
      </c>
      <c r="J2324" t="str">
        <f>TEXT(DATE(2012,Table1[[#This Row],[MONTH_ID]],10),"mmm")</f>
        <v>Feb</v>
      </c>
      <c r="K2324">
        <v>2005</v>
      </c>
      <c r="L2324" t="s">
        <v>564</v>
      </c>
      <c r="M2324">
        <v>68</v>
      </c>
      <c r="N2324" t="s">
        <v>669</v>
      </c>
      <c r="O2324" t="s">
        <v>128</v>
      </c>
      <c r="P2324" t="s">
        <v>129</v>
      </c>
      <c r="Q2324" t="s">
        <v>130</v>
      </c>
      <c r="S2324" t="s">
        <v>131</v>
      </c>
      <c r="U2324">
        <v>44000</v>
      </c>
      <c r="V2324" t="s">
        <v>55</v>
      </c>
      <c r="W2324" t="s">
        <v>56</v>
      </c>
      <c r="X2324" t="s">
        <v>132</v>
      </c>
      <c r="Y2324" t="s">
        <v>133</v>
      </c>
      <c r="Z2324" t="s">
        <v>65</v>
      </c>
    </row>
    <row r="2325" spans="1:26" x14ac:dyDescent="0.3">
      <c r="A2325">
        <v>10388</v>
      </c>
      <c r="B2325">
        <v>35</v>
      </c>
      <c r="C2325">
        <v>100</v>
      </c>
      <c r="D2325">
        <v>8</v>
      </c>
      <c r="E2325">
        <v>3918.95</v>
      </c>
      <c r="F2325" s="1">
        <v>38414</v>
      </c>
      <c r="G2325" t="s">
        <v>39</v>
      </c>
      <c r="H2325">
        <v>1</v>
      </c>
      <c r="I2325">
        <v>3</v>
      </c>
      <c r="J2325" t="str">
        <f>TEXT(DATE(2012,Table1[[#This Row],[MONTH_ID]],10),"mmm")</f>
        <v>Mar</v>
      </c>
      <c r="K2325">
        <v>2005</v>
      </c>
      <c r="L2325" t="s">
        <v>564</v>
      </c>
      <c r="M2325">
        <v>68</v>
      </c>
      <c r="N2325" t="s">
        <v>669</v>
      </c>
      <c r="O2325" t="s">
        <v>174</v>
      </c>
      <c r="P2325">
        <v>5085552555</v>
      </c>
      <c r="Q2325" t="s">
        <v>175</v>
      </c>
      <c r="S2325" t="s">
        <v>176</v>
      </c>
      <c r="T2325" t="s">
        <v>137</v>
      </c>
      <c r="U2325">
        <v>50553</v>
      </c>
      <c r="V2325" t="s">
        <v>46</v>
      </c>
      <c r="W2325" t="s">
        <v>47</v>
      </c>
      <c r="X2325" t="s">
        <v>177</v>
      </c>
      <c r="Y2325" t="s">
        <v>178</v>
      </c>
      <c r="Z2325" t="s">
        <v>65</v>
      </c>
    </row>
    <row r="2326" spans="1:26" x14ac:dyDescent="0.3">
      <c r="A2326">
        <v>10398</v>
      </c>
      <c r="B2326">
        <v>22</v>
      </c>
      <c r="C2326">
        <v>67.41</v>
      </c>
      <c r="D2326">
        <v>4</v>
      </c>
      <c r="E2326">
        <v>1483.02</v>
      </c>
      <c r="F2326" s="1">
        <v>38441</v>
      </c>
      <c r="G2326" t="s">
        <v>39</v>
      </c>
      <c r="H2326">
        <v>1</v>
      </c>
      <c r="I2326">
        <v>3</v>
      </c>
      <c r="J2326" t="str">
        <f>TEXT(DATE(2012,Table1[[#This Row],[MONTH_ID]],10),"mmm")</f>
        <v>Mar</v>
      </c>
      <c r="K2326">
        <v>2005</v>
      </c>
      <c r="L2326" t="s">
        <v>564</v>
      </c>
      <c r="M2326">
        <v>68</v>
      </c>
      <c r="N2326" t="s">
        <v>669</v>
      </c>
      <c r="O2326" t="s">
        <v>51</v>
      </c>
      <c r="P2326" t="s">
        <v>52</v>
      </c>
      <c r="Q2326" t="s">
        <v>53</v>
      </c>
      <c r="S2326" t="s">
        <v>54</v>
      </c>
      <c r="U2326">
        <v>51100</v>
      </c>
      <c r="V2326" t="s">
        <v>55</v>
      </c>
      <c r="W2326" t="s">
        <v>56</v>
      </c>
      <c r="X2326" t="s">
        <v>57</v>
      </c>
      <c r="Y2326" t="s">
        <v>58</v>
      </c>
      <c r="Z2326" t="s">
        <v>50</v>
      </c>
    </row>
    <row r="2327" spans="1:26" x14ac:dyDescent="0.3">
      <c r="A2327">
        <v>10401</v>
      </c>
      <c r="B2327">
        <v>62</v>
      </c>
      <c r="C2327">
        <v>77.73</v>
      </c>
      <c r="D2327">
        <v>6</v>
      </c>
      <c r="E2327">
        <v>4819.26</v>
      </c>
      <c r="F2327" s="1">
        <v>38445</v>
      </c>
      <c r="G2327" t="s">
        <v>415</v>
      </c>
      <c r="H2327">
        <v>2</v>
      </c>
      <c r="I2327">
        <v>4</v>
      </c>
      <c r="J2327" t="str">
        <f>TEXT(DATE(2012,Table1[[#This Row],[MONTH_ID]],10),"mmm")</f>
        <v>Apr</v>
      </c>
      <c r="K2327">
        <v>2005</v>
      </c>
      <c r="L2327" t="s">
        <v>564</v>
      </c>
      <c r="M2327">
        <v>68</v>
      </c>
      <c r="N2327" t="s">
        <v>669</v>
      </c>
      <c r="O2327" t="s">
        <v>118</v>
      </c>
      <c r="P2327">
        <v>2015559350</v>
      </c>
      <c r="Q2327" t="s">
        <v>119</v>
      </c>
      <c r="S2327" t="s">
        <v>120</v>
      </c>
      <c r="T2327" t="s">
        <v>121</v>
      </c>
      <c r="U2327">
        <v>94019</v>
      </c>
      <c r="V2327" t="s">
        <v>46</v>
      </c>
      <c r="W2327" t="s">
        <v>47</v>
      </c>
      <c r="X2327" t="s">
        <v>75</v>
      </c>
      <c r="Y2327" t="s">
        <v>122</v>
      </c>
      <c r="Z2327" t="s">
        <v>65</v>
      </c>
    </row>
    <row r="2328" spans="1:26" x14ac:dyDescent="0.3">
      <c r="A2328">
        <v>10416</v>
      </c>
      <c r="B2328">
        <v>26</v>
      </c>
      <c r="C2328">
        <v>61.22</v>
      </c>
      <c r="D2328">
        <v>7</v>
      </c>
      <c r="E2328">
        <v>1591.72</v>
      </c>
      <c r="F2328" s="1">
        <v>38482</v>
      </c>
      <c r="G2328" t="s">
        <v>39</v>
      </c>
      <c r="H2328">
        <v>2</v>
      </c>
      <c r="I2328">
        <v>5</v>
      </c>
      <c r="J2328" t="str">
        <f>TEXT(DATE(2012,Table1[[#This Row],[MONTH_ID]],10),"mmm")</f>
        <v>May</v>
      </c>
      <c r="K2328">
        <v>2005</v>
      </c>
      <c r="L2328" t="s">
        <v>564</v>
      </c>
      <c r="M2328">
        <v>68</v>
      </c>
      <c r="N2328" t="s">
        <v>669</v>
      </c>
      <c r="O2328" t="s">
        <v>466</v>
      </c>
      <c r="P2328" t="s">
        <v>467</v>
      </c>
      <c r="Q2328" t="s">
        <v>468</v>
      </c>
      <c r="S2328" t="s">
        <v>469</v>
      </c>
      <c r="U2328">
        <v>42100</v>
      </c>
      <c r="V2328" t="s">
        <v>272</v>
      </c>
      <c r="W2328" t="s">
        <v>56</v>
      </c>
      <c r="X2328" t="s">
        <v>470</v>
      </c>
      <c r="Y2328" t="s">
        <v>471</v>
      </c>
      <c r="Z2328" t="s">
        <v>50</v>
      </c>
    </row>
    <row r="2329" spans="1:26" x14ac:dyDescent="0.3">
      <c r="A2329">
        <v>10108</v>
      </c>
      <c r="B2329">
        <v>31</v>
      </c>
      <c r="C2329">
        <v>100</v>
      </c>
      <c r="D2329">
        <v>16</v>
      </c>
      <c r="E2329">
        <v>3669.78</v>
      </c>
      <c r="F2329" s="1">
        <v>37683</v>
      </c>
      <c r="G2329" t="s">
        <v>39</v>
      </c>
      <c r="H2329">
        <v>1</v>
      </c>
      <c r="I2329">
        <v>3</v>
      </c>
      <c r="J2329" t="str">
        <f>TEXT(DATE(2012,Table1[[#This Row],[MONTH_ID]],10),"mmm")</f>
        <v>Mar</v>
      </c>
      <c r="K2329">
        <v>2003</v>
      </c>
      <c r="L2329" t="s">
        <v>40</v>
      </c>
      <c r="M2329">
        <v>102</v>
      </c>
      <c r="N2329" t="s">
        <v>670</v>
      </c>
      <c r="O2329" t="s">
        <v>439</v>
      </c>
      <c r="P2329" t="s">
        <v>440</v>
      </c>
      <c r="Q2329" t="s">
        <v>441</v>
      </c>
      <c r="S2329" t="s">
        <v>442</v>
      </c>
      <c r="U2329" t="s">
        <v>443</v>
      </c>
      <c r="V2329" t="s">
        <v>444</v>
      </c>
      <c r="W2329" t="s">
        <v>214</v>
      </c>
      <c r="X2329" t="s">
        <v>445</v>
      </c>
      <c r="Y2329" t="s">
        <v>446</v>
      </c>
      <c r="Z2329" t="s">
        <v>65</v>
      </c>
    </row>
    <row r="2330" spans="1:26" x14ac:dyDescent="0.3">
      <c r="A2330">
        <v>10121</v>
      </c>
      <c r="B2330">
        <v>25</v>
      </c>
      <c r="C2330">
        <v>86.74</v>
      </c>
      <c r="D2330">
        <v>3</v>
      </c>
      <c r="E2330">
        <v>2168.5</v>
      </c>
      <c r="F2330" s="1">
        <v>37748</v>
      </c>
      <c r="G2330" t="s">
        <v>39</v>
      </c>
      <c r="H2330">
        <v>2</v>
      </c>
      <c r="I2330">
        <v>5</v>
      </c>
      <c r="J2330" t="str">
        <f>TEXT(DATE(2012,Table1[[#This Row],[MONTH_ID]],10),"mmm")</f>
        <v>May</v>
      </c>
      <c r="K2330">
        <v>2003</v>
      </c>
      <c r="L2330" t="s">
        <v>40</v>
      </c>
      <c r="M2330">
        <v>102</v>
      </c>
      <c r="N2330" t="s">
        <v>670</v>
      </c>
      <c r="O2330" t="s">
        <v>51</v>
      </c>
      <c r="P2330" t="s">
        <v>52</v>
      </c>
      <c r="Q2330" t="s">
        <v>53</v>
      </c>
      <c r="S2330" t="s">
        <v>54</v>
      </c>
      <c r="U2330">
        <v>51100</v>
      </c>
      <c r="V2330" t="s">
        <v>55</v>
      </c>
      <c r="W2330" t="s">
        <v>56</v>
      </c>
      <c r="X2330" t="s">
        <v>57</v>
      </c>
      <c r="Y2330" t="s">
        <v>58</v>
      </c>
      <c r="Z2330" t="s">
        <v>50</v>
      </c>
    </row>
    <row r="2331" spans="1:26" x14ac:dyDescent="0.3">
      <c r="A2331">
        <v>10135</v>
      </c>
      <c r="B2331">
        <v>30</v>
      </c>
      <c r="C2331">
        <v>89.8</v>
      </c>
      <c r="D2331">
        <v>17</v>
      </c>
      <c r="E2331">
        <v>2694</v>
      </c>
      <c r="F2331" s="1">
        <v>37804</v>
      </c>
      <c r="G2331" t="s">
        <v>39</v>
      </c>
      <c r="H2331">
        <v>3</v>
      </c>
      <c r="I2331">
        <v>7</v>
      </c>
      <c r="J2331" t="str">
        <f>TEXT(DATE(2012,Table1[[#This Row],[MONTH_ID]],10),"mmm")</f>
        <v>Jul</v>
      </c>
      <c r="K2331">
        <v>2003</v>
      </c>
      <c r="L2331" t="s">
        <v>40</v>
      </c>
      <c r="M2331">
        <v>102</v>
      </c>
      <c r="N2331" t="s">
        <v>670</v>
      </c>
      <c r="O2331" t="s">
        <v>286</v>
      </c>
      <c r="P2331">
        <v>4155551450</v>
      </c>
      <c r="Q2331" t="s">
        <v>287</v>
      </c>
      <c r="S2331" t="s">
        <v>288</v>
      </c>
      <c r="T2331" t="s">
        <v>69</v>
      </c>
      <c r="U2331">
        <v>97562</v>
      </c>
      <c r="V2331" t="s">
        <v>46</v>
      </c>
      <c r="W2331" t="s">
        <v>47</v>
      </c>
      <c r="X2331" t="s">
        <v>289</v>
      </c>
      <c r="Y2331" t="s">
        <v>290</v>
      </c>
      <c r="Z2331" t="s">
        <v>50</v>
      </c>
    </row>
    <row r="2332" spans="1:26" x14ac:dyDescent="0.3">
      <c r="A2332">
        <v>10145</v>
      </c>
      <c r="B2332">
        <v>27</v>
      </c>
      <c r="C2332">
        <v>100</v>
      </c>
      <c r="D2332">
        <v>4</v>
      </c>
      <c r="E2332">
        <v>3251.34</v>
      </c>
      <c r="F2332" s="1">
        <v>37858</v>
      </c>
      <c r="G2332" t="s">
        <v>39</v>
      </c>
      <c r="H2332">
        <v>3</v>
      </c>
      <c r="I2332">
        <v>8</v>
      </c>
      <c r="J2332" t="str">
        <f>TEXT(DATE(2012,Table1[[#This Row],[MONTH_ID]],10),"mmm")</f>
        <v>Aug</v>
      </c>
      <c r="K2332">
        <v>2003</v>
      </c>
      <c r="L2332" t="s">
        <v>40</v>
      </c>
      <c r="M2332">
        <v>102</v>
      </c>
      <c r="N2332" t="s">
        <v>670</v>
      </c>
      <c r="O2332" t="s">
        <v>66</v>
      </c>
      <c r="P2332">
        <v>6265557265</v>
      </c>
      <c r="Q2332" t="s">
        <v>67</v>
      </c>
      <c r="S2332" t="s">
        <v>68</v>
      </c>
      <c r="T2332" t="s">
        <v>69</v>
      </c>
      <c r="U2332">
        <v>90003</v>
      </c>
      <c r="V2332" t="s">
        <v>46</v>
      </c>
      <c r="W2332" t="s">
        <v>47</v>
      </c>
      <c r="X2332" t="s">
        <v>70</v>
      </c>
      <c r="Y2332" t="s">
        <v>71</v>
      </c>
      <c r="Z2332" t="s">
        <v>65</v>
      </c>
    </row>
    <row r="2333" spans="1:26" x14ac:dyDescent="0.3">
      <c r="A2333">
        <v>10159</v>
      </c>
      <c r="B2333">
        <v>23</v>
      </c>
      <c r="C2333">
        <v>100</v>
      </c>
      <c r="D2333">
        <v>12</v>
      </c>
      <c r="E2333">
        <v>2347.15</v>
      </c>
      <c r="F2333" s="1">
        <v>37904</v>
      </c>
      <c r="G2333" t="s">
        <v>39</v>
      </c>
      <c r="H2333">
        <v>4</v>
      </c>
      <c r="I2333">
        <v>10</v>
      </c>
      <c r="J2333" t="str">
        <f>TEXT(DATE(2012,Table1[[#This Row],[MONTH_ID]],10),"mmm")</f>
        <v>Oct</v>
      </c>
      <c r="K2333">
        <v>2003</v>
      </c>
      <c r="L2333" t="s">
        <v>40</v>
      </c>
      <c r="M2333">
        <v>102</v>
      </c>
      <c r="N2333" t="s">
        <v>670</v>
      </c>
      <c r="O2333" t="s">
        <v>72</v>
      </c>
      <c r="P2333">
        <v>6505551386</v>
      </c>
      <c r="Q2333" t="s">
        <v>73</v>
      </c>
      <c r="S2333" t="s">
        <v>74</v>
      </c>
      <c r="T2333" t="s">
        <v>69</v>
      </c>
      <c r="V2333" t="s">
        <v>46</v>
      </c>
      <c r="W2333" t="s">
        <v>47</v>
      </c>
      <c r="X2333" t="s">
        <v>75</v>
      </c>
      <c r="Y2333" t="s">
        <v>71</v>
      </c>
      <c r="Z2333" t="s">
        <v>50</v>
      </c>
    </row>
    <row r="2334" spans="1:26" x14ac:dyDescent="0.3">
      <c r="A2334">
        <v>10169</v>
      </c>
      <c r="B2334">
        <v>34</v>
      </c>
      <c r="C2334">
        <v>100</v>
      </c>
      <c r="D2334">
        <v>12</v>
      </c>
      <c r="E2334">
        <v>3920.88</v>
      </c>
      <c r="F2334" s="1">
        <v>37929</v>
      </c>
      <c r="G2334" t="s">
        <v>39</v>
      </c>
      <c r="H2334">
        <v>4</v>
      </c>
      <c r="I2334">
        <v>11</v>
      </c>
      <c r="J2334" t="str">
        <f>TEXT(DATE(2012,Table1[[#This Row],[MONTH_ID]],10),"mmm")</f>
        <v>Nov</v>
      </c>
      <c r="K2334">
        <v>2003</v>
      </c>
      <c r="L2334" t="s">
        <v>40</v>
      </c>
      <c r="M2334">
        <v>102</v>
      </c>
      <c r="N2334" t="s">
        <v>670</v>
      </c>
      <c r="O2334" t="s">
        <v>299</v>
      </c>
      <c r="P2334" t="s">
        <v>300</v>
      </c>
      <c r="Q2334" t="s">
        <v>301</v>
      </c>
      <c r="R2334" t="s">
        <v>302</v>
      </c>
      <c r="S2334" t="s">
        <v>303</v>
      </c>
      <c r="T2334" t="s">
        <v>171</v>
      </c>
      <c r="U2334">
        <v>2060</v>
      </c>
      <c r="V2334" t="s">
        <v>109</v>
      </c>
      <c r="W2334" t="s">
        <v>110</v>
      </c>
      <c r="X2334" t="s">
        <v>304</v>
      </c>
      <c r="Y2334" t="s">
        <v>305</v>
      </c>
      <c r="Z2334" t="s">
        <v>65</v>
      </c>
    </row>
    <row r="2335" spans="1:26" x14ac:dyDescent="0.3">
      <c r="A2335">
        <v>10180</v>
      </c>
      <c r="B2335">
        <v>22</v>
      </c>
      <c r="C2335">
        <v>100</v>
      </c>
      <c r="D2335">
        <v>7</v>
      </c>
      <c r="E2335">
        <v>2514.6</v>
      </c>
      <c r="F2335" s="1">
        <v>37936</v>
      </c>
      <c r="G2335" t="s">
        <v>39</v>
      </c>
      <c r="H2335">
        <v>4</v>
      </c>
      <c r="I2335">
        <v>11</v>
      </c>
      <c r="J2335" t="str">
        <f>TEXT(DATE(2012,Table1[[#This Row],[MONTH_ID]],10),"mmm")</f>
        <v>Nov</v>
      </c>
      <c r="K2335">
        <v>2003</v>
      </c>
      <c r="L2335" t="s">
        <v>40</v>
      </c>
      <c r="M2335">
        <v>102</v>
      </c>
      <c r="N2335" t="s">
        <v>670</v>
      </c>
      <c r="O2335" t="s">
        <v>81</v>
      </c>
      <c r="P2335" t="s">
        <v>82</v>
      </c>
      <c r="Q2335" t="s">
        <v>83</v>
      </c>
      <c r="S2335" t="s">
        <v>84</v>
      </c>
      <c r="U2335">
        <v>59000</v>
      </c>
      <c r="V2335" t="s">
        <v>55</v>
      </c>
      <c r="W2335" t="s">
        <v>56</v>
      </c>
      <c r="X2335" t="s">
        <v>85</v>
      </c>
      <c r="Y2335" t="s">
        <v>86</v>
      </c>
      <c r="Z2335" t="s">
        <v>50</v>
      </c>
    </row>
    <row r="2336" spans="1:26" x14ac:dyDescent="0.3">
      <c r="A2336">
        <v>10190</v>
      </c>
      <c r="B2336">
        <v>42</v>
      </c>
      <c r="C2336">
        <v>85.72</v>
      </c>
      <c r="D2336">
        <v>4</v>
      </c>
      <c r="E2336">
        <v>3600.24</v>
      </c>
      <c r="F2336" s="1">
        <v>37944</v>
      </c>
      <c r="G2336" t="s">
        <v>39</v>
      </c>
      <c r="H2336">
        <v>4</v>
      </c>
      <c r="I2336">
        <v>11</v>
      </c>
      <c r="J2336" t="str">
        <f>TEXT(DATE(2012,Table1[[#This Row],[MONTH_ID]],10),"mmm")</f>
        <v>Nov</v>
      </c>
      <c r="K2336">
        <v>2003</v>
      </c>
      <c r="L2336" t="s">
        <v>40</v>
      </c>
      <c r="M2336">
        <v>102</v>
      </c>
      <c r="N2336" t="s">
        <v>670</v>
      </c>
      <c r="O2336" t="s">
        <v>188</v>
      </c>
      <c r="P2336" t="s">
        <v>189</v>
      </c>
      <c r="Q2336" t="s">
        <v>190</v>
      </c>
      <c r="S2336" t="s">
        <v>191</v>
      </c>
      <c r="U2336">
        <v>28034</v>
      </c>
      <c r="V2336" t="s">
        <v>192</v>
      </c>
      <c r="W2336" t="s">
        <v>56</v>
      </c>
      <c r="X2336" t="s">
        <v>193</v>
      </c>
      <c r="Y2336" t="s">
        <v>194</v>
      </c>
      <c r="Z2336" t="s">
        <v>65</v>
      </c>
    </row>
    <row r="2337" spans="1:26" x14ac:dyDescent="0.3">
      <c r="A2337">
        <v>10211</v>
      </c>
      <c r="B2337">
        <v>37</v>
      </c>
      <c r="C2337">
        <v>100</v>
      </c>
      <c r="D2337">
        <v>12</v>
      </c>
      <c r="E2337">
        <v>4040.03</v>
      </c>
      <c r="F2337" s="1">
        <v>38001</v>
      </c>
      <c r="G2337" t="s">
        <v>39</v>
      </c>
      <c r="H2337">
        <v>1</v>
      </c>
      <c r="I2337">
        <v>1</v>
      </c>
      <c r="J2337" t="str">
        <f>TEXT(DATE(2012,Table1[[#This Row],[MONTH_ID]],10),"mmm")</f>
        <v>Jan</v>
      </c>
      <c r="K2337">
        <v>2004</v>
      </c>
      <c r="L2337" t="s">
        <v>40</v>
      </c>
      <c r="M2337">
        <v>102</v>
      </c>
      <c r="N2337" t="s">
        <v>670</v>
      </c>
      <c r="O2337" t="s">
        <v>98</v>
      </c>
      <c r="P2337" t="s">
        <v>99</v>
      </c>
      <c r="Q2337" t="s">
        <v>100</v>
      </c>
      <c r="S2337" t="s">
        <v>62</v>
      </c>
      <c r="U2337">
        <v>75016</v>
      </c>
      <c r="V2337" t="s">
        <v>55</v>
      </c>
      <c r="W2337" t="s">
        <v>56</v>
      </c>
      <c r="X2337" t="s">
        <v>101</v>
      </c>
      <c r="Y2337" t="s">
        <v>102</v>
      </c>
      <c r="Z2337" t="s">
        <v>65</v>
      </c>
    </row>
    <row r="2338" spans="1:26" x14ac:dyDescent="0.3">
      <c r="A2338">
        <v>10224</v>
      </c>
      <c r="B2338">
        <v>30</v>
      </c>
      <c r="C2338">
        <v>100</v>
      </c>
      <c r="D2338">
        <v>5</v>
      </c>
      <c r="E2338">
        <v>3336.9</v>
      </c>
      <c r="F2338" s="1">
        <v>38038</v>
      </c>
      <c r="G2338" t="s">
        <v>39</v>
      </c>
      <c r="H2338">
        <v>1</v>
      </c>
      <c r="I2338">
        <v>2</v>
      </c>
      <c r="J2338" t="str">
        <f>TEXT(DATE(2012,Table1[[#This Row],[MONTH_ID]],10),"mmm")</f>
        <v>Feb</v>
      </c>
      <c r="K2338">
        <v>2004</v>
      </c>
      <c r="L2338" t="s">
        <v>40</v>
      </c>
      <c r="M2338">
        <v>102</v>
      </c>
      <c r="N2338" t="s">
        <v>670</v>
      </c>
      <c r="O2338" t="s">
        <v>81</v>
      </c>
      <c r="P2338" t="s">
        <v>82</v>
      </c>
      <c r="Q2338" t="s">
        <v>83</v>
      </c>
      <c r="S2338" t="s">
        <v>84</v>
      </c>
      <c r="U2338">
        <v>59000</v>
      </c>
      <c r="V2338" t="s">
        <v>55</v>
      </c>
      <c r="W2338" t="s">
        <v>56</v>
      </c>
      <c r="X2338" t="s">
        <v>85</v>
      </c>
      <c r="Y2338" t="s">
        <v>86</v>
      </c>
      <c r="Z2338" t="s">
        <v>65</v>
      </c>
    </row>
    <row r="2339" spans="1:26" x14ac:dyDescent="0.3">
      <c r="A2339">
        <v>10237</v>
      </c>
      <c r="B2339">
        <v>27</v>
      </c>
      <c r="C2339">
        <v>100</v>
      </c>
      <c r="D2339">
        <v>5</v>
      </c>
      <c r="E2339">
        <v>3113.64</v>
      </c>
      <c r="F2339" s="1">
        <v>38082</v>
      </c>
      <c r="G2339" t="s">
        <v>39</v>
      </c>
      <c r="H2339">
        <v>2</v>
      </c>
      <c r="I2339">
        <v>4</v>
      </c>
      <c r="J2339" t="str">
        <f>TEXT(DATE(2012,Table1[[#This Row],[MONTH_ID]],10),"mmm")</f>
        <v>Apr</v>
      </c>
      <c r="K2339">
        <v>2004</v>
      </c>
      <c r="L2339" t="s">
        <v>40</v>
      </c>
      <c r="M2339">
        <v>102</v>
      </c>
      <c r="N2339" t="s">
        <v>670</v>
      </c>
      <c r="O2339" t="s">
        <v>113</v>
      </c>
      <c r="P2339">
        <v>2125551500</v>
      </c>
      <c r="Q2339" t="s">
        <v>114</v>
      </c>
      <c r="R2339" t="s">
        <v>115</v>
      </c>
      <c r="S2339" t="s">
        <v>44</v>
      </c>
      <c r="T2339" t="s">
        <v>45</v>
      </c>
      <c r="U2339">
        <v>10022</v>
      </c>
      <c r="V2339" t="s">
        <v>46</v>
      </c>
      <c r="W2339" t="s">
        <v>47</v>
      </c>
      <c r="X2339" t="s">
        <v>116</v>
      </c>
      <c r="Y2339" t="s">
        <v>117</v>
      </c>
      <c r="Z2339" t="s">
        <v>65</v>
      </c>
    </row>
    <row r="2340" spans="1:26" x14ac:dyDescent="0.3">
      <c r="A2340">
        <v>10252</v>
      </c>
      <c r="B2340">
        <v>25</v>
      </c>
      <c r="C2340">
        <v>100</v>
      </c>
      <c r="D2340">
        <v>9</v>
      </c>
      <c r="E2340">
        <v>2832</v>
      </c>
      <c r="F2340" s="1">
        <v>38133</v>
      </c>
      <c r="G2340" t="s">
        <v>39</v>
      </c>
      <c r="H2340">
        <v>2</v>
      </c>
      <c r="I2340">
        <v>5</v>
      </c>
      <c r="J2340" t="str">
        <f>TEXT(DATE(2012,Table1[[#This Row],[MONTH_ID]],10),"mmm")</f>
        <v>May</v>
      </c>
      <c r="K2340">
        <v>2004</v>
      </c>
      <c r="L2340" t="s">
        <v>40</v>
      </c>
      <c r="M2340">
        <v>102</v>
      </c>
      <c r="N2340" t="s">
        <v>670</v>
      </c>
      <c r="O2340" t="s">
        <v>98</v>
      </c>
      <c r="P2340" t="s">
        <v>99</v>
      </c>
      <c r="Q2340" t="s">
        <v>100</v>
      </c>
      <c r="S2340" t="s">
        <v>62</v>
      </c>
      <c r="U2340">
        <v>75016</v>
      </c>
      <c r="V2340" t="s">
        <v>55</v>
      </c>
      <c r="W2340" t="s">
        <v>56</v>
      </c>
      <c r="X2340" t="s">
        <v>101</v>
      </c>
      <c r="Y2340" t="s">
        <v>102</v>
      </c>
      <c r="Z2340" t="s">
        <v>50</v>
      </c>
    </row>
    <row r="2341" spans="1:26" x14ac:dyDescent="0.3">
      <c r="A2341">
        <v>10264</v>
      </c>
      <c r="B2341">
        <v>34</v>
      </c>
      <c r="C2341">
        <v>97.97</v>
      </c>
      <c r="D2341">
        <v>7</v>
      </c>
      <c r="E2341">
        <v>3330.98</v>
      </c>
      <c r="F2341" s="1">
        <v>38168</v>
      </c>
      <c r="G2341" t="s">
        <v>39</v>
      </c>
      <c r="H2341">
        <v>2</v>
      </c>
      <c r="I2341">
        <v>6</v>
      </c>
      <c r="J2341" t="str">
        <f>TEXT(DATE(2012,Table1[[#This Row],[MONTH_ID]],10),"mmm")</f>
        <v>Jun</v>
      </c>
      <c r="K2341">
        <v>2004</v>
      </c>
      <c r="L2341" t="s">
        <v>40</v>
      </c>
      <c r="M2341">
        <v>102</v>
      </c>
      <c r="N2341" t="s">
        <v>670</v>
      </c>
      <c r="O2341" t="s">
        <v>393</v>
      </c>
      <c r="P2341">
        <v>6175559555</v>
      </c>
      <c r="Q2341" t="s">
        <v>394</v>
      </c>
      <c r="S2341" t="s">
        <v>395</v>
      </c>
      <c r="T2341" t="s">
        <v>137</v>
      </c>
      <c r="U2341">
        <v>51003</v>
      </c>
      <c r="V2341" t="s">
        <v>46</v>
      </c>
      <c r="W2341" t="s">
        <v>47</v>
      </c>
      <c r="X2341" t="s">
        <v>396</v>
      </c>
      <c r="Y2341" t="s">
        <v>80</v>
      </c>
      <c r="Z2341" t="s">
        <v>65</v>
      </c>
    </row>
    <row r="2342" spans="1:26" x14ac:dyDescent="0.3">
      <c r="A2342">
        <v>10276</v>
      </c>
      <c r="B2342">
        <v>38</v>
      </c>
      <c r="C2342">
        <v>100</v>
      </c>
      <c r="D2342">
        <v>13</v>
      </c>
      <c r="E2342">
        <v>4304.6400000000003</v>
      </c>
      <c r="F2342" s="1">
        <v>38201</v>
      </c>
      <c r="G2342" t="s">
        <v>39</v>
      </c>
      <c r="H2342">
        <v>3</v>
      </c>
      <c r="I2342">
        <v>8</v>
      </c>
      <c r="J2342" t="str">
        <f>TEXT(DATE(2012,Table1[[#This Row],[MONTH_ID]],10),"mmm")</f>
        <v>Aug</v>
      </c>
      <c r="K2342">
        <v>2004</v>
      </c>
      <c r="L2342" t="s">
        <v>40</v>
      </c>
      <c r="M2342">
        <v>102</v>
      </c>
      <c r="N2342" t="s">
        <v>670</v>
      </c>
      <c r="O2342" t="s">
        <v>472</v>
      </c>
      <c r="P2342">
        <v>6175557555</v>
      </c>
      <c r="Q2342" t="s">
        <v>473</v>
      </c>
      <c r="S2342" t="s">
        <v>297</v>
      </c>
      <c r="T2342" t="s">
        <v>137</v>
      </c>
      <c r="U2342">
        <v>58339</v>
      </c>
      <c r="V2342" t="s">
        <v>46</v>
      </c>
      <c r="W2342" t="s">
        <v>47</v>
      </c>
      <c r="X2342" t="s">
        <v>474</v>
      </c>
      <c r="Y2342" t="s">
        <v>475</v>
      </c>
      <c r="Z2342" t="s">
        <v>65</v>
      </c>
    </row>
    <row r="2343" spans="1:26" x14ac:dyDescent="0.3">
      <c r="A2343">
        <v>10285</v>
      </c>
      <c r="B2343">
        <v>26</v>
      </c>
      <c r="C2343">
        <v>100</v>
      </c>
      <c r="D2343">
        <v>4</v>
      </c>
      <c r="E2343">
        <v>2600.2600000000002</v>
      </c>
      <c r="F2343" s="1">
        <v>38226</v>
      </c>
      <c r="G2343" t="s">
        <v>39</v>
      </c>
      <c r="H2343">
        <v>3</v>
      </c>
      <c r="I2343">
        <v>8</v>
      </c>
      <c r="J2343" t="str">
        <f>TEXT(DATE(2012,Table1[[#This Row],[MONTH_ID]],10),"mmm")</f>
        <v>Aug</v>
      </c>
      <c r="K2343">
        <v>2004</v>
      </c>
      <c r="L2343" t="s">
        <v>40</v>
      </c>
      <c r="M2343">
        <v>102</v>
      </c>
      <c r="N2343" t="s">
        <v>670</v>
      </c>
      <c r="O2343" t="s">
        <v>134</v>
      </c>
      <c r="P2343">
        <v>6175558555</v>
      </c>
      <c r="Q2343" t="s">
        <v>135</v>
      </c>
      <c r="S2343" t="s">
        <v>136</v>
      </c>
      <c r="T2343" t="s">
        <v>137</v>
      </c>
      <c r="U2343">
        <v>51247</v>
      </c>
      <c r="V2343" t="s">
        <v>46</v>
      </c>
      <c r="W2343" t="s">
        <v>47</v>
      </c>
      <c r="X2343" t="s">
        <v>138</v>
      </c>
      <c r="Y2343" t="s">
        <v>139</v>
      </c>
      <c r="Z2343" t="s">
        <v>50</v>
      </c>
    </row>
    <row r="2344" spans="1:26" x14ac:dyDescent="0.3">
      <c r="A2344">
        <v>10299</v>
      </c>
      <c r="B2344">
        <v>38</v>
      </c>
      <c r="C2344">
        <v>100</v>
      </c>
      <c r="D2344">
        <v>7</v>
      </c>
      <c r="E2344">
        <v>4382.16</v>
      </c>
      <c r="F2344" s="1">
        <v>38260</v>
      </c>
      <c r="G2344" t="s">
        <v>39</v>
      </c>
      <c r="H2344">
        <v>3</v>
      </c>
      <c r="I2344">
        <v>9</v>
      </c>
      <c r="J2344" t="str">
        <f>TEXT(DATE(2012,Table1[[#This Row],[MONTH_ID]],10),"mmm")</f>
        <v>Sep</v>
      </c>
      <c r="K2344">
        <v>2004</v>
      </c>
      <c r="L2344" t="s">
        <v>40</v>
      </c>
      <c r="M2344">
        <v>102</v>
      </c>
      <c r="N2344" t="s">
        <v>670</v>
      </c>
      <c r="O2344" t="s">
        <v>140</v>
      </c>
      <c r="P2344" t="s">
        <v>141</v>
      </c>
      <c r="Q2344" t="s">
        <v>142</v>
      </c>
      <c r="S2344" t="s">
        <v>143</v>
      </c>
      <c r="U2344">
        <v>21240</v>
      </c>
      <c r="V2344" t="s">
        <v>144</v>
      </c>
      <c r="W2344" t="s">
        <v>56</v>
      </c>
      <c r="X2344" t="s">
        <v>145</v>
      </c>
      <c r="Y2344" t="s">
        <v>146</v>
      </c>
      <c r="Z2344" t="s">
        <v>65</v>
      </c>
    </row>
    <row r="2345" spans="1:26" x14ac:dyDescent="0.3">
      <c r="A2345">
        <v>10309</v>
      </c>
      <c r="B2345">
        <v>50</v>
      </c>
      <c r="C2345">
        <v>84.7</v>
      </c>
      <c r="D2345">
        <v>3</v>
      </c>
      <c r="E2345">
        <v>4235</v>
      </c>
      <c r="F2345" s="1">
        <v>38275</v>
      </c>
      <c r="G2345" t="s">
        <v>39</v>
      </c>
      <c r="H2345">
        <v>4</v>
      </c>
      <c r="I2345">
        <v>10</v>
      </c>
      <c r="J2345" t="str">
        <f>TEXT(DATE(2012,Table1[[#This Row],[MONTH_ID]],10),"mmm")</f>
        <v>Oct</v>
      </c>
      <c r="K2345">
        <v>2004</v>
      </c>
      <c r="L2345" t="s">
        <v>40</v>
      </c>
      <c r="M2345">
        <v>102</v>
      </c>
      <c r="N2345" t="s">
        <v>670</v>
      </c>
      <c r="O2345" t="s">
        <v>147</v>
      </c>
      <c r="P2345" t="s">
        <v>148</v>
      </c>
      <c r="Q2345" t="s">
        <v>149</v>
      </c>
      <c r="S2345" t="s">
        <v>150</v>
      </c>
      <c r="U2345">
        <v>4110</v>
      </c>
      <c r="V2345" t="s">
        <v>92</v>
      </c>
      <c r="W2345" t="s">
        <v>56</v>
      </c>
      <c r="X2345" t="s">
        <v>151</v>
      </c>
      <c r="Y2345" t="s">
        <v>152</v>
      </c>
      <c r="Z2345" t="s">
        <v>65</v>
      </c>
    </row>
    <row r="2346" spans="1:26" x14ac:dyDescent="0.3">
      <c r="A2346">
        <v>10319</v>
      </c>
      <c r="B2346">
        <v>22</v>
      </c>
      <c r="C2346">
        <v>100</v>
      </c>
      <c r="D2346">
        <v>8</v>
      </c>
      <c r="E2346">
        <v>2626.8</v>
      </c>
      <c r="F2346" s="1">
        <v>38294</v>
      </c>
      <c r="G2346" t="s">
        <v>39</v>
      </c>
      <c r="H2346">
        <v>4</v>
      </c>
      <c r="I2346">
        <v>11</v>
      </c>
      <c r="J2346" t="str">
        <f>TEXT(DATE(2012,Table1[[#This Row],[MONTH_ID]],10),"mmm")</f>
        <v>Nov</v>
      </c>
      <c r="K2346">
        <v>2004</v>
      </c>
      <c r="L2346" t="s">
        <v>40</v>
      </c>
      <c r="M2346">
        <v>102</v>
      </c>
      <c r="N2346" t="s">
        <v>670</v>
      </c>
      <c r="O2346" t="s">
        <v>521</v>
      </c>
      <c r="P2346">
        <v>2125551957</v>
      </c>
      <c r="Q2346" t="s">
        <v>522</v>
      </c>
      <c r="R2346" t="s">
        <v>523</v>
      </c>
      <c r="S2346" t="s">
        <v>44</v>
      </c>
      <c r="T2346" t="s">
        <v>45</v>
      </c>
      <c r="U2346">
        <v>10022</v>
      </c>
      <c r="V2346" t="s">
        <v>46</v>
      </c>
      <c r="W2346" t="s">
        <v>47</v>
      </c>
      <c r="X2346" t="s">
        <v>524</v>
      </c>
      <c r="Y2346" t="s">
        <v>525</v>
      </c>
      <c r="Z2346" t="s">
        <v>50</v>
      </c>
    </row>
    <row r="2347" spans="1:26" x14ac:dyDescent="0.3">
      <c r="A2347">
        <v>10331</v>
      </c>
      <c r="B2347">
        <v>32</v>
      </c>
      <c r="C2347">
        <v>100</v>
      </c>
      <c r="D2347">
        <v>4</v>
      </c>
      <c r="E2347">
        <v>5026.5600000000004</v>
      </c>
      <c r="F2347" s="1">
        <v>38308</v>
      </c>
      <c r="G2347" t="s">
        <v>39</v>
      </c>
      <c r="H2347">
        <v>4</v>
      </c>
      <c r="I2347">
        <v>11</v>
      </c>
      <c r="J2347" t="str">
        <f>TEXT(DATE(2012,Table1[[#This Row],[MONTH_ID]],10),"mmm")</f>
        <v>Nov</v>
      </c>
      <c r="K2347">
        <v>2004</v>
      </c>
      <c r="L2347" t="s">
        <v>40</v>
      </c>
      <c r="M2347">
        <v>102</v>
      </c>
      <c r="N2347" t="s">
        <v>670</v>
      </c>
      <c r="O2347" t="s">
        <v>323</v>
      </c>
      <c r="P2347">
        <v>2155559857</v>
      </c>
      <c r="Q2347" t="s">
        <v>324</v>
      </c>
      <c r="S2347" t="s">
        <v>230</v>
      </c>
      <c r="T2347" t="s">
        <v>156</v>
      </c>
      <c r="U2347">
        <v>71270</v>
      </c>
      <c r="V2347" t="s">
        <v>46</v>
      </c>
      <c r="W2347" t="s">
        <v>47</v>
      </c>
      <c r="X2347" t="s">
        <v>138</v>
      </c>
      <c r="Y2347" t="s">
        <v>325</v>
      </c>
      <c r="Z2347" t="s">
        <v>65</v>
      </c>
    </row>
    <row r="2348" spans="1:26" x14ac:dyDescent="0.3">
      <c r="A2348">
        <v>10341</v>
      </c>
      <c r="B2348">
        <v>31</v>
      </c>
      <c r="C2348">
        <v>71.02</v>
      </c>
      <c r="D2348">
        <v>4</v>
      </c>
      <c r="E2348">
        <v>2201.62</v>
      </c>
      <c r="F2348" s="1">
        <v>38315</v>
      </c>
      <c r="G2348" t="s">
        <v>39</v>
      </c>
      <c r="H2348">
        <v>4</v>
      </c>
      <c r="I2348">
        <v>11</v>
      </c>
      <c r="J2348" t="str">
        <f>TEXT(DATE(2012,Table1[[#This Row],[MONTH_ID]],10),"mmm")</f>
        <v>Nov</v>
      </c>
      <c r="K2348">
        <v>2004</v>
      </c>
      <c r="L2348" t="s">
        <v>40</v>
      </c>
      <c r="M2348">
        <v>102</v>
      </c>
      <c r="N2348" t="s">
        <v>670</v>
      </c>
      <c r="O2348" t="s">
        <v>158</v>
      </c>
      <c r="P2348" t="s">
        <v>159</v>
      </c>
      <c r="Q2348" t="s">
        <v>160</v>
      </c>
      <c r="S2348" t="s">
        <v>161</v>
      </c>
      <c r="U2348">
        <v>5020</v>
      </c>
      <c r="V2348" t="s">
        <v>162</v>
      </c>
      <c r="W2348" t="s">
        <v>56</v>
      </c>
      <c r="X2348" t="s">
        <v>163</v>
      </c>
      <c r="Y2348" t="s">
        <v>164</v>
      </c>
      <c r="Z2348" t="s">
        <v>50</v>
      </c>
    </row>
    <row r="2349" spans="1:26" x14ac:dyDescent="0.3">
      <c r="A2349">
        <v>10355</v>
      </c>
      <c r="B2349">
        <v>40</v>
      </c>
      <c r="C2349">
        <v>100</v>
      </c>
      <c r="D2349">
        <v>5</v>
      </c>
      <c r="E2349">
        <v>4326.8</v>
      </c>
      <c r="F2349" s="1">
        <v>38328</v>
      </c>
      <c r="G2349" t="s">
        <v>39</v>
      </c>
      <c r="H2349">
        <v>4</v>
      </c>
      <c r="I2349">
        <v>12</v>
      </c>
      <c r="J2349" t="str">
        <f>TEXT(DATE(2012,Table1[[#This Row],[MONTH_ID]],10),"mmm")</f>
        <v>Dec</v>
      </c>
      <c r="K2349">
        <v>2004</v>
      </c>
      <c r="L2349" t="s">
        <v>40</v>
      </c>
      <c r="M2349">
        <v>102</v>
      </c>
      <c r="N2349" t="s">
        <v>670</v>
      </c>
      <c r="O2349" t="s">
        <v>188</v>
      </c>
      <c r="P2349" t="s">
        <v>189</v>
      </c>
      <c r="Q2349" t="s">
        <v>190</v>
      </c>
      <c r="S2349" t="s">
        <v>191</v>
      </c>
      <c r="U2349">
        <v>28034</v>
      </c>
      <c r="V2349" t="s">
        <v>192</v>
      </c>
      <c r="W2349" t="s">
        <v>56</v>
      </c>
      <c r="X2349" t="s">
        <v>193</v>
      </c>
      <c r="Y2349" t="s">
        <v>194</v>
      </c>
      <c r="Z2349" t="s">
        <v>65</v>
      </c>
    </row>
    <row r="2350" spans="1:26" x14ac:dyDescent="0.3">
      <c r="A2350">
        <v>10365</v>
      </c>
      <c r="B2350">
        <v>22</v>
      </c>
      <c r="C2350">
        <v>100</v>
      </c>
      <c r="D2350">
        <v>3</v>
      </c>
      <c r="E2350">
        <v>3425.18</v>
      </c>
      <c r="F2350" s="1">
        <v>38359</v>
      </c>
      <c r="G2350" t="s">
        <v>39</v>
      </c>
      <c r="H2350">
        <v>1</v>
      </c>
      <c r="I2350">
        <v>1</v>
      </c>
      <c r="J2350" t="str">
        <f>TEXT(DATE(2012,Table1[[#This Row],[MONTH_ID]],10),"mmm")</f>
        <v>Jan</v>
      </c>
      <c r="K2350">
        <v>2005</v>
      </c>
      <c r="L2350" t="s">
        <v>40</v>
      </c>
      <c r="M2350">
        <v>102</v>
      </c>
      <c r="N2350" t="s">
        <v>670</v>
      </c>
      <c r="O2350" t="s">
        <v>349</v>
      </c>
      <c r="P2350">
        <v>5085559555</v>
      </c>
      <c r="Q2350" t="s">
        <v>350</v>
      </c>
      <c r="S2350" t="s">
        <v>176</v>
      </c>
      <c r="T2350" t="s">
        <v>137</v>
      </c>
      <c r="U2350">
        <v>50553</v>
      </c>
      <c r="V2350" t="s">
        <v>46</v>
      </c>
      <c r="W2350" t="s">
        <v>47</v>
      </c>
      <c r="X2350" t="s">
        <v>351</v>
      </c>
      <c r="Y2350" t="s">
        <v>352</v>
      </c>
      <c r="Z2350" t="s">
        <v>65</v>
      </c>
    </row>
    <row r="2351" spans="1:26" x14ac:dyDescent="0.3">
      <c r="A2351">
        <v>10375</v>
      </c>
      <c r="B2351">
        <v>41</v>
      </c>
      <c r="C2351">
        <v>100</v>
      </c>
      <c r="D2351">
        <v>15</v>
      </c>
      <c r="E2351">
        <v>4701.88</v>
      </c>
      <c r="F2351" s="1">
        <v>38386</v>
      </c>
      <c r="G2351" t="s">
        <v>39</v>
      </c>
      <c r="H2351">
        <v>1</v>
      </c>
      <c r="I2351">
        <v>2</v>
      </c>
      <c r="J2351" t="str">
        <f>TEXT(DATE(2012,Table1[[#This Row],[MONTH_ID]],10),"mmm")</f>
        <v>Feb</v>
      </c>
      <c r="K2351">
        <v>2005</v>
      </c>
      <c r="L2351" t="s">
        <v>40</v>
      </c>
      <c r="M2351">
        <v>102</v>
      </c>
      <c r="N2351" t="s">
        <v>670</v>
      </c>
      <c r="O2351" t="s">
        <v>128</v>
      </c>
      <c r="P2351" t="s">
        <v>129</v>
      </c>
      <c r="Q2351" t="s">
        <v>130</v>
      </c>
      <c r="S2351" t="s">
        <v>131</v>
      </c>
      <c r="U2351">
        <v>44000</v>
      </c>
      <c r="V2351" t="s">
        <v>55</v>
      </c>
      <c r="W2351" t="s">
        <v>56</v>
      </c>
      <c r="X2351" t="s">
        <v>132</v>
      </c>
      <c r="Y2351" t="s">
        <v>133</v>
      </c>
      <c r="Z2351" t="s">
        <v>65</v>
      </c>
    </row>
    <row r="2352" spans="1:26" x14ac:dyDescent="0.3">
      <c r="A2352">
        <v>10390</v>
      </c>
      <c r="B2352">
        <v>45</v>
      </c>
      <c r="C2352">
        <v>48.98</v>
      </c>
      <c r="D2352">
        <v>12</v>
      </c>
      <c r="E2352">
        <v>2204.1</v>
      </c>
      <c r="F2352" s="1">
        <v>38415</v>
      </c>
      <c r="G2352" t="s">
        <v>39</v>
      </c>
      <c r="H2352">
        <v>1</v>
      </c>
      <c r="I2352">
        <v>3</v>
      </c>
      <c r="J2352" t="str">
        <f>TEXT(DATE(2012,Table1[[#This Row],[MONTH_ID]],10),"mmm")</f>
        <v>Mar</v>
      </c>
      <c r="K2352">
        <v>2005</v>
      </c>
      <c r="L2352" t="s">
        <v>40</v>
      </c>
      <c r="M2352">
        <v>102</v>
      </c>
      <c r="N2352" t="s">
        <v>670</v>
      </c>
      <c r="O2352" t="s">
        <v>286</v>
      </c>
      <c r="P2352">
        <v>4155551450</v>
      </c>
      <c r="Q2352" t="s">
        <v>287</v>
      </c>
      <c r="S2352" t="s">
        <v>288</v>
      </c>
      <c r="T2352" t="s">
        <v>69</v>
      </c>
      <c r="U2352">
        <v>97562</v>
      </c>
      <c r="V2352" t="s">
        <v>46</v>
      </c>
      <c r="W2352" t="s">
        <v>47</v>
      </c>
      <c r="X2352" t="s">
        <v>289</v>
      </c>
      <c r="Y2352" t="s">
        <v>290</v>
      </c>
      <c r="Z2352" t="s">
        <v>50</v>
      </c>
    </row>
    <row r="2353" spans="1:26" x14ac:dyDescent="0.3">
      <c r="A2353">
        <v>10403</v>
      </c>
      <c r="B2353">
        <v>45</v>
      </c>
      <c r="C2353">
        <v>100</v>
      </c>
      <c r="D2353">
        <v>5</v>
      </c>
      <c r="E2353">
        <v>5189.3999999999996</v>
      </c>
      <c r="F2353" s="1">
        <v>38450</v>
      </c>
      <c r="G2353" t="s">
        <v>39</v>
      </c>
      <c r="H2353">
        <v>2</v>
      </c>
      <c r="I2353">
        <v>4</v>
      </c>
      <c r="J2353" t="str">
        <f>TEXT(DATE(2012,Table1[[#This Row],[MONTH_ID]],10),"mmm")</f>
        <v>Apr</v>
      </c>
      <c r="K2353">
        <v>2005</v>
      </c>
      <c r="L2353" t="s">
        <v>40</v>
      </c>
      <c r="M2353">
        <v>102</v>
      </c>
      <c r="N2353" t="s">
        <v>670</v>
      </c>
      <c r="O2353" t="s">
        <v>179</v>
      </c>
      <c r="P2353" t="s">
        <v>180</v>
      </c>
      <c r="Q2353" t="s">
        <v>181</v>
      </c>
      <c r="S2353" t="s">
        <v>182</v>
      </c>
      <c r="U2353" t="s">
        <v>183</v>
      </c>
      <c r="V2353" t="s">
        <v>184</v>
      </c>
      <c r="W2353" t="s">
        <v>56</v>
      </c>
      <c r="X2353" t="s">
        <v>185</v>
      </c>
      <c r="Y2353" t="s">
        <v>186</v>
      </c>
      <c r="Z2353" t="s">
        <v>65</v>
      </c>
    </row>
    <row r="2354" spans="1:26" x14ac:dyDescent="0.3">
      <c r="A2354">
        <v>10106</v>
      </c>
      <c r="B2354">
        <v>39</v>
      </c>
      <c r="C2354">
        <v>40.15</v>
      </c>
      <c r="D2354">
        <v>6</v>
      </c>
      <c r="E2354">
        <v>1565.85</v>
      </c>
      <c r="F2354" s="1">
        <v>37669</v>
      </c>
      <c r="G2354" t="s">
        <v>39</v>
      </c>
      <c r="H2354">
        <v>1</v>
      </c>
      <c r="I2354">
        <v>2</v>
      </c>
      <c r="J2354" t="str">
        <f>TEXT(DATE(2012,Table1[[#This Row],[MONTH_ID]],10),"mmm")</f>
        <v>Feb</v>
      </c>
      <c r="K2354">
        <v>2003</v>
      </c>
      <c r="L2354" t="s">
        <v>564</v>
      </c>
      <c r="M2354">
        <v>43</v>
      </c>
      <c r="N2354" t="s">
        <v>671</v>
      </c>
      <c r="O2354" t="s">
        <v>566</v>
      </c>
      <c r="P2354" t="s">
        <v>567</v>
      </c>
      <c r="Q2354" t="s">
        <v>568</v>
      </c>
      <c r="S2354" t="s">
        <v>569</v>
      </c>
      <c r="U2354">
        <v>24100</v>
      </c>
      <c r="V2354" t="s">
        <v>272</v>
      </c>
      <c r="W2354" t="s">
        <v>56</v>
      </c>
      <c r="X2354" t="s">
        <v>570</v>
      </c>
      <c r="Y2354" t="s">
        <v>571</v>
      </c>
      <c r="Z2354" t="s">
        <v>50</v>
      </c>
    </row>
    <row r="2355" spans="1:26" x14ac:dyDescent="0.3">
      <c r="A2355">
        <v>10120</v>
      </c>
      <c r="B2355">
        <v>49</v>
      </c>
      <c r="C2355">
        <v>50.62</v>
      </c>
      <c r="D2355">
        <v>12</v>
      </c>
      <c r="E2355">
        <v>2480.38</v>
      </c>
      <c r="F2355" s="1">
        <v>37740</v>
      </c>
      <c r="G2355" t="s">
        <v>39</v>
      </c>
      <c r="H2355">
        <v>2</v>
      </c>
      <c r="I2355">
        <v>4</v>
      </c>
      <c r="J2355" t="str">
        <f>TEXT(DATE(2012,Table1[[#This Row],[MONTH_ID]],10),"mmm")</f>
        <v>Apr</v>
      </c>
      <c r="K2355">
        <v>2003</v>
      </c>
      <c r="L2355" t="s">
        <v>564</v>
      </c>
      <c r="M2355">
        <v>43</v>
      </c>
      <c r="N2355" t="s">
        <v>671</v>
      </c>
      <c r="O2355" t="s">
        <v>103</v>
      </c>
      <c r="P2355" t="s">
        <v>104</v>
      </c>
      <c r="Q2355" t="s">
        <v>105</v>
      </c>
      <c r="R2355" t="s">
        <v>106</v>
      </c>
      <c r="S2355" t="s">
        <v>107</v>
      </c>
      <c r="T2355" t="s">
        <v>108</v>
      </c>
      <c r="U2355">
        <v>3004</v>
      </c>
      <c r="V2355" t="s">
        <v>109</v>
      </c>
      <c r="W2355" t="s">
        <v>110</v>
      </c>
      <c r="X2355" t="s">
        <v>111</v>
      </c>
      <c r="Y2355" t="s">
        <v>112</v>
      </c>
      <c r="Z2355" t="s">
        <v>50</v>
      </c>
    </row>
    <row r="2356" spans="1:26" x14ac:dyDescent="0.3">
      <c r="A2356">
        <v>10133</v>
      </c>
      <c r="B2356">
        <v>27</v>
      </c>
      <c r="C2356">
        <v>50.19</v>
      </c>
      <c r="D2356">
        <v>7</v>
      </c>
      <c r="E2356">
        <v>1355.13</v>
      </c>
      <c r="F2356" s="1">
        <v>37799</v>
      </c>
      <c r="G2356" t="s">
        <v>39</v>
      </c>
      <c r="H2356">
        <v>2</v>
      </c>
      <c r="I2356">
        <v>6</v>
      </c>
      <c r="J2356" t="str">
        <f>TEXT(DATE(2012,Table1[[#This Row],[MONTH_ID]],10),"mmm")</f>
        <v>Jun</v>
      </c>
      <c r="K2356">
        <v>2003</v>
      </c>
      <c r="L2356" t="s">
        <v>564</v>
      </c>
      <c r="M2356">
        <v>43</v>
      </c>
      <c r="N2356" t="s">
        <v>671</v>
      </c>
      <c r="O2356" t="s">
        <v>188</v>
      </c>
      <c r="P2356" t="s">
        <v>189</v>
      </c>
      <c r="Q2356" t="s">
        <v>190</v>
      </c>
      <c r="S2356" t="s">
        <v>191</v>
      </c>
      <c r="U2356">
        <v>28034</v>
      </c>
      <c r="V2356" t="s">
        <v>192</v>
      </c>
      <c r="W2356" t="s">
        <v>56</v>
      </c>
      <c r="X2356" t="s">
        <v>193</v>
      </c>
      <c r="Y2356" t="s">
        <v>194</v>
      </c>
      <c r="Z2356" t="s">
        <v>50</v>
      </c>
    </row>
    <row r="2357" spans="1:26" x14ac:dyDescent="0.3">
      <c r="A2357">
        <v>10143</v>
      </c>
      <c r="B2357">
        <v>34</v>
      </c>
      <c r="C2357">
        <v>36.659999999999997</v>
      </c>
      <c r="D2357">
        <v>1</v>
      </c>
      <c r="E2357">
        <v>1246.44</v>
      </c>
      <c r="F2357" s="1">
        <v>37843</v>
      </c>
      <c r="G2357" t="s">
        <v>39</v>
      </c>
      <c r="H2357">
        <v>3</v>
      </c>
      <c r="I2357">
        <v>8</v>
      </c>
      <c r="J2357" t="str">
        <f>TEXT(DATE(2012,Table1[[#This Row],[MONTH_ID]],10),"mmm")</f>
        <v>Aug</v>
      </c>
      <c r="K2357">
        <v>2003</v>
      </c>
      <c r="L2357" t="s">
        <v>564</v>
      </c>
      <c r="M2357">
        <v>43</v>
      </c>
      <c r="N2357" t="s">
        <v>671</v>
      </c>
      <c r="O2357" t="s">
        <v>349</v>
      </c>
      <c r="P2357">
        <v>5085559555</v>
      </c>
      <c r="Q2357" t="s">
        <v>350</v>
      </c>
      <c r="S2357" t="s">
        <v>176</v>
      </c>
      <c r="T2357" t="s">
        <v>137</v>
      </c>
      <c r="U2357">
        <v>50553</v>
      </c>
      <c r="V2357" t="s">
        <v>46</v>
      </c>
      <c r="W2357" t="s">
        <v>47</v>
      </c>
      <c r="X2357" t="s">
        <v>351</v>
      </c>
      <c r="Y2357" t="s">
        <v>352</v>
      </c>
      <c r="Z2357" t="s">
        <v>50</v>
      </c>
    </row>
    <row r="2358" spans="1:26" x14ac:dyDescent="0.3">
      <c r="A2358">
        <v>10156</v>
      </c>
      <c r="B2358">
        <v>20</v>
      </c>
      <c r="C2358">
        <v>41.02</v>
      </c>
      <c r="D2358">
        <v>1</v>
      </c>
      <c r="E2358">
        <v>820.4</v>
      </c>
      <c r="F2358" s="1">
        <v>37902</v>
      </c>
      <c r="G2358" t="s">
        <v>39</v>
      </c>
      <c r="H2358">
        <v>4</v>
      </c>
      <c r="I2358">
        <v>10</v>
      </c>
      <c r="J2358" t="str">
        <f>TEXT(DATE(2012,Table1[[#This Row],[MONTH_ID]],10),"mmm")</f>
        <v>Oct</v>
      </c>
      <c r="K2358">
        <v>2003</v>
      </c>
      <c r="L2358" t="s">
        <v>564</v>
      </c>
      <c r="M2358">
        <v>43</v>
      </c>
      <c r="N2358" t="s">
        <v>671</v>
      </c>
      <c r="O2358" t="s">
        <v>188</v>
      </c>
      <c r="P2358" t="s">
        <v>189</v>
      </c>
      <c r="Q2358" t="s">
        <v>190</v>
      </c>
      <c r="S2358" t="s">
        <v>191</v>
      </c>
      <c r="U2358">
        <v>28034</v>
      </c>
      <c r="V2358" t="s">
        <v>192</v>
      </c>
      <c r="W2358" t="s">
        <v>56</v>
      </c>
      <c r="X2358" t="s">
        <v>193</v>
      </c>
      <c r="Y2358" t="s">
        <v>194</v>
      </c>
      <c r="Z2358" t="s">
        <v>50</v>
      </c>
    </row>
    <row r="2359" spans="1:26" x14ac:dyDescent="0.3">
      <c r="A2359">
        <v>10168</v>
      </c>
      <c r="B2359">
        <v>48</v>
      </c>
      <c r="C2359">
        <v>51.93</v>
      </c>
      <c r="D2359">
        <v>13</v>
      </c>
      <c r="E2359">
        <v>2492.64</v>
      </c>
      <c r="F2359" s="1">
        <v>37922</v>
      </c>
      <c r="G2359" t="s">
        <v>39</v>
      </c>
      <c r="H2359">
        <v>4</v>
      </c>
      <c r="I2359">
        <v>10</v>
      </c>
      <c r="J2359" t="str">
        <f>TEXT(DATE(2012,Table1[[#This Row],[MONTH_ID]],10),"mmm")</f>
        <v>Oct</v>
      </c>
      <c r="K2359">
        <v>2003</v>
      </c>
      <c r="L2359" t="s">
        <v>564</v>
      </c>
      <c r="M2359">
        <v>43</v>
      </c>
      <c r="N2359" t="s">
        <v>671</v>
      </c>
      <c r="O2359" t="s">
        <v>76</v>
      </c>
      <c r="P2359">
        <v>6505556809</v>
      </c>
      <c r="Q2359" t="s">
        <v>77</v>
      </c>
      <c r="S2359" t="s">
        <v>78</v>
      </c>
      <c r="T2359" t="s">
        <v>69</v>
      </c>
      <c r="U2359">
        <v>94217</v>
      </c>
      <c r="V2359" t="s">
        <v>46</v>
      </c>
      <c r="W2359" t="s">
        <v>47</v>
      </c>
      <c r="X2359" t="s">
        <v>79</v>
      </c>
      <c r="Y2359" t="s">
        <v>80</v>
      </c>
      <c r="Z2359" t="s">
        <v>50</v>
      </c>
    </row>
    <row r="2360" spans="1:26" x14ac:dyDescent="0.3">
      <c r="A2360">
        <v>10199</v>
      </c>
      <c r="B2360">
        <v>29</v>
      </c>
      <c r="C2360">
        <v>38.4</v>
      </c>
      <c r="D2360">
        <v>1</v>
      </c>
      <c r="E2360">
        <v>1113.5999999999999</v>
      </c>
      <c r="F2360" s="1">
        <v>37956</v>
      </c>
      <c r="G2360" t="s">
        <v>39</v>
      </c>
      <c r="H2360">
        <v>4</v>
      </c>
      <c r="I2360">
        <v>12</v>
      </c>
      <c r="J2360" t="str">
        <f>TEXT(DATE(2012,Table1[[#This Row],[MONTH_ID]],10),"mmm")</f>
        <v>Dec</v>
      </c>
      <c r="K2360">
        <v>2003</v>
      </c>
      <c r="L2360" t="s">
        <v>564</v>
      </c>
      <c r="M2360">
        <v>43</v>
      </c>
      <c r="N2360" t="s">
        <v>671</v>
      </c>
      <c r="O2360" t="s">
        <v>248</v>
      </c>
      <c r="P2360">
        <v>3105553722</v>
      </c>
      <c r="Q2360" t="s">
        <v>249</v>
      </c>
      <c r="S2360" t="s">
        <v>250</v>
      </c>
      <c r="T2360" t="s">
        <v>69</v>
      </c>
      <c r="U2360">
        <v>94019</v>
      </c>
      <c r="V2360" t="s">
        <v>46</v>
      </c>
      <c r="W2360" t="s">
        <v>47</v>
      </c>
      <c r="X2360" t="s">
        <v>251</v>
      </c>
      <c r="Y2360" t="s">
        <v>252</v>
      </c>
      <c r="Z2360" t="s">
        <v>50</v>
      </c>
    </row>
    <row r="2361" spans="1:26" x14ac:dyDescent="0.3">
      <c r="A2361">
        <v>10210</v>
      </c>
      <c r="B2361">
        <v>43</v>
      </c>
      <c r="C2361">
        <v>41.02</v>
      </c>
      <c r="D2361">
        <v>11</v>
      </c>
      <c r="E2361">
        <v>1763.86</v>
      </c>
      <c r="F2361" s="1">
        <v>37998</v>
      </c>
      <c r="G2361" t="s">
        <v>39</v>
      </c>
      <c r="H2361">
        <v>1</v>
      </c>
      <c r="I2361">
        <v>1</v>
      </c>
      <c r="J2361" t="str">
        <f>TEXT(DATE(2012,Table1[[#This Row],[MONTH_ID]],10),"mmm")</f>
        <v>Jan</v>
      </c>
      <c r="K2361">
        <v>2004</v>
      </c>
      <c r="L2361" t="s">
        <v>564</v>
      </c>
      <c r="M2361">
        <v>43</v>
      </c>
      <c r="N2361" t="s">
        <v>671</v>
      </c>
      <c r="O2361" t="s">
        <v>316</v>
      </c>
      <c r="P2361" t="s">
        <v>317</v>
      </c>
      <c r="Q2361" t="s">
        <v>318</v>
      </c>
      <c r="S2361" t="s">
        <v>319</v>
      </c>
      <c r="T2361" t="s">
        <v>319</v>
      </c>
      <c r="U2361" t="s">
        <v>320</v>
      </c>
      <c r="V2361" t="s">
        <v>214</v>
      </c>
      <c r="W2361" t="s">
        <v>214</v>
      </c>
      <c r="X2361" t="s">
        <v>321</v>
      </c>
      <c r="Y2361" t="s">
        <v>322</v>
      </c>
      <c r="Z2361" t="s">
        <v>50</v>
      </c>
    </row>
    <row r="2362" spans="1:26" x14ac:dyDescent="0.3">
      <c r="A2362">
        <v>10223</v>
      </c>
      <c r="B2362">
        <v>41</v>
      </c>
      <c r="C2362">
        <v>46.26</v>
      </c>
      <c r="D2362">
        <v>13</v>
      </c>
      <c r="E2362">
        <v>1896.66</v>
      </c>
      <c r="F2362" s="1">
        <v>38037</v>
      </c>
      <c r="G2362" t="s">
        <v>39</v>
      </c>
      <c r="H2362">
        <v>1</v>
      </c>
      <c r="I2362">
        <v>2</v>
      </c>
      <c r="J2362" t="str">
        <f>TEXT(DATE(2012,Table1[[#This Row],[MONTH_ID]],10),"mmm")</f>
        <v>Feb</v>
      </c>
      <c r="K2362">
        <v>2004</v>
      </c>
      <c r="L2362" t="s">
        <v>564</v>
      </c>
      <c r="M2362">
        <v>43</v>
      </c>
      <c r="N2362" t="s">
        <v>671</v>
      </c>
      <c r="O2362" t="s">
        <v>103</v>
      </c>
      <c r="P2362" t="s">
        <v>104</v>
      </c>
      <c r="Q2362" t="s">
        <v>105</v>
      </c>
      <c r="R2362" t="s">
        <v>106</v>
      </c>
      <c r="S2362" t="s">
        <v>107</v>
      </c>
      <c r="T2362" t="s">
        <v>108</v>
      </c>
      <c r="U2362">
        <v>3004</v>
      </c>
      <c r="V2362" t="s">
        <v>109</v>
      </c>
      <c r="W2362" t="s">
        <v>110</v>
      </c>
      <c r="X2362" t="s">
        <v>111</v>
      </c>
      <c r="Y2362" t="s">
        <v>112</v>
      </c>
      <c r="Z2362" t="s">
        <v>50</v>
      </c>
    </row>
    <row r="2363" spans="1:26" x14ac:dyDescent="0.3">
      <c r="A2363">
        <v>10235</v>
      </c>
      <c r="B2363">
        <v>41</v>
      </c>
      <c r="C2363">
        <v>35.35</v>
      </c>
      <c r="D2363">
        <v>7</v>
      </c>
      <c r="E2363">
        <v>1449.35</v>
      </c>
      <c r="F2363" s="1">
        <v>38079</v>
      </c>
      <c r="G2363" t="s">
        <v>39</v>
      </c>
      <c r="H2363">
        <v>2</v>
      </c>
      <c r="I2363">
        <v>4</v>
      </c>
      <c r="J2363" t="str">
        <f>TEXT(DATE(2012,Table1[[#This Row],[MONTH_ID]],10),"mmm")</f>
        <v>Apr</v>
      </c>
      <c r="K2363">
        <v>2004</v>
      </c>
      <c r="L2363" t="s">
        <v>564</v>
      </c>
      <c r="M2363">
        <v>43</v>
      </c>
      <c r="N2363" t="s">
        <v>671</v>
      </c>
      <c r="O2363" t="s">
        <v>387</v>
      </c>
      <c r="P2363" t="s">
        <v>388</v>
      </c>
      <c r="Q2363" t="s">
        <v>389</v>
      </c>
      <c r="S2363" t="s">
        <v>390</v>
      </c>
      <c r="T2363" t="s">
        <v>243</v>
      </c>
      <c r="U2363" t="s">
        <v>391</v>
      </c>
      <c r="V2363" t="s">
        <v>245</v>
      </c>
      <c r="W2363" t="s">
        <v>47</v>
      </c>
      <c r="X2363" t="s">
        <v>392</v>
      </c>
      <c r="Y2363" t="s">
        <v>186</v>
      </c>
      <c r="Z2363" t="s">
        <v>50</v>
      </c>
    </row>
    <row r="2364" spans="1:26" x14ac:dyDescent="0.3">
      <c r="A2364">
        <v>10250</v>
      </c>
      <c r="B2364">
        <v>36</v>
      </c>
      <c r="C2364">
        <v>51.93</v>
      </c>
      <c r="D2364">
        <v>8</v>
      </c>
      <c r="E2364">
        <v>1869.48</v>
      </c>
      <c r="F2364" s="1">
        <v>38118</v>
      </c>
      <c r="G2364" t="s">
        <v>39</v>
      </c>
      <c r="H2364">
        <v>2</v>
      </c>
      <c r="I2364">
        <v>5</v>
      </c>
      <c r="J2364" t="str">
        <f>TEXT(DATE(2012,Table1[[#This Row],[MONTH_ID]],10),"mmm")</f>
        <v>May</v>
      </c>
      <c r="K2364">
        <v>2004</v>
      </c>
      <c r="L2364" t="s">
        <v>564</v>
      </c>
      <c r="M2364">
        <v>43</v>
      </c>
      <c r="N2364" t="s">
        <v>671</v>
      </c>
      <c r="O2364" t="s">
        <v>411</v>
      </c>
      <c r="P2364">
        <v>4085553659</v>
      </c>
      <c r="Q2364" t="s">
        <v>412</v>
      </c>
      <c r="S2364" t="s">
        <v>413</v>
      </c>
      <c r="T2364" t="s">
        <v>69</v>
      </c>
      <c r="U2364">
        <v>94217</v>
      </c>
      <c r="V2364" t="s">
        <v>46</v>
      </c>
      <c r="W2364" t="s">
        <v>47</v>
      </c>
      <c r="X2364" t="s">
        <v>116</v>
      </c>
      <c r="Y2364" t="s">
        <v>414</v>
      </c>
      <c r="Z2364" t="s">
        <v>50</v>
      </c>
    </row>
    <row r="2365" spans="1:26" x14ac:dyDescent="0.3">
      <c r="A2365">
        <v>10262</v>
      </c>
      <c r="B2365">
        <v>49</v>
      </c>
      <c r="C2365">
        <v>37.97</v>
      </c>
      <c r="D2365">
        <v>3</v>
      </c>
      <c r="E2365">
        <v>1860.53</v>
      </c>
      <c r="F2365" s="1">
        <v>38162</v>
      </c>
      <c r="G2365" t="s">
        <v>353</v>
      </c>
      <c r="H2365">
        <v>2</v>
      </c>
      <c r="I2365">
        <v>6</v>
      </c>
      <c r="J2365" t="str">
        <f>TEXT(DATE(2012,Table1[[#This Row],[MONTH_ID]],10),"mmm")</f>
        <v>Jun</v>
      </c>
      <c r="K2365">
        <v>2004</v>
      </c>
      <c r="L2365" t="s">
        <v>564</v>
      </c>
      <c r="M2365">
        <v>43</v>
      </c>
      <c r="N2365" t="s">
        <v>671</v>
      </c>
      <c r="O2365" t="s">
        <v>188</v>
      </c>
      <c r="P2365" t="s">
        <v>189</v>
      </c>
      <c r="Q2365" t="s">
        <v>190</v>
      </c>
      <c r="S2365" t="s">
        <v>191</v>
      </c>
      <c r="U2365">
        <v>28034</v>
      </c>
      <c r="V2365" t="s">
        <v>192</v>
      </c>
      <c r="W2365" t="s">
        <v>56</v>
      </c>
      <c r="X2365" t="s">
        <v>193</v>
      </c>
      <c r="Y2365" t="s">
        <v>194</v>
      </c>
      <c r="Z2365" t="s">
        <v>50</v>
      </c>
    </row>
    <row r="2366" spans="1:26" x14ac:dyDescent="0.3">
      <c r="A2366">
        <v>10275</v>
      </c>
      <c r="B2366">
        <v>38</v>
      </c>
      <c r="C2366">
        <v>45.39</v>
      </c>
      <c r="D2366">
        <v>13</v>
      </c>
      <c r="E2366">
        <v>1724.82</v>
      </c>
      <c r="F2366" s="1">
        <v>38191</v>
      </c>
      <c r="G2366" t="s">
        <v>39</v>
      </c>
      <c r="H2366">
        <v>3</v>
      </c>
      <c r="I2366">
        <v>7</v>
      </c>
      <c r="J2366" t="str">
        <f>TEXT(DATE(2012,Table1[[#This Row],[MONTH_ID]],10),"mmm")</f>
        <v>Jul</v>
      </c>
      <c r="K2366">
        <v>2004</v>
      </c>
      <c r="L2366" t="s">
        <v>564</v>
      </c>
      <c r="M2366">
        <v>43</v>
      </c>
      <c r="N2366" t="s">
        <v>671</v>
      </c>
      <c r="O2366" t="s">
        <v>128</v>
      </c>
      <c r="P2366" t="s">
        <v>129</v>
      </c>
      <c r="Q2366" t="s">
        <v>130</v>
      </c>
      <c r="S2366" t="s">
        <v>131</v>
      </c>
      <c r="U2366">
        <v>44000</v>
      </c>
      <c r="V2366" t="s">
        <v>55</v>
      </c>
      <c r="W2366" t="s">
        <v>56</v>
      </c>
      <c r="X2366" t="s">
        <v>132</v>
      </c>
      <c r="Y2366" t="s">
        <v>133</v>
      </c>
      <c r="Z2366" t="s">
        <v>50</v>
      </c>
    </row>
    <row r="2367" spans="1:26" x14ac:dyDescent="0.3">
      <c r="A2367">
        <v>10284</v>
      </c>
      <c r="B2367">
        <v>33</v>
      </c>
      <c r="C2367">
        <v>51.93</v>
      </c>
      <c r="D2367">
        <v>5</v>
      </c>
      <c r="E2367">
        <v>1713.69</v>
      </c>
      <c r="F2367" s="1">
        <v>38220</v>
      </c>
      <c r="G2367" t="s">
        <v>39</v>
      </c>
      <c r="H2367">
        <v>3</v>
      </c>
      <c r="I2367">
        <v>8</v>
      </c>
      <c r="J2367" t="str">
        <f>TEXT(DATE(2012,Table1[[#This Row],[MONTH_ID]],10),"mmm")</f>
        <v>Aug</v>
      </c>
      <c r="K2367">
        <v>2004</v>
      </c>
      <c r="L2367" t="s">
        <v>564</v>
      </c>
      <c r="M2367">
        <v>43</v>
      </c>
      <c r="N2367" t="s">
        <v>671</v>
      </c>
      <c r="O2367" t="s">
        <v>557</v>
      </c>
      <c r="P2367" t="s">
        <v>558</v>
      </c>
      <c r="Q2367" t="s">
        <v>559</v>
      </c>
      <c r="S2367" t="s">
        <v>560</v>
      </c>
      <c r="U2367" t="s">
        <v>561</v>
      </c>
      <c r="V2367" t="s">
        <v>92</v>
      </c>
      <c r="W2367" t="s">
        <v>56</v>
      </c>
      <c r="X2367" t="s">
        <v>562</v>
      </c>
      <c r="Y2367" t="s">
        <v>563</v>
      </c>
      <c r="Z2367" t="s">
        <v>50</v>
      </c>
    </row>
    <row r="2368" spans="1:26" x14ac:dyDescent="0.3">
      <c r="A2368">
        <v>10296</v>
      </c>
      <c r="B2368">
        <v>26</v>
      </c>
      <c r="C2368">
        <v>48.44</v>
      </c>
      <c r="D2368">
        <v>1</v>
      </c>
      <c r="E2368">
        <v>1259.44</v>
      </c>
      <c r="F2368" s="1">
        <v>38245</v>
      </c>
      <c r="G2368" t="s">
        <v>39</v>
      </c>
      <c r="H2368">
        <v>3</v>
      </c>
      <c r="I2368">
        <v>9</v>
      </c>
      <c r="J2368" t="str">
        <f>TEXT(DATE(2012,Table1[[#This Row],[MONTH_ID]],10),"mmm")</f>
        <v>Sep</v>
      </c>
      <c r="K2368">
        <v>2004</v>
      </c>
      <c r="L2368" t="s">
        <v>564</v>
      </c>
      <c r="M2368">
        <v>43</v>
      </c>
      <c r="N2368" t="s">
        <v>671</v>
      </c>
      <c r="O2368" t="s">
        <v>586</v>
      </c>
      <c r="P2368" t="s">
        <v>587</v>
      </c>
      <c r="Q2368" t="s">
        <v>588</v>
      </c>
      <c r="S2368" t="s">
        <v>589</v>
      </c>
      <c r="U2368">
        <v>80686</v>
      </c>
      <c r="V2368" t="s">
        <v>457</v>
      </c>
      <c r="W2368" t="s">
        <v>56</v>
      </c>
      <c r="X2368" t="s">
        <v>590</v>
      </c>
      <c r="Y2368" t="s">
        <v>117</v>
      </c>
      <c r="Z2368" t="s">
        <v>50</v>
      </c>
    </row>
    <row r="2369" spans="1:26" x14ac:dyDescent="0.3">
      <c r="A2369">
        <v>10308</v>
      </c>
      <c r="B2369">
        <v>47</v>
      </c>
      <c r="C2369">
        <v>43.64</v>
      </c>
      <c r="D2369">
        <v>11</v>
      </c>
      <c r="E2369">
        <v>2051.08</v>
      </c>
      <c r="F2369" s="1">
        <v>38275</v>
      </c>
      <c r="G2369" t="s">
        <v>39</v>
      </c>
      <c r="H2369">
        <v>4</v>
      </c>
      <c r="I2369">
        <v>10</v>
      </c>
      <c r="J2369" t="str">
        <f>TEXT(DATE(2012,Table1[[#This Row],[MONTH_ID]],10),"mmm")</f>
        <v>Oct</v>
      </c>
      <c r="K2369">
        <v>2004</v>
      </c>
      <c r="L2369" t="s">
        <v>564</v>
      </c>
      <c r="M2369">
        <v>43</v>
      </c>
      <c r="N2369" t="s">
        <v>671</v>
      </c>
      <c r="O2369" t="s">
        <v>331</v>
      </c>
      <c r="P2369">
        <v>9145554562</v>
      </c>
      <c r="Q2369" t="s">
        <v>332</v>
      </c>
      <c r="S2369" t="s">
        <v>333</v>
      </c>
      <c r="T2369" t="s">
        <v>45</v>
      </c>
      <c r="U2369">
        <v>24067</v>
      </c>
      <c r="V2369" t="s">
        <v>46</v>
      </c>
      <c r="W2369" t="s">
        <v>47</v>
      </c>
      <c r="X2369" t="s">
        <v>116</v>
      </c>
      <c r="Y2369" t="s">
        <v>252</v>
      </c>
      <c r="Z2369" t="s">
        <v>50</v>
      </c>
    </row>
    <row r="2370" spans="1:26" x14ac:dyDescent="0.3">
      <c r="A2370">
        <v>10316</v>
      </c>
      <c r="B2370">
        <v>34</v>
      </c>
      <c r="C2370">
        <v>47.57</v>
      </c>
      <c r="D2370">
        <v>3</v>
      </c>
      <c r="E2370">
        <v>1617.38</v>
      </c>
      <c r="F2370" s="1">
        <v>38292</v>
      </c>
      <c r="G2370" t="s">
        <v>39</v>
      </c>
      <c r="H2370">
        <v>4</v>
      </c>
      <c r="I2370">
        <v>11</v>
      </c>
      <c r="J2370" t="str">
        <f>TEXT(DATE(2012,Table1[[#This Row],[MONTH_ID]],10),"mmm")</f>
        <v>Nov</v>
      </c>
      <c r="K2370">
        <v>2004</v>
      </c>
      <c r="L2370" t="s">
        <v>564</v>
      </c>
      <c r="M2370">
        <v>43</v>
      </c>
      <c r="N2370" t="s">
        <v>671</v>
      </c>
      <c r="O2370" t="s">
        <v>397</v>
      </c>
      <c r="P2370" t="s">
        <v>398</v>
      </c>
      <c r="Q2370" t="s">
        <v>399</v>
      </c>
      <c r="S2370" t="s">
        <v>400</v>
      </c>
      <c r="T2370" t="s">
        <v>401</v>
      </c>
      <c r="U2370" t="s">
        <v>402</v>
      </c>
      <c r="V2370" t="s">
        <v>184</v>
      </c>
      <c r="W2370" t="s">
        <v>56</v>
      </c>
      <c r="X2370" t="s">
        <v>403</v>
      </c>
      <c r="Y2370" t="s">
        <v>404</v>
      </c>
      <c r="Z2370" t="s">
        <v>50</v>
      </c>
    </row>
    <row r="2371" spans="1:26" x14ac:dyDescent="0.3">
      <c r="A2371">
        <v>10328</v>
      </c>
      <c r="B2371">
        <v>34</v>
      </c>
      <c r="C2371">
        <v>51.93</v>
      </c>
      <c r="D2371">
        <v>7</v>
      </c>
      <c r="E2371">
        <v>1765.62</v>
      </c>
      <c r="F2371" s="1">
        <v>38303</v>
      </c>
      <c r="G2371" t="s">
        <v>39</v>
      </c>
      <c r="H2371">
        <v>4</v>
      </c>
      <c r="I2371">
        <v>11</v>
      </c>
      <c r="J2371" t="str">
        <f>TEXT(DATE(2012,Table1[[#This Row],[MONTH_ID]],10),"mmm")</f>
        <v>Nov</v>
      </c>
      <c r="K2371">
        <v>2004</v>
      </c>
      <c r="L2371" t="s">
        <v>564</v>
      </c>
      <c r="M2371">
        <v>43</v>
      </c>
      <c r="N2371" t="s">
        <v>671</v>
      </c>
      <c r="O2371" t="s">
        <v>566</v>
      </c>
      <c r="P2371" t="s">
        <v>567</v>
      </c>
      <c r="Q2371" t="s">
        <v>568</v>
      </c>
      <c r="S2371" t="s">
        <v>569</v>
      </c>
      <c r="U2371">
        <v>24100</v>
      </c>
      <c r="V2371" t="s">
        <v>272</v>
      </c>
      <c r="W2371" t="s">
        <v>56</v>
      </c>
      <c r="X2371" t="s">
        <v>570</v>
      </c>
      <c r="Y2371" t="s">
        <v>571</v>
      </c>
      <c r="Z2371" t="s">
        <v>50</v>
      </c>
    </row>
    <row r="2372" spans="1:26" x14ac:dyDescent="0.3">
      <c r="A2372">
        <v>10340</v>
      </c>
      <c r="B2372">
        <v>40</v>
      </c>
      <c r="C2372">
        <v>50.62</v>
      </c>
      <c r="D2372">
        <v>4</v>
      </c>
      <c r="E2372">
        <v>2024.8</v>
      </c>
      <c r="F2372" s="1">
        <v>38315</v>
      </c>
      <c r="G2372" t="s">
        <v>39</v>
      </c>
      <c r="H2372">
        <v>4</v>
      </c>
      <c r="I2372">
        <v>11</v>
      </c>
      <c r="J2372" t="str">
        <f>TEXT(DATE(2012,Table1[[#This Row],[MONTH_ID]],10),"mmm")</f>
        <v>Nov</v>
      </c>
      <c r="K2372">
        <v>2004</v>
      </c>
      <c r="L2372" t="s">
        <v>564</v>
      </c>
      <c r="M2372">
        <v>43</v>
      </c>
      <c r="N2372" t="s">
        <v>671</v>
      </c>
      <c r="O2372" t="s">
        <v>366</v>
      </c>
      <c r="P2372" t="s">
        <v>367</v>
      </c>
      <c r="Q2372" t="s">
        <v>368</v>
      </c>
      <c r="S2372" t="s">
        <v>369</v>
      </c>
      <c r="U2372">
        <v>8022</v>
      </c>
      <c r="V2372" t="s">
        <v>192</v>
      </c>
      <c r="W2372" t="s">
        <v>56</v>
      </c>
      <c r="X2372" t="s">
        <v>370</v>
      </c>
      <c r="Y2372" t="s">
        <v>371</v>
      </c>
      <c r="Z2372" t="s">
        <v>50</v>
      </c>
    </row>
    <row r="2373" spans="1:26" x14ac:dyDescent="0.3">
      <c r="A2373">
        <v>10353</v>
      </c>
      <c r="B2373">
        <v>40</v>
      </c>
      <c r="C2373">
        <v>82.21</v>
      </c>
      <c r="D2373">
        <v>8</v>
      </c>
      <c r="E2373">
        <v>3288.4</v>
      </c>
      <c r="F2373" s="1">
        <v>38325</v>
      </c>
      <c r="G2373" t="s">
        <v>39</v>
      </c>
      <c r="H2373">
        <v>4</v>
      </c>
      <c r="I2373">
        <v>12</v>
      </c>
      <c r="J2373" t="str">
        <f>TEXT(DATE(2012,Table1[[#This Row],[MONTH_ID]],10),"mmm")</f>
        <v>Dec</v>
      </c>
      <c r="K2373">
        <v>2004</v>
      </c>
      <c r="L2373" t="s">
        <v>564</v>
      </c>
      <c r="M2373">
        <v>43</v>
      </c>
      <c r="N2373" t="s">
        <v>671</v>
      </c>
      <c r="O2373" t="s">
        <v>582</v>
      </c>
      <c r="P2373">
        <v>2035554407</v>
      </c>
      <c r="Q2373" t="s">
        <v>583</v>
      </c>
      <c r="S2373" t="s">
        <v>530</v>
      </c>
      <c r="T2373" t="s">
        <v>126</v>
      </c>
      <c r="U2373">
        <v>97561</v>
      </c>
      <c r="V2373" t="s">
        <v>46</v>
      </c>
      <c r="W2373" t="s">
        <v>47</v>
      </c>
      <c r="X2373" t="s">
        <v>584</v>
      </c>
      <c r="Y2373" t="s">
        <v>585</v>
      </c>
      <c r="Z2373" t="s">
        <v>65</v>
      </c>
    </row>
    <row r="2374" spans="1:26" x14ac:dyDescent="0.3">
      <c r="A2374">
        <v>10361</v>
      </c>
      <c r="B2374">
        <v>33</v>
      </c>
      <c r="C2374">
        <v>82.59</v>
      </c>
      <c r="D2374">
        <v>3</v>
      </c>
      <c r="E2374">
        <v>2725.47</v>
      </c>
      <c r="F2374" s="1">
        <v>38338</v>
      </c>
      <c r="G2374" t="s">
        <v>39</v>
      </c>
      <c r="H2374">
        <v>4</v>
      </c>
      <c r="I2374">
        <v>12</v>
      </c>
      <c r="J2374" t="str">
        <f>TEXT(DATE(2012,Table1[[#This Row],[MONTH_ID]],10),"mmm")</f>
        <v>Dec</v>
      </c>
      <c r="K2374">
        <v>2004</v>
      </c>
      <c r="L2374" t="s">
        <v>564</v>
      </c>
      <c r="M2374">
        <v>43</v>
      </c>
      <c r="N2374" t="s">
        <v>671</v>
      </c>
      <c r="O2374" t="s">
        <v>166</v>
      </c>
      <c r="P2374" t="s">
        <v>167</v>
      </c>
      <c r="Q2374" t="s">
        <v>168</v>
      </c>
      <c r="R2374" t="s">
        <v>169</v>
      </c>
      <c r="S2374" t="s">
        <v>170</v>
      </c>
      <c r="T2374" t="s">
        <v>171</v>
      </c>
      <c r="U2374">
        <v>2067</v>
      </c>
      <c r="V2374" t="s">
        <v>109</v>
      </c>
      <c r="W2374" t="s">
        <v>110</v>
      </c>
      <c r="X2374" t="s">
        <v>172</v>
      </c>
      <c r="Y2374" t="s">
        <v>173</v>
      </c>
      <c r="Z2374" t="s">
        <v>50</v>
      </c>
    </row>
    <row r="2375" spans="1:26" x14ac:dyDescent="0.3">
      <c r="A2375">
        <v>10375</v>
      </c>
      <c r="B2375">
        <v>49</v>
      </c>
      <c r="C2375">
        <v>65.8</v>
      </c>
      <c r="D2375">
        <v>5</v>
      </c>
      <c r="E2375">
        <v>3224.2</v>
      </c>
      <c r="F2375" s="1">
        <v>38386</v>
      </c>
      <c r="G2375" t="s">
        <v>39</v>
      </c>
      <c r="H2375">
        <v>1</v>
      </c>
      <c r="I2375">
        <v>2</v>
      </c>
      <c r="J2375" t="str">
        <f>TEXT(DATE(2012,Table1[[#This Row],[MONTH_ID]],10),"mmm")</f>
        <v>Feb</v>
      </c>
      <c r="K2375">
        <v>2005</v>
      </c>
      <c r="L2375" t="s">
        <v>564</v>
      </c>
      <c r="M2375">
        <v>43</v>
      </c>
      <c r="N2375" t="s">
        <v>671</v>
      </c>
      <c r="O2375" t="s">
        <v>128</v>
      </c>
      <c r="P2375" t="s">
        <v>129</v>
      </c>
      <c r="Q2375" t="s">
        <v>130</v>
      </c>
      <c r="S2375" t="s">
        <v>131</v>
      </c>
      <c r="U2375">
        <v>44000</v>
      </c>
      <c r="V2375" t="s">
        <v>55</v>
      </c>
      <c r="W2375" t="s">
        <v>56</v>
      </c>
      <c r="X2375" t="s">
        <v>132</v>
      </c>
      <c r="Y2375" t="s">
        <v>133</v>
      </c>
      <c r="Z2375" t="s">
        <v>65</v>
      </c>
    </row>
    <row r="2376" spans="1:26" x14ac:dyDescent="0.3">
      <c r="A2376">
        <v>10388</v>
      </c>
      <c r="B2376">
        <v>27</v>
      </c>
      <c r="C2376">
        <v>100</v>
      </c>
      <c r="D2376">
        <v>1</v>
      </c>
      <c r="E2376">
        <v>3211.38</v>
      </c>
      <c r="F2376" s="1">
        <v>38414</v>
      </c>
      <c r="G2376" t="s">
        <v>39</v>
      </c>
      <c r="H2376">
        <v>1</v>
      </c>
      <c r="I2376">
        <v>3</v>
      </c>
      <c r="J2376" t="str">
        <f>TEXT(DATE(2012,Table1[[#This Row],[MONTH_ID]],10),"mmm")</f>
        <v>Mar</v>
      </c>
      <c r="K2376">
        <v>2005</v>
      </c>
      <c r="L2376" t="s">
        <v>564</v>
      </c>
      <c r="M2376">
        <v>43</v>
      </c>
      <c r="N2376" t="s">
        <v>671</v>
      </c>
      <c r="O2376" t="s">
        <v>174</v>
      </c>
      <c r="P2376">
        <v>5085552555</v>
      </c>
      <c r="Q2376" t="s">
        <v>175</v>
      </c>
      <c r="S2376" t="s">
        <v>176</v>
      </c>
      <c r="T2376" t="s">
        <v>137</v>
      </c>
      <c r="U2376">
        <v>50553</v>
      </c>
      <c r="V2376" t="s">
        <v>46</v>
      </c>
      <c r="W2376" t="s">
        <v>47</v>
      </c>
      <c r="X2376" t="s">
        <v>177</v>
      </c>
      <c r="Y2376" t="s">
        <v>178</v>
      </c>
      <c r="Z2376" t="s">
        <v>65</v>
      </c>
    </row>
    <row r="2377" spans="1:26" x14ac:dyDescent="0.3">
      <c r="A2377">
        <v>10398</v>
      </c>
      <c r="B2377">
        <v>49</v>
      </c>
      <c r="C2377">
        <v>36.659999999999997</v>
      </c>
      <c r="D2377">
        <v>5</v>
      </c>
      <c r="E2377">
        <v>1796.34</v>
      </c>
      <c r="F2377" s="1">
        <v>38441</v>
      </c>
      <c r="G2377" t="s">
        <v>39</v>
      </c>
      <c r="H2377">
        <v>1</v>
      </c>
      <c r="I2377">
        <v>3</v>
      </c>
      <c r="J2377" t="str">
        <f>TEXT(DATE(2012,Table1[[#This Row],[MONTH_ID]],10),"mmm")</f>
        <v>Mar</v>
      </c>
      <c r="K2377">
        <v>2005</v>
      </c>
      <c r="L2377" t="s">
        <v>564</v>
      </c>
      <c r="M2377">
        <v>43</v>
      </c>
      <c r="N2377" t="s">
        <v>671</v>
      </c>
      <c r="O2377" t="s">
        <v>51</v>
      </c>
      <c r="P2377" t="s">
        <v>52</v>
      </c>
      <c r="Q2377" t="s">
        <v>53</v>
      </c>
      <c r="S2377" t="s">
        <v>54</v>
      </c>
      <c r="U2377">
        <v>51100</v>
      </c>
      <c r="V2377" t="s">
        <v>55</v>
      </c>
      <c r="W2377" t="s">
        <v>56</v>
      </c>
      <c r="X2377" t="s">
        <v>57</v>
      </c>
      <c r="Y2377" t="s">
        <v>58</v>
      </c>
      <c r="Z2377" t="s">
        <v>50</v>
      </c>
    </row>
    <row r="2378" spans="1:26" x14ac:dyDescent="0.3">
      <c r="A2378">
        <v>10401</v>
      </c>
      <c r="B2378">
        <v>56</v>
      </c>
      <c r="C2378">
        <v>35.35</v>
      </c>
      <c r="D2378">
        <v>7</v>
      </c>
      <c r="E2378">
        <v>1979.6</v>
      </c>
      <c r="F2378" s="1">
        <v>38445</v>
      </c>
      <c r="G2378" t="s">
        <v>415</v>
      </c>
      <c r="H2378">
        <v>2</v>
      </c>
      <c r="I2378">
        <v>4</v>
      </c>
      <c r="J2378" t="str">
        <f>TEXT(DATE(2012,Table1[[#This Row],[MONTH_ID]],10),"mmm")</f>
        <v>Apr</v>
      </c>
      <c r="K2378">
        <v>2005</v>
      </c>
      <c r="L2378" t="s">
        <v>564</v>
      </c>
      <c r="M2378">
        <v>43</v>
      </c>
      <c r="N2378" t="s">
        <v>671</v>
      </c>
      <c r="O2378" t="s">
        <v>118</v>
      </c>
      <c r="P2378">
        <v>2015559350</v>
      </c>
      <c r="Q2378" t="s">
        <v>119</v>
      </c>
      <c r="S2378" t="s">
        <v>120</v>
      </c>
      <c r="T2378" t="s">
        <v>121</v>
      </c>
      <c r="U2378">
        <v>94019</v>
      </c>
      <c r="V2378" t="s">
        <v>46</v>
      </c>
      <c r="W2378" t="s">
        <v>47</v>
      </c>
      <c r="X2378" t="s">
        <v>75</v>
      </c>
      <c r="Y2378" t="s">
        <v>122</v>
      </c>
      <c r="Z2378" t="s">
        <v>50</v>
      </c>
    </row>
    <row r="2379" spans="1:26" x14ac:dyDescent="0.3">
      <c r="A2379">
        <v>10416</v>
      </c>
      <c r="B2379">
        <v>37</v>
      </c>
      <c r="C2379">
        <v>51.93</v>
      </c>
      <c r="D2379">
        <v>8</v>
      </c>
      <c r="E2379">
        <v>1921.41</v>
      </c>
      <c r="F2379" s="1">
        <v>38482</v>
      </c>
      <c r="G2379" t="s">
        <v>39</v>
      </c>
      <c r="H2379">
        <v>2</v>
      </c>
      <c r="I2379">
        <v>5</v>
      </c>
      <c r="J2379" t="str">
        <f>TEXT(DATE(2012,Table1[[#This Row],[MONTH_ID]],10),"mmm")</f>
        <v>May</v>
      </c>
      <c r="K2379">
        <v>2005</v>
      </c>
      <c r="L2379" t="s">
        <v>564</v>
      </c>
      <c r="M2379">
        <v>43</v>
      </c>
      <c r="N2379" t="s">
        <v>671</v>
      </c>
      <c r="O2379" t="s">
        <v>466</v>
      </c>
      <c r="P2379" t="s">
        <v>467</v>
      </c>
      <c r="Q2379" t="s">
        <v>468</v>
      </c>
      <c r="S2379" t="s">
        <v>469</v>
      </c>
      <c r="U2379">
        <v>42100</v>
      </c>
      <c r="V2379" t="s">
        <v>272</v>
      </c>
      <c r="W2379" t="s">
        <v>56</v>
      </c>
      <c r="X2379" t="s">
        <v>470</v>
      </c>
      <c r="Y2379" t="s">
        <v>471</v>
      </c>
      <c r="Z2379" t="s">
        <v>50</v>
      </c>
    </row>
    <row r="2380" spans="1:26" x14ac:dyDescent="0.3">
      <c r="A2380">
        <v>10104</v>
      </c>
      <c r="B2380">
        <v>33</v>
      </c>
      <c r="C2380">
        <v>100</v>
      </c>
      <c r="D2380">
        <v>7</v>
      </c>
      <c r="E2380">
        <v>3705.24</v>
      </c>
      <c r="F2380" s="1">
        <v>37652</v>
      </c>
      <c r="G2380" t="s">
        <v>39</v>
      </c>
      <c r="H2380">
        <v>1</v>
      </c>
      <c r="I2380">
        <v>1</v>
      </c>
      <c r="J2380" t="str">
        <f>TEXT(DATE(2012,Table1[[#This Row],[MONTH_ID]],10),"mmm")</f>
        <v>Jan</v>
      </c>
      <c r="K2380">
        <v>2003</v>
      </c>
      <c r="L2380" t="s">
        <v>518</v>
      </c>
      <c r="M2380">
        <v>115</v>
      </c>
      <c r="N2380" t="s">
        <v>672</v>
      </c>
      <c r="O2380" t="s">
        <v>188</v>
      </c>
      <c r="P2380" t="s">
        <v>189</v>
      </c>
      <c r="Q2380" t="s">
        <v>190</v>
      </c>
      <c r="S2380" t="s">
        <v>191</v>
      </c>
      <c r="U2380">
        <v>28034</v>
      </c>
      <c r="V2380" t="s">
        <v>192</v>
      </c>
      <c r="W2380" t="s">
        <v>56</v>
      </c>
      <c r="X2380" t="s">
        <v>193</v>
      </c>
      <c r="Y2380" t="s">
        <v>194</v>
      </c>
      <c r="Z2380" t="s">
        <v>65</v>
      </c>
    </row>
    <row r="2381" spans="1:26" x14ac:dyDescent="0.3">
      <c r="A2381">
        <v>10115</v>
      </c>
      <c r="B2381">
        <v>27</v>
      </c>
      <c r="C2381">
        <v>100</v>
      </c>
      <c r="D2381">
        <v>3</v>
      </c>
      <c r="E2381">
        <v>2843.91</v>
      </c>
      <c r="F2381" s="1">
        <v>37715</v>
      </c>
      <c r="G2381" t="s">
        <v>39</v>
      </c>
      <c r="H2381">
        <v>2</v>
      </c>
      <c r="I2381">
        <v>4</v>
      </c>
      <c r="J2381" t="str">
        <f>TEXT(DATE(2012,Table1[[#This Row],[MONTH_ID]],10),"mmm")</f>
        <v>Apr</v>
      </c>
      <c r="K2381">
        <v>2003</v>
      </c>
      <c r="L2381" t="s">
        <v>518</v>
      </c>
      <c r="M2381">
        <v>115</v>
      </c>
      <c r="N2381" t="s">
        <v>672</v>
      </c>
      <c r="O2381" t="s">
        <v>217</v>
      </c>
      <c r="P2381">
        <v>2125558493</v>
      </c>
      <c r="Q2381" t="s">
        <v>218</v>
      </c>
      <c r="R2381" t="s">
        <v>219</v>
      </c>
      <c r="S2381" t="s">
        <v>44</v>
      </c>
      <c r="T2381" t="s">
        <v>45</v>
      </c>
      <c r="U2381">
        <v>10022</v>
      </c>
      <c r="V2381" t="s">
        <v>46</v>
      </c>
      <c r="W2381" t="s">
        <v>47</v>
      </c>
      <c r="X2381" t="s">
        <v>138</v>
      </c>
      <c r="Y2381" t="s">
        <v>220</v>
      </c>
      <c r="Z2381" t="s">
        <v>50</v>
      </c>
    </row>
    <row r="2382" spans="1:26" x14ac:dyDescent="0.3">
      <c r="A2382">
        <v>10127</v>
      </c>
      <c r="B2382">
        <v>46</v>
      </c>
      <c r="C2382">
        <v>100</v>
      </c>
      <c r="D2382">
        <v>9</v>
      </c>
      <c r="E2382">
        <v>6176.42</v>
      </c>
      <c r="F2382" s="1">
        <v>37775</v>
      </c>
      <c r="G2382" t="s">
        <v>39</v>
      </c>
      <c r="H2382">
        <v>2</v>
      </c>
      <c r="I2382">
        <v>6</v>
      </c>
      <c r="J2382" t="str">
        <f>TEXT(DATE(2012,Table1[[#This Row],[MONTH_ID]],10),"mmm")</f>
        <v>Jun</v>
      </c>
      <c r="K2382">
        <v>2003</v>
      </c>
      <c r="L2382" t="s">
        <v>518</v>
      </c>
      <c r="M2382">
        <v>115</v>
      </c>
      <c r="N2382" t="s">
        <v>672</v>
      </c>
      <c r="O2382" t="s">
        <v>489</v>
      </c>
      <c r="P2382">
        <v>2125557413</v>
      </c>
      <c r="Q2382" t="s">
        <v>490</v>
      </c>
      <c r="R2382" t="s">
        <v>491</v>
      </c>
      <c r="S2382" t="s">
        <v>44</v>
      </c>
      <c r="T2382" t="s">
        <v>45</v>
      </c>
      <c r="U2382">
        <v>10022</v>
      </c>
      <c r="V2382" t="s">
        <v>46</v>
      </c>
      <c r="W2382" t="s">
        <v>47</v>
      </c>
      <c r="X2382" t="s">
        <v>70</v>
      </c>
      <c r="Y2382" t="s">
        <v>492</v>
      </c>
      <c r="Z2382" t="s">
        <v>65</v>
      </c>
    </row>
    <row r="2383" spans="1:26" x14ac:dyDescent="0.3">
      <c r="A2383">
        <v>10141</v>
      </c>
      <c r="B2383">
        <v>44</v>
      </c>
      <c r="C2383">
        <v>100</v>
      </c>
      <c r="D2383">
        <v>3</v>
      </c>
      <c r="E2383">
        <v>5500.44</v>
      </c>
      <c r="F2383" s="1">
        <v>37834</v>
      </c>
      <c r="G2383" t="s">
        <v>39</v>
      </c>
      <c r="H2383">
        <v>3</v>
      </c>
      <c r="I2383">
        <v>8</v>
      </c>
      <c r="J2383" t="str">
        <f>TEXT(DATE(2012,Table1[[#This Row],[MONTH_ID]],10),"mmm")</f>
        <v>Aug</v>
      </c>
      <c r="K2383">
        <v>2003</v>
      </c>
      <c r="L2383" t="s">
        <v>518</v>
      </c>
      <c r="M2383">
        <v>115</v>
      </c>
      <c r="N2383" t="s">
        <v>672</v>
      </c>
      <c r="O2383" t="s">
        <v>481</v>
      </c>
      <c r="P2383" t="s">
        <v>482</v>
      </c>
      <c r="Q2383" t="s">
        <v>483</v>
      </c>
      <c r="S2383" t="s">
        <v>484</v>
      </c>
      <c r="U2383" t="s">
        <v>485</v>
      </c>
      <c r="V2383" t="s">
        <v>144</v>
      </c>
      <c r="W2383" t="s">
        <v>56</v>
      </c>
      <c r="X2383" t="s">
        <v>486</v>
      </c>
      <c r="Y2383" t="s">
        <v>487</v>
      </c>
      <c r="Z2383" t="s">
        <v>65</v>
      </c>
    </row>
    <row r="2384" spans="1:26" x14ac:dyDescent="0.3">
      <c r="A2384">
        <v>10151</v>
      </c>
      <c r="B2384">
        <v>26</v>
      </c>
      <c r="C2384">
        <v>100</v>
      </c>
      <c r="D2384">
        <v>1</v>
      </c>
      <c r="E2384">
        <v>3220.1</v>
      </c>
      <c r="F2384" s="1">
        <v>37885</v>
      </c>
      <c r="G2384" t="s">
        <v>39</v>
      </c>
      <c r="H2384">
        <v>3</v>
      </c>
      <c r="I2384">
        <v>9</v>
      </c>
      <c r="J2384" t="str">
        <f>TEXT(DATE(2012,Table1[[#This Row],[MONTH_ID]],10),"mmm")</f>
        <v>Sep</v>
      </c>
      <c r="K2384">
        <v>2003</v>
      </c>
      <c r="L2384" t="s">
        <v>518</v>
      </c>
      <c r="M2384">
        <v>115</v>
      </c>
      <c r="N2384" t="s">
        <v>672</v>
      </c>
      <c r="O2384" t="s">
        <v>405</v>
      </c>
      <c r="P2384" t="s">
        <v>406</v>
      </c>
      <c r="Q2384" t="s">
        <v>407</v>
      </c>
      <c r="S2384" t="s">
        <v>408</v>
      </c>
      <c r="U2384">
        <v>90110</v>
      </c>
      <c r="V2384" t="s">
        <v>144</v>
      </c>
      <c r="W2384" t="s">
        <v>56</v>
      </c>
      <c r="X2384" t="s">
        <v>409</v>
      </c>
      <c r="Y2384" t="s">
        <v>410</v>
      </c>
      <c r="Z2384" t="s">
        <v>65</v>
      </c>
    </row>
    <row r="2385" spans="1:26" x14ac:dyDescent="0.3">
      <c r="A2385">
        <v>10165</v>
      </c>
      <c r="B2385">
        <v>48</v>
      </c>
      <c r="C2385">
        <v>94.92</v>
      </c>
      <c r="D2385">
        <v>10</v>
      </c>
      <c r="E2385">
        <v>4556.16</v>
      </c>
      <c r="F2385" s="1">
        <v>37916</v>
      </c>
      <c r="G2385" t="s">
        <v>39</v>
      </c>
      <c r="H2385">
        <v>4</v>
      </c>
      <c r="I2385">
        <v>10</v>
      </c>
      <c r="J2385" t="str">
        <f>TEXT(DATE(2012,Table1[[#This Row],[MONTH_ID]],10),"mmm")</f>
        <v>Oct</v>
      </c>
      <c r="K2385">
        <v>2003</v>
      </c>
      <c r="L2385" t="s">
        <v>518</v>
      </c>
      <c r="M2385">
        <v>115</v>
      </c>
      <c r="N2385" t="s">
        <v>672</v>
      </c>
      <c r="O2385" t="s">
        <v>210</v>
      </c>
      <c r="P2385" t="s">
        <v>211</v>
      </c>
      <c r="Q2385" t="s">
        <v>212</v>
      </c>
      <c r="S2385" t="s">
        <v>213</v>
      </c>
      <c r="U2385">
        <v>79903</v>
      </c>
      <c r="V2385" t="s">
        <v>213</v>
      </c>
      <c r="W2385" t="s">
        <v>214</v>
      </c>
      <c r="X2385" t="s">
        <v>215</v>
      </c>
      <c r="Y2385" t="s">
        <v>216</v>
      </c>
      <c r="Z2385" t="s">
        <v>65</v>
      </c>
    </row>
    <row r="2386" spans="1:26" x14ac:dyDescent="0.3">
      <c r="A2386">
        <v>10176</v>
      </c>
      <c r="B2386">
        <v>23</v>
      </c>
      <c r="C2386">
        <v>100</v>
      </c>
      <c r="D2386">
        <v>9</v>
      </c>
      <c r="E2386">
        <v>3114.89</v>
      </c>
      <c r="F2386" s="1">
        <v>37931</v>
      </c>
      <c r="G2386" t="s">
        <v>39</v>
      </c>
      <c r="H2386">
        <v>4</v>
      </c>
      <c r="I2386">
        <v>11</v>
      </c>
      <c r="J2386" t="str">
        <f>TEXT(DATE(2012,Table1[[#This Row],[MONTH_ID]],10),"mmm")</f>
        <v>Nov</v>
      </c>
      <c r="K2386">
        <v>2003</v>
      </c>
      <c r="L2386" t="s">
        <v>518</v>
      </c>
      <c r="M2386">
        <v>115</v>
      </c>
      <c r="N2386" t="s">
        <v>672</v>
      </c>
      <c r="O2386" t="s">
        <v>466</v>
      </c>
      <c r="P2386" t="s">
        <v>467</v>
      </c>
      <c r="Q2386" t="s">
        <v>468</v>
      </c>
      <c r="S2386" t="s">
        <v>469</v>
      </c>
      <c r="U2386">
        <v>42100</v>
      </c>
      <c r="V2386" t="s">
        <v>272</v>
      </c>
      <c r="W2386" t="s">
        <v>56</v>
      </c>
      <c r="X2386" t="s">
        <v>470</v>
      </c>
      <c r="Y2386" t="s">
        <v>471</v>
      </c>
      <c r="Z2386" t="s">
        <v>65</v>
      </c>
    </row>
    <row r="2387" spans="1:26" x14ac:dyDescent="0.3">
      <c r="A2387">
        <v>10184</v>
      </c>
      <c r="B2387">
        <v>45</v>
      </c>
      <c r="C2387">
        <v>100</v>
      </c>
      <c r="D2387">
        <v>4</v>
      </c>
      <c r="E2387">
        <v>4948.2</v>
      </c>
      <c r="F2387" s="1">
        <v>37939</v>
      </c>
      <c r="G2387" t="s">
        <v>39</v>
      </c>
      <c r="H2387">
        <v>4</v>
      </c>
      <c r="I2387">
        <v>11</v>
      </c>
      <c r="J2387" t="str">
        <f>TEXT(DATE(2012,Table1[[#This Row],[MONTH_ID]],10),"mmm")</f>
        <v>Nov</v>
      </c>
      <c r="K2387">
        <v>2003</v>
      </c>
      <c r="L2387" t="s">
        <v>518</v>
      </c>
      <c r="M2387">
        <v>115</v>
      </c>
      <c r="N2387" t="s">
        <v>672</v>
      </c>
      <c r="O2387" t="s">
        <v>534</v>
      </c>
      <c r="P2387" t="s">
        <v>535</v>
      </c>
      <c r="Q2387" t="s">
        <v>536</v>
      </c>
      <c r="S2387" t="s">
        <v>537</v>
      </c>
      <c r="U2387">
        <v>41101</v>
      </c>
      <c r="V2387" t="s">
        <v>192</v>
      </c>
      <c r="W2387" t="s">
        <v>56</v>
      </c>
      <c r="X2387" t="s">
        <v>538</v>
      </c>
      <c r="Y2387" t="s">
        <v>539</v>
      </c>
      <c r="Z2387" t="s">
        <v>65</v>
      </c>
    </row>
    <row r="2388" spans="1:26" x14ac:dyDescent="0.3">
      <c r="A2388">
        <v>10195</v>
      </c>
      <c r="B2388">
        <v>49</v>
      </c>
      <c r="C2388">
        <v>100</v>
      </c>
      <c r="D2388">
        <v>4</v>
      </c>
      <c r="E2388">
        <v>5161.17</v>
      </c>
      <c r="F2388" s="1">
        <v>37950</v>
      </c>
      <c r="G2388" t="s">
        <v>39</v>
      </c>
      <c r="H2388">
        <v>4</v>
      </c>
      <c r="I2388">
        <v>11</v>
      </c>
      <c r="J2388" t="str">
        <f>TEXT(DATE(2012,Table1[[#This Row],[MONTH_ID]],10),"mmm")</f>
        <v>Nov</v>
      </c>
      <c r="K2388">
        <v>2003</v>
      </c>
      <c r="L2388" t="s">
        <v>518</v>
      </c>
      <c r="M2388">
        <v>115</v>
      </c>
      <c r="N2388" t="s">
        <v>672</v>
      </c>
      <c r="O2388" t="s">
        <v>331</v>
      </c>
      <c r="P2388">
        <v>9145554562</v>
      </c>
      <c r="Q2388" t="s">
        <v>332</v>
      </c>
      <c r="S2388" t="s">
        <v>333</v>
      </c>
      <c r="T2388" t="s">
        <v>45</v>
      </c>
      <c r="U2388">
        <v>24067</v>
      </c>
      <c r="V2388" t="s">
        <v>46</v>
      </c>
      <c r="W2388" t="s">
        <v>47</v>
      </c>
      <c r="X2388" t="s">
        <v>116</v>
      </c>
      <c r="Y2388" t="s">
        <v>252</v>
      </c>
      <c r="Z2388" t="s">
        <v>65</v>
      </c>
    </row>
    <row r="2389" spans="1:26" x14ac:dyDescent="0.3">
      <c r="A2389">
        <v>10207</v>
      </c>
      <c r="B2389">
        <v>28</v>
      </c>
      <c r="C2389">
        <v>94.92</v>
      </c>
      <c r="D2389">
        <v>5</v>
      </c>
      <c r="E2389">
        <v>2657.76</v>
      </c>
      <c r="F2389" s="1">
        <v>37964</v>
      </c>
      <c r="G2389" t="s">
        <v>39</v>
      </c>
      <c r="H2389">
        <v>4</v>
      </c>
      <c r="I2389">
        <v>12</v>
      </c>
      <c r="J2389" t="str">
        <f>TEXT(DATE(2012,Table1[[#This Row],[MONTH_ID]],10),"mmm")</f>
        <v>Dec</v>
      </c>
      <c r="K2389">
        <v>2003</v>
      </c>
      <c r="L2389" t="s">
        <v>518</v>
      </c>
      <c r="M2389">
        <v>115</v>
      </c>
      <c r="N2389" t="s">
        <v>672</v>
      </c>
      <c r="O2389" t="s">
        <v>429</v>
      </c>
      <c r="P2389">
        <v>6175552555</v>
      </c>
      <c r="Q2389" t="s">
        <v>430</v>
      </c>
      <c r="S2389" t="s">
        <v>395</v>
      </c>
      <c r="T2389" t="s">
        <v>137</v>
      </c>
      <c r="U2389">
        <v>51003</v>
      </c>
      <c r="V2389" t="s">
        <v>46</v>
      </c>
      <c r="W2389" t="s">
        <v>47</v>
      </c>
      <c r="X2389" t="s">
        <v>431</v>
      </c>
      <c r="Y2389" t="s">
        <v>290</v>
      </c>
      <c r="Z2389" t="s">
        <v>50</v>
      </c>
    </row>
    <row r="2390" spans="1:26" x14ac:dyDescent="0.3">
      <c r="A2390">
        <v>10220</v>
      </c>
      <c r="B2390">
        <v>37</v>
      </c>
      <c r="C2390">
        <v>100</v>
      </c>
      <c r="D2390">
        <v>9</v>
      </c>
      <c r="E2390">
        <v>3983.05</v>
      </c>
      <c r="F2390" s="1">
        <v>38029</v>
      </c>
      <c r="G2390" t="s">
        <v>39</v>
      </c>
      <c r="H2390">
        <v>1</v>
      </c>
      <c r="I2390">
        <v>2</v>
      </c>
      <c r="J2390" t="str">
        <f>TEXT(DATE(2012,Table1[[#This Row],[MONTH_ID]],10),"mmm")</f>
        <v>Feb</v>
      </c>
      <c r="K2390">
        <v>2004</v>
      </c>
      <c r="L2390" t="s">
        <v>518</v>
      </c>
      <c r="M2390">
        <v>115</v>
      </c>
      <c r="N2390" t="s">
        <v>672</v>
      </c>
      <c r="O2390" t="s">
        <v>493</v>
      </c>
      <c r="P2390" t="s">
        <v>494</v>
      </c>
      <c r="Q2390" t="s">
        <v>495</v>
      </c>
      <c r="R2390" t="s">
        <v>496</v>
      </c>
      <c r="S2390" t="s">
        <v>497</v>
      </c>
      <c r="U2390">
        <v>2</v>
      </c>
      <c r="V2390" t="s">
        <v>498</v>
      </c>
      <c r="W2390" t="s">
        <v>56</v>
      </c>
      <c r="X2390" t="s">
        <v>499</v>
      </c>
      <c r="Y2390" t="s">
        <v>500</v>
      </c>
      <c r="Z2390" t="s">
        <v>65</v>
      </c>
    </row>
    <row r="2391" spans="1:26" x14ac:dyDescent="0.3">
      <c r="A2391">
        <v>10230</v>
      </c>
      <c r="B2391">
        <v>34</v>
      </c>
      <c r="C2391">
        <v>100</v>
      </c>
      <c r="D2391">
        <v>7</v>
      </c>
      <c r="E2391">
        <v>3974.94</v>
      </c>
      <c r="F2391" s="1">
        <v>38061</v>
      </c>
      <c r="G2391" t="s">
        <v>39</v>
      </c>
      <c r="H2391">
        <v>1</v>
      </c>
      <c r="I2391">
        <v>3</v>
      </c>
      <c r="J2391" t="str">
        <f>TEXT(DATE(2012,Table1[[#This Row],[MONTH_ID]],10),"mmm")</f>
        <v>Mar</v>
      </c>
      <c r="K2391">
        <v>2004</v>
      </c>
      <c r="L2391" t="s">
        <v>518</v>
      </c>
      <c r="M2391">
        <v>115</v>
      </c>
      <c r="N2391" t="s">
        <v>672</v>
      </c>
      <c r="O2391" t="s">
        <v>476</v>
      </c>
      <c r="P2391" t="s">
        <v>477</v>
      </c>
      <c r="Q2391" t="s">
        <v>478</v>
      </c>
      <c r="S2391" t="s">
        <v>479</v>
      </c>
      <c r="U2391">
        <v>60528</v>
      </c>
      <c r="V2391" t="s">
        <v>457</v>
      </c>
      <c r="W2391" t="s">
        <v>56</v>
      </c>
      <c r="X2391" t="s">
        <v>480</v>
      </c>
      <c r="Y2391" t="s">
        <v>428</v>
      </c>
      <c r="Z2391" t="s">
        <v>65</v>
      </c>
    </row>
    <row r="2392" spans="1:26" x14ac:dyDescent="0.3">
      <c r="A2392">
        <v>10246</v>
      </c>
      <c r="B2392">
        <v>22</v>
      </c>
      <c r="C2392">
        <v>100</v>
      </c>
      <c r="D2392">
        <v>3</v>
      </c>
      <c r="E2392">
        <v>2928.42</v>
      </c>
      <c r="F2392" s="1">
        <v>38112</v>
      </c>
      <c r="G2392" t="s">
        <v>39</v>
      </c>
      <c r="H2392">
        <v>2</v>
      </c>
      <c r="I2392">
        <v>5</v>
      </c>
      <c r="J2392" t="str">
        <f>TEXT(DATE(2012,Table1[[#This Row],[MONTH_ID]],10),"mmm")</f>
        <v>May</v>
      </c>
      <c r="K2392">
        <v>2004</v>
      </c>
      <c r="L2392" t="s">
        <v>518</v>
      </c>
      <c r="M2392">
        <v>115</v>
      </c>
      <c r="N2392" t="s">
        <v>672</v>
      </c>
      <c r="O2392" t="s">
        <v>188</v>
      </c>
      <c r="P2392" t="s">
        <v>189</v>
      </c>
      <c r="Q2392" t="s">
        <v>190</v>
      </c>
      <c r="S2392" t="s">
        <v>191</v>
      </c>
      <c r="U2392">
        <v>28034</v>
      </c>
      <c r="V2392" t="s">
        <v>192</v>
      </c>
      <c r="W2392" t="s">
        <v>56</v>
      </c>
      <c r="X2392" t="s">
        <v>193</v>
      </c>
      <c r="Y2392" t="s">
        <v>194</v>
      </c>
      <c r="Z2392" t="s">
        <v>50</v>
      </c>
    </row>
    <row r="2393" spans="1:26" x14ac:dyDescent="0.3">
      <c r="A2393">
        <v>10259</v>
      </c>
      <c r="B2393">
        <v>29</v>
      </c>
      <c r="C2393">
        <v>100</v>
      </c>
      <c r="D2393">
        <v>2</v>
      </c>
      <c r="E2393">
        <v>3054.57</v>
      </c>
      <c r="F2393" s="1">
        <v>38153</v>
      </c>
      <c r="G2393" t="s">
        <v>39</v>
      </c>
      <c r="H2393">
        <v>2</v>
      </c>
      <c r="I2393">
        <v>6</v>
      </c>
      <c r="J2393" t="str">
        <f>TEXT(DATE(2012,Table1[[#This Row],[MONTH_ID]],10),"mmm")</f>
        <v>Jun</v>
      </c>
      <c r="K2393">
        <v>2004</v>
      </c>
      <c r="L2393" t="s">
        <v>518</v>
      </c>
      <c r="M2393">
        <v>115</v>
      </c>
      <c r="N2393" t="s">
        <v>672</v>
      </c>
      <c r="O2393" t="s">
        <v>432</v>
      </c>
      <c r="P2393" t="s">
        <v>433</v>
      </c>
      <c r="Q2393" t="s">
        <v>434</v>
      </c>
      <c r="R2393" t="s">
        <v>435</v>
      </c>
      <c r="S2393" t="s">
        <v>213</v>
      </c>
      <c r="U2393">
        <v>69045</v>
      </c>
      <c r="V2393" t="s">
        <v>213</v>
      </c>
      <c r="W2393" t="s">
        <v>110</v>
      </c>
      <c r="X2393" t="s">
        <v>436</v>
      </c>
      <c r="Y2393" t="s">
        <v>437</v>
      </c>
      <c r="Z2393" t="s">
        <v>65</v>
      </c>
    </row>
    <row r="2394" spans="1:26" x14ac:dyDescent="0.3">
      <c r="A2394">
        <v>10271</v>
      </c>
      <c r="B2394">
        <v>34</v>
      </c>
      <c r="C2394">
        <v>98.39</v>
      </c>
      <c r="D2394">
        <v>3</v>
      </c>
      <c r="E2394">
        <v>3345.26</v>
      </c>
      <c r="F2394" s="1">
        <v>38188</v>
      </c>
      <c r="G2394" t="s">
        <v>39</v>
      </c>
      <c r="H2394">
        <v>3</v>
      </c>
      <c r="I2394">
        <v>7</v>
      </c>
      <c r="J2394" t="str">
        <f>TEXT(DATE(2012,Table1[[#This Row],[MONTH_ID]],10),"mmm")</f>
        <v>Jul</v>
      </c>
      <c r="K2394">
        <v>2004</v>
      </c>
      <c r="L2394" t="s">
        <v>518</v>
      </c>
      <c r="M2394">
        <v>115</v>
      </c>
      <c r="N2394" t="s">
        <v>672</v>
      </c>
      <c r="O2394" t="s">
        <v>286</v>
      </c>
      <c r="P2394">
        <v>4155551450</v>
      </c>
      <c r="Q2394" t="s">
        <v>287</v>
      </c>
      <c r="S2394" t="s">
        <v>288</v>
      </c>
      <c r="T2394" t="s">
        <v>69</v>
      </c>
      <c r="U2394">
        <v>97562</v>
      </c>
      <c r="V2394" t="s">
        <v>46</v>
      </c>
      <c r="W2394" t="s">
        <v>47</v>
      </c>
      <c r="X2394" t="s">
        <v>289</v>
      </c>
      <c r="Y2394" t="s">
        <v>290</v>
      </c>
      <c r="Z2394" t="s">
        <v>65</v>
      </c>
    </row>
    <row r="2395" spans="1:26" x14ac:dyDescent="0.3">
      <c r="A2395">
        <v>10282</v>
      </c>
      <c r="B2395">
        <v>38</v>
      </c>
      <c r="C2395">
        <v>100</v>
      </c>
      <c r="D2395">
        <v>12</v>
      </c>
      <c r="E2395">
        <v>4310.72</v>
      </c>
      <c r="F2395" s="1">
        <v>38219</v>
      </c>
      <c r="G2395" t="s">
        <v>39</v>
      </c>
      <c r="H2395">
        <v>3</v>
      </c>
      <c r="I2395">
        <v>8</v>
      </c>
      <c r="J2395" t="str">
        <f>TEXT(DATE(2012,Table1[[#This Row],[MONTH_ID]],10),"mmm")</f>
        <v>Aug</v>
      </c>
      <c r="K2395">
        <v>2004</v>
      </c>
      <c r="L2395" t="s">
        <v>518</v>
      </c>
      <c r="M2395">
        <v>115</v>
      </c>
      <c r="N2395" t="s">
        <v>672</v>
      </c>
      <c r="O2395" t="s">
        <v>286</v>
      </c>
      <c r="P2395">
        <v>4155551450</v>
      </c>
      <c r="Q2395" t="s">
        <v>287</v>
      </c>
      <c r="S2395" t="s">
        <v>288</v>
      </c>
      <c r="T2395" t="s">
        <v>69</v>
      </c>
      <c r="U2395">
        <v>97562</v>
      </c>
      <c r="V2395" t="s">
        <v>46</v>
      </c>
      <c r="W2395" t="s">
        <v>47</v>
      </c>
      <c r="X2395" t="s">
        <v>289</v>
      </c>
      <c r="Y2395" t="s">
        <v>290</v>
      </c>
      <c r="Z2395" t="s">
        <v>65</v>
      </c>
    </row>
    <row r="2396" spans="1:26" x14ac:dyDescent="0.3">
      <c r="A2396">
        <v>10292</v>
      </c>
      <c r="B2396">
        <v>41</v>
      </c>
      <c r="C2396">
        <v>100</v>
      </c>
      <c r="D2396">
        <v>6</v>
      </c>
      <c r="E2396">
        <v>4983.1400000000003</v>
      </c>
      <c r="F2396" s="1">
        <v>38238</v>
      </c>
      <c r="G2396" t="s">
        <v>39</v>
      </c>
      <c r="H2396">
        <v>3</v>
      </c>
      <c r="I2396">
        <v>9</v>
      </c>
      <c r="J2396" t="str">
        <f>TEXT(DATE(2012,Table1[[#This Row],[MONTH_ID]],10),"mmm")</f>
        <v>Sep</v>
      </c>
      <c r="K2396">
        <v>2004</v>
      </c>
      <c r="L2396" t="s">
        <v>518</v>
      </c>
      <c r="M2396">
        <v>115</v>
      </c>
      <c r="N2396" t="s">
        <v>672</v>
      </c>
      <c r="O2396" t="s">
        <v>42</v>
      </c>
      <c r="P2396">
        <v>2125557818</v>
      </c>
      <c r="Q2396" t="s">
        <v>43</v>
      </c>
      <c r="S2396" t="s">
        <v>44</v>
      </c>
      <c r="T2396" t="s">
        <v>45</v>
      </c>
      <c r="U2396">
        <v>10022</v>
      </c>
      <c r="V2396" t="s">
        <v>46</v>
      </c>
      <c r="W2396" t="s">
        <v>47</v>
      </c>
      <c r="X2396" t="s">
        <v>48</v>
      </c>
      <c r="Y2396" t="s">
        <v>49</v>
      </c>
      <c r="Z2396" t="s">
        <v>65</v>
      </c>
    </row>
    <row r="2397" spans="1:26" x14ac:dyDescent="0.3">
      <c r="A2397">
        <v>10305</v>
      </c>
      <c r="B2397">
        <v>42</v>
      </c>
      <c r="C2397">
        <v>100</v>
      </c>
      <c r="D2397">
        <v>3</v>
      </c>
      <c r="E2397">
        <v>4618.32</v>
      </c>
      <c r="F2397" s="1">
        <v>38273</v>
      </c>
      <c r="G2397" t="s">
        <v>39</v>
      </c>
      <c r="H2397">
        <v>4</v>
      </c>
      <c r="I2397">
        <v>10</v>
      </c>
      <c r="J2397" t="str">
        <f>TEXT(DATE(2012,Table1[[#This Row],[MONTH_ID]],10),"mmm")</f>
        <v>Oct</v>
      </c>
      <c r="K2397">
        <v>2004</v>
      </c>
      <c r="L2397" t="s">
        <v>518</v>
      </c>
      <c r="M2397">
        <v>115</v>
      </c>
      <c r="N2397" t="s">
        <v>672</v>
      </c>
      <c r="O2397" t="s">
        <v>134</v>
      </c>
      <c r="P2397">
        <v>6175558555</v>
      </c>
      <c r="Q2397" t="s">
        <v>135</v>
      </c>
      <c r="S2397" t="s">
        <v>136</v>
      </c>
      <c r="T2397" t="s">
        <v>137</v>
      </c>
      <c r="U2397">
        <v>51247</v>
      </c>
      <c r="V2397" t="s">
        <v>46</v>
      </c>
      <c r="W2397" t="s">
        <v>47</v>
      </c>
      <c r="X2397" t="s">
        <v>138</v>
      </c>
      <c r="Y2397" t="s">
        <v>139</v>
      </c>
      <c r="Z2397" t="s">
        <v>65</v>
      </c>
    </row>
    <row r="2398" spans="1:26" x14ac:dyDescent="0.3">
      <c r="A2398">
        <v>10314</v>
      </c>
      <c r="B2398">
        <v>28</v>
      </c>
      <c r="C2398">
        <v>100</v>
      </c>
      <c r="D2398">
        <v>12</v>
      </c>
      <c r="E2398">
        <v>3403.12</v>
      </c>
      <c r="F2398" s="1">
        <v>38282</v>
      </c>
      <c r="G2398" t="s">
        <v>39</v>
      </c>
      <c r="H2398">
        <v>4</v>
      </c>
      <c r="I2398">
        <v>10</v>
      </c>
      <c r="J2398" t="str">
        <f>TEXT(DATE(2012,Table1[[#This Row],[MONTH_ID]],10),"mmm")</f>
        <v>Oct</v>
      </c>
      <c r="K2398">
        <v>2004</v>
      </c>
      <c r="L2398" t="s">
        <v>518</v>
      </c>
      <c r="M2398">
        <v>115</v>
      </c>
      <c r="N2398" t="s">
        <v>672</v>
      </c>
      <c r="O2398" t="s">
        <v>512</v>
      </c>
      <c r="P2398" t="s">
        <v>513</v>
      </c>
      <c r="Q2398" t="s">
        <v>514</v>
      </c>
      <c r="S2398" t="s">
        <v>515</v>
      </c>
      <c r="U2398">
        <v>8200</v>
      </c>
      <c r="V2398" t="s">
        <v>340</v>
      </c>
      <c r="W2398" t="s">
        <v>56</v>
      </c>
      <c r="X2398" t="s">
        <v>516</v>
      </c>
      <c r="Y2398" t="s">
        <v>517</v>
      </c>
      <c r="Z2398" t="s">
        <v>65</v>
      </c>
    </row>
    <row r="2399" spans="1:26" x14ac:dyDescent="0.3">
      <c r="A2399">
        <v>10325</v>
      </c>
      <c r="B2399">
        <v>38</v>
      </c>
      <c r="C2399">
        <v>100</v>
      </c>
      <c r="D2399">
        <v>4</v>
      </c>
      <c r="E2399">
        <v>5190.42</v>
      </c>
      <c r="F2399" s="1">
        <v>38296</v>
      </c>
      <c r="G2399" t="s">
        <v>39</v>
      </c>
      <c r="H2399">
        <v>4</v>
      </c>
      <c r="I2399">
        <v>11</v>
      </c>
      <c r="J2399" t="str">
        <f>TEXT(DATE(2012,Table1[[#This Row],[MONTH_ID]],10),"mmm")</f>
        <v>Nov</v>
      </c>
      <c r="K2399">
        <v>2004</v>
      </c>
      <c r="L2399" t="s">
        <v>518</v>
      </c>
      <c r="M2399">
        <v>115</v>
      </c>
      <c r="N2399" t="s">
        <v>672</v>
      </c>
      <c r="O2399" t="s">
        <v>147</v>
      </c>
      <c r="P2399" t="s">
        <v>148</v>
      </c>
      <c r="Q2399" t="s">
        <v>149</v>
      </c>
      <c r="S2399" t="s">
        <v>150</v>
      </c>
      <c r="U2399">
        <v>4110</v>
      </c>
      <c r="V2399" t="s">
        <v>92</v>
      </c>
      <c r="W2399" t="s">
        <v>56</v>
      </c>
      <c r="X2399" t="s">
        <v>151</v>
      </c>
      <c r="Y2399" t="s">
        <v>152</v>
      </c>
      <c r="Z2399" t="s">
        <v>65</v>
      </c>
    </row>
    <row r="2400" spans="1:26" x14ac:dyDescent="0.3">
      <c r="A2400">
        <v>10336</v>
      </c>
      <c r="B2400">
        <v>23</v>
      </c>
      <c r="C2400">
        <v>100</v>
      </c>
      <c r="D2400">
        <v>8</v>
      </c>
      <c r="E2400">
        <v>3141.57</v>
      </c>
      <c r="F2400" s="1">
        <v>38311</v>
      </c>
      <c r="G2400" t="s">
        <v>39</v>
      </c>
      <c r="H2400">
        <v>4</v>
      </c>
      <c r="I2400">
        <v>11</v>
      </c>
      <c r="J2400" t="str">
        <f>TEXT(DATE(2012,Table1[[#This Row],[MONTH_ID]],10),"mmm")</f>
        <v>Nov</v>
      </c>
      <c r="K2400">
        <v>2004</v>
      </c>
      <c r="L2400" t="s">
        <v>518</v>
      </c>
      <c r="M2400">
        <v>115</v>
      </c>
      <c r="N2400" t="s">
        <v>672</v>
      </c>
      <c r="O2400" t="s">
        <v>417</v>
      </c>
      <c r="P2400" t="s">
        <v>418</v>
      </c>
      <c r="Q2400" t="s">
        <v>419</v>
      </c>
      <c r="S2400" t="s">
        <v>62</v>
      </c>
      <c r="U2400">
        <v>75012</v>
      </c>
      <c r="V2400" t="s">
        <v>55</v>
      </c>
      <c r="W2400" t="s">
        <v>56</v>
      </c>
      <c r="X2400" t="s">
        <v>420</v>
      </c>
      <c r="Y2400" t="s">
        <v>421</v>
      </c>
      <c r="Z2400" t="s">
        <v>65</v>
      </c>
    </row>
    <row r="2401" spans="1:26" x14ac:dyDescent="0.3">
      <c r="A2401">
        <v>10350</v>
      </c>
      <c r="B2401">
        <v>31</v>
      </c>
      <c r="C2401">
        <v>71.400000000000006</v>
      </c>
      <c r="D2401">
        <v>8</v>
      </c>
      <c r="E2401">
        <v>2213.4</v>
      </c>
      <c r="F2401" s="1">
        <v>38323</v>
      </c>
      <c r="G2401" t="s">
        <v>39</v>
      </c>
      <c r="H2401">
        <v>4</v>
      </c>
      <c r="I2401">
        <v>12</v>
      </c>
      <c r="J2401" t="str">
        <f>TEXT(DATE(2012,Table1[[#This Row],[MONTH_ID]],10),"mmm")</f>
        <v>Dec</v>
      </c>
      <c r="K2401">
        <v>2004</v>
      </c>
      <c r="L2401" t="s">
        <v>518</v>
      </c>
      <c r="M2401">
        <v>115</v>
      </c>
      <c r="N2401" t="s">
        <v>672</v>
      </c>
      <c r="O2401" t="s">
        <v>188</v>
      </c>
      <c r="P2401" t="s">
        <v>189</v>
      </c>
      <c r="Q2401" t="s">
        <v>190</v>
      </c>
      <c r="S2401" t="s">
        <v>191</v>
      </c>
      <c r="U2401">
        <v>28034</v>
      </c>
      <c r="V2401" t="s">
        <v>192</v>
      </c>
      <c r="W2401" t="s">
        <v>56</v>
      </c>
      <c r="X2401" t="s">
        <v>193</v>
      </c>
      <c r="Y2401" t="s">
        <v>194</v>
      </c>
      <c r="Z2401" t="s">
        <v>50</v>
      </c>
    </row>
    <row r="2402" spans="1:26" x14ac:dyDescent="0.3">
      <c r="A2402">
        <v>10359</v>
      </c>
      <c r="B2402">
        <v>46</v>
      </c>
      <c r="C2402">
        <v>100</v>
      </c>
      <c r="D2402">
        <v>2</v>
      </c>
      <c r="E2402">
        <v>4896.7</v>
      </c>
      <c r="F2402" s="1">
        <v>38336</v>
      </c>
      <c r="G2402" t="s">
        <v>39</v>
      </c>
      <c r="H2402">
        <v>4</v>
      </c>
      <c r="I2402">
        <v>12</v>
      </c>
      <c r="J2402" t="str">
        <f>TEXT(DATE(2012,Table1[[#This Row],[MONTH_ID]],10),"mmm")</f>
        <v>Dec</v>
      </c>
      <c r="K2402">
        <v>2004</v>
      </c>
      <c r="L2402" t="s">
        <v>518</v>
      </c>
      <c r="M2402">
        <v>115</v>
      </c>
      <c r="N2402" t="s">
        <v>672</v>
      </c>
      <c r="O2402" t="s">
        <v>51</v>
      </c>
      <c r="P2402" t="s">
        <v>52</v>
      </c>
      <c r="Q2402" t="s">
        <v>53</v>
      </c>
      <c r="S2402" t="s">
        <v>54</v>
      </c>
      <c r="U2402">
        <v>51100</v>
      </c>
      <c r="V2402" t="s">
        <v>55</v>
      </c>
      <c r="W2402" t="s">
        <v>56</v>
      </c>
      <c r="X2402" t="s">
        <v>57</v>
      </c>
      <c r="Y2402" t="s">
        <v>58</v>
      </c>
      <c r="Z2402" t="s">
        <v>65</v>
      </c>
    </row>
    <row r="2403" spans="1:26" x14ac:dyDescent="0.3">
      <c r="A2403">
        <v>10371</v>
      </c>
      <c r="B2403">
        <v>48</v>
      </c>
      <c r="C2403">
        <v>56.55</v>
      </c>
      <c r="D2403">
        <v>10</v>
      </c>
      <c r="E2403">
        <v>2714.4</v>
      </c>
      <c r="F2403" s="1">
        <v>38375</v>
      </c>
      <c r="G2403" t="s">
        <v>39</v>
      </c>
      <c r="H2403">
        <v>1</v>
      </c>
      <c r="I2403">
        <v>1</v>
      </c>
      <c r="J2403" t="str">
        <f>TEXT(DATE(2012,Table1[[#This Row],[MONTH_ID]],10),"mmm")</f>
        <v>Jan</v>
      </c>
      <c r="K2403">
        <v>2005</v>
      </c>
      <c r="L2403" t="s">
        <v>518</v>
      </c>
      <c r="M2403">
        <v>115</v>
      </c>
      <c r="N2403" t="s">
        <v>672</v>
      </c>
      <c r="O2403" t="s">
        <v>286</v>
      </c>
      <c r="P2403">
        <v>4155551450</v>
      </c>
      <c r="Q2403" t="s">
        <v>287</v>
      </c>
      <c r="S2403" t="s">
        <v>288</v>
      </c>
      <c r="T2403" t="s">
        <v>69</v>
      </c>
      <c r="U2403">
        <v>97562</v>
      </c>
      <c r="V2403" t="s">
        <v>46</v>
      </c>
      <c r="W2403" t="s">
        <v>47</v>
      </c>
      <c r="X2403" t="s">
        <v>289</v>
      </c>
      <c r="Y2403" t="s">
        <v>290</v>
      </c>
      <c r="Z2403" t="s">
        <v>50</v>
      </c>
    </row>
    <row r="2404" spans="1:26" x14ac:dyDescent="0.3">
      <c r="A2404">
        <v>10383</v>
      </c>
      <c r="B2404">
        <v>29</v>
      </c>
      <c r="C2404">
        <v>100</v>
      </c>
      <c r="D2404">
        <v>13</v>
      </c>
      <c r="E2404">
        <v>3087.05</v>
      </c>
      <c r="F2404" s="1">
        <v>38405</v>
      </c>
      <c r="G2404" t="s">
        <v>39</v>
      </c>
      <c r="H2404">
        <v>1</v>
      </c>
      <c r="I2404">
        <v>2</v>
      </c>
      <c r="J2404" t="str">
        <f>TEXT(DATE(2012,Table1[[#This Row],[MONTH_ID]],10),"mmm")</f>
        <v>Feb</v>
      </c>
      <c r="K2404">
        <v>2005</v>
      </c>
      <c r="L2404" t="s">
        <v>518</v>
      </c>
      <c r="M2404">
        <v>115</v>
      </c>
      <c r="N2404" t="s">
        <v>672</v>
      </c>
      <c r="O2404" t="s">
        <v>188</v>
      </c>
      <c r="P2404" t="s">
        <v>189</v>
      </c>
      <c r="Q2404" t="s">
        <v>190</v>
      </c>
      <c r="S2404" t="s">
        <v>191</v>
      </c>
      <c r="U2404">
        <v>28034</v>
      </c>
      <c r="V2404" t="s">
        <v>192</v>
      </c>
      <c r="W2404" t="s">
        <v>56</v>
      </c>
      <c r="X2404" t="s">
        <v>193</v>
      </c>
      <c r="Y2404" t="s">
        <v>194</v>
      </c>
      <c r="Z2404" t="s">
        <v>65</v>
      </c>
    </row>
    <row r="2405" spans="1:26" x14ac:dyDescent="0.3">
      <c r="A2405">
        <v>10395</v>
      </c>
      <c r="B2405">
        <v>46</v>
      </c>
      <c r="C2405">
        <v>100</v>
      </c>
      <c r="D2405">
        <v>4</v>
      </c>
      <c r="E2405">
        <v>5692.96</v>
      </c>
      <c r="F2405" s="1">
        <v>38428</v>
      </c>
      <c r="G2405" t="s">
        <v>39</v>
      </c>
      <c r="H2405">
        <v>1</v>
      </c>
      <c r="I2405">
        <v>3</v>
      </c>
      <c r="J2405" t="str">
        <f>TEXT(DATE(2012,Table1[[#This Row],[MONTH_ID]],10),"mmm")</f>
        <v>Mar</v>
      </c>
      <c r="K2405">
        <v>2005</v>
      </c>
      <c r="L2405" t="s">
        <v>518</v>
      </c>
      <c r="M2405">
        <v>115</v>
      </c>
      <c r="N2405" t="s">
        <v>672</v>
      </c>
      <c r="O2405" t="s">
        <v>59</v>
      </c>
      <c r="P2405" t="s">
        <v>60</v>
      </c>
      <c r="Q2405" t="s">
        <v>61</v>
      </c>
      <c r="S2405" t="s">
        <v>62</v>
      </c>
      <c r="U2405">
        <v>75508</v>
      </c>
      <c r="V2405" t="s">
        <v>55</v>
      </c>
      <c r="W2405" t="s">
        <v>56</v>
      </c>
      <c r="X2405" t="s">
        <v>63</v>
      </c>
      <c r="Y2405" t="s">
        <v>64</v>
      </c>
      <c r="Z2405" t="s">
        <v>65</v>
      </c>
    </row>
    <row r="2406" spans="1:26" x14ac:dyDescent="0.3">
      <c r="A2406">
        <v>10412</v>
      </c>
      <c r="B2406">
        <v>26</v>
      </c>
      <c r="C2406">
        <v>100</v>
      </c>
      <c r="D2406">
        <v>3</v>
      </c>
      <c r="E2406">
        <v>3460.86</v>
      </c>
      <c r="F2406" s="1">
        <v>38475</v>
      </c>
      <c r="G2406" t="s">
        <v>39</v>
      </c>
      <c r="H2406">
        <v>2</v>
      </c>
      <c r="I2406">
        <v>5</v>
      </c>
      <c r="J2406" t="str">
        <f>TEXT(DATE(2012,Table1[[#This Row],[MONTH_ID]],10),"mmm")</f>
        <v>May</v>
      </c>
      <c r="K2406">
        <v>2005</v>
      </c>
      <c r="L2406" t="s">
        <v>518</v>
      </c>
      <c r="M2406">
        <v>115</v>
      </c>
      <c r="N2406" t="s">
        <v>672</v>
      </c>
      <c r="O2406" t="s">
        <v>188</v>
      </c>
      <c r="P2406" t="s">
        <v>189</v>
      </c>
      <c r="Q2406" t="s">
        <v>190</v>
      </c>
      <c r="S2406" t="s">
        <v>191</v>
      </c>
      <c r="U2406">
        <v>28034</v>
      </c>
      <c r="V2406" t="s">
        <v>192</v>
      </c>
      <c r="W2406" t="s">
        <v>56</v>
      </c>
      <c r="X2406" t="s">
        <v>193</v>
      </c>
      <c r="Y2406" t="s">
        <v>194</v>
      </c>
      <c r="Z2406" t="s">
        <v>65</v>
      </c>
    </row>
    <row r="2407" spans="1:26" x14ac:dyDescent="0.3">
      <c r="A2407">
        <v>10425</v>
      </c>
      <c r="B2407">
        <v>18</v>
      </c>
      <c r="C2407">
        <v>100</v>
      </c>
      <c r="D2407">
        <v>2</v>
      </c>
      <c r="E2407">
        <v>1895.94</v>
      </c>
      <c r="F2407" s="1">
        <v>38503</v>
      </c>
      <c r="G2407" t="s">
        <v>314</v>
      </c>
      <c r="H2407">
        <v>2</v>
      </c>
      <c r="I2407">
        <v>5</v>
      </c>
      <c r="J2407" t="str">
        <f>TEXT(DATE(2012,Table1[[#This Row],[MONTH_ID]],10),"mmm")</f>
        <v>May</v>
      </c>
      <c r="K2407">
        <v>2005</v>
      </c>
      <c r="L2407" t="s">
        <v>518</v>
      </c>
      <c r="M2407">
        <v>115</v>
      </c>
      <c r="N2407" t="s">
        <v>672</v>
      </c>
      <c r="O2407" t="s">
        <v>128</v>
      </c>
      <c r="P2407" t="s">
        <v>129</v>
      </c>
      <c r="Q2407" t="s">
        <v>130</v>
      </c>
      <c r="S2407" t="s">
        <v>131</v>
      </c>
      <c r="U2407">
        <v>44000</v>
      </c>
      <c r="V2407" t="s">
        <v>55</v>
      </c>
      <c r="W2407" t="s">
        <v>56</v>
      </c>
      <c r="X2407" t="s">
        <v>132</v>
      </c>
      <c r="Y2407" t="s">
        <v>133</v>
      </c>
      <c r="Z2407" t="s">
        <v>50</v>
      </c>
    </row>
    <row r="2408" spans="1:26" x14ac:dyDescent="0.3">
      <c r="A2408">
        <v>10104</v>
      </c>
      <c r="B2408">
        <v>32</v>
      </c>
      <c r="C2408">
        <v>53.31</v>
      </c>
      <c r="D2408">
        <v>2</v>
      </c>
      <c r="E2408">
        <v>1705.92</v>
      </c>
      <c r="F2408" s="1">
        <v>37652</v>
      </c>
      <c r="G2408" t="s">
        <v>39</v>
      </c>
      <c r="H2408">
        <v>1</v>
      </c>
      <c r="I2408">
        <v>1</v>
      </c>
      <c r="J2408" t="str">
        <f>TEXT(DATE(2012,Table1[[#This Row],[MONTH_ID]],10),"mmm")</f>
        <v>Jan</v>
      </c>
      <c r="K2408">
        <v>2003</v>
      </c>
      <c r="L2408" t="s">
        <v>619</v>
      </c>
      <c r="M2408">
        <v>58</v>
      </c>
      <c r="N2408" t="s">
        <v>673</v>
      </c>
      <c r="O2408" t="s">
        <v>188</v>
      </c>
      <c r="P2408" t="s">
        <v>189</v>
      </c>
      <c r="Q2408" t="s">
        <v>190</v>
      </c>
      <c r="S2408" t="s">
        <v>191</v>
      </c>
      <c r="U2408">
        <v>28034</v>
      </c>
      <c r="V2408" t="s">
        <v>192</v>
      </c>
      <c r="W2408" t="s">
        <v>56</v>
      </c>
      <c r="X2408" t="s">
        <v>193</v>
      </c>
      <c r="Y2408" t="s">
        <v>194</v>
      </c>
      <c r="Z2408" t="s">
        <v>50</v>
      </c>
    </row>
    <row r="2409" spans="1:26" x14ac:dyDescent="0.3">
      <c r="A2409">
        <v>10117</v>
      </c>
      <c r="B2409">
        <v>21</v>
      </c>
      <c r="C2409">
        <v>49.21</v>
      </c>
      <c r="D2409">
        <v>11</v>
      </c>
      <c r="E2409">
        <v>1033.4100000000001</v>
      </c>
      <c r="F2409" s="1">
        <v>37727</v>
      </c>
      <c r="G2409" t="s">
        <v>39</v>
      </c>
      <c r="H2409">
        <v>2</v>
      </c>
      <c r="I2409">
        <v>4</v>
      </c>
      <c r="J2409" t="str">
        <f>TEXT(DATE(2012,Table1[[#This Row],[MONTH_ID]],10),"mmm")</f>
        <v>Apr</v>
      </c>
      <c r="K2409">
        <v>2003</v>
      </c>
      <c r="L2409" t="s">
        <v>619</v>
      </c>
      <c r="M2409">
        <v>58</v>
      </c>
      <c r="N2409" t="s">
        <v>673</v>
      </c>
      <c r="O2409" t="s">
        <v>210</v>
      </c>
      <c r="P2409" t="s">
        <v>211</v>
      </c>
      <c r="Q2409" t="s">
        <v>212</v>
      </c>
      <c r="S2409" t="s">
        <v>213</v>
      </c>
      <c r="U2409">
        <v>79903</v>
      </c>
      <c r="V2409" t="s">
        <v>213</v>
      </c>
      <c r="W2409" t="s">
        <v>214</v>
      </c>
      <c r="X2409" t="s">
        <v>215</v>
      </c>
      <c r="Y2409" t="s">
        <v>216</v>
      </c>
      <c r="Z2409" t="s">
        <v>50</v>
      </c>
    </row>
    <row r="2410" spans="1:26" x14ac:dyDescent="0.3">
      <c r="A2410">
        <v>10127</v>
      </c>
      <c r="B2410">
        <v>46</v>
      </c>
      <c r="C2410">
        <v>69.12</v>
      </c>
      <c r="D2410">
        <v>4</v>
      </c>
      <c r="E2410">
        <v>3179.52</v>
      </c>
      <c r="F2410" s="1">
        <v>37775</v>
      </c>
      <c r="G2410" t="s">
        <v>39</v>
      </c>
      <c r="H2410">
        <v>2</v>
      </c>
      <c r="I2410">
        <v>6</v>
      </c>
      <c r="J2410" t="str">
        <f>TEXT(DATE(2012,Table1[[#This Row],[MONTH_ID]],10),"mmm")</f>
        <v>Jun</v>
      </c>
      <c r="K2410">
        <v>2003</v>
      </c>
      <c r="L2410" t="s">
        <v>619</v>
      </c>
      <c r="M2410">
        <v>58</v>
      </c>
      <c r="N2410" t="s">
        <v>673</v>
      </c>
      <c r="O2410" t="s">
        <v>489</v>
      </c>
      <c r="P2410">
        <v>2125557413</v>
      </c>
      <c r="Q2410" t="s">
        <v>490</v>
      </c>
      <c r="R2410" t="s">
        <v>491</v>
      </c>
      <c r="S2410" t="s">
        <v>44</v>
      </c>
      <c r="T2410" t="s">
        <v>45</v>
      </c>
      <c r="U2410">
        <v>10022</v>
      </c>
      <c r="V2410" t="s">
        <v>46</v>
      </c>
      <c r="W2410" t="s">
        <v>47</v>
      </c>
      <c r="X2410" t="s">
        <v>70</v>
      </c>
      <c r="Y2410" t="s">
        <v>492</v>
      </c>
      <c r="Z2410" t="s">
        <v>65</v>
      </c>
    </row>
    <row r="2411" spans="1:26" x14ac:dyDescent="0.3">
      <c r="A2411">
        <v>10142</v>
      </c>
      <c r="B2411">
        <v>42</v>
      </c>
      <c r="C2411">
        <v>49.79</v>
      </c>
      <c r="D2411">
        <v>14</v>
      </c>
      <c r="E2411">
        <v>2091.1799999999998</v>
      </c>
      <c r="F2411" s="1">
        <v>37841</v>
      </c>
      <c r="G2411" t="s">
        <v>39</v>
      </c>
      <c r="H2411">
        <v>3</v>
      </c>
      <c r="I2411">
        <v>8</v>
      </c>
      <c r="J2411" t="str">
        <f>TEXT(DATE(2012,Table1[[#This Row],[MONTH_ID]],10),"mmm")</f>
        <v>Aug</v>
      </c>
      <c r="K2411">
        <v>2003</v>
      </c>
      <c r="L2411" t="s">
        <v>619</v>
      </c>
      <c r="M2411">
        <v>58</v>
      </c>
      <c r="N2411" t="s">
        <v>673</v>
      </c>
      <c r="O2411" t="s">
        <v>286</v>
      </c>
      <c r="P2411">
        <v>4155551450</v>
      </c>
      <c r="Q2411" t="s">
        <v>287</v>
      </c>
      <c r="S2411" t="s">
        <v>288</v>
      </c>
      <c r="T2411" t="s">
        <v>69</v>
      </c>
      <c r="U2411">
        <v>97562</v>
      </c>
      <c r="V2411" t="s">
        <v>46</v>
      </c>
      <c r="W2411" t="s">
        <v>47</v>
      </c>
      <c r="X2411" t="s">
        <v>289</v>
      </c>
      <c r="Y2411" t="s">
        <v>290</v>
      </c>
      <c r="Z2411" t="s">
        <v>50</v>
      </c>
    </row>
    <row r="2412" spans="1:26" x14ac:dyDescent="0.3">
      <c r="A2412">
        <v>10153</v>
      </c>
      <c r="B2412">
        <v>31</v>
      </c>
      <c r="C2412">
        <v>57.41</v>
      </c>
      <c r="D2412">
        <v>13</v>
      </c>
      <c r="E2412">
        <v>1779.71</v>
      </c>
      <c r="F2412" s="1">
        <v>37892</v>
      </c>
      <c r="G2412" t="s">
        <v>39</v>
      </c>
      <c r="H2412">
        <v>3</v>
      </c>
      <c r="I2412">
        <v>9</v>
      </c>
      <c r="J2412" t="str">
        <f>TEXT(DATE(2012,Table1[[#This Row],[MONTH_ID]],10),"mmm")</f>
        <v>Sep</v>
      </c>
      <c r="K2412">
        <v>2003</v>
      </c>
      <c r="L2412" t="s">
        <v>619</v>
      </c>
      <c r="M2412">
        <v>58</v>
      </c>
      <c r="N2412" t="s">
        <v>673</v>
      </c>
      <c r="O2412" t="s">
        <v>188</v>
      </c>
      <c r="P2412" t="s">
        <v>189</v>
      </c>
      <c r="Q2412" t="s">
        <v>190</v>
      </c>
      <c r="S2412" t="s">
        <v>191</v>
      </c>
      <c r="U2412">
        <v>28034</v>
      </c>
      <c r="V2412" t="s">
        <v>192</v>
      </c>
      <c r="W2412" t="s">
        <v>56</v>
      </c>
      <c r="X2412" t="s">
        <v>193</v>
      </c>
      <c r="Y2412" t="s">
        <v>194</v>
      </c>
      <c r="Z2412" t="s">
        <v>50</v>
      </c>
    </row>
    <row r="2413" spans="1:26" x14ac:dyDescent="0.3">
      <c r="A2413">
        <v>10165</v>
      </c>
      <c r="B2413">
        <v>38</v>
      </c>
      <c r="C2413">
        <v>66.78</v>
      </c>
      <c r="D2413">
        <v>5</v>
      </c>
      <c r="E2413">
        <v>2537.64</v>
      </c>
      <c r="F2413" s="1">
        <v>37916</v>
      </c>
      <c r="G2413" t="s">
        <v>39</v>
      </c>
      <c r="H2413">
        <v>4</v>
      </c>
      <c r="I2413">
        <v>10</v>
      </c>
      <c r="J2413" t="str">
        <f>TEXT(DATE(2012,Table1[[#This Row],[MONTH_ID]],10),"mmm")</f>
        <v>Oct</v>
      </c>
      <c r="K2413">
        <v>2003</v>
      </c>
      <c r="L2413" t="s">
        <v>619</v>
      </c>
      <c r="M2413">
        <v>58</v>
      </c>
      <c r="N2413" t="s">
        <v>673</v>
      </c>
      <c r="O2413" t="s">
        <v>210</v>
      </c>
      <c r="P2413" t="s">
        <v>211</v>
      </c>
      <c r="Q2413" t="s">
        <v>212</v>
      </c>
      <c r="S2413" t="s">
        <v>213</v>
      </c>
      <c r="U2413">
        <v>79903</v>
      </c>
      <c r="V2413" t="s">
        <v>213</v>
      </c>
      <c r="W2413" t="s">
        <v>214</v>
      </c>
      <c r="X2413" t="s">
        <v>215</v>
      </c>
      <c r="Y2413" t="s">
        <v>216</v>
      </c>
      <c r="Z2413" t="s">
        <v>50</v>
      </c>
    </row>
    <row r="2414" spans="1:26" x14ac:dyDescent="0.3">
      <c r="A2414">
        <v>10176</v>
      </c>
      <c r="B2414">
        <v>38</v>
      </c>
      <c r="C2414">
        <v>64.44</v>
      </c>
      <c r="D2414">
        <v>4</v>
      </c>
      <c r="E2414">
        <v>2448.7199999999998</v>
      </c>
      <c r="F2414" s="1">
        <v>37931</v>
      </c>
      <c r="G2414" t="s">
        <v>39</v>
      </c>
      <c r="H2414">
        <v>4</v>
      </c>
      <c r="I2414">
        <v>11</v>
      </c>
      <c r="J2414" t="str">
        <f>TEXT(DATE(2012,Table1[[#This Row],[MONTH_ID]],10),"mmm")</f>
        <v>Nov</v>
      </c>
      <c r="K2414">
        <v>2003</v>
      </c>
      <c r="L2414" t="s">
        <v>619</v>
      </c>
      <c r="M2414">
        <v>58</v>
      </c>
      <c r="N2414" t="s">
        <v>673</v>
      </c>
      <c r="O2414" t="s">
        <v>466</v>
      </c>
      <c r="P2414" t="s">
        <v>467</v>
      </c>
      <c r="Q2414" t="s">
        <v>468</v>
      </c>
      <c r="S2414" t="s">
        <v>469</v>
      </c>
      <c r="U2414">
        <v>42100</v>
      </c>
      <c r="V2414" t="s">
        <v>272</v>
      </c>
      <c r="W2414" t="s">
        <v>56</v>
      </c>
      <c r="X2414" t="s">
        <v>470</v>
      </c>
      <c r="Y2414" t="s">
        <v>471</v>
      </c>
      <c r="Z2414" t="s">
        <v>50</v>
      </c>
    </row>
    <row r="2415" spans="1:26" x14ac:dyDescent="0.3">
      <c r="A2415">
        <v>10185</v>
      </c>
      <c r="B2415">
        <v>20</v>
      </c>
      <c r="C2415">
        <v>48.62</v>
      </c>
      <c r="D2415">
        <v>15</v>
      </c>
      <c r="E2415">
        <v>972.4</v>
      </c>
      <c r="F2415" s="1">
        <v>37939</v>
      </c>
      <c r="G2415" t="s">
        <v>39</v>
      </c>
      <c r="H2415">
        <v>4</v>
      </c>
      <c r="I2415">
        <v>11</v>
      </c>
      <c r="J2415" t="str">
        <f>TEXT(DATE(2012,Table1[[#This Row],[MONTH_ID]],10),"mmm")</f>
        <v>Nov</v>
      </c>
      <c r="K2415">
        <v>2003</v>
      </c>
      <c r="L2415" t="s">
        <v>619</v>
      </c>
      <c r="M2415">
        <v>58</v>
      </c>
      <c r="N2415" t="s">
        <v>673</v>
      </c>
      <c r="O2415" t="s">
        <v>349</v>
      </c>
      <c r="P2415">
        <v>5085559555</v>
      </c>
      <c r="Q2415" t="s">
        <v>350</v>
      </c>
      <c r="S2415" t="s">
        <v>176</v>
      </c>
      <c r="T2415" t="s">
        <v>137</v>
      </c>
      <c r="U2415">
        <v>50553</v>
      </c>
      <c r="V2415" t="s">
        <v>46</v>
      </c>
      <c r="W2415" t="s">
        <v>47</v>
      </c>
      <c r="X2415" t="s">
        <v>351</v>
      </c>
      <c r="Y2415" t="s">
        <v>352</v>
      </c>
      <c r="Z2415" t="s">
        <v>50</v>
      </c>
    </row>
    <row r="2416" spans="1:26" x14ac:dyDescent="0.3">
      <c r="A2416">
        <v>10196</v>
      </c>
      <c r="B2416">
        <v>46</v>
      </c>
      <c r="C2416">
        <v>62.09</v>
      </c>
      <c r="D2416">
        <v>7</v>
      </c>
      <c r="E2416">
        <v>2856.14</v>
      </c>
      <c r="F2416" s="1">
        <v>37951</v>
      </c>
      <c r="G2416" t="s">
        <v>39</v>
      </c>
      <c r="H2416">
        <v>4</v>
      </c>
      <c r="I2416">
        <v>11</v>
      </c>
      <c r="J2416" t="str">
        <f>TEXT(DATE(2012,Table1[[#This Row],[MONTH_ID]],10),"mmm")</f>
        <v>Nov</v>
      </c>
      <c r="K2416">
        <v>2003</v>
      </c>
      <c r="L2416" t="s">
        <v>619</v>
      </c>
      <c r="M2416">
        <v>58</v>
      </c>
      <c r="N2416" t="s">
        <v>673</v>
      </c>
      <c r="O2416" t="s">
        <v>256</v>
      </c>
      <c r="P2416">
        <v>2035559545</v>
      </c>
      <c r="Q2416" t="s">
        <v>257</v>
      </c>
      <c r="S2416" t="s">
        <v>258</v>
      </c>
      <c r="T2416" t="s">
        <v>126</v>
      </c>
      <c r="U2416">
        <v>97823</v>
      </c>
      <c r="V2416" t="s">
        <v>46</v>
      </c>
      <c r="W2416" t="s">
        <v>47</v>
      </c>
      <c r="X2416" t="s">
        <v>97</v>
      </c>
      <c r="Y2416" t="s">
        <v>259</v>
      </c>
      <c r="Z2416" t="s">
        <v>50</v>
      </c>
    </row>
    <row r="2417" spans="1:26" x14ac:dyDescent="0.3">
      <c r="A2417">
        <v>10208</v>
      </c>
      <c r="B2417">
        <v>30</v>
      </c>
      <c r="C2417">
        <v>65.61</v>
      </c>
      <c r="D2417">
        <v>15</v>
      </c>
      <c r="E2417">
        <v>1968.3</v>
      </c>
      <c r="F2417" s="1">
        <v>37988</v>
      </c>
      <c r="G2417" t="s">
        <v>39</v>
      </c>
      <c r="H2417">
        <v>1</v>
      </c>
      <c r="I2417">
        <v>1</v>
      </c>
      <c r="J2417" t="str">
        <f>TEXT(DATE(2012,Table1[[#This Row],[MONTH_ID]],10),"mmm")</f>
        <v>Jan</v>
      </c>
      <c r="K2417">
        <v>2004</v>
      </c>
      <c r="L2417" t="s">
        <v>619</v>
      </c>
      <c r="M2417">
        <v>58</v>
      </c>
      <c r="N2417" t="s">
        <v>673</v>
      </c>
      <c r="O2417" t="s">
        <v>233</v>
      </c>
      <c r="P2417" t="s">
        <v>234</v>
      </c>
      <c r="Q2417" t="s">
        <v>235</v>
      </c>
      <c r="S2417" t="s">
        <v>236</v>
      </c>
      <c r="U2417">
        <v>69004</v>
      </c>
      <c r="V2417" t="s">
        <v>55</v>
      </c>
      <c r="W2417" t="s">
        <v>56</v>
      </c>
      <c r="X2417" t="s">
        <v>237</v>
      </c>
      <c r="Y2417" t="s">
        <v>238</v>
      </c>
      <c r="Z2417" t="s">
        <v>50</v>
      </c>
    </row>
    <row r="2418" spans="1:26" x14ac:dyDescent="0.3">
      <c r="A2418">
        <v>10220</v>
      </c>
      <c r="B2418">
        <v>30</v>
      </c>
      <c r="C2418">
        <v>68.540000000000006</v>
      </c>
      <c r="D2418">
        <v>4</v>
      </c>
      <c r="E2418">
        <v>2056.1999999999998</v>
      </c>
      <c r="F2418" s="1">
        <v>38029</v>
      </c>
      <c r="G2418" t="s">
        <v>39</v>
      </c>
      <c r="H2418">
        <v>1</v>
      </c>
      <c r="I2418">
        <v>2</v>
      </c>
      <c r="J2418" t="str">
        <f>TEXT(DATE(2012,Table1[[#This Row],[MONTH_ID]],10),"mmm")</f>
        <v>Feb</v>
      </c>
      <c r="K2418">
        <v>2004</v>
      </c>
      <c r="L2418" t="s">
        <v>619</v>
      </c>
      <c r="M2418">
        <v>58</v>
      </c>
      <c r="N2418" t="s">
        <v>673</v>
      </c>
      <c r="O2418" t="s">
        <v>493</v>
      </c>
      <c r="P2418" t="s">
        <v>494</v>
      </c>
      <c r="Q2418" t="s">
        <v>495</v>
      </c>
      <c r="R2418" t="s">
        <v>496</v>
      </c>
      <c r="S2418" t="s">
        <v>497</v>
      </c>
      <c r="U2418">
        <v>2</v>
      </c>
      <c r="V2418" t="s">
        <v>498</v>
      </c>
      <c r="W2418" t="s">
        <v>56</v>
      </c>
      <c r="X2418" t="s">
        <v>499</v>
      </c>
      <c r="Y2418" t="s">
        <v>500</v>
      </c>
      <c r="Z2418" t="s">
        <v>50</v>
      </c>
    </row>
    <row r="2419" spans="1:26" x14ac:dyDescent="0.3">
      <c r="A2419">
        <v>10230</v>
      </c>
      <c r="B2419">
        <v>43</v>
      </c>
      <c r="C2419">
        <v>52.14</v>
      </c>
      <c r="D2419">
        <v>2</v>
      </c>
      <c r="E2419">
        <v>2242.02</v>
      </c>
      <c r="F2419" s="1">
        <v>38061</v>
      </c>
      <c r="G2419" t="s">
        <v>39</v>
      </c>
      <c r="H2419">
        <v>1</v>
      </c>
      <c r="I2419">
        <v>3</v>
      </c>
      <c r="J2419" t="str">
        <f>TEXT(DATE(2012,Table1[[#This Row],[MONTH_ID]],10),"mmm")</f>
        <v>Mar</v>
      </c>
      <c r="K2419">
        <v>2004</v>
      </c>
      <c r="L2419" t="s">
        <v>619</v>
      </c>
      <c r="M2419">
        <v>58</v>
      </c>
      <c r="N2419" t="s">
        <v>673</v>
      </c>
      <c r="O2419" t="s">
        <v>476</v>
      </c>
      <c r="P2419" t="s">
        <v>477</v>
      </c>
      <c r="Q2419" t="s">
        <v>478</v>
      </c>
      <c r="S2419" t="s">
        <v>479</v>
      </c>
      <c r="U2419">
        <v>60528</v>
      </c>
      <c r="V2419" t="s">
        <v>457</v>
      </c>
      <c r="W2419" t="s">
        <v>56</v>
      </c>
      <c r="X2419" t="s">
        <v>480</v>
      </c>
      <c r="Y2419" t="s">
        <v>428</v>
      </c>
      <c r="Z2419" t="s">
        <v>50</v>
      </c>
    </row>
    <row r="2420" spans="1:26" x14ac:dyDescent="0.3">
      <c r="A2420">
        <v>10247</v>
      </c>
      <c r="B2420">
        <v>49</v>
      </c>
      <c r="C2420">
        <v>63.85</v>
      </c>
      <c r="D2420">
        <v>4</v>
      </c>
      <c r="E2420">
        <v>3128.65</v>
      </c>
      <c r="F2420" s="1">
        <v>38112</v>
      </c>
      <c r="G2420" t="s">
        <v>39</v>
      </c>
      <c r="H2420">
        <v>2</v>
      </c>
      <c r="I2420">
        <v>5</v>
      </c>
      <c r="J2420" t="str">
        <f>TEXT(DATE(2012,Table1[[#This Row],[MONTH_ID]],10),"mmm")</f>
        <v>May</v>
      </c>
      <c r="K2420">
        <v>2004</v>
      </c>
      <c r="L2420" t="s">
        <v>619</v>
      </c>
      <c r="M2420">
        <v>58</v>
      </c>
      <c r="N2420" t="s">
        <v>673</v>
      </c>
      <c r="O2420" t="s">
        <v>481</v>
      </c>
      <c r="P2420" t="s">
        <v>482</v>
      </c>
      <c r="Q2420" t="s">
        <v>483</v>
      </c>
      <c r="S2420" t="s">
        <v>484</v>
      </c>
      <c r="U2420" t="s">
        <v>485</v>
      </c>
      <c r="V2420" t="s">
        <v>144</v>
      </c>
      <c r="W2420" t="s">
        <v>56</v>
      </c>
      <c r="X2420" t="s">
        <v>486</v>
      </c>
      <c r="Y2420" t="s">
        <v>487</v>
      </c>
      <c r="Z2420" t="s">
        <v>65</v>
      </c>
    </row>
    <row r="2421" spans="1:26" x14ac:dyDescent="0.3">
      <c r="A2421">
        <v>10272</v>
      </c>
      <c r="B2421">
        <v>43</v>
      </c>
      <c r="C2421">
        <v>56.82</v>
      </c>
      <c r="D2421">
        <v>4</v>
      </c>
      <c r="E2421">
        <v>2443.2600000000002</v>
      </c>
      <c r="F2421" s="1">
        <v>38188</v>
      </c>
      <c r="G2421" t="s">
        <v>39</v>
      </c>
      <c r="H2421">
        <v>3</v>
      </c>
      <c r="I2421">
        <v>7</v>
      </c>
      <c r="J2421" t="str">
        <f>TEXT(DATE(2012,Table1[[#This Row],[MONTH_ID]],10),"mmm")</f>
        <v>Jul</v>
      </c>
      <c r="K2421">
        <v>2004</v>
      </c>
      <c r="L2421" t="s">
        <v>619</v>
      </c>
      <c r="M2421">
        <v>58</v>
      </c>
      <c r="N2421" t="s">
        <v>673</v>
      </c>
      <c r="O2421" t="s">
        <v>153</v>
      </c>
      <c r="P2421">
        <v>2155551555</v>
      </c>
      <c r="Q2421" t="s">
        <v>154</v>
      </c>
      <c r="S2421" t="s">
        <v>155</v>
      </c>
      <c r="T2421" t="s">
        <v>156</v>
      </c>
      <c r="U2421">
        <v>70267</v>
      </c>
      <c r="V2421" t="s">
        <v>46</v>
      </c>
      <c r="W2421" t="s">
        <v>47</v>
      </c>
      <c r="X2421" t="s">
        <v>48</v>
      </c>
      <c r="Y2421" t="s">
        <v>157</v>
      </c>
      <c r="Z2421" t="s">
        <v>50</v>
      </c>
    </row>
    <row r="2422" spans="1:26" x14ac:dyDescent="0.3">
      <c r="A2422">
        <v>10282</v>
      </c>
      <c r="B2422">
        <v>37</v>
      </c>
      <c r="C2422">
        <v>66.78</v>
      </c>
      <c r="D2422">
        <v>7</v>
      </c>
      <c r="E2422">
        <v>2470.86</v>
      </c>
      <c r="F2422" s="1">
        <v>38219</v>
      </c>
      <c r="G2422" t="s">
        <v>39</v>
      </c>
      <c r="H2422">
        <v>3</v>
      </c>
      <c r="I2422">
        <v>8</v>
      </c>
      <c r="J2422" t="str">
        <f>TEXT(DATE(2012,Table1[[#This Row],[MONTH_ID]],10),"mmm")</f>
        <v>Aug</v>
      </c>
      <c r="K2422">
        <v>2004</v>
      </c>
      <c r="L2422" t="s">
        <v>619</v>
      </c>
      <c r="M2422">
        <v>58</v>
      </c>
      <c r="N2422" t="s">
        <v>673</v>
      </c>
      <c r="O2422" t="s">
        <v>286</v>
      </c>
      <c r="P2422">
        <v>4155551450</v>
      </c>
      <c r="Q2422" t="s">
        <v>287</v>
      </c>
      <c r="S2422" t="s">
        <v>288</v>
      </c>
      <c r="T2422" t="s">
        <v>69</v>
      </c>
      <c r="U2422">
        <v>97562</v>
      </c>
      <c r="V2422" t="s">
        <v>46</v>
      </c>
      <c r="W2422" t="s">
        <v>47</v>
      </c>
      <c r="X2422" t="s">
        <v>289</v>
      </c>
      <c r="Y2422" t="s">
        <v>290</v>
      </c>
      <c r="Z2422" t="s">
        <v>50</v>
      </c>
    </row>
    <row r="2423" spans="1:26" x14ac:dyDescent="0.3">
      <c r="A2423">
        <v>10292</v>
      </c>
      <c r="B2423">
        <v>35</v>
      </c>
      <c r="C2423">
        <v>55.07</v>
      </c>
      <c r="D2423">
        <v>1</v>
      </c>
      <c r="E2423">
        <v>1927.45</v>
      </c>
      <c r="F2423" s="1">
        <v>38238</v>
      </c>
      <c r="G2423" t="s">
        <v>39</v>
      </c>
      <c r="H2423">
        <v>3</v>
      </c>
      <c r="I2423">
        <v>9</v>
      </c>
      <c r="J2423" t="str">
        <f>TEXT(DATE(2012,Table1[[#This Row],[MONTH_ID]],10),"mmm")</f>
        <v>Sep</v>
      </c>
      <c r="K2423">
        <v>2004</v>
      </c>
      <c r="L2423" t="s">
        <v>619</v>
      </c>
      <c r="M2423">
        <v>58</v>
      </c>
      <c r="N2423" t="s">
        <v>673</v>
      </c>
      <c r="O2423" t="s">
        <v>42</v>
      </c>
      <c r="P2423">
        <v>2125557818</v>
      </c>
      <c r="Q2423" t="s">
        <v>43</v>
      </c>
      <c r="S2423" t="s">
        <v>44</v>
      </c>
      <c r="T2423" t="s">
        <v>45</v>
      </c>
      <c r="U2423">
        <v>10022</v>
      </c>
      <c r="V2423" t="s">
        <v>46</v>
      </c>
      <c r="W2423" t="s">
        <v>47</v>
      </c>
      <c r="X2423" t="s">
        <v>48</v>
      </c>
      <c r="Y2423" t="s">
        <v>49</v>
      </c>
      <c r="Z2423" t="s">
        <v>50</v>
      </c>
    </row>
    <row r="2424" spans="1:26" x14ac:dyDescent="0.3">
      <c r="A2424">
        <v>10306</v>
      </c>
      <c r="B2424">
        <v>34</v>
      </c>
      <c r="C2424">
        <v>60.34</v>
      </c>
      <c r="D2424">
        <v>15</v>
      </c>
      <c r="E2424">
        <v>2051.56</v>
      </c>
      <c r="F2424" s="1">
        <v>38274</v>
      </c>
      <c r="G2424" t="s">
        <v>39</v>
      </c>
      <c r="H2424">
        <v>4</v>
      </c>
      <c r="I2424">
        <v>10</v>
      </c>
      <c r="J2424" t="str">
        <f>TEXT(DATE(2012,Table1[[#This Row],[MONTH_ID]],10),"mmm")</f>
        <v>Oct</v>
      </c>
      <c r="K2424">
        <v>2004</v>
      </c>
      <c r="L2424" t="s">
        <v>619</v>
      </c>
      <c r="M2424">
        <v>58</v>
      </c>
      <c r="N2424" t="s">
        <v>673</v>
      </c>
      <c r="O2424" t="s">
        <v>506</v>
      </c>
      <c r="P2424" t="s">
        <v>507</v>
      </c>
      <c r="Q2424" t="s">
        <v>508</v>
      </c>
      <c r="S2424" t="s">
        <v>509</v>
      </c>
      <c r="U2424" t="s">
        <v>510</v>
      </c>
      <c r="V2424" t="s">
        <v>184</v>
      </c>
      <c r="W2424" t="s">
        <v>56</v>
      </c>
      <c r="X2424" t="s">
        <v>511</v>
      </c>
      <c r="Y2424" t="s">
        <v>108</v>
      </c>
      <c r="Z2424" t="s">
        <v>50</v>
      </c>
    </row>
    <row r="2425" spans="1:26" x14ac:dyDescent="0.3">
      <c r="A2425">
        <v>10314</v>
      </c>
      <c r="B2425">
        <v>38</v>
      </c>
      <c r="C2425">
        <v>61.51</v>
      </c>
      <c r="D2425">
        <v>7</v>
      </c>
      <c r="E2425">
        <v>2337.38</v>
      </c>
      <c r="F2425" s="1">
        <v>38282</v>
      </c>
      <c r="G2425" t="s">
        <v>39</v>
      </c>
      <c r="H2425">
        <v>4</v>
      </c>
      <c r="I2425">
        <v>10</v>
      </c>
      <c r="J2425" t="str">
        <f>TEXT(DATE(2012,Table1[[#This Row],[MONTH_ID]],10),"mmm")</f>
        <v>Oct</v>
      </c>
      <c r="K2425">
        <v>2004</v>
      </c>
      <c r="L2425" t="s">
        <v>619</v>
      </c>
      <c r="M2425">
        <v>58</v>
      </c>
      <c r="N2425" t="s">
        <v>673</v>
      </c>
      <c r="O2425" t="s">
        <v>512</v>
      </c>
      <c r="P2425" t="s">
        <v>513</v>
      </c>
      <c r="Q2425" t="s">
        <v>514</v>
      </c>
      <c r="S2425" t="s">
        <v>515</v>
      </c>
      <c r="U2425">
        <v>8200</v>
      </c>
      <c r="V2425" t="s">
        <v>340</v>
      </c>
      <c r="W2425" t="s">
        <v>56</v>
      </c>
      <c r="X2425" t="s">
        <v>516</v>
      </c>
      <c r="Y2425" t="s">
        <v>517</v>
      </c>
      <c r="Z2425" t="s">
        <v>50</v>
      </c>
    </row>
    <row r="2426" spans="1:26" x14ac:dyDescent="0.3">
      <c r="A2426">
        <v>10325</v>
      </c>
      <c r="B2426">
        <v>44</v>
      </c>
      <c r="C2426">
        <v>100</v>
      </c>
      <c r="D2426">
        <v>7</v>
      </c>
      <c r="E2426">
        <v>5932.96</v>
      </c>
      <c r="F2426" s="1">
        <v>38296</v>
      </c>
      <c r="G2426" t="s">
        <v>39</v>
      </c>
      <c r="H2426">
        <v>4</v>
      </c>
      <c r="I2426">
        <v>11</v>
      </c>
      <c r="J2426" t="str">
        <f>TEXT(DATE(2012,Table1[[#This Row],[MONTH_ID]],10),"mmm")</f>
        <v>Nov</v>
      </c>
      <c r="K2426">
        <v>2004</v>
      </c>
      <c r="L2426" t="s">
        <v>619</v>
      </c>
      <c r="M2426">
        <v>58</v>
      </c>
      <c r="N2426" t="s">
        <v>673</v>
      </c>
      <c r="O2426" t="s">
        <v>147</v>
      </c>
      <c r="P2426" t="s">
        <v>148</v>
      </c>
      <c r="Q2426" t="s">
        <v>149</v>
      </c>
      <c r="S2426" t="s">
        <v>150</v>
      </c>
      <c r="U2426">
        <v>4110</v>
      </c>
      <c r="V2426" t="s">
        <v>92</v>
      </c>
      <c r="W2426" t="s">
        <v>56</v>
      </c>
      <c r="X2426" t="s">
        <v>151</v>
      </c>
      <c r="Y2426" t="s">
        <v>152</v>
      </c>
      <c r="Z2426" t="s">
        <v>65</v>
      </c>
    </row>
    <row r="2427" spans="1:26" x14ac:dyDescent="0.3">
      <c r="A2427">
        <v>10337</v>
      </c>
      <c r="B2427">
        <v>21</v>
      </c>
      <c r="C2427">
        <v>100</v>
      </c>
      <c r="D2427">
        <v>6</v>
      </c>
      <c r="E2427">
        <v>2296.77</v>
      </c>
      <c r="F2427" s="1">
        <v>38312</v>
      </c>
      <c r="G2427" t="s">
        <v>39</v>
      </c>
      <c r="H2427">
        <v>4</v>
      </c>
      <c r="I2427">
        <v>11</v>
      </c>
      <c r="J2427" t="str">
        <f>TEXT(DATE(2012,Table1[[#This Row],[MONTH_ID]],10),"mmm")</f>
        <v>Nov</v>
      </c>
      <c r="K2427">
        <v>2004</v>
      </c>
      <c r="L2427" t="s">
        <v>619</v>
      </c>
      <c r="M2427">
        <v>58</v>
      </c>
      <c r="N2427" t="s">
        <v>673</v>
      </c>
      <c r="O2427" t="s">
        <v>217</v>
      </c>
      <c r="P2427">
        <v>2125558493</v>
      </c>
      <c r="Q2427" t="s">
        <v>218</v>
      </c>
      <c r="R2427" t="s">
        <v>219</v>
      </c>
      <c r="S2427" t="s">
        <v>44</v>
      </c>
      <c r="T2427" t="s">
        <v>45</v>
      </c>
      <c r="U2427">
        <v>10022</v>
      </c>
      <c r="V2427" t="s">
        <v>46</v>
      </c>
      <c r="W2427" t="s">
        <v>47</v>
      </c>
      <c r="X2427" t="s">
        <v>138</v>
      </c>
      <c r="Y2427" t="s">
        <v>220</v>
      </c>
      <c r="Z2427" t="s">
        <v>50</v>
      </c>
    </row>
    <row r="2428" spans="1:26" x14ac:dyDescent="0.3">
      <c r="A2428">
        <v>10350</v>
      </c>
      <c r="B2428">
        <v>44</v>
      </c>
      <c r="C2428">
        <v>100</v>
      </c>
      <c r="D2428">
        <v>17</v>
      </c>
      <c r="E2428">
        <v>6490.88</v>
      </c>
      <c r="F2428" s="1">
        <v>38323</v>
      </c>
      <c r="G2428" t="s">
        <v>39</v>
      </c>
      <c r="H2428">
        <v>4</v>
      </c>
      <c r="I2428">
        <v>12</v>
      </c>
      <c r="J2428" t="str">
        <f>TEXT(DATE(2012,Table1[[#This Row],[MONTH_ID]],10),"mmm")</f>
        <v>Dec</v>
      </c>
      <c r="K2428">
        <v>2004</v>
      </c>
      <c r="L2428" t="s">
        <v>619</v>
      </c>
      <c r="M2428">
        <v>58</v>
      </c>
      <c r="N2428" t="s">
        <v>673</v>
      </c>
      <c r="O2428" t="s">
        <v>188</v>
      </c>
      <c r="P2428" t="s">
        <v>189</v>
      </c>
      <c r="Q2428" t="s">
        <v>190</v>
      </c>
      <c r="S2428" t="s">
        <v>191</v>
      </c>
      <c r="U2428">
        <v>28034</v>
      </c>
      <c r="V2428" t="s">
        <v>192</v>
      </c>
      <c r="W2428" t="s">
        <v>56</v>
      </c>
      <c r="X2428" t="s">
        <v>193</v>
      </c>
      <c r="Y2428" t="s">
        <v>194</v>
      </c>
      <c r="Z2428" t="s">
        <v>65</v>
      </c>
    </row>
    <row r="2429" spans="1:26" x14ac:dyDescent="0.3">
      <c r="A2429">
        <v>10359</v>
      </c>
      <c r="B2429">
        <v>25</v>
      </c>
      <c r="C2429">
        <v>64.930000000000007</v>
      </c>
      <c r="D2429">
        <v>4</v>
      </c>
      <c r="E2429">
        <v>1623.25</v>
      </c>
      <c r="F2429" s="1">
        <v>38336</v>
      </c>
      <c r="G2429" t="s">
        <v>39</v>
      </c>
      <c r="H2429">
        <v>4</v>
      </c>
      <c r="I2429">
        <v>12</v>
      </c>
      <c r="J2429" t="str">
        <f>TEXT(DATE(2012,Table1[[#This Row],[MONTH_ID]],10),"mmm")</f>
        <v>Dec</v>
      </c>
      <c r="K2429">
        <v>2004</v>
      </c>
      <c r="L2429" t="s">
        <v>619</v>
      </c>
      <c r="M2429">
        <v>58</v>
      </c>
      <c r="N2429" t="s">
        <v>673</v>
      </c>
      <c r="O2429" t="s">
        <v>51</v>
      </c>
      <c r="P2429" t="s">
        <v>52</v>
      </c>
      <c r="Q2429" t="s">
        <v>53</v>
      </c>
      <c r="S2429" t="s">
        <v>54</v>
      </c>
      <c r="U2429">
        <v>51100</v>
      </c>
      <c r="V2429" t="s">
        <v>55</v>
      </c>
      <c r="W2429" t="s">
        <v>56</v>
      </c>
      <c r="X2429" t="s">
        <v>57</v>
      </c>
      <c r="Y2429" t="s">
        <v>58</v>
      </c>
      <c r="Z2429" t="s">
        <v>50</v>
      </c>
    </row>
    <row r="2430" spans="1:26" x14ac:dyDescent="0.3">
      <c r="A2430">
        <v>10372</v>
      </c>
      <c r="B2430">
        <v>24</v>
      </c>
      <c r="C2430">
        <v>58.58</v>
      </c>
      <c r="D2430">
        <v>9</v>
      </c>
      <c r="E2430">
        <v>1405.92</v>
      </c>
      <c r="F2430" s="1">
        <v>38378</v>
      </c>
      <c r="G2430" t="s">
        <v>39</v>
      </c>
      <c r="H2430">
        <v>1</v>
      </c>
      <c r="I2430">
        <v>1</v>
      </c>
      <c r="J2430" t="str">
        <f>TEXT(DATE(2012,Table1[[#This Row],[MONTH_ID]],10),"mmm")</f>
        <v>Jan</v>
      </c>
      <c r="K2430">
        <v>2005</v>
      </c>
      <c r="L2430" t="s">
        <v>619</v>
      </c>
      <c r="M2430">
        <v>58</v>
      </c>
      <c r="N2430" t="s">
        <v>673</v>
      </c>
      <c r="O2430" t="s">
        <v>260</v>
      </c>
      <c r="P2430" t="s">
        <v>261</v>
      </c>
      <c r="Q2430" t="s">
        <v>262</v>
      </c>
      <c r="S2430" t="s">
        <v>263</v>
      </c>
      <c r="T2430" t="s">
        <v>264</v>
      </c>
      <c r="U2430" t="s">
        <v>265</v>
      </c>
      <c r="V2430" t="s">
        <v>214</v>
      </c>
      <c r="W2430" t="s">
        <v>214</v>
      </c>
      <c r="X2430" t="s">
        <v>266</v>
      </c>
      <c r="Y2430" t="s">
        <v>267</v>
      </c>
      <c r="Z2430" t="s">
        <v>50</v>
      </c>
    </row>
    <row r="2431" spans="1:26" x14ac:dyDescent="0.3">
      <c r="A2431">
        <v>10383</v>
      </c>
      <c r="B2431">
        <v>38</v>
      </c>
      <c r="C2431">
        <v>60.06</v>
      </c>
      <c r="D2431">
        <v>10</v>
      </c>
      <c r="E2431">
        <v>2282.2800000000002</v>
      </c>
      <c r="F2431" s="1">
        <v>38405</v>
      </c>
      <c r="G2431" t="s">
        <v>39</v>
      </c>
      <c r="H2431">
        <v>1</v>
      </c>
      <c r="I2431">
        <v>2</v>
      </c>
      <c r="J2431" t="str">
        <f>TEXT(DATE(2012,Table1[[#This Row],[MONTH_ID]],10),"mmm")</f>
        <v>Feb</v>
      </c>
      <c r="K2431">
        <v>2005</v>
      </c>
      <c r="L2431" t="s">
        <v>619</v>
      </c>
      <c r="M2431">
        <v>58</v>
      </c>
      <c r="N2431" t="s">
        <v>673</v>
      </c>
      <c r="O2431" t="s">
        <v>188</v>
      </c>
      <c r="P2431" t="s">
        <v>189</v>
      </c>
      <c r="Q2431" t="s">
        <v>190</v>
      </c>
      <c r="S2431" t="s">
        <v>191</v>
      </c>
      <c r="U2431">
        <v>28034</v>
      </c>
      <c r="V2431" t="s">
        <v>192</v>
      </c>
      <c r="W2431" t="s">
        <v>56</v>
      </c>
      <c r="X2431" t="s">
        <v>193</v>
      </c>
      <c r="Y2431" t="s">
        <v>194</v>
      </c>
      <c r="Z2431" t="s">
        <v>50</v>
      </c>
    </row>
    <row r="2432" spans="1:26" x14ac:dyDescent="0.3">
      <c r="A2432">
        <v>10395</v>
      </c>
      <c r="B2432">
        <v>45</v>
      </c>
      <c r="C2432">
        <v>100</v>
      </c>
      <c r="D2432">
        <v>3</v>
      </c>
      <c r="E2432">
        <v>8977.0499999999993</v>
      </c>
      <c r="F2432" s="1">
        <v>38428</v>
      </c>
      <c r="G2432" t="s">
        <v>39</v>
      </c>
      <c r="H2432">
        <v>1</v>
      </c>
      <c r="I2432">
        <v>3</v>
      </c>
      <c r="J2432" t="str">
        <f>TEXT(DATE(2012,Table1[[#This Row],[MONTH_ID]],10),"mmm")</f>
        <v>Mar</v>
      </c>
      <c r="K2432">
        <v>2005</v>
      </c>
      <c r="L2432" t="s">
        <v>619</v>
      </c>
      <c r="M2432">
        <v>58</v>
      </c>
      <c r="N2432" t="s">
        <v>673</v>
      </c>
      <c r="O2432" t="s">
        <v>59</v>
      </c>
      <c r="P2432" t="s">
        <v>60</v>
      </c>
      <c r="Q2432" t="s">
        <v>61</v>
      </c>
      <c r="S2432" t="s">
        <v>62</v>
      </c>
      <c r="U2432">
        <v>75508</v>
      </c>
      <c r="V2432" t="s">
        <v>55</v>
      </c>
      <c r="W2432" t="s">
        <v>56</v>
      </c>
      <c r="X2432" t="s">
        <v>63</v>
      </c>
      <c r="Y2432" t="s">
        <v>64</v>
      </c>
      <c r="Z2432" t="s">
        <v>165</v>
      </c>
    </row>
    <row r="2433" spans="1:26" x14ac:dyDescent="0.3">
      <c r="A2433">
        <v>10413</v>
      </c>
      <c r="B2433">
        <v>51</v>
      </c>
      <c r="C2433">
        <v>63.85</v>
      </c>
      <c r="D2433">
        <v>4</v>
      </c>
      <c r="E2433">
        <v>3256.35</v>
      </c>
      <c r="F2433" s="1">
        <v>38477</v>
      </c>
      <c r="G2433" t="s">
        <v>39</v>
      </c>
      <c r="H2433">
        <v>2</v>
      </c>
      <c r="I2433">
        <v>5</v>
      </c>
      <c r="J2433" t="str">
        <f>TEXT(DATE(2012,Table1[[#This Row],[MONTH_ID]],10),"mmm")</f>
        <v>May</v>
      </c>
      <c r="K2433">
        <v>2005</v>
      </c>
      <c r="L2433" t="s">
        <v>619</v>
      </c>
      <c r="M2433">
        <v>58</v>
      </c>
      <c r="N2433" t="s">
        <v>673</v>
      </c>
      <c r="O2433" t="s">
        <v>123</v>
      </c>
      <c r="P2433">
        <v>2035552570</v>
      </c>
      <c r="Q2433" t="s">
        <v>124</v>
      </c>
      <c r="S2433" t="s">
        <v>125</v>
      </c>
      <c r="T2433" t="s">
        <v>126</v>
      </c>
      <c r="U2433">
        <v>97562</v>
      </c>
      <c r="V2433" t="s">
        <v>46</v>
      </c>
      <c r="W2433" t="s">
        <v>47</v>
      </c>
      <c r="X2433" t="s">
        <v>127</v>
      </c>
      <c r="Y2433" t="s">
        <v>71</v>
      </c>
      <c r="Z2433" t="s">
        <v>65</v>
      </c>
    </row>
    <row r="2434" spans="1:26" x14ac:dyDescent="0.3">
      <c r="A2434">
        <v>10108</v>
      </c>
      <c r="B2434">
        <v>34</v>
      </c>
      <c r="C2434">
        <v>82.99</v>
      </c>
      <c r="D2434">
        <v>14</v>
      </c>
      <c r="E2434">
        <v>2821.66</v>
      </c>
      <c r="F2434" s="1">
        <v>37683</v>
      </c>
      <c r="G2434" t="s">
        <v>39</v>
      </c>
      <c r="H2434">
        <v>1</v>
      </c>
      <c r="I2434">
        <v>3</v>
      </c>
      <c r="J2434" t="str">
        <f>TEXT(DATE(2012,Table1[[#This Row],[MONTH_ID]],10),"mmm")</f>
        <v>Mar</v>
      </c>
      <c r="K2434">
        <v>2003</v>
      </c>
      <c r="L2434" t="s">
        <v>40</v>
      </c>
      <c r="M2434">
        <v>81</v>
      </c>
      <c r="N2434" t="s">
        <v>674</v>
      </c>
      <c r="O2434" t="s">
        <v>439</v>
      </c>
      <c r="P2434" t="s">
        <v>440</v>
      </c>
      <c r="Q2434" t="s">
        <v>441</v>
      </c>
      <c r="S2434" t="s">
        <v>442</v>
      </c>
      <c r="U2434" t="s">
        <v>443</v>
      </c>
      <c r="V2434" t="s">
        <v>444</v>
      </c>
      <c r="W2434" t="s">
        <v>214</v>
      </c>
      <c r="X2434" t="s">
        <v>445</v>
      </c>
      <c r="Y2434" t="s">
        <v>446</v>
      </c>
      <c r="Z2434" t="s">
        <v>50</v>
      </c>
    </row>
    <row r="2435" spans="1:26" x14ac:dyDescent="0.3">
      <c r="A2435">
        <v>10121</v>
      </c>
      <c r="B2435">
        <v>44</v>
      </c>
      <c r="C2435">
        <v>74.849999999999994</v>
      </c>
      <c r="D2435">
        <v>1</v>
      </c>
      <c r="E2435">
        <v>3293.4</v>
      </c>
      <c r="F2435" s="1">
        <v>37748</v>
      </c>
      <c r="G2435" t="s">
        <v>39</v>
      </c>
      <c r="H2435">
        <v>2</v>
      </c>
      <c r="I2435">
        <v>5</v>
      </c>
      <c r="J2435" t="str">
        <f>TEXT(DATE(2012,Table1[[#This Row],[MONTH_ID]],10),"mmm")</f>
        <v>May</v>
      </c>
      <c r="K2435">
        <v>2003</v>
      </c>
      <c r="L2435" t="s">
        <v>40</v>
      </c>
      <c r="M2435">
        <v>81</v>
      </c>
      <c r="N2435" t="s">
        <v>674</v>
      </c>
      <c r="O2435" t="s">
        <v>51</v>
      </c>
      <c r="P2435" t="s">
        <v>52</v>
      </c>
      <c r="Q2435" t="s">
        <v>53</v>
      </c>
      <c r="S2435" t="s">
        <v>54</v>
      </c>
      <c r="U2435">
        <v>51100</v>
      </c>
      <c r="V2435" t="s">
        <v>55</v>
      </c>
      <c r="W2435" t="s">
        <v>56</v>
      </c>
      <c r="X2435" t="s">
        <v>57</v>
      </c>
      <c r="Y2435" t="s">
        <v>58</v>
      </c>
      <c r="Z2435" t="s">
        <v>65</v>
      </c>
    </row>
    <row r="2436" spans="1:26" x14ac:dyDescent="0.3">
      <c r="A2436">
        <v>10135</v>
      </c>
      <c r="B2436">
        <v>44</v>
      </c>
      <c r="C2436">
        <v>96</v>
      </c>
      <c r="D2436">
        <v>15</v>
      </c>
      <c r="E2436">
        <v>4224</v>
      </c>
      <c r="F2436" s="1">
        <v>37804</v>
      </c>
      <c r="G2436" t="s">
        <v>39</v>
      </c>
      <c r="H2436">
        <v>3</v>
      </c>
      <c r="I2436">
        <v>7</v>
      </c>
      <c r="J2436" t="str">
        <f>TEXT(DATE(2012,Table1[[#This Row],[MONTH_ID]],10),"mmm")</f>
        <v>Jul</v>
      </c>
      <c r="K2436">
        <v>2003</v>
      </c>
      <c r="L2436" t="s">
        <v>40</v>
      </c>
      <c r="M2436">
        <v>81</v>
      </c>
      <c r="N2436" t="s">
        <v>674</v>
      </c>
      <c r="O2436" t="s">
        <v>286</v>
      </c>
      <c r="P2436">
        <v>4155551450</v>
      </c>
      <c r="Q2436" t="s">
        <v>287</v>
      </c>
      <c r="S2436" t="s">
        <v>288</v>
      </c>
      <c r="T2436" t="s">
        <v>69</v>
      </c>
      <c r="U2436">
        <v>97562</v>
      </c>
      <c r="V2436" t="s">
        <v>46</v>
      </c>
      <c r="W2436" t="s">
        <v>47</v>
      </c>
      <c r="X2436" t="s">
        <v>289</v>
      </c>
      <c r="Y2436" t="s">
        <v>290</v>
      </c>
      <c r="Z2436" t="s">
        <v>65</v>
      </c>
    </row>
    <row r="2437" spans="1:26" x14ac:dyDescent="0.3">
      <c r="A2437">
        <v>10145</v>
      </c>
      <c r="B2437">
        <v>38</v>
      </c>
      <c r="C2437">
        <v>81.36</v>
      </c>
      <c r="D2437">
        <v>2</v>
      </c>
      <c r="E2437">
        <v>3091.68</v>
      </c>
      <c r="F2437" s="1">
        <v>37858</v>
      </c>
      <c r="G2437" t="s">
        <v>39</v>
      </c>
      <c r="H2437">
        <v>3</v>
      </c>
      <c r="I2437">
        <v>8</v>
      </c>
      <c r="J2437" t="str">
        <f>TEXT(DATE(2012,Table1[[#This Row],[MONTH_ID]],10),"mmm")</f>
        <v>Aug</v>
      </c>
      <c r="K2437">
        <v>2003</v>
      </c>
      <c r="L2437" t="s">
        <v>40</v>
      </c>
      <c r="M2437">
        <v>81</v>
      </c>
      <c r="N2437" t="s">
        <v>674</v>
      </c>
      <c r="O2437" t="s">
        <v>66</v>
      </c>
      <c r="P2437">
        <v>6265557265</v>
      </c>
      <c r="Q2437" t="s">
        <v>67</v>
      </c>
      <c r="S2437" t="s">
        <v>68</v>
      </c>
      <c r="T2437" t="s">
        <v>69</v>
      </c>
      <c r="U2437">
        <v>90003</v>
      </c>
      <c r="V2437" t="s">
        <v>46</v>
      </c>
      <c r="W2437" t="s">
        <v>47</v>
      </c>
      <c r="X2437" t="s">
        <v>70</v>
      </c>
      <c r="Y2437" t="s">
        <v>71</v>
      </c>
      <c r="Z2437" t="s">
        <v>65</v>
      </c>
    </row>
    <row r="2438" spans="1:26" x14ac:dyDescent="0.3">
      <c r="A2438">
        <v>10159</v>
      </c>
      <c r="B2438">
        <v>31</v>
      </c>
      <c r="C2438">
        <v>71.599999999999994</v>
      </c>
      <c r="D2438">
        <v>10</v>
      </c>
      <c r="E2438">
        <v>2219.6</v>
      </c>
      <c r="F2438" s="1">
        <v>37904</v>
      </c>
      <c r="G2438" t="s">
        <v>39</v>
      </c>
      <c r="H2438">
        <v>4</v>
      </c>
      <c r="I2438">
        <v>10</v>
      </c>
      <c r="J2438" t="str">
        <f>TEXT(DATE(2012,Table1[[#This Row],[MONTH_ID]],10),"mmm")</f>
        <v>Oct</v>
      </c>
      <c r="K2438">
        <v>2003</v>
      </c>
      <c r="L2438" t="s">
        <v>40</v>
      </c>
      <c r="M2438">
        <v>81</v>
      </c>
      <c r="N2438" t="s">
        <v>674</v>
      </c>
      <c r="O2438" t="s">
        <v>72</v>
      </c>
      <c r="P2438">
        <v>6505551386</v>
      </c>
      <c r="Q2438" t="s">
        <v>73</v>
      </c>
      <c r="S2438" t="s">
        <v>74</v>
      </c>
      <c r="T2438" t="s">
        <v>69</v>
      </c>
      <c r="V2438" t="s">
        <v>46</v>
      </c>
      <c r="W2438" t="s">
        <v>47</v>
      </c>
      <c r="X2438" t="s">
        <v>75</v>
      </c>
      <c r="Y2438" t="s">
        <v>71</v>
      </c>
      <c r="Z2438" t="s">
        <v>50</v>
      </c>
    </row>
    <row r="2439" spans="1:26" x14ac:dyDescent="0.3">
      <c r="A2439">
        <v>10169</v>
      </c>
      <c r="B2439">
        <v>48</v>
      </c>
      <c r="C2439">
        <v>80.55</v>
      </c>
      <c r="D2439">
        <v>10</v>
      </c>
      <c r="E2439">
        <v>3866.4</v>
      </c>
      <c r="F2439" s="1">
        <v>37929</v>
      </c>
      <c r="G2439" t="s">
        <v>39</v>
      </c>
      <c r="H2439">
        <v>4</v>
      </c>
      <c r="I2439">
        <v>11</v>
      </c>
      <c r="J2439" t="str">
        <f>TEXT(DATE(2012,Table1[[#This Row],[MONTH_ID]],10),"mmm")</f>
        <v>Nov</v>
      </c>
      <c r="K2439">
        <v>2003</v>
      </c>
      <c r="L2439" t="s">
        <v>40</v>
      </c>
      <c r="M2439">
        <v>81</v>
      </c>
      <c r="N2439" t="s">
        <v>674</v>
      </c>
      <c r="O2439" t="s">
        <v>299</v>
      </c>
      <c r="P2439" t="s">
        <v>300</v>
      </c>
      <c r="Q2439" t="s">
        <v>301</v>
      </c>
      <c r="R2439" t="s">
        <v>302</v>
      </c>
      <c r="S2439" t="s">
        <v>303</v>
      </c>
      <c r="T2439" t="s">
        <v>171</v>
      </c>
      <c r="U2439">
        <v>2060</v>
      </c>
      <c r="V2439" t="s">
        <v>109</v>
      </c>
      <c r="W2439" t="s">
        <v>110</v>
      </c>
      <c r="X2439" t="s">
        <v>304</v>
      </c>
      <c r="Y2439" t="s">
        <v>305</v>
      </c>
      <c r="Z2439" t="s">
        <v>65</v>
      </c>
    </row>
    <row r="2440" spans="1:26" x14ac:dyDescent="0.3">
      <c r="A2440">
        <v>10180</v>
      </c>
      <c r="B2440">
        <v>21</v>
      </c>
      <c r="C2440">
        <v>93.56</v>
      </c>
      <c r="D2440">
        <v>5</v>
      </c>
      <c r="E2440">
        <v>1964.76</v>
      </c>
      <c r="F2440" s="1">
        <v>37936</v>
      </c>
      <c r="G2440" t="s">
        <v>39</v>
      </c>
      <c r="H2440">
        <v>4</v>
      </c>
      <c r="I2440">
        <v>11</v>
      </c>
      <c r="J2440" t="str">
        <f>TEXT(DATE(2012,Table1[[#This Row],[MONTH_ID]],10),"mmm")</f>
        <v>Nov</v>
      </c>
      <c r="K2440">
        <v>2003</v>
      </c>
      <c r="L2440" t="s">
        <v>40</v>
      </c>
      <c r="M2440">
        <v>81</v>
      </c>
      <c r="N2440" t="s">
        <v>674</v>
      </c>
      <c r="O2440" t="s">
        <v>81</v>
      </c>
      <c r="P2440" t="s">
        <v>82</v>
      </c>
      <c r="Q2440" t="s">
        <v>83</v>
      </c>
      <c r="S2440" t="s">
        <v>84</v>
      </c>
      <c r="U2440">
        <v>59000</v>
      </c>
      <c r="V2440" t="s">
        <v>55</v>
      </c>
      <c r="W2440" t="s">
        <v>56</v>
      </c>
      <c r="X2440" t="s">
        <v>85</v>
      </c>
      <c r="Y2440" t="s">
        <v>86</v>
      </c>
      <c r="Z2440" t="s">
        <v>50</v>
      </c>
    </row>
    <row r="2441" spans="1:26" x14ac:dyDescent="0.3">
      <c r="A2441">
        <v>10190</v>
      </c>
      <c r="B2441">
        <v>40</v>
      </c>
      <c r="C2441">
        <v>66.72</v>
      </c>
      <c r="D2441">
        <v>2</v>
      </c>
      <c r="E2441">
        <v>2668.8</v>
      </c>
      <c r="F2441" s="1">
        <v>37944</v>
      </c>
      <c r="G2441" t="s">
        <v>39</v>
      </c>
      <c r="H2441">
        <v>4</v>
      </c>
      <c r="I2441">
        <v>11</v>
      </c>
      <c r="J2441" t="str">
        <f>TEXT(DATE(2012,Table1[[#This Row],[MONTH_ID]],10),"mmm")</f>
        <v>Nov</v>
      </c>
      <c r="K2441">
        <v>2003</v>
      </c>
      <c r="L2441" t="s">
        <v>40</v>
      </c>
      <c r="M2441">
        <v>81</v>
      </c>
      <c r="N2441" t="s">
        <v>674</v>
      </c>
      <c r="O2441" t="s">
        <v>188</v>
      </c>
      <c r="P2441" t="s">
        <v>189</v>
      </c>
      <c r="Q2441" t="s">
        <v>190</v>
      </c>
      <c r="S2441" t="s">
        <v>191</v>
      </c>
      <c r="U2441">
        <v>28034</v>
      </c>
      <c r="V2441" t="s">
        <v>192</v>
      </c>
      <c r="W2441" t="s">
        <v>56</v>
      </c>
      <c r="X2441" t="s">
        <v>193</v>
      </c>
      <c r="Y2441" t="s">
        <v>194</v>
      </c>
      <c r="Z2441" t="s">
        <v>50</v>
      </c>
    </row>
    <row r="2442" spans="1:26" x14ac:dyDescent="0.3">
      <c r="A2442">
        <v>10211</v>
      </c>
      <c r="B2442">
        <v>40</v>
      </c>
      <c r="C2442">
        <v>80.55</v>
      </c>
      <c r="D2442">
        <v>10</v>
      </c>
      <c r="E2442">
        <v>3222</v>
      </c>
      <c r="F2442" s="1">
        <v>38001</v>
      </c>
      <c r="G2442" t="s">
        <v>39</v>
      </c>
      <c r="H2442">
        <v>1</v>
      </c>
      <c r="I2442">
        <v>1</v>
      </c>
      <c r="J2442" t="str">
        <f>TEXT(DATE(2012,Table1[[#This Row],[MONTH_ID]],10),"mmm")</f>
        <v>Jan</v>
      </c>
      <c r="K2442">
        <v>2004</v>
      </c>
      <c r="L2442" t="s">
        <v>40</v>
      </c>
      <c r="M2442">
        <v>81</v>
      </c>
      <c r="N2442" t="s">
        <v>674</v>
      </c>
      <c r="O2442" t="s">
        <v>98</v>
      </c>
      <c r="P2442" t="s">
        <v>99</v>
      </c>
      <c r="Q2442" t="s">
        <v>100</v>
      </c>
      <c r="S2442" t="s">
        <v>62</v>
      </c>
      <c r="U2442">
        <v>75016</v>
      </c>
      <c r="V2442" t="s">
        <v>55</v>
      </c>
      <c r="W2442" t="s">
        <v>56</v>
      </c>
      <c r="X2442" t="s">
        <v>101</v>
      </c>
      <c r="Y2442" t="s">
        <v>102</v>
      </c>
      <c r="Z2442" t="s">
        <v>65</v>
      </c>
    </row>
    <row r="2443" spans="1:26" x14ac:dyDescent="0.3">
      <c r="A2443">
        <v>10224</v>
      </c>
      <c r="B2443">
        <v>50</v>
      </c>
      <c r="C2443">
        <v>77.290000000000006</v>
      </c>
      <c r="D2443">
        <v>3</v>
      </c>
      <c r="E2443">
        <v>3864.5</v>
      </c>
      <c r="F2443" s="1">
        <v>38038</v>
      </c>
      <c r="G2443" t="s">
        <v>39</v>
      </c>
      <c r="H2443">
        <v>1</v>
      </c>
      <c r="I2443">
        <v>2</v>
      </c>
      <c r="J2443" t="str">
        <f>TEXT(DATE(2012,Table1[[#This Row],[MONTH_ID]],10),"mmm")</f>
        <v>Feb</v>
      </c>
      <c r="K2443">
        <v>2004</v>
      </c>
      <c r="L2443" t="s">
        <v>40</v>
      </c>
      <c r="M2443">
        <v>81</v>
      </c>
      <c r="N2443" t="s">
        <v>674</v>
      </c>
      <c r="O2443" t="s">
        <v>81</v>
      </c>
      <c r="P2443" t="s">
        <v>82</v>
      </c>
      <c r="Q2443" t="s">
        <v>83</v>
      </c>
      <c r="S2443" t="s">
        <v>84</v>
      </c>
      <c r="U2443">
        <v>59000</v>
      </c>
      <c r="V2443" t="s">
        <v>55</v>
      </c>
      <c r="W2443" t="s">
        <v>56</v>
      </c>
      <c r="X2443" t="s">
        <v>85</v>
      </c>
      <c r="Y2443" t="s">
        <v>86</v>
      </c>
      <c r="Z2443" t="s">
        <v>65</v>
      </c>
    </row>
    <row r="2444" spans="1:26" x14ac:dyDescent="0.3">
      <c r="A2444">
        <v>10237</v>
      </c>
      <c r="B2444">
        <v>20</v>
      </c>
      <c r="C2444">
        <v>68.34</v>
      </c>
      <c r="D2444">
        <v>3</v>
      </c>
      <c r="E2444">
        <v>1366.8</v>
      </c>
      <c r="F2444" s="1">
        <v>38082</v>
      </c>
      <c r="G2444" t="s">
        <v>39</v>
      </c>
      <c r="H2444">
        <v>2</v>
      </c>
      <c r="I2444">
        <v>4</v>
      </c>
      <c r="J2444" t="str">
        <f>TEXT(DATE(2012,Table1[[#This Row],[MONTH_ID]],10),"mmm")</f>
        <v>Apr</v>
      </c>
      <c r="K2444">
        <v>2004</v>
      </c>
      <c r="L2444" t="s">
        <v>40</v>
      </c>
      <c r="M2444">
        <v>81</v>
      </c>
      <c r="N2444" t="s">
        <v>674</v>
      </c>
      <c r="O2444" t="s">
        <v>113</v>
      </c>
      <c r="P2444">
        <v>2125551500</v>
      </c>
      <c r="Q2444" t="s">
        <v>114</v>
      </c>
      <c r="R2444" t="s">
        <v>115</v>
      </c>
      <c r="S2444" t="s">
        <v>44</v>
      </c>
      <c r="T2444" t="s">
        <v>45</v>
      </c>
      <c r="U2444">
        <v>10022</v>
      </c>
      <c r="V2444" t="s">
        <v>46</v>
      </c>
      <c r="W2444" t="s">
        <v>47</v>
      </c>
      <c r="X2444" t="s">
        <v>116</v>
      </c>
      <c r="Y2444" t="s">
        <v>117</v>
      </c>
      <c r="Z2444" t="s">
        <v>50</v>
      </c>
    </row>
    <row r="2445" spans="1:26" x14ac:dyDescent="0.3">
      <c r="A2445">
        <v>10252</v>
      </c>
      <c r="B2445">
        <v>48</v>
      </c>
      <c r="C2445">
        <v>72.41</v>
      </c>
      <c r="D2445">
        <v>7</v>
      </c>
      <c r="E2445">
        <v>3475.68</v>
      </c>
      <c r="F2445" s="1">
        <v>38133</v>
      </c>
      <c r="G2445" t="s">
        <v>39</v>
      </c>
      <c r="H2445">
        <v>2</v>
      </c>
      <c r="I2445">
        <v>5</v>
      </c>
      <c r="J2445" t="str">
        <f>TEXT(DATE(2012,Table1[[#This Row],[MONTH_ID]],10),"mmm")</f>
        <v>May</v>
      </c>
      <c r="K2445">
        <v>2004</v>
      </c>
      <c r="L2445" t="s">
        <v>40</v>
      </c>
      <c r="M2445">
        <v>81</v>
      </c>
      <c r="N2445" t="s">
        <v>674</v>
      </c>
      <c r="O2445" t="s">
        <v>98</v>
      </c>
      <c r="P2445" t="s">
        <v>99</v>
      </c>
      <c r="Q2445" t="s">
        <v>100</v>
      </c>
      <c r="S2445" t="s">
        <v>62</v>
      </c>
      <c r="U2445">
        <v>75016</v>
      </c>
      <c r="V2445" t="s">
        <v>55</v>
      </c>
      <c r="W2445" t="s">
        <v>56</v>
      </c>
      <c r="X2445" t="s">
        <v>101</v>
      </c>
      <c r="Y2445" t="s">
        <v>102</v>
      </c>
      <c r="Z2445" t="s">
        <v>65</v>
      </c>
    </row>
    <row r="2446" spans="1:26" x14ac:dyDescent="0.3">
      <c r="A2446">
        <v>10264</v>
      </c>
      <c r="B2446">
        <v>47</v>
      </c>
      <c r="C2446">
        <v>89.5</v>
      </c>
      <c r="D2446">
        <v>5</v>
      </c>
      <c r="E2446">
        <v>4206.5</v>
      </c>
      <c r="F2446" s="1">
        <v>38168</v>
      </c>
      <c r="G2446" t="s">
        <v>39</v>
      </c>
      <c r="H2446">
        <v>2</v>
      </c>
      <c r="I2446">
        <v>6</v>
      </c>
      <c r="J2446" t="str">
        <f>TEXT(DATE(2012,Table1[[#This Row],[MONTH_ID]],10),"mmm")</f>
        <v>Jun</v>
      </c>
      <c r="K2446">
        <v>2004</v>
      </c>
      <c r="L2446" t="s">
        <v>40</v>
      </c>
      <c r="M2446">
        <v>81</v>
      </c>
      <c r="N2446" t="s">
        <v>674</v>
      </c>
      <c r="O2446" t="s">
        <v>393</v>
      </c>
      <c r="P2446">
        <v>6175559555</v>
      </c>
      <c r="Q2446" t="s">
        <v>394</v>
      </c>
      <c r="S2446" t="s">
        <v>395</v>
      </c>
      <c r="T2446" t="s">
        <v>137</v>
      </c>
      <c r="U2446">
        <v>51003</v>
      </c>
      <c r="V2446" t="s">
        <v>46</v>
      </c>
      <c r="W2446" t="s">
        <v>47</v>
      </c>
      <c r="X2446" t="s">
        <v>396</v>
      </c>
      <c r="Y2446" t="s">
        <v>80</v>
      </c>
      <c r="Z2446" t="s">
        <v>65</v>
      </c>
    </row>
    <row r="2447" spans="1:26" x14ac:dyDescent="0.3">
      <c r="A2447">
        <v>10276</v>
      </c>
      <c r="B2447">
        <v>21</v>
      </c>
      <c r="C2447">
        <v>70.78</v>
      </c>
      <c r="D2447">
        <v>11</v>
      </c>
      <c r="E2447">
        <v>1486.38</v>
      </c>
      <c r="F2447" s="1">
        <v>38201</v>
      </c>
      <c r="G2447" t="s">
        <v>39</v>
      </c>
      <c r="H2447">
        <v>3</v>
      </c>
      <c r="I2447">
        <v>8</v>
      </c>
      <c r="J2447" t="str">
        <f>TEXT(DATE(2012,Table1[[#This Row],[MONTH_ID]],10),"mmm")</f>
        <v>Aug</v>
      </c>
      <c r="K2447">
        <v>2004</v>
      </c>
      <c r="L2447" t="s">
        <v>40</v>
      </c>
      <c r="M2447">
        <v>81</v>
      </c>
      <c r="N2447" t="s">
        <v>674</v>
      </c>
      <c r="O2447" t="s">
        <v>472</v>
      </c>
      <c r="P2447">
        <v>6175557555</v>
      </c>
      <c r="Q2447" t="s">
        <v>473</v>
      </c>
      <c r="S2447" t="s">
        <v>297</v>
      </c>
      <c r="T2447" t="s">
        <v>137</v>
      </c>
      <c r="U2447">
        <v>58339</v>
      </c>
      <c r="V2447" t="s">
        <v>46</v>
      </c>
      <c r="W2447" t="s">
        <v>47</v>
      </c>
      <c r="X2447" t="s">
        <v>474</v>
      </c>
      <c r="Y2447" t="s">
        <v>475</v>
      </c>
      <c r="Z2447" t="s">
        <v>50</v>
      </c>
    </row>
    <row r="2448" spans="1:26" x14ac:dyDescent="0.3">
      <c r="A2448">
        <v>10285</v>
      </c>
      <c r="B2448">
        <v>39</v>
      </c>
      <c r="C2448">
        <v>78.92</v>
      </c>
      <c r="D2448">
        <v>2</v>
      </c>
      <c r="E2448">
        <v>3077.88</v>
      </c>
      <c r="F2448" s="1">
        <v>38226</v>
      </c>
      <c r="G2448" t="s">
        <v>39</v>
      </c>
      <c r="H2448">
        <v>3</v>
      </c>
      <c r="I2448">
        <v>8</v>
      </c>
      <c r="J2448" t="str">
        <f>TEXT(DATE(2012,Table1[[#This Row],[MONTH_ID]],10),"mmm")</f>
        <v>Aug</v>
      </c>
      <c r="K2448">
        <v>2004</v>
      </c>
      <c r="L2448" t="s">
        <v>40</v>
      </c>
      <c r="M2448">
        <v>81</v>
      </c>
      <c r="N2448" t="s">
        <v>674</v>
      </c>
      <c r="O2448" t="s">
        <v>134</v>
      </c>
      <c r="P2448">
        <v>6175558555</v>
      </c>
      <c r="Q2448" t="s">
        <v>135</v>
      </c>
      <c r="S2448" t="s">
        <v>136</v>
      </c>
      <c r="T2448" t="s">
        <v>137</v>
      </c>
      <c r="U2448">
        <v>51247</v>
      </c>
      <c r="V2448" t="s">
        <v>46</v>
      </c>
      <c r="W2448" t="s">
        <v>47</v>
      </c>
      <c r="X2448" t="s">
        <v>138</v>
      </c>
      <c r="Y2448" t="s">
        <v>139</v>
      </c>
      <c r="Z2448" t="s">
        <v>65</v>
      </c>
    </row>
    <row r="2449" spans="1:26" x14ac:dyDescent="0.3">
      <c r="A2449">
        <v>10299</v>
      </c>
      <c r="B2449">
        <v>44</v>
      </c>
      <c r="C2449">
        <v>80.55</v>
      </c>
      <c r="D2449">
        <v>5</v>
      </c>
      <c r="E2449">
        <v>3544.2</v>
      </c>
      <c r="F2449" s="1">
        <v>38260</v>
      </c>
      <c r="G2449" t="s">
        <v>39</v>
      </c>
      <c r="H2449">
        <v>3</v>
      </c>
      <c r="I2449">
        <v>9</v>
      </c>
      <c r="J2449" t="str">
        <f>TEXT(DATE(2012,Table1[[#This Row],[MONTH_ID]],10),"mmm")</f>
        <v>Sep</v>
      </c>
      <c r="K2449">
        <v>2004</v>
      </c>
      <c r="L2449" t="s">
        <v>40</v>
      </c>
      <c r="M2449">
        <v>81</v>
      </c>
      <c r="N2449" t="s">
        <v>674</v>
      </c>
      <c r="O2449" t="s">
        <v>140</v>
      </c>
      <c r="P2449" t="s">
        <v>141</v>
      </c>
      <c r="Q2449" t="s">
        <v>142</v>
      </c>
      <c r="S2449" t="s">
        <v>143</v>
      </c>
      <c r="U2449">
        <v>21240</v>
      </c>
      <c r="V2449" t="s">
        <v>144</v>
      </c>
      <c r="W2449" t="s">
        <v>56</v>
      </c>
      <c r="X2449" t="s">
        <v>145</v>
      </c>
      <c r="Y2449" t="s">
        <v>146</v>
      </c>
      <c r="Z2449" t="s">
        <v>65</v>
      </c>
    </row>
    <row r="2450" spans="1:26" x14ac:dyDescent="0.3">
      <c r="A2450">
        <v>10309</v>
      </c>
      <c r="B2450">
        <v>28</v>
      </c>
      <c r="C2450">
        <v>88.68</v>
      </c>
      <c r="D2450">
        <v>1</v>
      </c>
      <c r="E2450">
        <v>2483.04</v>
      </c>
      <c r="F2450" s="1">
        <v>38275</v>
      </c>
      <c r="G2450" t="s">
        <v>39</v>
      </c>
      <c r="H2450">
        <v>4</v>
      </c>
      <c r="I2450">
        <v>10</v>
      </c>
      <c r="J2450" t="str">
        <f>TEXT(DATE(2012,Table1[[#This Row],[MONTH_ID]],10),"mmm")</f>
        <v>Oct</v>
      </c>
      <c r="K2450">
        <v>2004</v>
      </c>
      <c r="L2450" t="s">
        <v>40</v>
      </c>
      <c r="M2450">
        <v>81</v>
      </c>
      <c r="N2450" t="s">
        <v>674</v>
      </c>
      <c r="O2450" t="s">
        <v>147</v>
      </c>
      <c r="P2450" t="s">
        <v>148</v>
      </c>
      <c r="Q2450" t="s">
        <v>149</v>
      </c>
      <c r="S2450" t="s">
        <v>150</v>
      </c>
      <c r="U2450">
        <v>4110</v>
      </c>
      <c r="V2450" t="s">
        <v>92</v>
      </c>
      <c r="W2450" t="s">
        <v>56</v>
      </c>
      <c r="X2450" t="s">
        <v>151</v>
      </c>
      <c r="Y2450" t="s">
        <v>152</v>
      </c>
      <c r="Z2450" t="s">
        <v>50</v>
      </c>
    </row>
    <row r="2451" spans="1:26" x14ac:dyDescent="0.3">
      <c r="A2451">
        <v>10319</v>
      </c>
      <c r="B2451">
        <v>45</v>
      </c>
      <c r="C2451">
        <v>77.290000000000006</v>
      </c>
      <c r="D2451">
        <v>6</v>
      </c>
      <c r="E2451">
        <v>3478.05</v>
      </c>
      <c r="F2451" s="1">
        <v>38294</v>
      </c>
      <c r="G2451" t="s">
        <v>39</v>
      </c>
      <c r="H2451">
        <v>4</v>
      </c>
      <c r="I2451">
        <v>11</v>
      </c>
      <c r="J2451" t="str">
        <f>TEXT(DATE(2012,Table1[[#This Row],[MONTH_ID]],10),"mmm")</f>
        <v>Nov</v>
      </c>
      <c r="K2451">
        <v>2004</v>
      </c>
      <c r="L2451" t="s">
        <v>40</v>
      </c>
      <c r="M2451">
        <v>81</v>
      </c>
      <c r="N2451" t="s">
        <v>674</v>
      </c>
      <c r="O2451" t="s">
        <v>521</v>
      </c>
      <c r="P2451">
        <v>2125551957</v>
      </c>
      <c r="Q2451" t="s">
        <v>522</v>
      </c>
      <c r="R2451" t="s">
        <v>523</v>
      </c>
      <c r="S2451" t="s">
        <v>44</v>
      </c>
      <c r="T2451" t="s">
        <v>45</v>
      </c>
      <c r="U2451">
        <v>10022</v>
      </c>
      <c r="V2451" t="s">
        <v>46</v>
      </c>
      <c r="W2451" t="s">
        <v>47</v>
      </c>
      <c r="X2451" t="s">
        <v>524</v>
      </c>
      <c r="Y2451" t="s">
        <v>525</v>
      </c>
      <c r="Z2451" t="s">
        <v>65</v>
      </c>
    </row>
    <row r="2452" spans="1:26" x14ac:dyDescent="0.3">
      <c r="A2452">
        <v>10331</v>
      </c>
      <c r="B2452">
        <v>20</v>
      </c>
      <c r="C2452">
        <v>100</v>
      </c>
      <c r="D2452">
        <v>5</v>
      </c>
      <c r="E2452">
        <v>3657.8</v>
      </c>
      <c r="F2452" s="1">
        <v>38308</v>
      </c>
      <c r="G2452" t="s">
        <v>39</v>
      </c>
      <c r="H2452">
        <v>4</v>
      </c>
      <c r="I2452">
        <v>11</v>
      </c>
      <c r="J2452" t="str">
        <f>TEXT(DATE(2012,Table1[[#This Row],[MONTH_ID]],10),"mmm")</f>
        <v>Nov</v>
      </c>
      <c r="K2452">
        <v>2004</v>
      </c>
      <c r="L2452" t="s">
        <v>40</v>
      </c>
      <c r="M2452">
        <v>81</v>
      </c>
      <c r="N2452" t="s">
        <v>674</v>
      </c>
      <c r="O2452" t="s">
        <v>323</v>
      </c>
      <c r="P2452">
        <v>2155559857</v>
      </c>
      <c r="Q2452" t="s">
        <v>324</v>
      </c>
      <c r="S2452" t="s">
        <v>230</v>
      </c>
      <c r="T2452" t="s">
        <v>156</v>
      </c>
      <c r="U2452">
        <v>71270</v>
      </c>
      <c r="V2452" t="s">
        <v>46</v>
      </c>
      <c r="W2452" t="s">
        <v>47</v>
      </c>
      <c r="X2452" t="s">
        <v>138</v>
      </c>
      <c r="Y2452" t="s">
        <v>325</v>
      </c>
      <c r="Z2452" t="s">
        <v>65</v>
      </c>
    </row>
    <row r="2453" spans="1:26" x14ac:dyDescent="0.3">
      <c r="A2453">
        <v>10341</v>
      </c>
      <c r="B2453">
        <v>38</v>
      </c>
      <c r="C2453">
        <v>100</v>
      </c>
      <c r="D2453">
        <v>3</v>
      </c>
      <c r="E2453">
        <v>4682.3599999999997</v>
      </c>
      <c r="F2453" s="1">
        <v>38315</v>
      </c>
      <c r="G2453" t="s">
        <v>39</v>
      </c>
      <c r="H2453">
        <v>4</v>
      </c>
      <c r="I2453">
        <v>11</v>
      </c>
      <c r="J2453" t="str">
        <f>TEXT(DATE(2012,Table1[[#This Row],[MONTH_ID]],10),"mmm")</f>
        <v>Nov</v>
      </c>
      <c r="K2453">
        <v>2004</v>
      </c>
      <c r="L2453" t="s">
        <v>40</v>
      </c>
      <c r="M2453">
        <v>81</v>
      </c>
      <c r="N2453" t="s">
        <v>674</v>
      </c>
      <c r="O2453" t="s">
        <v>158</v>
      </c>
      <c r="P2453" t="s">
        <v>159</v>
      </c>
      <c r="Q2453" t="s">
        <v>160</v>
      </c>
      <c r="S2453" t="s">
        <v>161</v>
      </c>
      <c r="U2453">
        <v>5020</v>
      </c>
      <c r="V2453" t="s">
        <v>162</v>
      </c>
      <c r="W2453" t="s">
        <v>56</v>
      </c>
      <c r="X2453" t="s">
        <v>163</v>
      </c>
      <c r="Y2453" t="s">
        <v>164</v>
      </c>
      <c r="Z2453" t="s">
        <v>65</v>
      </c>
    </row>
    <row r="2454" spans="1:26" x14ac:dyDescent="0.3">
      <c r="A2454">
        <v>10356</v>
      </c>
      <c r="B2454">
        <v>26</v>
      </c>
      <c r="C2454">
        <v>100</v>
      </c>
      <c r="D2454">
        <v>4</v>
      </c>
      <c r="E2454">
        <v>3937.7</v>
      </c>
      <c r="F2454" s="1">
        <v>38330</v>
      </c>
      <c r="G2454" t="s">
        <v>39</v>
      </c>
      <c r="H2454">
        <v>4</v>
      </c>
      <c r="I2454">
        <v>12</v>
      </c>
      <c r="J2454" t="str">
        <f>TEXT(DATE(2012,Table1[[#This Row],[MONTH_ID]],10),"mmm")</f>
        <v>Dec</v>
      </c>
      <c r="K2454">
        <v>2004</v>
      </c>
      <c r="L2454" t="s">
        <v>40</v>
      </c>
      <c r="M2454">
        <v>81</v>
      </c>
      <c r="N2454" t="s">
        <v>674</v>
      </c>
      <c r="O2454" t="s">
        <v>59</v>
      </c>
      <c r="P2454" t="s">
        <v>60</v>
      </c>
      <c r="Q2454" t="s">
        <v>61</v>
      </c>
      <c r="S2454" t="s">
        <v>62</v>
      </c>
      <c r="U2454">
        <v>75508</v>
      </c>
      <c r="V2454" t="s">
        <v>55</v>
      </c>
      <c r="W2454" t="s">
        <v>56</v>
      </c>
      <c r="X2454" t="s">
        <v>63</v>
      </c>
      <c r="Y2454" t="s">
        <v>64</v>
      </c>
      <c r="Z2454" t="s">
        <v>65</v>
      </c>
    </row>
    <row r="2455" spans="1:26" x14ac:dyDescent="0.3">
      <c r="A2455">
        <v>10365</v>
      </c>
      <c r="B2455">
        <v>44</v>
      </c>
      <c r="C2455">
        <v>100</v>
      </c>
      <c r="D2455">
        <v>2</v>
      </c>
      <c r="E2455">
        <v>4984.32</v>
      </c>
      <c r="F2455" s="1">
        <v>38359</v>
      </c>
      <c r="G2455" t="s">
        <v>39</v>
      </c>
      <c r="H2455">
        <v>1</v>
      </c>
      <c r="I2455">
        <v>1</v>
      </c>
      <c r="J2455" t="str">
        <f>TEXT(DATE(2012,Table1[[#This Row],[MONTH_ID]],10),"mmm")</f>
        <v>Jan</v>
      </c>
      <c r="K2455">
        <v>2005</v>
      </c>
      <c r="L2455" t="s">
        <v>40</v>
      </c>
      <c r="M2455">
        <v>81</v>
      </c>
      <c r="N2455" t="s">
        <v>674</v>
      </c>
      <c r="O2455" t="s">
        <v>349</v>
      </c>
      <c r="P2455">
        <v>5085559555</v>
      </c>
      <c r="Q2455" t="s">
        <v>350</v>
      </c>
      <c r="S2455" t="s">
        <v>176</v>
      </c>
      <c r="T2455" t="s">
        <v>137</v>
      </c>
      <c r="U2455">
        <v>50553</v>
      </c>
      <c r="V2455" t="s">
        <v>46</v>
      </c>
      <c r="W2455" t="s">
        <v>47</v>
      </c>
      <c r="X2455" t="s">
        <v>351</v>
      </c>
      <c r="Y2455" t="s">
        <v>352</v>
      </c>
      <c r="Z2455" t="s">
        <v>65</v>
      </c>
    </row>
    <row r="2456" spans="1:26" x14ac:dyDescent="0.3">
      <c r="A2456">
        <v>10375</v>
      </c>
      <c r="B2456">
        <v>49</v>
      </c>
      <c r="C2456">
        <v>100</v>
      </c>
      <c r="D2456">
        <v>8</v>
      </c>
      <c r="E2456">
        <v>5406.66</v>
      </c>
      <c r="F2456" s="1">
        <v>38386</v>
      </c>
      <c r="G2456" t="s">
        <v>39</v>
      </c>
      <c r="H2456">
        <v>1</v>
      </c>
      <c r="I2456">
        <v>2</v>
      </c>
      <c r="J2456" t="str">
        <f>TEXT(DATE(2012,Table1[[#This Row],[MONTH_ID]],10),"mmm")</f>
        <v>Feb</v>
      </c>
      <c r="K2456">
        <v>2005</v>
      </c>
      <c r="L2456" t="s">
        <v>40</v>
      </c>
      <c r="M2456">
        <v>81</v>
      </c>
      <c r="N2456" t="s">
        <v>674</v>
      </c>
      <c r="O2456" t="s">
        <v>128</v>
      </c>
      <c r="P2456" t="s">
        <v>129</v>
      </c>
      <c r="Q2456" t="s">
        <v>130</v>
      </c>
      <c r="S2456" t="s">
        <v>131</v>
      </c>
      <c r="U2456">
        <v>44000</v>
      </c>
      <c r="V2456" t="s">
        <v>55</v>
      </c>
      <c r="W2456" t="s">
        <v>56</v>
      </c>
      <c r="X2456" t="s">
        <v>132</v>
      </c>
      <c r="Y2456" t="s">
        <v>133</v>
      </c>
      <c r="Z2456" t="s">
        <v>65</v>
      </c>
    </row>
    <row r="2457" spans="1:26" x14ac:dyDescent="0.3">
      <c r="A2457">
        <v>10390</v>
      </c>
      <c r="B2457">
        <v>22</v>
      </c>
      <c r="C2457">
        <v>100</v>
      </c>
      <c r="D2457">
        <v>13</v>
      </c>
      <c r="E2457">
        <v>3491.18</v>
      </c>
      <c r="F2457" s="1">
        <v>38415</v>
      </c>
      <c r="G2457" t="s">
        <v>39</v>
      </c>
      <c r="H2457">
        <v>1</v>
      </c>
      <c r="I2457">
        <v>3</v>
      </c>
      <c r="J2457" t="str">
        <f>TEXT(DATE(2012,Table1[[#This Row],[MONTH_ID]],10),"mmm")</f>
        <v>Mar</v>
      </c>
      <c r="K2457">
        <v>2005</v>
      </c>
      <c r="L2457" t="s">
        <v>40</v>
      </c>
      <c r="M2457">
        <v>81</v>
      </c>
      <c r="N2457" t="s">
        <v>674</v>
      </c>
      <c r="O2457" t="s">
        <v>286</v>
      </c>
      <c r="P2457">
        <v>4155551450</v>
      </c>
      <c r="Q2457" t="s">
        <v>287</v>
      </c>
      <c r="S2457" t="s">
        <v>288</v>
      </c>
      <c r="T2457" t="s">
        <v>69</v>
      </c>
      <c r="U2457">
        <v>97562</v>
      </c>
      <c r="V2457" t="s">
        <v>46</v>
      </c>
      <c r="W2457" t="s">
        <v>47</v>
      </c>
      <c r="X2457" t="s">
        <v>289</v>
      </c>
      <c r="Y2457" t="s">
        <v>290</v>
      </c>
      <c r="Z2457" t="s">
        <v>65</v>
      </c>
    </row>
    <row r="2458" spans="1:26" x14ac:dyDescent="0.3">
      <c r="A2458">
        <v>10403</v>
      </c>
      <c r="B2458">
        <v>31</v>
      </c>
      <c r="C2458">
        <v>68.34</v>
      </c>
      <c r="D2458">
        <v>3</v>
      </c>
      <c r="E2458">
        <v>2118.54</v>
      </c>
      <c r="F2458" s="1">
        <v>38450</v>
      </c>
      <c r="G2458" t="s">
        <v>39</v>
      </c>
      <c r="H2458">
        <v>2</v>
      </c>
      <c r="I2458">
        <v>4</v>
      </c>
      <c r="J2458" t="str">
        <f>TEXT(DATE(2012,Table1[[#This Row],[MONTH_ID]],10),"mmm")</f>
        <v>Apr</v>
      </c>
      <c r="K2458">
        <v>2005</v>
      </c>
      <c r="L2458" t="s">
        <v>40</v>
      </c>
      <c r="M2458">
        <v>81</v>
      </c>
      <c r="N2458" t="s">
        <v>674</v>
      </c>
      <c r="O2458" t="s">
        <v>179</v>
      </c>
      <c r="P2458" t="s">
        <v>180</v>
      </c>
      <c r="Q2458" t="s">
        <v>181</v>
      </c>
      <c r="S2458" t="s">
        <v>182</v>
      </c>
      <c r="U2458" t="s">
        <v>183</v>
      </c>
      <c r="V2458" t="s">
        <v>184</v>
      </c>
      <c r="W2458" t="s">
        <v>56</v>
      </c>
      <c r="X2458" t="s">
        <v>185</v>
      </c>
      <c r="Y2458" t="s">
        <v>186</v>
      </c>
      <c r="Z2458" t="s">
        <v>50</v>
      </c>
    </row>
    <row r="2459" spans="1:26" x14ac:dyDescent="0.3">
      <c r="A2459">
        <v>10105</v>
      </c>
      <c r="B2459">
        <v>41</v>
      </c>
      <c r="C2459">
        <v>70.67</v>
      </c>
      <c r="D2459">
        <v>5</v>
      </c>
      <c r="E2459">
        <v>2897.47</v>
      </c>
      <c r="F2459" s="1">
        <v>37663</v>
      </c>
      <c r="G2459" t="s">
        <v>39</v>
      </c>
      <c r="H2459">
        <v>1</v>
      </c>
      <c r="I2459">
        <v>2</v>
      </c>
      <c r="J2459" t="str">
        <f>TEXT(DATE(2012,Table1[[#This Row],[MONTH_ID]],10),"mmm")</f>
        <v>Feb</v>
      </c>
      <c r="K2459">
        <v>2003</v>
      </c>
      <c r="L2459" t="s">
        <v>612</v>
      </c>
      <c r="M2459">
        <v>66</v>
      </c>
      <c r="N2459" t="s">
        <v>675</v>
      </c>
      <c r="O2459" t="s">
        <v>336</v>
      </c>
      <c r="P2459" t="s">
        <v>337</v>
      </c>
      <c r="Q2459" t="s">
        <v>338</v>
      </c>
      <c r="S2459" t="s">
        <v>339</v>
      </c>
      <c r="U2459">
        <v>1734</v>
      </c>
      <c r="V2459" t="s">
        <v>340</v>
      </c>
      <c r="W2459" t="s">
        <v>56</v>
      </c>
      <c r="X2459" t="s">
        <v>341</v>
      </c>
      <c r="Y2459" t="s">
        <v>342</v>
      </c>
      <c r="Z2459" t="s">
        <v>50</v>
      </c>
    </row>
    <row r="2460" spans="1:26" x14ac:dyDescent="0.3">
      <c r="A2460">
        <v>10119</v>
      </c>
      <c r="B2460">
        <v>25</v>
      </c>
      <c r="C2460">
        <v>76.67</v>
      </c>
      <c r="D2460">
        <v>14</v>
      </c>
      <c r="E2460">
        <v>1916.75</v>
      </c>
      <c r="F2460" s="1">
        <v>37739</v>
      </c>
      <c r="G2460" t="s">
        <v>39</v>
      </c>
      <c r="H2460">
        <v>2</v>
      </c>
      <c r="I2460">
        <v>4</v>
      </c>
      <c r="J2460" t="str">
        <f>TEXT(DATE(2012,Table1[[#This Row],[MONTH_ID]],10),"mmm")</f>
        <v>Apr</v>
      </c>
      <c r="K2460">
        <v>2003</v>
      </c>
      <c r="L2460" t="s">
        <v>612</v>
      </c>
      <c r="M2460">
        <v>66</v>
      </c>
      <c r="N2460" t="s">
        <v>675</v>
      </c>
      <c r="O2460" t="s">
        <v>158</v>
      </c>
      <c r="P2460" t="s">
        <v>159</v>
      </c>
      <c r="Q2460" t="s">
        <v>160</v>
      </c>
      <c r="S2460" t="s">
        <v>161</v>
      </c>
      <c r="U2460">
        <v>5020</v>
      </c>
      <c r="V2460" t="s">
        <v>162</v>
      </c>
      <c r="W2460" t="s">
        <v>56</v>
      </c>
      <c r="X2460" t="s">
        <v>163</v>
      </c>
      <c r="Y2460" t="s">
        <v>164</v>
      </c>
      <c r="Z2460" t="s">
        <v>50</v>
      </c>
    </row>
    <row r="2461" spans="1:26" x14ac:dyDescent="0.3">
      <c r="A2461">
        <v>10129</v>
      </c>
      <c r="B2461">
        <v>31</v>
      </c>
      <c r="C2461">
        <v>60</v>
      </c>
      <c r="D2461">
        <v>5</v>
      </c>
      <c r="E2461">
        <v>1860</v>
      </c>
      <c r="F2461" s="1">
        <v>37784</v>
      </c>
      <c r="G2461" t="s">
        <v>39</v>
      </c>
      <c r="H2461">
        <v>2</v>
      </c>
      <c r="I2461">
        <v>6</v>
      </c>
      <c r="J2461" t="str">
        <f>TEXT(DATE(2012,Table1[[#This Row],[MONTH_ID]],10),"mmm")</f>
        <v>Jun</v>
      </c>
      <c r="K2461">
        <v>2003</v>
      </c>
      <c r="L2461" t="s">
        <v>612</v>
      </c>
      <c r="M2461">
        <v>66</v>
      </c>
      <c r="N2461" t="s">
        <v>675</v>
      </c>
      <c r="O2461" t="s">
        <v>343</v>
      </c>
      <c r="P2461" t="s">
        <v>344</v>
      </c>
      <c r="Q2461" t="s">
        <v>345</v>
      </c>
      <c r="S2461" t="s">
        <v>346</v>
      </c>
      <c r="U2461" t="s">
        <v>347</v>
      </c>
      <c r="V2461" t="s">
        <v>184</v>
      </c>
      <c r="W2461" t="s">
        <v>56</v>
      </c>
      <c r="X2461" t="s">
        <v>75</v>
      </c>
      <c r="Y2461" t="s">
        <v>348</v>
      </c>
      <c r="Z2461" t="s">
        <v>50</v>
      </c>
    </row>
    <row r="2462" spans="1:26" x14ac:dyDescent="0.3">
      <c r="A2462">
        <v>10142</v>
      </c>
      <c r="B2462">
        <v>41</v>
      </c>
      <c r="C2462">
        <v>64</v>
      </c>
      <c r="D2462">
        <v>2</v>
      </c>
      <c r="E2462">
        <v>2624</v>
      </c>
      <c r="F2462" s="1">
        <v>37841</v>
      </c>
      <c r="G2462" t="s">
        <v>39</v>
      </c>
      <c r="H2462">
        <v>3</v>
      </c>
      <c r="I2462">
        <v>8</v>
      </c>
      <c r="J2462" t="str">
        <f>TEXT(DATE(2012,Table1[[#This Row],[MONTH_ID]],10),"mmm")</f>
        <v>Aug</v>
      </c>
      <c r="K2462">
        <v>2003</v>
      </c>
      <c r="L2462" t="s">
        <v>612</v>
      </c>
      <c r="M2462">
        <v>66</v>
      </c>
      <c r="N2462" t="s">
        <v>675</v>
      </c>
      <c r="O2462" t="s">
        <v>286</v>
      </c>
      <c r="P2462">
        <v>4155551450</v>
      </c>
      <c r="Q2462" t="s">
        <v>287</v>
      </c>
      <c r="S2462" t="s">
        <v>288</v>
      </c>
      <c r="T2462" t="s">
        <v>69</v>
      </c>
      <c r="U2462">
        <v>97562</v>
      </c>
      <c r="V2462" t="s">
        <v>46</v>
      </c>
      <c r="W2462" t="s">
        <v>47</v>
      </c>
      <c r="X2462" t="s">
        <v>289</v>
      </c>
      <c r="Y2462" t="s">
        <v>290</v>
      </c>
      <c r="Z2462" t="s">
        <v>50</v>
      </c>
    </row>
    <row r="2463" spans="1:26" x14ac:dyDescent="0.3">
      <c r="A2463">
        <v>10153</v>
      </c>
      <c r="B2463">
        <v>43</v>
      </c>
      <c r="C2463">
        <v>64.67</v>
      </c>
      <c r="D2463">
        <v>1</v>
      </c>
      <c r="E2463">
        <v>2780.81</v>
      </c>
      <c r="F2463" s="1">
        <v>37892</v>
      </c>
      <c r="G2463" t="s">
        <v>39</v>
      </c>
      <c r="H2463">
        <v>3</v>
      </c>
      <c r="I2463">
        <v>9</v>
      </c>
      <c r="J2463" t="str">
        <f>TEXT(DATE(2012,Table1[[#This Row],[MONTH_ID]],10),"mmm")</f>
        <v>Sep</v>
      </c>
      <c r="K2463">
        <v>2003</v>
      </c>
      <c r="L2463" t="s">
        <v>612</v>
      </c>
      <c r="M2463">
        <v>66</v>
      </c>
      <c r="N2463" t="s">
        <v>675</v>
      </c>
      <c r="O2463" t="s">
        <v>188</v>
      </c>
      <c r="P2463" t="s">
        <v>189</v>
      </c>
      <c r="Q2463" t="s">
        <v>190</v>
      </c>
      <c r="S2463" t="s">
        <v>191</v>
      </c>
      <c r="U2463">
        <v>28034</v>
      </c>
      <c r="V2463" t="s">
        <v>192</v>
      </c>
      <c r="W2463" t="s">
        <v>56</v>
      </c>
      <c r="X2463" t="s">
        <v>193</v>
      </c>
      <c r="Y2463" t="s">
        <v>194</v>
      </c>
      <c r="Z2463" t="s">
        <v>50</v>
      </c>
    </row>
    <row r="2464" spans="1:26" x14ac:dyDescent="0.3">
      <c r="A2464">
        <v>10167</v>
      </c>
      <c r="B2464">
        <v>43</v>
      </c>
      <c r="C2464">
        <v>75.34</v>
      </c>
      <c r="D2464">
        <v>12</v>
      </c>
      <c r="E2464">
        <v>3239.62</v>
      </c>
      <c r="F2464" s="1">
        <v>37917</v>
      </c>
      <c r="G2464" t="s">
        <v>353</v>
      </c>
      <c r="H2464">
        <v>4</v>
      </c>
      <c r="I2464">
        <v>10</v>
      </c>
      <c r="J2464" t="str">
        <f>TEXT(DATE(2012,Table1[[#This Row],[MONTH_ID]],10),"mmm")</f>
        <v>Oct</v>
      </c>
      <c r="K2464">
        <v>2003</v>
      </c>
      <c r="L2464" t="s">
        <v>612</v>
      </c>
      <c r="M2464">
        <v>66</v>
      </c>
      <c r="N2464" t="s">
        <v>675</v>
      </c>
      <c r="O2464" t="s">
        <v>275</v>
      </c>
      <c r="P2464" t="s">
        <v>276</v>
      </c>
      <c r="Q2464" t="s">
        <v>277</v>
      </c>
      <c r="S2464" t="s">
        <v>278</v>
      </c>
      <c r="U2464" t="s">
        <v>279</v>
      </c>
      <c r="V2464" t="s">
        <v>202</v>
      </c>
      <c r="W2464" t="s">
        <v>56</v>
      </c>
      <c r="X2464" t="s">
        <v>280</v>
      </c>
      <c r="Y2464" t="s">
        <v>220</v>
      </c>
      <c r="Z2464" t="s">
        <v>65</v>
      </c>
    </row>
    <row r="2465" spans="1:26" x14ac:dyDescent="0.3">
      <c r="A2465">
        <v>10177</v>
      </c>
      <c r="B2465">
        <v>24</v>
      </c>
      <c r="C2465">
        <v>76</v>
      </c>
      <c r="D2465">
        <v>3</v>
      </c>
      <c r="E2465">
        <v>1824</v>
      </c>
      <c r="F2465" s="1">
        <v>37932</v>
      </c>
      <c r="G2465" t="s">
        <v>39</v>
      </c>
      <c r="H2465">
        <v>4</v>
      </c>
      <c r="I2465">
        <v>11</v>
      </c>
      <c r="J2465" t="str">
        <f>TEXT(DATE(2012,Table1[[#This Row],[MONTH_ID]],10),"mmm")</f>
        <v>Nov</v>
      </c>
      <c r="K2465">
        <v>2003</v>
      </c>
      <c r="L2465" t="s">
        <v>612</v>
      </c>
      <c r="M2465">
        <v>66</v>
      </c>
      <c r="N2465" t="s">
        <v>675</v>
      </c>
      <c r="O2465" t="s">
        <v>501</v>
      </c>
      <c r="P2465" t="s">
        <v>502</v>
      </c>
      <c r="Q2465" t="s">
        <v>503</v>
      </c>
      <c r="S2465" t="s">
        <v>191</v>
      </c>
      <c r="U2465">
        <v>28023</v>
      </c>
      <c r="V2465" t="s">
        <v>192</v>
      </c>
      <c r="W2465" t="s">
        <v>56</v>
      </c>
      <c r="X2465" t="s">
        <v>504</v>
      </c>
      <c r="Y2465" t="s">
        <v>505</v>
      </c>
      <c r="Z2465" t="s">
        <v>50</v>
      </c>
    </row>
    <row r="2466" spans="1:26" x14ac:dyDescent="0.3">
      <c r="A2466">
        <v>10185</v>
      </c>
      <c r="B2466">
        <v>21</v>
      </c>
      <c r="C2466">
        <v>54</v>
      </c>
      <c r="D2466">
        <v>3</v>
      </c>
      <c r="E2466">
        <v>1134</v>
      </c>
      <c r="F2466" s="1">
        <v>37939</v>
      </c>
      <c r="G2466" t="s">
        <v>39</v>
      </c>
      <c r="H2466">
        <v>4</v>
      </c>
      <c r="I2466">
        <v>11</v>
      </c>
      <c r="J2466" t="str">
        <f>TEXT(DATE(2012,Table1[[#This Row],[MONTH_ID]],10),"mmm")</f>
        <v>Nov</v>
      </c>
      <c r="K2466">
        <v>2003</v>
      </c>
      <c r="L2466" t="s">
        <v>612</v>
      </c>
      <c r="M2466">
        <v>66</v>
      </c>
      <c r="N2466" t="s">
        <v>675</v>
      </c>
      <c r="O2466" t="s">
        <v>349</v>
      </c>
      <c r="P2466">
        <v>5085559555</v>
      </c>
      <c r="Q2466" t="s">
        <v>350</v>
      </c>
      <c r="S2466" t="s">
        <v>176</v>
      </c>
      <c r="T2466" t="s">
        <v>137</v>
      </c>
      <c r="U2466">
        <v>50553</v>
      </c>
      <c r="V2466" t="s">
        <v>46</v>
      </c>
      <c r="W2466" t="s">
        <v>47</v>
      </c>
      <c r="X2466" t="s">
        <v>351</v>
      </c>
      <c r="Y2466" t="s">
        <v>352</v>
      </c>
      <c r="Z2466" t="s">
        <v>50</v>
      </c>
    </row>
    <row r="2467" spans="1:26" x14ac:dyDescent="0.3">
      <c r="A2467">
        <v>10197</v>
      </c>
      <c r="B2467">
        <v>23</v>
      </c>
      <c r="C2467">
        <v>64.67</v>
      </c>
      <c r="D2467">
        <v>9</v>
      </c>
      <c r="E2467">
        <v>1487.41</v>
      </c>
      <c r="F2467" s="1">
        <v>37951</v>
      </c>
      <c r="G2467" t="s">
        <v>39</v>
      </c>
      <c r="H2467">
        <v>4</v>
      </c>
      <c r="I2467">
        <v>11</v>
      </c>
      <c r="J2467" t="str">
        <f>TEXT(DATE(2012,Table1[[#This Row],[MONTH_ID]],10),"mmm")</f>
        <v>Nov</v>
      </c>
      <c r="K2467">
        <v>2003</v>
      </c>
      <c r="L2467" t="s">
        <v>612</v>
      </c>
      <c r="M2467">
        <v>66</v>
      </c>
      <c r="N2467" t="s">
        <v>675</v>
      </c>
      <c r="O2467" t="s">
        <v>366</v>
      </c>
      <c r="P2467" t="s">
        <v>367</v>
      </c>
      <c r="Q2467" t="s">
        <v>368</v>
      </c>
      <c r="S2467" t="s">
        <v>369</v>
      </c>
      <c r="U2467">
        <v>8022</v>
      </c>
      <c r="V2467" t="s">
        <v>192</v>
      </c>
      <c r="W2467" t="s">
        <v>56</v>
      </c>
      <c r="X2467" t="s">
        <v>370</v>
      </c>
      <c r="Y2467" t="s">
        <v>371</v>
      </c>
      <c r="Z2467" t="s">
        <v>50</v>
      </c>
    </row>
    <row r="2468" spans="1:26" x14ac:dyDescent="0.3">
      <c r="A2468">
        <v>10208</v>
      </c>
      <c r="B2468">
        <v>38</v>
      </c>
      <c r="C2468">
        <v>74.67</v>
      </c>
      <c r="D2468">
        <v>3</v>
      </c>
      <c r="E2468">
        <v>2837.46</v>
      </c>
      <c r="F2468" s="1">
        <v>37988</v>
      </c>
      <c r="G2468" t="s">
        <v>39</v>
      </c>
      <c r="H2468">
        <v>1</v>
      </c>
      <c r="I2468">
        <v>1</v>
      </c>
      <c r="J2468" t="str">
        <f>TEXT(DATE(2012,Table1[[#This Row],[MONTH_ID]],10),"mmm")</f>
        <v>Jan</v>
      </c>
      <c r="K2468">
        <v>2004</v>
      </c>
      <c r="L2468" t="s">
        <v>612</v>
      </c>
      <c r="M2468">
        <v>66</v>
      </c>
      <c r="N2468" t="s">
        <v>675</v>
      </c>
      <c r="O2468" t="s">
        <v>233</v>
      </c>
      <c r="P2468" t="s">
        <v>234</v>
      </c>
      <c r="Q2468" t="s">
        <v>235</v>
      </c>
      <c r="S2468" t="s">
        <v>236</v>
      </c>
      <c r="U2468">
        <v>69004</v>
      </c>
      <c r="V2468" t="s">
        <v>55</v>
      </c>
      <c r="W2468" t="s">
        <v>56</v>
      </c>
      <c r="X2468" t="s">
        <v>237</v>
      </c>
      <c r="Y2468" t="s">
        <v>238</v>
      </c>
      <c r="Z2468" t="s">
        <v>50</v>
      </c>
    </row>
    <row r="2469" spans="1:26" x14ac:dyDescent="0.3">
      <c r="A2469">
        <v>10222</v>
      </c>
      <c r="B2469">
        <v>31</v>
      </c>
      <c r="C2469">
        <v>62.67</v>
      </c>
      <c r="D2469">
        <v>15</v>
      </c>
      <c r="E2469">
        <v>1942.77</v>
      </c>
      <c r="F2469" s="1">
        <v>38036</v>
      </c>
      <c r="G2469" t="s">
        <v>39</v>
      </c>
      <c r="H2469">
        <v>1</v>
      </c>
      <c r="I2469">
        <v>2</v>
      </c>
      <c r="J2469" t="str">
        <f>TEXT(DATE(2012,Table1[[#This Row],[MONTH_ID]],10),"mmm")</f>
        <v>Feb</v>
      </c>
      <c r="K2469">
        <v>2004</v>
      </c>
      <c r="L2469" t="s">
        <v>612</v>
      </c>
      <c r="M2469">
        <v>66</v>
      </c>
      <c r="N2469" t="s">
        <v>675</v>
      </c>
      <c r="O2469" t="s">
        <v>376</v>
      </c>
      <c r="P2469">
        <v>7605558146</v>
      </c>
      <c r="Q2469" t="s">
        <v>377</v>
      </c>
      <c r="S2469" t="s">
        <v>378</v>
      </c>
      <c r="T2469" t="s">
        <v>69</v>
      </c>
      <c r="U2469">
        <v>91217</v>
      </c>
      <c r="V2469" t="s">
        <v>46</v>
      </c>
      <c r="W2469" t="s">
        <v>47</v>
      </c>
      <c r="X2469" t="s">
        <v>251</v>
      </c>
      <c r="Y2469" t="s">
        <v>290</v>
      </c>
      <c r="Z2469" t="s">
        <v>50</v>
      </c>
    </row>
    <row r="2470" spans="1:26" x14ac:dyDescent="0.3">
      <c r="A2470">
        <v>10233</v>
      </c>
      <c r="B2470">
        <v>36</v>
      </c>
      <c r="C2470">
        <v>70.67</v>
      </c>
      <c r="D2470">
        <v>3</v>
      </c>
      <c r="E2470">
        <v>2544.12</v>
      </c>
      <c r="F2470" s="1">
        <v>38075</v>
      </c>
      <c r="G2470" t="s">
        <v>39</v>
      </c>
      <c r="H2470">
        <v>1</v>
      </c>
      <c r="I2470">
        <v>3</v>
      </c>
      <c r="J2470" t="str">
        <f>TEXT(DATE(2012,Table1[[#This Row],[MONTH_ID]],10),"mmm")</f>
        <v>Mar</v>
      </c>
      <c r="K2470">
        <v>2004</v>
      </c>
      <c r="L2470" t="s">
        <v>612</v>
      </c>
      <c r="M2470">
        <v>66</v>
      </c>
      <c r="N2470" t="s">
        <v>675</v>
      </c>
      <c r="O2470" t="s">
        <v>118</v>
      </c>
      <c r="P2470">
        <v>2015559350</v>
      </c>
      <c r="Q2470" t="s">
        <v>119</v>
      </c>
      <c r="S2470" t="s">
        <v>120</v>
      </c>
      <c r="T2470" t="s">
        <v>121</v>
      </c>
      <c r="U2470">
        <v>94019</v>
      </c>
      <c r="V2470" t="s">
        <v>46</v>
      </c>
      <c r="W2470" t="s">
        <v>47</v>
      </c>
      <c r="X2470" t="s">
        <v>75</v>
      </c>
      <c r="Y2470" t="s">
        <v>122</v>
      </c>
      <c r="Z2470" t="s">
        <v>50</v>
      </c>
    </row>
    <row r="2471" spans="1:26" x14ac:dyDescent="0.3">
      <c r="A2471">
        <v>10248</v>
      </c>
      <c r="B2471">
        <v>36</v>
      </c>
      <c r="C2471">
        <v>71.34</v>
      </c>
      <c r="D2471">
        <v>6</v>
      </c>
      <c r="E2471">
        <v>2568.2399999999998</v>
      </c>
      <c r="F2471" s="1">
        <v>38114</v>
      </c>
      <c r="G2471" t="s">
        <v>353</v>
      </c>
      <c r="H2471">
        <v>2</v>
      </c>
      <c r="I2471">
        <v>5</v>
      </c>
      <c r="J2471" t="str">
        <f>TEXT(DATE(2012,Table1[[#This Row],[MONTH_ID]],10),"mmm")</f>
        <v>May</v>
      </c>
      <c r="K2471">
        <v>2004</v>
      </c>
      <c r="L2471" t="s">
        <v>612</v>
      </c>
      <c r="M2471">
        <v>66</v>
      </c>
      <c r="N2471" t="s">
        <v>675</v>
      </c>
      <c r="O2471" t="s">
        <v>42</v>
      </c>
      <c r="P2471">
        <v>2125557818</v>
      </c>
      <c r="Q2471" t="s">
        <v>43</v>
      </c>
      <c r="S2471" t="s">
        <v>44</v>
      </c>
      <c r="T2471" t="s">
        <v>45</v>
      </c>
      <c r="U2471">
        <v>10022</v>
      </c>
      <c r="V2471" t="s">
        <v>46</v>
      </c>
      <c r="W2471" t="s">
        <v>47</v>
      </c>
      <c r="X2471" t="s">
        <v>48</v>
      </c>
      <c r="Y2471" t="s">
        <v>49</v>
      </c>
      <c r="Z2471" t="s">
        <v>50</v>
      </c>
    </row>
    <row r="2472" spans="1:26" x14ac:dyDescent="0.3">
      <c r="A2472">
        <v>10261</v>
      </c>
      <c r="B2472">
        <v>34</v>
      </c>
      <c r="C2472">
        <v>62</v>
      </c>
      <c r="D2472">
        <v>4</v>
      </c>
      <c r="E2472">
        <v>2108</v>
      </c>
      <c r="F2472" s="1">
        <v>38155</v>
      </c>
      <c r="G2472" t="s">
        <v>39</v>
      </c>
      <c r="H2472">
        <v>2</v>
      </c>
      <c r="I2472">
        <v>6</v>
      </c>
      <c r="J2472" t="str">
        <f>TEXT(DATE(2012,Table1[[#This Row],[MONTH_ID]],10),"mmm")</f>
        <v>Jun</v>
      </c>
      <c r="K2472">
        <v>2004</v>
      </c>
      <c r="L2472" t="s">
        <v>612</v>
      </c>
      <c r="M2472">
        <v>66</v>
      </c>
      <c r="N2472" t="s">
        <v>675</v>
      </c>
      <c r="O2472" t="s">
        <v>306</v>
      </c>
      <c r="P2472" t="s">
        <v>307</v>
      </c>
      <c r="Q2472" t="s">
        <v>308</v>
      </c>
      <c r="S2472" t="s">
        <v>309</v>
      </c>
      <c r="T2472" t="s">
        <v>310</v>
      </c>
      <c r="U2472" t="s">
        <v>311</v>
      </c>
      <c r="V2472" t="s">
        <v>245</v>
      </c>
      <c r="W2472" t="s">
        <v>47</v>
      </c>
      <c r="X2472" t="s">
        <v>312</v>
      </c>
      <c r="Y2472" t="s">
        <v>313</v>
      </c>
      <c r="Z2472" t="s">
        <v>50</v>
      </c>
    </row>
    <row r="2473" spans="1:26" x14ac:dyDescent="0.3">
      <c r="A2473">
        <v>10273</v>
      </c>
      <c r="B2473">
        <v>21</v>
      </c>
      <c r="C2473">
        <v>65.34</v>
      </c>
      <c r="D2473">
        <v>7</v>
      </c>
      <c r="E2473">
        <v>1372.14</v>
      </c>
      <c r="F2473" s="1">
        <v>38189</v>
      </c>
      <c r="G2473" t="s">
        <v>39</v>
      </c>
      <c r="H2473">
        <v>3</v>
      </c>
      <c r="I2473">
        <v>7</v>
      </c>
      <c r="J2473" t="str">
        <f>TEXT(DATE(2012,Table1[[#This Row],[MONTH_ID]],10),"mmm")</f>
        <v>Jul</v>
      </c>
      <c r="K2473">
        <v>2004</v>
      </c>
      <c r="L2473" t="s">
        <v>612</v>
      </c>
      <c r="M2473">
        <v>66</v>
      </c>
      <c r="N2473" t="s">
        <v>675</v>
      </c>
      <c r="O2473" t="s">
        <v>379</v>
      </c>
      <c r="P2473" t="s">
        <v>380</v>
      </c>
      <c r="Q2473" t="s">
        <v>381</v>
      </c>
      <c r="S2473" t="s">
        <v>382</v>
      </c>
      <c r="U2473" t="s">
        <v>383</v>
      </c>
      <c r="V2473" t="s">
        <v>384</v>
      </c>
      <c r="W2473" t="s">
        <v>56</v>
      </c>
      <c r="X2473" t="s">
        <v>385</v>
      </c>
      <c r="Y2473" t="s">
        <v>386</v>
      </c>
      <c r="Z2473" t="s">
        <v>50</v>
      </c>
    </row>
    <row r="2474" spans="1:26" x14ac:dyDescent="0.3">
      <c r="A2474">
        <v>10283</v>
      </c>
      <c r="B2474">
        <v>45</v>
      </c>
      <c r="C2474">
        <v>78.67</v>
      </c>
      <c r="D2474">
        <v>9</v>
      </c>
      <c r="E2474">
        <v>3540.15</v>
      </c>
      <c r="F2474" s="1">
        <v>38219</v>
      </c>
      <c r="G2474" t="s">
        <v>39</v>
      </c>
      <c r="H2474">
        <v>3</v>
      </c>
      <c r="I2474">
        <v>8</v>
      </c>
      <c r="J2474" t="str">
        <f>TEXT(DATE(2012,Table1[[#This Row],[MONTH_ID]],10),"mmm")</f>
        <v>Aug</v>
      </c>
      <c r="K2474">
        <v>2004</v>
      </c>
      <c r="L2474" t="s">
        <v>612</v>
      </c>
      <c r="M2474">
        <v>66</v>
      </c>
      <c r="N2474" t="s">
        <v>675</v>
      </c>
      <c r="O2474" t="s">
        <v>387</v>
      </c>
      <c r="P2474" t="s">
        <v>388</v>
      </c>
      <c r="Q2474" t="s">
        <v>389</v>
      </c>
      <c r="S2474" t="s">
        <v>390</v>
      </c>
      <c r="T2474" t="s">
        <v>243</v>
      </c>
      <c r="U2474" t="s">
        <v>391</v>
      </c>
      <c r="V2474" t="s">
        <v>245</v>
      </c>
      <c r="W2474" t="s">
        <v>47</v>
      </c>
      <c r="X2474" t="s">
        <v>392</v>
      </c>
      <c r="Y2474" t="s">
        <v>186</v>
      </c>
      <c r="Z2474" t="s">
        <v>65</v>
      </c>
    </row>
    <row r="2475" spans="1:26" x14ac:dyDescent="0.3">
      <c r="A2475">
        <v>10295</v>
      </c>
      <c r="B2475">
        <v>26</v>
      </c>
      <c r="C2475">
        <v>75.34</v>
      </c>
      <c r="D2475">
        <v>4</v>
      </c>
      <c r="E2475">
        <v>1958.84</v>
      </c>
      <c r="F2475" s="1">
        <v>38240</v>
      </c>
      <c r="G2475" t="s">
        <v>39</v>
      </c>
      <c r="H2475">
        <v>3</v>
      </c>
      <c r="I2475">
        <v>9</v>
      </c>
      <c r="J2475" t="str">
        <f>TEXT(DATE(2012,Table1[[#This Row],[MONTH_ID]],10),"mmm")</f>
        <v>Sep</v>
      </c>
      <c r="K2475">
        <v>2004</v>
      </c>
      <c r="L2475" t="s">
        <v>612</v>
      </c>
      <c r="M2475">
        <v>66</v>
      </c>
      <c r="N2475" t="s">
        <v>675</v>
      </c>
      <c r="O2475" t="s">
        <v>393</v>
      </c>
      <c r="P2475">
        <v>6175559555</v>
      </c>
      <c r="Q2475" t="s">
        <v>394</v>
      </c>
      <c r="S2475" t="s">
        <v>395</v>
      </c>
      <c r="T2475" t="s">
        <v>137</v>
      </c>
      <c r="U2475">
        <v>51003</v>
      </c>
      <c r="V2475" t="s">
        <v>46</v>
      </c>
      <c r="W2475" t="s">
        <v>47</v>
      </c>
      <c r="X2475" t="s">
        <v>396</v>
      </c>
      <c r="Y2475" t="s">
        <v>80</v>
      </c>
      <c r="Z2475" t="s">
        <v>50</v>
      </c>
    </row>
    <row r="2476" spans="1:26" x14ac:dyDescent="0.3">
      <c r="A2476">
        <v>10306</v>
      </c>
      <c r="B2476">
        <v>50</v>
      </c>
      <c r="C2476">
        <v>54</v>
      </c>
      <c r="D2476">
        <v>3</v>
      </c>
      <c r="E2476">
        <v>2700</v>
      </c>
      <c r="F2476" s="1">
        <v>38274</v>
      </c>
      <c r="G2476" t="s">
        <v>39</v>
      </c>
      <c r="H2476">
        <v>4</v>
      </c>
      <c r="I2476">
        <v>10</v>
      </c>
      <c r="J2476" t="str">
        <f>TEXT(DATE(2012,Table1[[#This Row],[MONTH_ID]],10),"mmm")</f>
        <v>Oct</v>
      </c>
      <c r="K2476">
        <v>2004</v>
      </c>
      <c r="L2476" t="s">
        <v>612</v>
      </c>
      <c r="M2476">
        <v>66</v>
      </c>
      <c r="N2476" t="s">
        <v>675</v>
      </c>
      <c r="O2476" t="s">
        <v>506</v>
      </c>
      <c r="P2476" t="s">
        <v>507</v>
      </c>
      <c r="Q2476" t="s">
        <v>508</v>
      </c>
      <c r="S2476" t="s">
        <v>509</v>
      </c>
      <c r="U2476" t="s">
        <v>510</v>
      </c>
      <c r="V2476" t="s">
        <v>184</v>
      </c>
      <c r="W2476" t="s">
        <v>56</v>
      </c>
      <c r="X2476" t="s">
        <v>511</v>
      </c>
      <c r="Y2476" t="s">
        <v>108</v>
      </c>
      <c r="Z2476" t="s">
        <v>50</v>
      </c>
    </row>
    <row r="2477" spans="1:26" x14ac:dyDescent="0.3">
      <c r="A2477">
        <v>10315</v>
      </c>
      <c r="B2477">
        <v>41</v>
      </c>
      <c r="C2477">
        <v>62</v>
      </c>
      <c r="D2477">
        <v>2</v>
      </c>
      <c r="E2477">
        <v>2542</v>
      </c>
      <c r="F2477" s="1">
        <v>38289</v>
      </c>
      <c r="G2477" t="s">
        <v>39</v>
      </c>
      <c r="H2477">
        <v>4</v>
      </c>
      <c r="I2477">
        <v>10</v>
      </c>
      <c r="J2477" t="str">
        <f>TEXT(DATE(2012,Table1[[#This Row],[MONTH_ID]],10),"mmm")</f>
        <v>Oct</v>
      </c>
      <c r="K2477">
        <v>2004</v>
      </c>
      <c r="L2477" t="s">
        <v>612</v>
      </c>
      <c r="M2477">
        <v>66</v>
      </c>
      <c r="N2477" t="s">
        <v>675</v>
      </c>
      <c r="O2477" t="s">
        <v>128</v>
      </c>
      <c r="P2477" t="s">
        <v>129</v>
      </c>
      <c r="Q2477" t="s">
        <v>130</v>
      </c>
      <c r="S2477" t="s">
        <v>131</v>
      </c>
      <c r="U2477">
        <v>44000</v>
      </c>
      <c r="V2477" t="s">
        <v>55</v>
      </c>
      <c r="W2477" t="s">
        <v>56</v>
      </c>
      <c r="X2477" t="s">
        <v>132</v>
      </c>
      <c r="Y2477" t="s">
        <v>133</v>
      </c>
      <c r="Z2477" t="s">
        <v>50</v>
      </c>
    </row>
    <row r="2478" spans="1:26" x14ac:dyDescent="0.3">
      <c r="A2478">
        <v>10326</v>
      </c>
      <c r="B2478">
        <v>39</v>
      </c>
      <c r="C2478">
        <v>60</v>
      </c>
      <c r="D2478">
        <v>1</v>
      </c>
      <c r="E2478">
        <v>2340</v>
      </c>
      <c r="F2478" s="1">
        <v>38300</v>
      </c>
      <c r="G2478" t="s">
        <v>39</v>
      </c>
      <c r="H2478">
        <v>4</v>
      </c>
      <c r="I2478">
        <v>11</v>
      </c>
      <c r="J2478" t="str">
        <f>TEXT(DATE(2012,Table1[[#This Row],[MONTH_ID]],10),"mmm")</f>
        <v>Nov</v>
      </c>
      <c r="K2478">
        <v>2004</v>
      </c>
      <c r="L2478" t="s">
        <v>612</v>
      </c>
      <c r="M2478">
        <v>66</v>
      </c>
      <c r="N2478" t="s">
        <v>675</v>
      </c>
      <c r="O2478" t="s">
        <v>197</v>
      </c>
      <c r="P2478" t="s">
        <v>198</v>
      </c>
      <c r="Q2478" t="s">
        <v>199</v>
      </c>
      <c r="S2478" t="s">
        <v>200</v>
      </c>
      <c r="U2478" t="s">
        <v>201</v>
      </c>
      <c r="V2478" t="s">
        <v>202</v>
      </c>
      <c r="W2478" t="s">
        <v>56</v>
      </c>
      <c r="X2478" t="s">
        <v>203</v>
      </c>
      <c r="Y2478" t="s">
        <v>204</v>
      </c>
      <c r="Z2478" t="s">
        <v>50</v>
      </c>
    </row>
    <row r="2479" spans="1:26" x14ac:dyDescent="0.3">
      <c r="A2479">
        <v>10339</v>
      </c>
      <c r="B2479">
        <v>22</v>
      </c>
      <c r="C2479">
        <v>100</v>
      </c>
      <c r="D2479">
        <v>5</v>
      </c>
      <c r="E2479">
        <v>2816.44</v>
      </c>
      <c r="F2479" s="1">
        <v>38314</v>
      </c>
      <c r="G2479" t="s">
        <v>39</v>
      </c>
      <c r="H2479">
        <v>4</v>
      </c>
      <c r="I2479">
        <v>11</v>
      </c>
      <c r="J2479" t="str">
        <f>TEXT(DATE(2012,Table1[[#This Row],[MONTH_ID]],10),"mmm")</f>
        <v>Nov</v>
      </c>
      <c r="K2479">
        <v>2004</v>
      </c>
      <c r="L2479" t="s">
        <v>612</v>
      </c>
      <c r="M2479">
        <v>66</v>
      </c>
      <c r="N2479" t="s">
        <v>675</v>
      </c>
      <c r="O2479" t="s">
        <v>260</v>
      </c>
      <c r="P2479" t="s">
        <v>261</v>
      </c>
      <c r="Q2479" t="s">
        <v>262</v>
      </c>
      <c r="S2479" t="s">
        <v>263</v>
      </c>
      <c r="T2479" t="s">
        <v>264</v>
      </c>
      <c r="U2479" t="s">
        <v>265</v>
      </c>
      <c r="V2479" t="s">
        <v>214</v>
      </c>
      <c r="W2479" t="s">
        <v>214</v>
      </c>
      <c r="X2479" t="s">
        <v>266</v>
      </c>
      <c r="Y2479" t="s">
        <v>267</v>
      </c>
      <c r="Z2479" t="s">
        <v>50</v>
      </c>
    </row>
    <row r="2480" spans="1:26" x14ac:dyDescent="0.3">
      <c r="A2480">
        <v>10350</v>
      </c>
      <c r="B2480">
        <v>46</v>
      </c>
      <c r="C2480">
        <v>76.67</v>
      </c>
      <c r="D2480">
        <v>11</v>
      </c>
      <c r="E2480">
        <v>3526.82</v>
      </c>
      <c r="F2480" s="1">
        <v>38323</v>
      </c>
      <c r="G2480" t="s">
        <v>39</v>
      </c>
      <c r="H2480">
        <v>4</v>
      </c>
      <c r="I2480">
        <v>12</v>
      </c>
      <c r="J2480" t="str">
        <f>TEXT(DATE(2012,Table1[[#This Row],[MONTH_ID]],10),"mmm")</f>
        <v>Dec</v>
      </c>
      <c r="K2480">
        <v>2004</v>
      </c>
      <c r="L2480" t="s">
        <v>612</v>
      </c>
      <c r="M2480">
        <v>66</v>
      </c>
      <c r="N2480" t="s">
        <v>675</v>
      </c>
      <c r="O2480" t="s">
        <v>188</v>
      </c>
      <c r="P2480" t="s">
        <v>189</v>
      </c>
      <c r="Q2480" t="s">
        <v>190</v>
      </c>
      <c r="S2480" t="s">
        <v>191</v>
      </c>
      <c r="U2480">
        <v>28034</v>
      </c>
      <c r="V2480" t="s">
        <v>192</v>
      </c>
      <c r="W2480" t="s">
        <v>56</v>
      </c>
      <c r="X2480" t="s">
        <v>193</v>
      </c>
      <c r="Y2480" t="s">
        <v>194</v>
      </c>
      <c r="Z2480" t="s">
        <v>65</v>
      </c>
    </row>
    <row r="2481" spans="1:26" x14ac:dyDescent="0.3">
      <c r="A2481">
        <v>10373</v>
      </c>
      <c r="B2481">
        <v>44</v>
      </c>
      <c r="C2481">
        <v>100</v>
      </c>
      <c r="D2481">
        <v>14</v>
      </c>
      <c r="E2481">
        <v>4627.92</v>
      </c>
      <c r="F2481" s="1">
        <v>38383</v>
      </c>
      <c r="G2481" t="s">
        <v>39</v>
      </c>
      <c r="H2481">
        <v>1</v>
      </c>
      <c r="I2481">
        <v>1</v>
      </c>
      <c r="J2481" t="str">
        <f>TEXT(DATE(2012,Table1[[#This Row],[MONTH_ID]],10),"mmm")</f>
        <v>Jan</v>
      </c>
      <c r="K2481">
        <v>2005</v>
      </c>
      <c r="L2481" t="s">
        <v>612</v>
      </c>
      <c r="M2481">
        <v>66</v>
      </c>
      <c r="N2481" t="s">
        <v>675</v>
      </c>
      <c r="O2481" t="s">
        <v>405</v>
      </c>
      <c r="P2481" t="s">
        <v>406</v>
      </c>
      <c r="Q2481" t="s">
        <v>407</v>
      </c>
      <c r="S2481" t="s">
        <v>408</v>
      </c>
      <c r="U2481">
        <v>90110</v>
      </c>
      <c r="V2481" t="s">
        <v>144</v>
      </c>
      <c r="W2481" t="s">
        <v>56</v>
      </c>
      <c r="X2481" t="s">
        <v>409</v>
      </c>
      <c r="Y2481" t="s">
        <v>410</v>
      </c>
      <c r="Z2481" t="s">
        <v>65</v>
      </c>
    </row>
    <row r="2482" spans="1:26" x14ac:dyDescent="0.3">
      <c r="A2482">
        <v>10385</v>
      </c>
      <c r="B2482">
        <v>25</v>
      </c>
      <c r="C2482">
        <v>77.34</v>
      </c>
      <c r="D2482">
        <v>1</v>
      </c>
      <c r="E2482">
        <v>1933.5</v>
      </c>
      <c r="F2482" s="1">
        <v>38411</v>
      </c>
      <c r="G2482" t="s">
        <v>39</v>
      </c>
      <c r="H2482">
        <v>1</v>
      </c>
      <c r="I2482">
        <v>2</v>
      </c>
      <c r="J2482" t="str">
        <f>TEXT(DATE(2012,Table1[[#This Row],[MONTH_ID]],10),"mmm")</f>
        <v>Feb</v>
      </c>
      <c r="K2482">
        <v>2005</v>
      </c>
      <c r="L2482" t="s">
        <v>612</v>
      </c>
      <c r="M2482">
        <v>66</v>
      </c>
      <c r="N2482" t="s">
        <v>675</v>
      </c>
      <c r="O2482" t="s">
        <v>286</v>
      </c>
      <c r="P2482">
        <v>4155551450</v>
      </c>
      <c r="Q2482" t="s">
        <v>287</v>
      </c>
      <c r="S2482" t="s">
        <v>288</v>
      </c>
      <c r="T2482" t="s">
        <v>69</v>
      </c>
      <c r="U2482">
        <v>97562</v>
      </c>
      <c r="V2482" t="s">
        <v>46</v>
      </c>
      <c r="W2482" t="s">
        <v>47</v>
      </c>
      <c r="X2482" t="s">
        <v>289</v>
      </c>
      <c r="Y2482" t="s">
        <v>290</v>
      </c>
      <c r="Z2482" t="s">
        <v>50</v>
      </c>
    </row>
    <row r="2483" spans="1:26" x14ac:dyDescent="0.3">
      <c r="A2483">
        <v>10396</v>
      </c>
      <c r="B2483">
        <v>39</v>
      </c>
      <c r="C2483">
        <v>66.67</v>
      </c>
      <c r="D2483">
        <v>1</v>
      </c>
      <c r="E2483">
        <v>2600.13</v>
      </c>
      <c r="F2483" s="1">
        <v>38434</v>
      </c>
      <c r="G2483" t="s">
        <v>39</v>
      </c>
      <c r="H2483">
        <v>1</v>
      </c>
      <c r="I2483">
        <v>3</v>
      </c>
      <c r="J2483" t="str">
        <f>TEXT(DATE(2012,Table1[[#This Row],[MONTH_ID]],10),"mmm")</f>
        <v>Mar</v>
      </c>
      <c r="K2483">
        <v>2005</v>
      </c>
      <c r="L2483" t="s">
        <v>612</v>
      </c>
      <c r="M2483">
        <v>66</v>
      </c>
      <c r="N2483" t="s">
        <v>675</v>
      </c>
      <c r="O2483" t="s">
        <v>286</v>
      </c>
      <c r="P2483">
        <v>4155551450</v>
      </c>
      <c r="Q2483" t="s">
        <v>287</v>
      </c>
      <c r="S2483" t="s">
        <v>288</v>
      </c>
      <c r="T2483" t="s">
        <v>69</v>
      </c>
      <c r="U2483">
        <v>97562</v>
      </c>
      <c r="V2483" t="s">
        <v>46</v>
      </c>
      <c r="W2483" t="s">
        <v>47</v>
      </c>
      <c r="X2483" t="s">
        <v>289</v>
      </c>
      <c r="Y2483" t="s">
        <v>290</v>
      </c>
      <c r="Z2483" t="s">
        <v>50</v>
      </c>
    </row>
    <row r="2484" spans="1:26" x14ac:dyDescent="0.3">
      <c r="A2484">
        <v>10414</v>
      </c>
      <c r="B2484">
        <v>37</v>
      </c>
      <c r="C2484">
        <v>71.34</v>
      </c>
      <c r="D2484">
        <v>6</v>
      </c>
      <c r="E2484">
        <v>2639.58</v>
      </c>
      <c r="F2484" s="1">
        <v>38478</v>
      </c>
      <c r="G2484" t="s">
        <v>415</v>
      </c>
      <c r="H2484">
        <v>2</v>
      </c>
      <c r="I2484">
        <v>5</v>
      </c>
      <c r="J2484" t="str">
        <f>TEXT(DATE(2012,Table1[[#This Row],[MONTH_ID]],10),"mmm")</f>
        <v>May</v>
      </c>
      <c r="K2484">
        <v>2005</v>
      </c>
      <c r="L2484" t="s">
        <v>612</v>
      </c>
      <c r="M2484">
        <v>66</v>
      </c>
      <c r="N2484" t="s">
        <v>675</v>
      </c>
      <c r="O2484" t="s">
        <v>393</v>
      </c>
      <c r="P2484">
        <v>6175559555</v>
      </c>
      <c r="Q2484" t="s">
        <v>394</v>
      </c>
      <c r="S2484" t="s">
        <v>395</v>
      </c>
      <c r="T2484" t="s">
        <v>137</v>
      </c>
      <c r="U2484">
        <v>51003</v>
      </c>
      <c r="V2484" t="s">
        <v>46</v>
      </c>
      <c r="W2484" t="s">
        <v>47</v>
      </c>
      <c r="X2484" t="s">
        <v>396</v>
      </c>
      <c r="Y2484" t="s">
        <v>80</v>
      </c>
      <c r="Z2484" t="s">
        <v>50</v>
      </c>
    </row>
    <row r="2485" spans="1:26" x14ac:dyDescent="0.3">
      <c r="A2485">
        <v>10106</v>
      </c>
      <c r="B2485">
        <v>31</v>
      </c>
      <c r="C2485">
        <v>100</v>
      </c>
      <c r="D2485">
        <v>7</v>
      </c>
      <c r="E2485">
        <v>3312.97</v>
      </c>
      <c r="F2485" s="1">
        <v>37669</v>
      </c>
      <c r="G2485" t="s">
        <v>39</v>
      </c>
      <c r="H2485">
        <v>1</v>
      </c>
      <c r="I2485">
        <v>2</v>
      </c>
      <c r="J2485" t="str">
        <f>TEXT(DATE(2012,Table1[[#This Row],[MONTH_ID]],10),"mmm")</f>
        <v>Feb</v>
      </c>
      <c r="K2485">
        <v>2003</v>
      </c>
      <c r="L2485" t="s">
        <v>580</v>
      </c>
      <c r="M2485">
        <v>91</v>
      </c>
      <c r="N2485" t="s">
        <v>676</v>
      </c>
      <c r="O2485" t="s">
        <v>566</v>
      </c>
      <c r="P2485" t="s">
        <v>567</v>
      </c>
      <c r="Q2485" t="s">
        <v>568</v>
      </c>
      <c r="S2485" t="s">
        <v>569</v>
      </c>
      <c r="U2485">
        <v>24100</v>
      </c>
      <c r="V2485" t="s">
        <v>272</v>
      </c>
      <c r="W2485" t="s">
        <v>56</v>
      </c>
      <c r="X2485" t="s">
        <v>570</v>
      </c>
      <c r="Y2485" t="s">
        <v>571</v>
      </c>
      <c r="Z2485" t="s">
        <v>65</v>
      </c>
    </row>
    <row r="2486" spans="1:26" x14ac:dyDescent="0.3">
      <c r="A2486">
        <v>10120</v>
      </c>
      <c r="B2486">
        <v>47</v>
      </c>
      <c r="C2486">
        <v>82.21</v>
      </c>
      <c r="D2486">
        <v>13</v>
      </c>
      <c r="E2486">
        <v>3863.87</v>
      </c>
      <c r="F2486" s="1">
        <v>37740</v>
      </c>
      <c r="G2486" t="s">
        <v>39</v>
      </c>
      <c r="H2486">
        <v>2</v>
      </c>
      <c r="I2486">
        <v>4</v>
      </c>
      <c r="J2486" t="str">
        <f>TEXT(DATE(2012,Table1[[#This Row],[MONTH_ID]],10),"mmm")</f>
        <v>Apr</v>
      </c>
      <c r="K2486">
        <v>2003</v>
      </c>
      <c r="L2486" t="s">
        <v>580</v>
      </c>
      <c r="M2486">
        <v>91</v>
      </c>
      <c r="N2486" t="s">
        <v>676</v>
      </c>
      <c r="O2486" t="s">
        <v>103</v>
      </c>
      <c r="P2486" t="s">
        <v>104</v>
      </c>
      <c r="Q2486" t="s">
        <v>105</v>
      </c>
      <c r="R2486" t="s">
        <v>106</v>
      </c>
      <c r="S2486" t="s">
        <v>107</v>
      </c>
      <c r="T2486" t="s">
        <v>108</v>
      </c>
      <c r="U2486">
        <v>3004</v>
      </c>
      <c r="V2486" t="s">
        <v>109</v>
      </c>
      <c r="W2486" t="s">
        <v>110</v>
      </c>
      <c r="X2486" t="s">
        <v>111</v>
      </c>
      <c r="Y2486" t="s">
        <v>112</v>
      </c>
      <c r="Z2486" t="s">
        <v>65</v>
      </c>
    </row>
    <row r="2487" spans="1:26" x14ac:dyDescent="0.3">
      <c r="A2487">
        <v>10133</v>
      </c>
      <c r="B2487">
        <v>24</v>
      </c>
      <c r="C2487">
        <v>77.64</v>
      </c>
      <c r="D2487">
        <v>8</v>
      </c>
      <c r="E2487">
        <v>1863.36</v>
      </c>
      <c r="F2487" s="1">
        <v>37799</v>
      </c>
      <c r="G2487" t="s">
        <v>39</v>
      </c>
      <c r="H2487">
        <v>2</v>
      </c>
      <c r="I2487">
        <v>6</v>
      </c>
      <c r="J2487" t="str">
        <f>TEXT(DATE(2012,Table1[[#This Row],[MONTH_ID]],10),"mmm")</f>
        <v>Jun</v>
      </c>
      <c r="K2487">
        <v>2003</v>
      </c>
      <c r="L2487" t="s">
        <v>580</v>
      </c>
      <c r="M2487">
        <v>91</v>
      </c>
      <c r="N2487" t="s">
        <v>676</v>
      </c>
      <c r="O2487" t="s">
        <v>188</v>
      </c>
      <c r="P2487" t="s">
        <v>189</v>
      </c>
      <c r="Q2487" t="s">
        <v>190</v>
      </c>
      <c r="S2487" t="s">
        <v>191</v>
      </c>
      <c r="U2487">
        <v>28034</v>
      </c>
      <c r="V2487" t="s">
        <v>192</v>
      </c>
      <c r="W2487" t="s">
        <v>56</v>
      </c>
      <c r="X2487" t="s">
        <v>193</v>
      </c>
      <c r="Y2487" t="s">
        <v>194</v>
      </c>
      <c r="Z2487" t="s">
        <v>50</v>
      </c>
    </row>
    <row r="2488" spans="1:26" x14ac:dyDescent="0.3">
      <c r="A2488">
        <v>10143</v>
      </c>
      <c r="B2488">
        <v>36</v>
      </c>
      <c r="C2488">
        <v>100</v>
      </c>
      <c r="D2488">
        <v>2</v>
      </c>
      <c r="E2488">
        <v>3945.96</v>
      </c>
      <c r="F2488" s="1">
        <v>37843</v>
      </c>
      <c r="G2488" t="s">
        <v>39</v>
      </c>
      <c r="H2488">
        <v>3</v>
      </c>
      <c r="I2488">
        <v>8</v>
      </c>
      <c r="J2488" t="str">
        <f>TEXT(DATE(2012,Table1[[#This Row],[MONTH_ID]],10),"mmm")</f>
        <v>Aug</v>
      </c>
      <c r="K2488">
        <v>2003</v>
      </c>
      <c r="L2488" t="s">
        <v>580</v>
      </c>
      <c r="M2488">
        <v>91</v>
      </c>
      <c r="N2488" t="s">
        <v>676</v>
      </c>
      <c r="O2488" t="s">
        <v>349</v>
      </c>
      <c r="P2488">
        <v>5085559555</v>
      </c>
      <c r="Q2488" t="s">
        <v>350</v>
      </c>
      <c r="S2488" t="s">
        <v>176</v>
      </c>
      <c r="T2488" t="s">
        <v>137</v>
      </c>
      <c r="U2488">
        <v>50553</v>
      </c>
      <c r="V2488" t="s">
        <v>46</v>
      </c>
      <c r="W2488" t="s">
        <v>47</v>
      </c>
      <c r="X2488" t="s">
        <v>351</v>
      </c>
      <c r="Y2488" t="s">
        <v>352</v>
      </c>
      <c r="Z2488" t="s">
        <v>65</v>
      </c>
    </row>
    <row r="2489" spans="1:26" x14ac:dyDescent="0.3">
      <c r="A2489">
        <v>10156</v>
      </c>
      <c r="B2489">
        <v>48</v>
      </c>
      <c r="C2489">
        <v>100</v>
      </c>
      <c r="D2489">
        <v>2</v>
      </c>
      <c r="E2489">
        <v>4954.08</v>
      </c>
      <c r="F2489" s="1">
        <v>37902</v>
      </c>
      <c r="G2489" t="s">
        <v>39</v>
      </c>
      <c r="H2489">
        <v>4</v>
      </c>
      <c r="I2489">
        <v>10</v>
      </c>
      <c r="J2489" t="str">
        <f>TEXT(DATE(2012,Table1[[#This Row],[MONTH_ID]],10),"mmm")</f>
        <v>Oct</v>
      </c>
      <c r="K2489">
        <v>2003</v>
      </c>
      <c r="L2489" t="s">
        <v>580</v>
      </c>
      <c r="M2489">
        <v>91</v>
      </c>
      <c r="N2489" t="s">
        <v>676</v>
      </c>
      <c r="O2489" t="s">
        <v>188</v>
      </c>
      <c r="P2489" t="s">
        <v>189</v>
      </c>
      <c r="Q2489" t="s">
        <v>190</v>
      </c>
      <c r="S2489" t="s">
        <v>191</v>
      </c>
      <c r="U2489">
        <v>28034</v>
      </c>
      <c r="V2489" t="s">
        <v>192</v>
      </c>
      <c r="W2489" t="s">
        <v>56</v>
      </c>
      <c r="X2489" t="s">
        <v>193</v>
      </c>
      <c r="Y2489" t="s">
        <v>194</v>
      </c>
      <c r="Z2489" t="s">
        <v>65</v>
      </c>
    </row>
    <row r="2490" spans="1:26" x14ac:dyDescent="0.3">
      <c r="A2490">
        <v>10168</v>
      </c>
      <c r="B2490">
        <v>28</v>
      </c>
      <c r="C2490">
        <v>98.65</v>
      </c>
      <c r="D2490">
        <v>14</v>
      </c>
      <c r="E2490">
        <v>2762.2</v>
      </c>
      <c r="F2490" s="1">
        <v>37922</v>
      </c>
      <c r="G2490" t="s">
        <v>39</v>
      </c>
      <c r="H2490">
        <v>4</v>
      </c>
      <c r="I2490">
        <v>10</v>
      </c>
      <c r="J2490" t="str">
        <f>TEXT(DATE(2012,Table1[[#This Row],[MONTH_ID]],10),"mmm")</f>
        <v>Oct</v>
      </c>
      <c r="K2490">
        <v>2003</v>
      </c>
      <c r="L2490" t="s">
        <v>580</v>
      </c>
      <c r="M2490">
        <v>91</v>
      </c>
      <c r="N2490" t="s">
        <v>676</v>
      </c>
      <c r="O2490" t="s">
        <v>76</v>
      </c>
      <c r="P2490">
        <v>6505556809</v>
      </c>
      <c r="Q2490" t="s">
        <v>77</v>
      </c>
      <c r="S2490" t="s">
        <v>78</v>
      </c>
      <c r="T2490" t="s">
        <v>69</v>
      </c>
      <c r="U2490">
        <v>94217</v>
      </c>
      <c r="V2490" t="s">
        <v>46</v>
      </c>
      <c r="W2490" t="s">
        <v>47</v>
      </c>
      <c r="X2490" t="s">
        <v>79</v>
      </c>
      <c r="Y2490" t="s">
        <v>80</v>
      </c>
      <c r="Z2490" t="s">
        <v>50</v>
      </c>
    </row>
    <row r="2491" spans="1:26" x14ac:dyDescent="0.3">
      <c r="A2491">
        <v>10199</v>
      </c>
      <c r="B2491">
        <v>48</v>
      </c>
      <c r="C2491">
        <v>83.12</v>
      </c>
      <c r="D2491">
        <v>2</v>
      </c>
      <c r="E2491">
        <v>3989.76</v>
      </c>
      <c r="F2491" s="1">
        <v>37956</v>
      </c>
      <c r="G2491" t="s">
        <v>39</v>
      </c>
      <c r="H2491">
        <v>4</v>
      </c>
      <c r="I2491">
        <v>12</v>
      </c>
      <c r="J2491" t="str">
        <f>TEXT(DATE(2012,Table1[[#This Row],[MONTH_ID]],10),"mmm")</f>
        <v>Dec</v>
      </c>
      <c r="K2491">
        <v>2003</v>
      </c>
      <c r="L2491" t="s">
        <v>580</v>
      </c>
      <c r="M2491">
        <v>91</v>
      </c>
      <c r="N2491" t="s">
        <v>676</v>
      </c>
      <c r="O2491" t="s">
        <v>248</v>
      </c>
      <c r="P2491">
        <v>3105553722</v>
      </c>
      <c r="Q2491" t="s">
        <v>249</v>
      </c>
      <c r="S2491" t="s">
        <v>250</v>
      </c>
      <c r="T2491" t="s">
        <v>69</v>
      </c>
      <c r="U2491">
        <v>94019</v>
      </c>
      <c r="V2491" t="s">
        <v>46</v>
      </c>
      <c r="W2491" t="s">
        <v>47</v>
      </c>
      <c r="X2491" t="s">
        <v>251</v>
      </c>
      <c r="Y2491" t="s">
        <v>252</v>
      </c>
      <c r="Z2491" t="s">
        <v>65</v>
      </c>
    </row>
    <row r="2492" spans="1:26" x14ac:dyDescent="0.3">
      <c r="A2492">
        <v>10210</v>
      </c>
      <c r="B2492">
        <v>21</v>
      </c>
      <c r="C2492">
        <v>78.55</v>
      </c>
      <c r="D2492">
        <v>12</v>
      </c>
      <c r="E2492">
        <v>1649.55</v>
      </c>
      <c r="F2492" s="1">
        <v>37998</v>
      </c>
      <c r="G2492" t="s">
        <v>39</v>
      </c>
      <c r="H2492">
        <v>1</v>
      </c>
      <c r="I2492">
        <v>1</v>
      </c>
      <c r="J2492" t="str">
        <f>TEXT(DATE(2012,Table1[[#This Row],[MONTH_ID]],10),"mmm")</f>
        <v>Jan</v>
      </c>
      <c r="K2492">
        <v>2004</v>
      </c>
      <c r="L2492" t="s">
        <v>580</v>
      </c>
      <c r="M2492">
        <v>91</v>
      </c>
      <c r="N2492" t="s">
        <v>676</v>
      </c>
      <c r="O2492" t="s">
        <v>316</v>
      </c>
      <c r="P2492" t="s">
        <v>317</v>
      </c>
      <c r="Q2492" t="s">
        <v>318</v>
      </c>
      <c r="S2492" t="s">
        <v>319</v>
      </c>
      <c r="T2492" t="s">
        <v>319</v>
      </c>
      <c r="U2492" t="s">
        <v>320</v>
      </c>
      <c r="V2492" t="s">
        <v>214</v>
      </c>
      <c r="W2492" t="s">
        <v>214</v>
      </c>
      <c r="X2492" t="s">
        <v>321</v>
      </c>
      <c r="Y2492" t="s">
        <v>322</v>
      </c>
      <c r="Z2492" t="s">
        <v>50</v>
      </c>
    </row>
    <row r="2493" spans="1:26" x14ac:dyDescent="0.3">
      <c r="A2493">
        <v>10223</v>
      </c>
      <c r="B2493">
        <v>25</v>
      </c>
      <c r="C2493">
        <v>100</v>
      </c>
      <c r="D2493">
        <v>14</v>
      </c>
      <c r="E2493">
        <v>2534.75</v>
      </c>
      <c r="F2493" s="1">
        <v>38037</v>
      </c>
      <c r="G2493" t="s">
        <v>39</v>
      </c>
      <c r="H2493">
        <v>1</v>
      </c>
      <c r="I2493">
        <v>2</v>
      </c>
      <c r="J2493" t="str">
        <f>TEXT(DATE(2012,Table1[[#This Row],[MONTH_ID]],10),"mmm")</f>
        <v>Feb</v>
      </c>
      <c r="K2493">
        <v>2004</v>
      </c>
      <c r="L2493" t="s">
        <v>580</v>
      </c>
      <c r="M2493">
        <v>91</v>
      </c>
      <c r="N2493" t="s">
        <v>676</v>
      </c>
      <c r="O2493" t="s">
        <v>103</v>
      </c>
      <c r="P2493" t="s">
        <v>104</v>
      </c>
      <c r="Q2493" t="s">
        <v>105</v>
      </c>
      <c r="R2493" t="s">
        <v>106</v>
      </c>
      <c r="S2493" t="s">
        <v>107</v>
      </c>
      <c r="T2493" t="s">
        <v>108</v>
      </c>
      <c r="U2493">
        <v>3004</v>
      </c>
      <c r="V2493" t="s">
        <v>109</v>
      </c>
      <c r="W2493" t="s">
        <v>110</v>
      </c>
      <c r="X2493" t="s">
        <v>111</v>
      </c>
      <c r="Y2493" t="s">
        <v>112</v>
      </c>
      <c r="Z2493" t="s">
        <v>50</v>
      </c>
    </row>
    <row r="2494" spans="1:26" x14ac:dyDescent="0.3">
      <c r="A2494">
        <v>10235</v>
      </c>
      <c r="B2494">
        <v>25</v>
      </c>
      <c r="C2494">
        <v>100</v>
      </c>
      <c r="D2494">
        <v>8</v>
      </c>
      <c r="E2494">
        <v>2580.25</v>
      </c>
      <c r="F2494" s="1">
        <v>38079</v>
      </c>
      <c r="G2494" t="s">
        <v>39</v>
      </c>
      <c r="H2494">
        <v>2</v>
      </c>
      <c r="I2494">
        <v>4</v>
      </c>
      <c r="J2494" t="str">
        <f>TEXT(DATE(2012,Table1[[#This Row],[MONTH_ID]],10),"mmm")</f>
        <v>Apr</v>
      </c>
      <c r="K2494">
        <v>2004</v>
      </c>
      <c r="L2494" t="s">
        <v>580</v>
      </c>
      <c r="M2494">
        <v>91</v>
      </c>
      <c r="N2494" t="s">
        <v>676</v>
      </c>
      <c r="O2494" t="s">
        <v>387</v>
      </c>
      <c r="P2494" t="s">
        <v>388</v>
      </c>
      <c r="Q2494" t="s">
        <v>389</v>
      </c>
      <c r="S2494" t="s">
        <v>390</v>
      </c>
      <c r="T2494" t="s">
        <v>243</v>
      </c>
      <c r="U2494" t="s">
        <v>391</v>
      </c>
      <c r="V2494" t="s">
        <v>245</v>
      </c>
      <c r="W2494" t="s">
        <v>47</v>
      </c>
      <c r="X2494" t="s">
        <v>392</v>
      </c>
      <c r="Y2494" t="s">
        <v>186</v>
      </c>
      <c r="Z2494" t="s">
        <v>50</v>
      </c>
    </row>
    <row r="2495" spans="1:26" x14ac:dyDescent="0.3">
      <c r="A2495">
        <v>10250</v>
      </c>
      <c r="B2495">
        <v>31</v>
      </c>
      <c r="C2495">
        <v>91.34</v>
      </c>
      <c r="D2495">
        <v>9</v>
      </c>
      <c r="E2495">
        <v>2831.54</v>
      </c>
      <c r="F2495" s="1">
        <v>38118</v>
      </c>
      <c r="G2495" t="s">
        <v>39</v>
      </c>
      <c r="H2495">
        <v>2</v>
      </c>
      <c r="I2495">
        <v>5</v>
      </c>
      <c r="J2495" t="str">
        <f>TEXT(DATE(2012,Table1[[#This Row],[MONTH_ID]],10),"mmm")</f>
        <v>May</v>
      </c>
      <c r="K2495">
        <v>2004</v>
      </c>
      <c r="L2495" t="s">
        <v>580</v>
      </c>
      <c r="M2495">
        <v>91</v>
      </c>
      <c r="N2495" t="s">
        <v>676</v>
      </c>
      <c r="O2495" t="s">
        <v>411</v>
      </c>
      <c r="P2495">
        <v>4085553659</v>
      </c>
      <c r="Q2495" t="s">
        <v>412</v>
      </c>
      <c r="S2495" t="s">
        <v>413</v>
      </c>
      <c r="T2495" t="s">
        <v>69</v>
      </c>
      <c r="U2495">
        <v>94217</v>
      </c>
      <c r="V2495" t="s">
        <v>46</v>
      </c>
      <c r="W2495" t="s">
        <v>47</v>
      </c>
      <c r="X2495" t="s">
        <v>116</v>
      </c>
      <c r="Y2495" t="s">
        <v>414</v>
      </c>
      <c r="Z2495" t="s">
        <v>50</v>
      </c>
    </row>
    <row r="2496" spans="1:26" x14ac:dyDescent="0.3">
      <c r="A2496">
        <v>10262</v>
      </c>
      <c r="B2496">
        <v>40</v>
      </c>
      <c r="C2496">
        <v>84.03</v>
      </c>
      <c r="D2496">
        <v>4</v>
      </c>
      <c r="E2496">
        <v>3361.2</v>
      </c>
      <c r="F2496" s="1">
        <v>38162</v>
      </c>
      <c r="G2496" t="s">
        <v>353</v>
      </c>
      <c r="H2496">
        <v>2</v>
      </c>
      <c r="I2496">
        <v>6</v>
      </c>
      <c r="J2496" t="str">
        <f>TEXT(DATE(2012,Table1[[#This Row],[MONTH_ID]],10),"mmm")</f>
        <v>Jun</v>
      </c>
      <c r="K2496">
        <v>2004</v>
      </c>
      <c r="L2496" t="s">
        <v>580</v>
      </c>
      <c r="M2496">
        <v>91</v>
      </c>
      <c r="N2496" t="s">
        <v>676</v>
      </c>
      <c r="O2496" t="s">
        <v>188</v>
      </c>
      <c r="P2496" t="s">
        <v>189</v>
      </c>
      <c r="Q2496" t="s">
        <v>190</v>
      </c>
      <c r="S2496" t="s">
        <v>191</v>
      </c>
      <c r="U2496">
        <v>28034</v>
      </c>
      <c r="V2496" t="s">
        <v>192</v>
      </c>
      <c r="W2496" t="s">
        <v>56</v>
      </c>
      <c r="X2496" t="s">
        <v>193</v>
      </c>
      <c r="Y2496" t="s">
        <v>194</v>
      </c>
      <c r="Z2496" t="s">
        <v>65</v>
      </c>
    </row>
    <row r="2497" spans="1:26" x14ac:dyDescent="0.3">
      <c r="A2497">
        <v>10275</v>
      </c>
      <c r="B2497">
        <v>32</v>
      </c>
      <c r="C2497">
        <v>89.51</v>
      </c>
      <c r="D2497">
        <v>14</v>
      </c>
      <c r="E2497">
        <v>2864.32</v>
      </c>
      <c r="F2497" s="1">
        <v>38191</v>
      </c>
      <c r="G2497" t="s">
        <v>39</v>
      </c>
      <c r="H2497">
        <v>3</v>
      </c>
      <c r="I2497">
        <v>7</v>
      </c>
      <c r="J2497" t="str">
        <f>TEXT(DATE(2012,Table1[[#This Row],[MONTH_ID]],10),"mmm")</f>
        <v>Jul</v>
      </c>
      <c r="K2497">
        <v>2004</v>
      </c>
      <c r="L2497" t="s">
        <v>580</v>
      </c>
      <c r="M2497">
        <v>91</v>
      </c>
      <c r="N2497" t="s">
        <v>676</v>
      </c>
      <c r="O2497" t="s">
        <v>128</v>
      </c>
      <c r="P2497" t="s">
        <v>129</v>
      </c>
      <c r="Q2497" t="s">
        <v>130</v>
      </c>
      <c r="S2497" t="s">
        <v>131</v>
      </c>
      <c r="U2497">
        <v>44000</v>
      </c>
      <c r="V2497" t="s">
        <v>55</v>
      </c>
      <c r="W2497" t="s">
        <v>56</v>
      </c>
      <c r="X2497" t="s">
        <v>132</v>
      </c>
      <c r="Y2497" t="s">
        <v>133</v>
      </c>
      <c r="Z2497" t="s">
        <v>50</v>
      </c>
    </row>
    <row r="2498" spans="1:26" x14ac:dyDescent="0.3">
      <c r="A2498">
        <v>10284</v>
      </c>
      <c r="B2498">
        <v>24</v>
      </c>
      <c r="C2498">
        <v>83.12</v>
      </c>
      <c r="D2498">
        <v>6</v>
      </c>
      <c r="E2498">
        <v>1994.88</v>
      </c>
      <c r="F2498" s="1">
        <v>38220</v>
      </c>
      <c r="G2498" t="s">
        <v>39</v>
      </c>
      <c r="H2498">
        <v>3</v>
      </c>
      <c r="I2498">
        <v>8</v>
      </c>
      <c r="J2498" t="str">
        <f>TEXT(DATE(2012,Table1[[#This Row],[MONTH_ID]],10),"mmm")</f>
        <v>Aug</v>
      </c>
      <c r="K2498">
        <v>2004</v>
      </c>
      <c r="L2498" t="s">
        <v>580</v>
      </c>
      <c r="M2498">
        <v>91</v>
      </c>
      <c r="N2498" t="s">
        <v>676</v>
      </c>
      <c r="O2498" t="s">
        <v>557</v>
      </c>
      <c r="P2498" t="s">
        <v>558</v>
      </c>
      <c r="Q2498" t="s">
        <v>559</v>
      </c>
      <c r="S2498" t="s">
        <v>560</v>
      </c>
      <c r="U2498" t="s">
        <v>561</v>
      </c>
      <c r="V2498" t="s">
        <v>92</v>
      </c>
      <c r="W2498" t="s">
        <v>56</v>
      </c>
      <c r="X2498" t="s">
        <v>562</v>
      </c>
      <c r="Y2498" t="s">
        <v>563</v>
      </c>
      <c r="Z2498" t="s">
        <v>50</v>
      </c>
    </row>
    <row r="2499" spans="1:26" x14ac:dyDescent="0.3">
      <c r="A2499">
        <v>10296</v>
      </c>
      <c r="B2499">
        <v>42</v>
      </c>
      <c r="C2499">
        <v>100</v>
      </c>
      <c r="D2499">
        <v>2</v>
      </c>
      <c r="E2499">
        <v>4296.6000000000004</v>
      </c>
      <c r="F2499" s="1">
        <v>38245</v>
      </c>
      <c r="G2499" t="s">
        <v>39</v>
      </c>
      <c r="H2499">
        <v>3</v>
      </c>
      <c r="I2499">
        <v>9</v>
      </c>
      <c r="J2499" t="str">
        <f>TEXT(DATE(2012,Table1[[#This Row],[MONTH_ID]],10),"mmm")</f>
        <v>Sep</v>
      </c>
      <c r="K2499">
        <v>2004</v>
      </c>
      <c r="L2499" t="s">
        <v>580</v>
      </c>
      <c r="M2499">
        <v>91</v>
      </c>
      <c r="N2499" t="s">
        <v>676</v>
      </c>
      <c r="O2499" t="s">
        <v>586</v>
      </c>
      <c r="P2499" t="s">
        <v>587</v>
      </c>
      <c r="Q2499" t="s">
        <v>588</v>
      </c>
      <c r="S2499" t="s">
        <v>589</v>
      </c>
      <c r="U2499">
        <v>80686</v>
      </c>
      <c r="V2499" t="s">
        <v>457</v>
      </c>
      <c r="W2499" t="s">
        <v>56</v>
      </c>
      <c r="X2499" t="s">
        <v>590</v>
      </c>
      <c r="Y2499" t="s">
        <v>117</v>
      </c>
      <c r="Z2499" t="s">
        <v>65</v>
      </c>
    </row>
    <row r="2500" spans="1:26" x14ac:dyDescent="0.3">
      <c r="A2500">
        <v>10308</v>
      </c>
      <c r="B2500">
        <v>21</v>
      </c>
      <c r="C2500">
        <v>100</v>
      </c>
      <c r="D2500">
        <v>12</v>
      </c>
      <c r="E2500">
        <v>2224.9499999999998</v>
      </c>
      <c r="F2500" s="1">
        <v>38275</v>
      </c>
      <c r="G2500" t="s">
        <v>39</v>
      </c>
      <c r="H2500">
        <v>4</v>
      </c>
      <c r="I2500">
        <v>10</v>
      </c>
      <c r="J2500" t="str">
        <f>TEXT(DATE(2012,Table1[[#This Row],[MONTH_ID]],10),"mmm")</f>
        <v>Oct</v>
      </c>
      <c r="K2500">
        <v>2004</v>
      </c>
      <c r="L2500" t="s">
        <v>580</v>
      </c>
      <c r="M2500">
        <v>91</v>
      </c>
      <c r="N2500" t="s">
        <v>676</v>
      </c>
      <c r="O2500" t="s">
        <v>331</v>
      </c>
      <c r="P2500">
        <v>9145554562</v>
      </c>
      <c r="Q2500" t="s">
        <v>332</v>
      </c>
      <c r="S2500" t="s">
        <v>333</v>
      </c>
      <c r="T2500" t="s">
        <v>45</v>
      </c>
      <c r="U2500">
        <v>24067</v>
      </c>
      <c r="V2500" t="s">
        <v>46</v>
      </c>
      <c r="W2500" t="s">
        <v>47</v>
      </c>
      <c r="X2500" t="s">
        <v>116</v>
      </c>
      <c r="Y2500" t="s">
        <v>252</v>
      </c>
      <c r="Z2500" t="s">
        <v>50</v>
      </c>
    </row>
    <row r="2501" spans="1:26" x14ac:dyDescent="0.3">
      <c r="A2501">
        <v>10316</v>
      </c>
      <c r="B2501">
        <v>34</v>
      </c>
      <c r="C2501">
        <v>82.21</v>
      </c>
      <c r="D2501">
        <v>4</v>
      </c>
      <c r="E2501">
        <v>2795.14</v>
      </c>
      <c r="F2501" s="1">
        <v>38292</v>
      </c>
      <c r="G2501" t="s">
        <v>39</v>
      </c>
      <c r="H2501">
        <v>4</v>
      </c>
      <c r="I2501">
        <v>11</v>
      </c>
      <c r="J2501" t="str">
        <f>TEXT(DATE(2012,Table1[[#This Row],[MONTH_ID]],10),"mmm")</f>
        <v>Nov</v>
      </c>
      <c r="K2501">
        <v>2004</v>
      </c>
      <c r="L2501" t="s">
        <v>580</v>
      </c>
      <c r="M2501">
        <v>91</v>
      </c>
      <c r="N2501" t="s">
        <v>676</v>
      </c>
      <c r="O2501" t="s">
        <v>397</v>
      </c>
      <c r="P2501" t="s">
        <v>398</v>
      </c>
      <c r="Q2501" t="s">
        <v>399</v>
      </c>
      <c r="S2501" t="s">
        <v>400</v>
      </c>
      <c r="T2501" t="s">
        <v>401</v>
      </c>
      <c r="U2501" t="s">
        <v>402</v>
      </c>
      <c r="V2501" t="s">
        <v>184</v>
      </c>
      <c r="W2501" t="s">
        <v>56</v>
      </c>
      <c r="X2501" t="s">
        <v>403</v>
      </c>
      <c r="Y2501" t="s">
        <v>404</v>
      </c>
      <c r="Z2501" t="s">
        <v>50</v>
      </c>
    </row>
    <row r="2502" spans="1:26" x14ac:dyDescent="0.3">
      <c r="A2502">
        <v>10328</v>
      </c>
      <c r="B2502">
        <v>27</v>
      </c>
      <c r="C2502">
        <v>100</v>
      </c>
      <c r="D2502">
        <v>8</v>
      </c>
      <c r="E2502">
        <v>2762.1</v>
      </c>
      <c r="F2502" s="1">
        <v>38303</v>
      </c>
      <c r="G2502" t="s">
        <v>39</v>
      </c>
      <c r="H2502">
        <v>4</v>
      </c>
      <c r="I2502">
        <v>11</v>
      </c>
      <c r="J2502" t="str">
        <f>TEXT(DATE(2012,Table1[[#This Row],[MONTH_ID]],10),"mmm")</f>
        <v>Nov</v>
      </c>
      <c r="K2502">
        <v>2004</v>
      </c>
      <c r="L2502" t="s">
        <v>580</v>
      </c>
      <c r="M2502">
        <v>91</v>
      </c>
      <c r="N2502" t="s">
        <v>676</v>
      </c>
      <c r="O2502" t="s">
        <v>566</v>
      </c>
      <c r="P2502" t="s">
        <v>567</v>
      </c>
      <c r="Q2502" t="s">
        <v>568</v>
      </c>
      <c r="S2502" t="s">
        <v>569</v>
      </c>
      <c r="U2502">
        <v>24100</v>
      </c>
      <c r="V2502" t="s">
        <v>272</v>
      </c>
      <c r="W2502" t="s">
        <v>56</v>
      </c>
      <c r="X2502" t="s">
        <v>570</v>
      </c>
      <c r="Y2502" t="s">
        <v>571</v>
      </c>
      <c r="Z2502" t="s">
        <v>50</v>
      </c>
    </row>
    <row r="2503" spans="1:26" x14ac:dyDescent="0.3">
      <c r="A2503">
        <v>10340</v>
      </c>
      <c r="B2503">
        <v>30</v>
      </c>
      <c r="C2503">
        <v>88.6</v>
      </c>
      <c r="D2503">
        <v>5</v>
      </c>
      <c r="E2503">
        <v>2658</v>
      </c>
      <c r="F2503" s="1">
        <v>38315</v>
      </c>
      <c r="G2503" t="s">
        <v>39</v>
      </c>
      <c r="H2503">
        <v>4</v>
      </c>
      <c r="I2503">
        <v>11</v>
      </c>
      <c r="J2503" t="str">
        <f>TEXT(DATE(2012,Table1[[#This Row],[MONTH_ID]],10),"mmm")</f>
        <v>Nov</v>
      </c>
      <c r="K2503">
        <v>2004</v>
      </c>
      <c r="L2503" t="s">
        <v>580</v>
      </c>
      <c r="M2503">
        <v>91</v>
      </c>
      <c r="N2503" t="s">
        <v>676</v>
      </c>
      <c r="O2503" t="s">
        <v>366</v>
      </c>
      <c r="P2503" t="s">
        <v>367</v>
      </c>
      <c r="Q2503" t="s">
        <v>368</v>
      </c>
      <c r="S2503" t="s">
        <v>369</v>
      </c>
      <c r="U2503">
        <v>8022</v>
      </c>
      <c r="V2503" t="s">
        <v>192</v>
      </c>
      <c r="W2503" t="s">
        <v>56</v>
      </c>
      <c r="X2503" t="s">
        <v>370</v>
      </c>
      <c r="Y2503" t="s">
        <v>371</v>
      </c>
      <c r="Z2503" t="s">
        <v>50</v>
      </c>
    </row>
    <row r="2504" spans="1:26" x14ac:dyDescent="0.3">
      <c r="A2504">
        <v>10353</v>
      </c>
      <c r="B2504">
        <v>39</v>
      </c>
      <c r="C2504">
        <v>100</v>
      </c>
      <c r="D2504">
        <v>9</v>
      </c>
      <c r="E2504">
        <v>5043.87</v>
      </c>
      <c r="F2504" s="1">
        <v>38325</v>
      </c>
      <c r="G2504" t="s">
        <v>39</v>
      </c>
      <c r="H2504">
        <v>4</v>
      </c>
      <c r="I2504">
        <v>12</v>
      </c>
      <c r="J2504" t="str">
        <f>TEXT(DATE(2012,Table1[[#This Row],[MONTH_ID]],10),"mmm")</f>
        <v>Dec</v>
      </c>
      <c r="K2504">
        <v>2004</v>
      </c>
      <c r="L2504" t="s">
        <v>580</v>
      </c>
      <c r="M2504">
        <v>91</v>
      </c>
      <c r="N2504" t="s">
        <v>676</v>
      </c>
      <c r="O2504" t="s">
        <v>582</v>
      </c>
      <c r="P2504">
        <v>2035554407</v>
      </c>
      <c r="Q2504" t="s">
        <v>583</v>
      </c>
      <c r="S2504" t="s">
        <v>530</v>
      </c>
      <c r="T2504" t="s">
        <v>126</v>
      </c>
      <c r="U2504">
        <v>97561</v>
      </c>
      <c r="V2504" t="s">
        <v>46</v>
      </c>
      <c r="W2504" t="s">
        <v>47</v>
      </c>
      <c r="X2504" t="s">
        <v>584</v>
      </c>
      <c r="Y2504" t="s">
        <v>585</v>
      </c>
      <c r="Z2504" t="s">
        <v>65</v>
      </c>
    </row>
    <row r="2505" spans="1:26" x14ac:dyDescent="0.3">
      <c r="A2505">
        <v>10361</v>
      </c>
      <c r="B2505">
        <v>20</v>
      </c>
      <c r="C2505">
        <v>60.54</v>
      </c>
      <c r="D2505">
        <v>4</v>
      </c>
      <c r="E2505">
        <v>1210.8</v>
      </c>
      <c r="F2505" s="1">
        <v>38338</v>
      </c>
      <c r="G2505" t="s">
        <v>39</v>
      </c>
      <c r="H2505">
        <v>4</v>
      </c>
      <c r="I2505">
        <v>12</v>
      </c>
      <c r="J2505" t="str">
        <f>TEXT(DATE(2012,Table1[[#This Row],[MONTH_ID]],10),"mmm")</f>
        <v>Dec</v>
      </c>
      <c r="K2505">
        <v>2004</v>
      </c>
      <c r="L2505" t="s">
        <v>580</v>
      </c>
      <c r="M2505">
        <v>91</v>
      </c>
      <c r="N2505" t="s">
        <v>676</v>
      </c>
      <c r="O2505" t="s">
        <v>166</v>
      </c>
      <c r="P2505" t="s">
        <v>167</v>
      </c>
      <c r="Q2505" t="s">
        <v>168</v>
      </c>
      <c r="R2505" t="s">
        <v>169</v>
      </c>
      <c r="S2505" t="s">
        <v>170</v>
      </c>
      <c r="T2505" t="s">
        <v>171</v>
      </c>
      <c r="U2505">
        <v>2067</v>
      </c>
      <c r="V2505" t="s">
        <v>109</v>
      </c>
      <c r="W2505" t="s">
        <v>110</v>
      </c>
      <c r="X2505" t="s">
        <v>172</v>
      </c>
      <c r="Y2505" t="s">
        <v>173</v>
      </c>
      <c r="Z2505" t="s">
        <v>50</v>
      </c>
    </row>
    <row r="2506" spans="1:26" x14ac:dyDescent="0.3">
      <c r="A2506">
        <v>10375</v>
      </c>
      <c r="B2506">
        <v>37</v>
      </c>
      <c r="C2506">
        <v>81.87</v>
      </c>
      <c r="D2506">
        <v>6</v>
      </c>
      <c r="E2506">
        <v>3029.19</v>
      </c>
      <c r="F2506" s="1">
        <v>38386</v>
      </c>
      <c r="G2506" t="s">
        <v>39</v>
      </c>
      <c r="H2506">
        <v>1</v>
      </c>
      <c r="I2506">
        <v>2</v>
      </c>
      <c r="J2506" t="str">
        <f>TEXT(DATE(2012,Table1[[#This Row],[MONTH_ID]],10),"mmm")</f>
        <v>Feb</v>
      </c>
      <c r="K2506">
        <v>2005</v>
      </c>
      <c r="L2506" t="s">
        <v>580</v>
      </c>
      <c r="M2506">
        <v>91</v>
      </c>
      <c r="N2506" t="s">
        <v>676</v>
      </c>
      <c r="O2506" t="s">
        <v>128</v>
      </c>
      <c r="P2506" t="s">
        <v>129</v>
      </c>
      <c r="Q2506" t="s">
        <v>130</v>
      </c>
      <c r="S2506" t="s">
        <v>131</v>
      </c>
      <c r="U2506">
        <v>44000</v>
      </c>
      <c r="V2506" t="s">
        <v>55</v>
      </c>
      <c r="W2506" t="s">
        <v>56</v>
      </c>
      <c r="X2506" t="s">
        <v>132</v>
      </c>
      <c r="Y2506" t="s">
        <v>133</v>
      </c>
      <c r="Z2506" t="s">
        <v>65</v>
      </c>
    </row>
    <row r="2507" spans="1:26" x14ac:dyDescent="0.3">
      <c r="A2507">
        <v>10388</v>
      </c>
      <c r="B2507">
        <v>46</v>
      </c>
      <c r="C2507">
        <v>100</v>
      </c>
      <c r="D2507">
        <v>2</v>
      </c>
      <c r="E2507">
        <v>10066.6</v>
      </c>
      <c r="F2507" s="1">
        <v>38414</v>
      </c>
      <c r="G2507" t="s">
        <v>39</v>
      </c>
      <c r="H2507">
        <v>1</v>
      </c>
      <c r="I2507">
        <v>3</v>
      </c>
      <c r="J2507" t="str">
        <f>TEXT(DATE(2012,Table1[[#This Row],[MONTH_ID]],10),"mmm")</f>
        <v>Mar</v>
      </c>
      <c r="K2507">
        <v>2005</v>
      </c>
      <c r="L2507" t="s">
        <v>580</v>
      </c>
      <c r="M2507">
        <v>91</v>
      </c>
      <c r="N2507" t="s">
        <v>676</v>
      </c>
      <c r="O2507" t="s">
        <v>174</v>
      </c>
      <c r="P2507">
        <v>5085552555</v>
      </c>
      <c r="Q2507" t="s">
        <v>175</v>
      </c>
      <c r="S2507" t="s">
        <v>176</v>
      </c>
      <c r="T2507" t="s">
        <v>137</v>
      </c>
      <c r="U2507">
        <v>50553</v>
      </c>
      <c r="V2507" t="s">
        <v>46</v>
      </c>
      <c r="W2507" t="s">
        <v>47</v>
      </c>
      <c r="X2507" t="s">
        <v>177</v>
      </c>
      <c r="Y2507" t="s">
        <v>178</v>
      </c>
      <c r="Z2507" t="s">
        <v>165</v>
      </c>
    </row>
    <row r="2508" spans="1:26" x14ac:dyDescent="0.3">
      <c r="A2508">
        <v>10398</v>
      </c>
      <c r="B2508">
        <v>47</v>
      </c>
      <c r="C2508">
        <v>87.69</v>
      </c>
      <c r="D2508">
        <v>6</v>
      </c>
      <c r="E2508">
        <v>4121.43</v>
      </c>
      <c r="F2508" s="1">
        <v>38441</v>
      </c>
      <c r="G2508" t="s">
        <v>39</v>
      </c>
      <c r="H2508">
        <v>1</v>
      </c>
      <c r="I2508">
        <v>3</v>
      </c>
      <c r="J2508" t="str">
        <f>TEXT(DATE(2012,Table1[[#This Row],[MONTH_ID]],10),"mmm")</f>
        <v>Mar</v>
      </c>
      <c r="K2508">
        <v>2005</v>
      </c>
      <c r="L2508" t="s">
        <v>580</v>
      </c>
      <c r="M2508">
        <v>91</v>
      </c>
      <c r="N2508" t="s">
        <v>676</v>
      </c>
      <c r="O2508" t="s">
        <v>51</v>
      </c>
      <c r="P2508" t="s">
        <v>52</v>
      </c>
      <c r="Q2508" t="s">
        <v>53</v>
      </c>
      <c r="S2508" t="s">
        <v>54</v>
      </c>
      <c r="U2508">
        <v>51100</v>
      </c>
      <c r="V2508" t="s">
        <v>55</v>
      </c>
      <c r="W2508" t="s">
        <v>56</v>
      </c>
      <c r="X2508" t="s">
        <v>57</v>
      </c>
      <c r="Y2508" t="s">
        <v>58</v>
      </c>
      <c r="Z2508" t="s">
        <v>65</v>
      </c>
    </row>
    <row r="2509" spans="1:26" x14ac:dyDescent="0.3">
      <c r="A2509">
        <v>10401</v>
      </c>
      <c r="B2509">
        <v>11</v>
      </c>
      <c r="C2509">
        <v>100</v>
      </c>
      <c r="D2509">
        <v>8</v>
      </c>
      <c r="E2509">
        <v>1135.31</v>
      </c>
      <c r="F2509" s="1">
        <v>38445</v>
      </c>
      <c r="G2509" t="s">
        <v>415</v>
      </c>
      <c r="H2509">
        <v>2</v>
      </c>
      <c r="I2509">
        <v>4</v>
      </c>
      <c r="J2509" t="str">
        <f>TEXT(DATE(2012,Table1[[#This Row],[MONTH_ID]],10),"mmm")</f>
        <v>Apr</v>
      </c>
      <c r="K2509">
        <v>2005</v>
      </c>
      <c r="L2509" t="s">
        <v>580</v>
      </c>
      <c r="M2509">
        <v>91</v>
      </c>
      <c r="N2509" t="s">
        <v>676</v>
      </c>
      <c r="O2509" t="s">
        <v>118</v>
      </c>
      <c r="P2509">
        <v>2015559350</v>
      </c>
      <c r="Q2509" t="s">
        <v>119</v>
      </c>
      <c r="S2509" t="s">
        <v>120</v>
      </c>
      <c r="T2509" t="s">
        <v>121</v>
      </c>
      <c r="U2509">
        <v>94019</v>
      </c>
      <c r="V2509" t="s">
        <v>46</v>
      </c>
      <c r="W2509" t="s">
        <v>47</v>
      </c>
      <c r="X2509" t="s">
        <v>75</v>
      </c>
      <c r="Y2509" t="s">
        <v>122</v>
      </c>
      <c r="Z2509" t="s">
        <v>50</v>
      </c>
    </row>
    <row r="2510" spans="1:26" x14ac:dyDescent="0.3">
      <c r="A2510">
        <v>10416</v>
      </c>
      <c r="B2510">
        <v>23</v>
      </c>
      <c r="C2510">
        <v>91.34</v>
      </c>
      <c r="D2510">
        <v>9</v>
      </c>
      <c r="E2510">
        <v>2100.8200000000002</v>
      </c>
      <c r="F2510" s="1">
        <v>38482</v>
      </c>
      <c r="G2510" t="s">
        <v>39</v>
      </c>
      <c r="H2510">
        <v>2</v>
      </c>
      <c r="I2510">
        <v>5</v>
      </c>
      <c r="J2510" t="str">
        <f>TEXT(DATE(2012,Table1[[#This Row],[MONTH_ID]],10),"mmm")</f>
        <v>May</v>
      </c>
      <c r="K2510">
        <v>2005</v>
      </c>
      <c r="L2510" t="s">
        <v>580</v>
      </c>
      <c r="M2510">
        <v>91</v>
      </c>
      <c r="N2510" t="s">
        <v>676</v>
      </c>
      <c r="O2510" t="s">
        <v>466</v>
      </c>
      <c r="P2510" t="s">
        <v>467</v>
      </c>
      <c r="Q2510" t="s">
        <v>468</v>
      </c>
      <c r="S2510" t="s">
        <v>469</v>
      </c>
      <c r="U2510">
        <v>42100</v>
      </c>
      <c r="V2510" t="s">
        <v>272</v>
      </c>
      <c r="W2510" t="s">
        <v>56</v>
      </c>
      <c r="X2510" t="s">
        <v>470</v>
      </c>
      <c r="Y2510" t="s">
        <v>471</v>
      </c>
      <c r="Z2510" t="s">
        <v>50</v>
      </c>
    </row>
    <row r="2511" spans="1:26" x14ac:dyDescent="0.3">
      <c r="A2511">
        <v>10105</v>
      </c>
      <c r="B2511">
        <v>29</v>
      </c>
      <c r="C2511">
        <v>70.150000000000006</v>
      </c>
      <c r="D2511">
        <v>12</v>
      </c>
      <c r="E2511">
        <v>2034.35</v>
      </c>
      <c r="F2511" s="1">
        <v>37663</v>
      </c>
      <c r="G2511" t="s">
        <v>39</v>
      </c>
      <c r="H2511">
        <v>1</v>
      </c>
      <c r="I2511">
        <v>2</v>
      </c>
      <c r="J2511" t="str">
        <f>TEXT(DATE(2012,Table1[[#This Row],[MONTH_ID]],10),"mmm")</f>
        <v>Feb</v>
      </c>
      <c r="K2511">
        <v>2003</v>
      </c>
      <c r="L2511" t="s">
        <v>612</v>
      </c>
      <c r="M2511">
        <v>86</v>
      </c>
      <c r="N2511" t="s">
        <v>677</v>
      </c>
      <c r="O2511" t="s">
        <v>336</v>
      </c>
      <c r="P2511" t="s">
        <v>337</v>
      </c>
      <c r="Q2511" t="s">
        <v>338</v>
      </c>
      <c r="S2511" t="s">
        <v>339</v>
      </c>
      <c r="U2511">
        <v>1734</v>
      </c>
      <c r="V2511" t="s">
        <v>340</v>
      </c>
      <c r="W2511" t="s">
        <v>56</v>
      </c>
      <c r="X2511" t="s">
        <v>341</v>
      </c>
      <c r="Y2511" t="s">
        <v>342</v>
      </c>
      <c r="Z2511" t="s">
        <v>50</v>
      </c>
    </row>
    <row r="2512" spans="1:26" x14ac:dyDescent="0.3">
      <c r="A2512">
        <v>10117</v>
      </c>
      <c r="B2512">
        <v>38</v>
      </c>
      <c r="C2512">
        <v>79.680000000000007</v>
      </c>
      <c r="D2512">
        <v>6</v>
      </c>
      <c r="E2512">
        <v>3027.84</v>
      </c>
      <c r="F2512" s="1">
        <v>37727</v>
      </c>
      <c r="G2512" t="s">
        <v>39</v>
      </c>
      <c r="H2512">
        <v>2</v>
      </c>
      <c r="I2512">
        <v>4</v>
      </c>
      <c r="J2512" t="str">
        <f>TEXT(DATE(2012,Table1[[#This Row],[MONTH_ID]],10),"mmm")</f>
        <v>Apr</v>
      </c>
      <c r="K2512">
        <v>2003</v>
      </c>
      <c r="L2512" t="s">
        <v>612</v>
      </c>
      <c r="M2512">
        <v>86</v>
      </c>
      <c r="N2512" t="s">
        <v>677</v>
      </c>
      <c r="O2512" t="s">
        <v>210</v>
      </c>
      <c r="P2512" t="s">
        <v>211</v>
      </c>
      <c r="Q2512" t="s">
        <v>212</v>
      </c>
      <c r="S2512" t="s">
        <v>213</v>
      </c>
      <c r="U2512">
        <v>79903</v>
      </c>
      <c r="V2512" t="s">
        <v>213</v>
      </c>
      <c r="W2512" t="s">
        <v>214</v>
      </c>
      <c r="X2512" t="s">
        <v>215</v>
      </c>
      <c r="Y2512" t="s">
        <v>216</v>
      </c>
      <c r="Z2512" t="s">
        <v>65</v>
      </c>
    </row>
    <row r="2513" spans="1:26" x14ac:dyDescent="0.3">
      <c r="A2513">
        <v>10128</v>
      </c>
      <c r="B2513">
        <v>32</v>
      </c>
      <c r="C2513">
        <v>97</v>
      </c>
      <c r="D2513">
        <v>3</v>
      </c>
      <c r="E2513">
        <v>3104</v>
      </c>
      <c r="F2513" s="1">
        <v>37778</v>
      </c>
      <c r="G2513" t="s">
        <v>39</v>
      </c>
      <c r="H2513">
        <v>2</v>
      </c>
      <c r="I2513">
        <v>6</v>
      </c>
      <c r="J2513" t="str">
        <f>TEXT(DATE(2012,Table1[[#This Row],[MONTH_ID]],10),"mmm")</f>
        <v>Jun</v>
      </c>
      <c r="K2513">
        <v>2003</v>
      </c>
      <c r="L2513" t="s">
        <v>612</v>
      </c>
      <c r="M2513">
        <v>86</v>
      </c>
      <c r="N2513" t="s">
        <v>677</v>
      </c>
      <c r="O2513" t="s">
        <v>188</v>
      </c>
      <c r="P2513" t="s">
        <v>189</v>
      </c>
      <c r="Q2513" t="s">
        <v>190</v>
      </c>
      <c r="S2513" t="s">
        <v>191</v>
      </c>
      <c r="U2513">
        <v>28034</v>
      </c>
      <c r="V2513" t="s">
        <v>192</v>
      </c>
      <c r="W2513" t="s">
        <v>56</v>
      </c>
      <c r="X2513" t="s">
        <v>193</v>
      </c>
      <c r="Y2513" t="s">
        <v>194</v>
      </c>
      <c r="Z2513" t="s">
        <v>65</v>
      </c>
    </row>
    <row r="2514" spans="1:26" x14ac:dyDescent="0.3">
      <c r="A2514">
        <v>10142</v>
      </c>
      <c r="B2514">
        <v>43</v>
      </c>
      <c r="C2514">
        <v>84.01</v>
      </c>
      <c r="D2514">
        <v>9</v>
      </c>
      <c r="E2514">
        <v>3612.43</v>
      </c>
      <c r="F2514" s="1">
        <v>37841</v>
      </c>
      <c r="G2514" t="s">
        <v>39</v>
      </c>
      <c r="H2514">
        <v>3</v>
      </c>
      <c r="I2514">
        <v>8</v>
      </c>
      <c r="J2514" t="str">
        <f>TEXT(DATE(2012,Table1[[#This Row],[MONTH_ID]],10),"mmm")</f>
        <v>Aug</v>
      </c>
      <c r="K2514">
        <v>2003</v>
      </c>
      <c r="L2514" t="s">
        <v>612</v>
      </c>
      <c r="M2514">
        <v>86</v>
      </c>
      <c r="N2514" t="s">
        <v>677</v>
      </c>
      <c r="O2514" t="s">
        <v>286</v>
      </c>
      <c r="P2514">
        <v>4155551450</v>
      </c>
      <c r="Q2514" t="s">
        <v>287</v>
      </c>
      <c r="S2514" t="s">
        <v>288</v>
      </c>
      <c r="T2514" t="s">
        <v>69</v>
      </c>
      <c r="U2514">
        <v>97562</v>
      </c>
      <c r="V2514" t="s">
        <v>46</v>
      </c>
      <c r="W2514" t="s">
        <v>47</v>
      </c>
      <c r="X2514" t="s">
        <v>289</v>
      </c>
      <c r="Y2514" t="s">
        <v>290</v>
      </c>
      <c r="Z2514" t="s">
        <v>65</v>
      </c>
    </row>
    <row r="2515" spans="1:26" x14ac:dyDescent="0.3">
      <c r="A2515">
        <v>10153</v>
      </c>
      <c r="B2515">
        <v>31</v>
      </c>
      <c r="C2515">
        <v>87.48</v>
      </c>
      <c r="D2515">
        <v>8</v>
      </c>
      <c r="E2515">
        <v>2711.88</v>
      </c>
      <c r="F2515" s="1">
        <v>37892</v>
      </c>
      <c r="G2515" t="s">
        <v>39</v>
      </c>
      <c r="H2515">
        <v>3</v>
      </c>
      <c r="I2515">
        <v>9</v>
      </c>
      <c r="J2515" t="str">
        <f>TEXT(DATE(2012,Table1[[#This Row],[MONTH_ID]],10),"mmm")</f>
        <v>Sep</v>
      </c>
      <c r="K2515">
        <v>2003</v>
      </c>
      <c r="L2515" t="s">
        <v>612</v>
      </c>
      <c r="M2515">
        <v>86</v>
      </c>
      <c r="N2515" t="s">
        <v>677</v>
      </c>
      <c r="O2515" t="s">
        <v>188</v>
      </c>
      <c r="P2515" t="s">
        <v>189</v>
      </c>
      <c r="Q2515" t="s">
        <v>190</v>
      </c>
      <c r="S2515" t="s">
        <v>191</v>
      </c>
      <c r="U2515">
        <v>28034</v>
      </c>
      <c r="V2515" t="s">
        <v>192</v>
      </c>
      <c r="W2515" t="s">
        <v>56</v>
      </c>
      <c r="X2515" t="s">
        <v>193</v>
      </c>
      <c r="Y2515" t="s">
        <v>194</v>
      </c>
      <c r="Z2515" t="s">
        <v>50</v>
      </c>
    </row>
    <row r="2516" spans="1:26" x14ac:dyDescent="0.3">
      <c r="A2516">
        <v>10166</v>
      </c>
      <c r="B2516">
        <v>29</v>
      </c>
      <c r="C2516">
        <v>100</v>
      </c>
      <c r="D2516">
        <v>3</v>
      </c>
      <c r="E2516">
        <v>3013.97</v>
      </c>
      <c r="F2516" s="1">
        <v>37915</v>
      </c>
      <c r="G2516" t="s">
        <v>39</v>
      </c>
      <c r="H2516">
        <v>4</v>
      </c>
      <c r="I2516">
        <v>10</v>
      </c>
      <c r="J2516" t="str">
        <f>TEXT(DATE(2012,Table1[[#This Row],[MONTH_ID]],10),"mmm")</f>
        <v>Oct</v>
      </c>
      <c r="K2516">
        <v>2003</v>
      </c>
      <c r="L2516" t="s">
        <v>612</v>
      </c>
      <c r="M2516">
        <v>86</v>
      </c>
      <c r="N2516" t="s">
        <v>677</v>
      </c>
      <c r="O2516" t="s">
        <v>174</v>
      </c>
      <c r="P2516">
        <v>5085552555</v>
      </c>
      <c r="Q2516" t="s">
        <v>175</v>
      </c>
      <c r="S2516" t="s">
        <v>176</v>
      </c>
      <c r="T2516" t="s">
        <v>137</v>
      </c>
      <c r="U2516">
        <v>50553</v>
      </c>
      <c r="V2516" t="s">
        <v>46</v>
      </c>
      <c r="W2516" t="s">
        <v>47</v>
      </c>
      <c r="X2516" t="s">
        <v>177</v>
      </c>
      <c r="Y2516" t="s">
        <v>178</v>
      </c>
      <c r="Z2516" t="s">
        <v>65</v>
      </c>
    </row>
    <row r="2517" spans="1:26" x14ac:dyDescent="0.3">
      <c r="A2517">
        <v>10177</v>
      </c>
      <c r="B2517">
        <v>31</v>
      </c>
      <c r="C2517">
        <v>88.34</v>
      </c>
      <c r="D2517">
        <v>10</v>
      </c>
      <c r="E2517">
        <v>2738.54</v>
      </c>
      <c r="F2517" s="1">
        <v>37932</v>
      </c>
      <c r="G2517" t="s">
        <v>39</v>
      </c>
      <c r="H2517">
        <v>4</v>
      </c>
      <c r="I2517">
        <v>11</v>
      </c>
      <c r="J2517" t="str">
        <f>TEXT(DATE(2012,Table1[[#This Row],[MONTH_ID]],10),"mmm")</f>
        <v>Nov</v>
      </c>
      <c r="K2517">
        <v>2003</v>
      </c>
      <c r="L2517" t="s">
        <v>612</v>
      </c>
      <c r="M2517">
        <v>86</v>
      </c>
      <c r="N2517" t="s">
        <v>677</v>
      </c>
      <c r="O2517" t="s">
        <v>501</v>
      </c>
      <c r="P2517" t="s">
        <v>502</v>
      </c>
      <c r="Q2517" t="s">
        <v>503</v>
      </c>
      <c r="S2517" t="s">
        <v>191</v>
      </c>
      <c r="U2517">
        <v>28023</v>
      </c>
      <c r="V2517" t="s">
        <v>192</v>
      </c>
      <c r="W2517" t="s">
        <v>56</v>
      </c>
      <c r="X2517" t="s">
        <v>504</v>
      </c>
      <c r="Y2517" t="s">
        <v>505</v>
      </c>
      <c r="Z2517" t="s">
        <v>50</v>
      </c>
    </row>
    <row r="2518" spans="1:26" x14ac:dyDescent="0.3">
      <c r="A2518">
        <v>10185</v>
      </c>
      <c r="B2518">
        <v>30</v>
      </c>
      <c r="C2518">
        <v>94.4</v>
      </c>
      <c r="D2518">
        <v>10</v>
      </c>
      <c r="E2518">
        <v>2832</v>
      </c>
      <c r="F2518" s="1">
        <v>37939</v>
      </c>
      <c r="G2518" t="s">
        <v>39</v>
      </c>
      <c r="H2518">
        <v>4</v>
      </c>
      <c r="I2518">
        <v>11</v>
      </c>
      <c r="J2518" t="str">
        <f>TEXT(DATE(2012,Table1[[#This Row],[MONTH_ID]],10),"mmm")</f>
        <v>Nov</v>
      </c>
      <c r="K2518">
        <v>2003</v>
      </c>
      <c r="L2518" t="s">
        <v>612</v>
      </c>
      <c r="M2518">
        <v>86</v>
      </c>
      <c r="N2518" t="s">
        <v>677</v>
      </c>
      <c r="O2518" t="s">
        <v>349</v>
      </c>
      <c r="P2518">
        <v>5085559555</v>
      </c>
      <c r="Q2518" t="s">
        <v>350</v>
      </c>
      <c r="S2518" t="s">
        <v>176</v>
      </c>
      <c r="T2518" t="s">
        <v>137</v>
      </c>
      <c r="U2518">
        <v>50553</v>
      </c>
      <c r="V2518" t="s">
        <v>46</v>
      </c>
      <c r="W2518" t="s">
        <v>47</v>
      </c>
      <c r="X2518" t="s">
        <v>351</v>
      </c>
      <c r="Y2518" t="s">
        <v>352</v>
      </c>
      <c r="Z2518" t="s">
        <v>50</v>
      </c>
    </row>
    <row r="2519" spans="1:26" x14ac:dyDescent="0.3">
      <c r="A2519">
        <v>10196</v>
      </c>
      <c r="B2519">
        <v>50</v>
      </c>
      <c r="C2519">
        <v>94.4</v>
      </c>
      <c r="D2519">
        <v>2</v>
      </c>
      <c r="E2519">
        <v>4720</v>
      </c>
      <c r="F2519" s="1">
        <v>37951</v>
      </c>
      <c r="G2519" t="s">
        <v>39</v>
      </c>
      <c r="H2519">
        <v>4</v>
      </c>
      <c r="I2519">
        <v>11</v>
      </c>
      <c r="J2519" t="str">
        <f>TEXT(DATE(2012,Table1[[#This Row],[MONTH_ID]],10),"mmm")</f>
        <v>Nov</v>
      </c>
      <c r="K2519">
        <v>2003</v>
      </c>
      <c r="L2519" t="s">
        <v>612</v>
      </c>
      <c r="M2519">
        <v>86</v>
      </c>
      <c r="N2519" t="s">
        <v>677</v>
      </c>
      <c r="O2519" t="s">
        <v>256</v>
      </c>
      <c r="P2519">
        <v>2035559545</v>
      </c>
      <c r="Q2519" t="s">
        <v>257</v>
      </c>
      <c r="S2519" t="s">
        <v>258</v>
      </c>
      <c r="T2519" t="s">
        <v>126</v>
      </c>
      <c r="U2519">
        <v>97823</v>
      </c>
      <c r="V2519" t="s">
        <v>46</v>
      </c>
      <c r="W2519" t="s">
        <v>47</v>
      </c>
      <c r="X2519" t="s">
        <v>97</v>
      </c>
      <c r="Y2519" t="s">
        <v>259</v>
      </c>
      <c r="Z2519" t="s">
        <v>65</v>
      </c>
    </row>
    <row r="2520" spans="1:26" x14ac:dyDescent="0.3">
      <c r="A2520">
        <v>10208</v>
      </c>
      <c r="B2520">
        <v>40</v>
      </c>
      <c r="C2520">
        <v>80.55</v>
      </c>
      <c r="D2520">
        <v>10</v>
      </c>
      <c r="E2520">
        <v>3222</v>
      </c>
      <c r="F2520" s="1">
        <v>37988</v>
      </c>
      <c r="G2520" t="s">
        <v>39</v>
      </c>
      <c r="H2520">
        <v>1</v>
      </c>
      <c r="I2520">
        <v>1</v>
      </c>
      <c r="J2520" t="str">
        <f>TEXT(DATE(2012,Table1[[#This Row],[MONTH_ID]],10),"mmm")</f>
        <v>Jan</v>
      </c>
      <c r="K2520">
        <v>2004</v>
      </c>
      <c r="L2520" t="s">
        <v>612</v>
      </c>
      <c r="M2520">
        <v>86</v>
      </c>
      <c r="N2520" t="s">
        <v>677</v>
      </c>
      <c r="O2520" t="s">
        <v>233</v>
      </c>
      <c r="P2520" t="s">
        <v>234</v>
      </c>
      <c r="Q2520" t="s">
        <v>235</v>
      </c>
      <c r="S2520" t="s">
        <v>236</v>
      </c>
      <c r="U2520">
        <v>69004</v>
      </c>
      <c r="V2520" t="s">
        <v>55</v>
      </c>
      <c r="W2520" t="s">
        <v>56</v>
      </c>
      <c r="X2520" t="s">
        <v>237</v>
      </c>
      <c r="Y2520" t="s">
        <v>238</v>
      </c>
      <c r="Z2520" t="s">
        <v>65</v>
      </c>
    </row>
    <row r="2521" spans="1:26" x14ac:dyDescent="0.3">
      <c r="A2521">
        <v>10221</v>
      </c>
      <c r="B2521">
        <v>23</v>
      </c>
      <c r="C2521">
        <v>97</v>
      </c>
      <c r="D2521">
        <v>4</v>
      </c>
      <c r="E2521">
        <v>2231</v>
      </c>
      <c r="F2521" s="1">
        <v>38035</v>
      </c>
      <c r="G2521" t="s">
        <v>39</v>
      </c>
      <c r="H2521">
        <v>1</v>
      </c>
      <c r="I2521">
        <v>2</v>
      </c>
      <c r="J2521" t="str">
        <f>TEXT(DATE(2012,Table1[[#This Row],[MONTH_ID]],10),"mmm")</f>
        <v>Feb</v>
      </c>
      <c r="K2521">
        <v>2004</v>
      </c>
      <c r="L2521" t="s">
        <v>612</v>
      </c>
      <c r="M2521">
        <v>86</v>
      </c>
      <c r="N2521" t="s">
        <v>677</v>
      </c>
      <c r="O2521" t="s">
        <v>379</v>
      </c>
      <c r="P2521" t="s">
        <v>380</v>
      </c>
      <c r="Q2521" t="s">
        <v>381</v>
      </c>
      <c r="S2521" t="s">
        <v>382</v>
      </c>
      <c r="U2521" t="s">
        <v>383</v>
      </c>
      <c r="V2521" t="s">
        <v>384</v>
      </c>
      <c r="W2521" t="s">
        <v>56</v>
      </c>
      <c r="X2521" t="s">
        <v>385</v>
      </c>
      <c r="Y2521" t="s">
        <v>386</v>
      </c>
      <c r="Z2521" t="s">
        <v>50</v>
      </c>
    </row>
    <row r="2522" spans="1:26" x14ac:dyDescent="0.3">
      <c r="A2522">
        <v>10232</v>
      </c>
      <c r="B2522">
        <v>26</v>
      </c>
      <c r="C2522">
        <v>88.34</v>
      </c>
      <c r="D2522">
        <v>7</v>
      </c>
      <c r="E2522">
        <v>2296.84</v>
      </c>
      <c r="F2522" s="1">
        <v>38066</v>
      </c>
      <c r="G2522" t="s">
        <v>39</v>
      </c>
      <c r="H2522">
        <v>1</v>
      </c>
      <c r="I2522">
        <v>3</v>
      </c>
      <c r="J2522" t="str">
        <f>TEXT(DATE(2012,Table1[[#This Row],[MONTH_ID]],10),"mmm")</f>
        <v>Mar</v>
      </c>
      <c r="K2522">
        <v>2004</v>
      </c>
      <c r="L2522" t="s">
        <v>612</v>
      </c>
      <c r="M2522">
        <v>86</v>
      </c>
      <c r="N2522" t="s">
        <v>677</v>
      </c>
      <c r="O2522" t="s">
        <v>397</v>
      </c>
      <c r="P2522" t="s">
        <v>398</v>
      </c>
      <c r="Q2522" t="s">
        <v>399</v>
      </c>
      <c r="S2522" t="s">
        <v>400</v>
      </c>
      <c r="T2522" t="s">
        <v>401</v>
      </c>
      <c r="U2522" t="s">
        <v>402</v>
      </c>
      <c r="V2522" t="s">
        <v>184</v>
      </c>
      <c r="W2522" t="s">
        <v>56</v>
      </c>
      <c r="X2522" t="s">
        <v>403</v>
      </c>
      <c r="Y2522" t="s">
        <v>404</v>
      </c>
      <c r="Z2522" t="s">
        <v>50</v>
      </c>
    </row>
    <row r="2523" spans="1:26" x14ac:dyDescent="0.3">
      <c r="A2523">
        <v>10248</v>
      </c>
      <c r="B2523">
        <v>40</v>
      </c>
      <c r="C2523">
        <v>100</v>
      </c>
      <c r="D2523">
        <v>13</v>
      </c>
      <c r="E2523">
        <v>4157.2</v>
      </c>
      <c r="F2523" s="1">
        <v>38114</v>
      </c>
      <c r="G2523" t="s">
        <v>353</v>
      </c>
      <c r="H2523">
        <v>2</v>
      </c>
      <c r="I2523">
        <v>5</v>
      </c>
      <c r="J2523" t="str">
        <f>TEXT(DATE(2012,Table1[[#This Row],[MONTH_ID]],10),"mmm")</f>
        <v>May</v>
      </c>
      <c r="K2523">
        <v>2004</v>
      </c>
      <c r="L2523" t="s">
        <v>612</v>
      </c>
      <c r="M2523">
        <v>86</v>
      </c>
      <c r="N2523" t="s">
        <v>677</v>
      </c>
      <c r="O2523" t="s">
        <v>42</v>
      </c>
      <c r="P2523">
        <v>2125557818</v>
      </c>
      <c r="Q2523" t="s">
        <v>43</v>
      </c>
      <c r="S2523" t="s">
        <v>44</v>
      </c>
      <c r="T2523" t="s">
        <v>45</v>
      </c>
      <c r="U2523">
        <v>10022</v>
      </c>
      <c r="V2523" t="s">
        <v>46</v>
      </c>
      <c r="W2523" t="s">
        <v>47</v>
      </c>
      <c r="X2523" t="s">
        <v>48</v>
      </c>
      <c r="Y2523" t="s">
        <v>49</v>
      </c>
      <c r="Z2523" t="s">
        <v>65</v>
      </c>
    </row>
    <row r="2524" spans="1:26" x14ac:dyDescent="0.3">
      <c r="A2524">
        <v>10273</v>
      </c>
      <c r="B2524">
        <v>21</v>
      </c>
      <c r="C2524">
        <v>100</v>
      </c>
      <c r="D2524">
        <v>14</v>
      </c>
      <c r="E2524">
        <v>2146.1999999999998</v>
      </c>
      <c r="F2524" s="1">
        <v>38189</v>
      </c>
      <c r="G2524" t="s">
        <v>39</v>
      </c>
      <c r="H2524">
        <v>3</v>
      </c>
      <c r="I2524">
        <v>7</v>
      </c>
      <c r="J2524" t="str">
        <f>TEXT(DATE(2012,Table1[[#This Row],[MONTH_ID]],10),"mmm")</f>
        <v>Jul</v>
      </c>
      <c r="K2524">
        <v>2004</v>
      </c>
      <c r="L2524" t="s">
        <v>612</v>
      </c>
      <c r="M2524">
        <v>86</v>
      </c>
      <c r="N2524" t="s">
        <v>677</v>
      </c>
      <c r="O2524" t="s">
        <v>379</v>
      </c>
      <c r="P2524" t="s">
        <v>380</v>
      </c>
      <c r="Q2524" t="s">
        <v>381</v>
      </c>
      <c r="S2524" t="s">
        <v>382</v>
      </c>
      <c r="U2524" t="s">
        <v>383</v>
      </c>
      <c r="V2524" t="s">
        <v>384</v>
      </c>
      <c r="W2524" t="s">
        <v>56</v>
      </c>
      <c r="X2524" t="s">
        <v>385</v>
      </c>
      <c r="Y2524" t="s">
        <v>386</v>
      </c>
      <c r="Z2524" t="s">
        <v>50</v>
      </c>
    </row>
    <row r="2525" spans="1:26" x14ac:dyDescent="0.3">
      <c r="A2525">
        <v>10282</v>
      </c>
      <c r="B2525">
        <v>43</v>
      </c>
      <c r="C2525">
        <v>86.61</v>
      </c>
      <c r="D2525">
        <v>2</v>
      </c>
      <c r="E2525">
        <v>3724.23</v>
      </c>
      <c r="F2525" s="1">
        <v>38219</v>
      </c>
      <c r="G2525" t="s">
        <v>39</v>
      </c>
      <c r="H2525">
        <v>3</v>
      </c>
      <c r="I2525">
        <v>8</v>
      </c>
      <c r="J2525" t="str">
        <f>TEXT(DATE(2012,Table1[[#This Row],[MONTH_ID]],10),"mmm")</f>
        <v>Aug</v>
      </c>
      <c r="K2525">
        <v>2004</v>
      </c>
      <c r="L2525" t="s">
        <v>612</v>
      </c>
      <c r="M2525">
        <v>86</v>
      </c>
      <c r="N2525" t="s">
        <v>677</v>
      </c>
      <c r="O2525" t="s">
        <v>286</v>
      </c>
      <c r="P2525">
        <v>4155551450</v>
      </c>
      <c r="Q2525" t="s">
        <v>287</v>
      </c>
      <c r="S2525" t="s">
        <v>288</v>
      </c>
      <c r="T2525" t="s">
        <v>69</v>
      </c>
      <c r="U2525">
        <v>97562</v>
      </c>
      <c r="V2525" t="s">
        <v>46</v>
      </c>
      <c r="W2525" t="s">
        <v>47</v>
      </c>
      <c r="X2525" t="s">
        <v>289</v>
      </c>
      <c r="Y2525" t="s">
        <v>290</v>
      </c>
      <c r="Z2525" t="s">
        <v>65</v>
      </c>
    </row>
    <row r="2526" spans="1:26" x14ac:dyDescent="0.3">
      <c r="A2526">
        <v>10293</v>
      </c>
      <c r="B2526">
        <v>29</v>
      </c>
      <c r="C2526">
        <v>71.89</v>
      </c>
      <c r="D2526">
        <v>5</v>
      </c>
      <c r="E2526">
        <v>2084.81</v>
      </c>
      <c r="F2526" s="1">
        <v>38239</v>
      </c>
      <c r="G2526" t="s">
        <v>39</v>
      </c>
      <c r="H2526">
        <v>3</v>
      </c>
      <c r="I2526">
        <v>9</v>
      </c>
      <c r="J2526" t="str">
        <f>TEXT(DATE(2012,Table1[[#This Row],[MONTH_ID]],10),"mmm")</f>
        <v>Sep</v>
      </c>
      <c r="K2526">
        <v>2004</v>
      </c>
      <c r="L2526" t="s">
        <v>612</v>
      </c>
      <c r="M2526">
        <v>86</v>
      </c>
      <c r="N2526" t="s">
        <v>677</v>
      </c>
      <c r="O2526" t="s">
        <v>268</v>
      </c>
      <c r="P2526" t="s">
        <v>269</v>
      </c>
      <c r="Q2526" t="s">
        <v>270</v>
      </c>
      <c r="S2526" t="s">
        <v>271</v>
      </c>
      <c r="U2526">
        <v>10100</v>
      </c>
      <c r="V2526" t="s">
        <v>272</v>
      </c>
      <c r="W2526" t="s">
        <v>56</v>
      </c>
      <c r="X2526" t="s">
        <v>273</v>
      </c>
      <c r="Y2526" t="s">
        <v>274</v>
      </c>
      <c r="Z2526" t="s">
        <v>50</v>
      </c>
    </row>
    <row r="2527" spans="1:26" x14ac:dyDescent="0.3">
      <c r="A2527">
        <v>10306</v>
      </c>
      <c r="B2527">
        <v>38</v>
      </c>
      <c r="C2527">
        <v>91.81</v>
      </c>
      <c r="D2527">
        <v>10</v>
      </c>
      <c r="E2527">
        <v>3488.78</v>
      </c>
      <c r="F2527" s="1">
        <v>38274</v>
      </c>
      <c r="G2527" t="s">
        <v>39</v>
      </c>
      <c r="H2527">
        <v>4</v>
      </c>
      <c r="I2527">
        <v>10</v>
      </c>
      <c r="J2527" t="str">
        <f>TEXT(DATE(2012,Table1[[#This Row],[MONTH_ID]],10),"mmm")</f>
        <v>Oct</v>
      </c>
      <c r="K2527">
        <v>2004</v>
      </c>
      <c r="L2527" t="s">
        <v>612</v>
      </c>
      <c r="M2527">
        <v>86</v>
      </c>
      <c r="N2527" t="s">
        <v>677</v>
      </c>
      <c r="O2527" t="s">
        <v>506</v>
      </c>
      <c r="P2527" t="s">
        <v>507</v>
      </c>
      <c r="Q2527" t="s">
        <v>508</v>
      </c>
      <c r="S2527" t="s">
        <v>509</v>
      </c>
      <c r="U2527" t="s">
        <v>510</v>
      </c>
      <c r="V2527" t="s">
        <v>184</v>
      </c>
      <c r="W2527" t="s">
        <v>56</v>
      </c>
      <c r="X2527" t="s">
        <v>511</v>
      </c>
      <c r="Y2527" t="s">
        <v>108</v>
      </c>
      <c r="Z2527" t="s">
        <v>65</v>
      </c>
    </row>
    <row r="2528" spans="1:26" x14ac:dyDescent="0.3">
      <c r="A2528">
        <v>10314</v>
      </c>
      <c r="B2528">
        <v>23</v>
      </c>
      <c r="C2528">
        <v>76.22</v>
      </c>
      <c r="D2528">
        <v>2</v>
      </c>
      <c r="E2528">
        <v>1753.06</v>
      </c>
      <c r="F2528" s="1">
        <v>38282</v>
      </c>
      <c r="G2528" t="s">
        <v>39</v>
      </c>
      <c r="H2528">
        <v>4</v>
      </c>
      <c r="I2528">
        <v>10</v>
      </c>
      <c r="J2528" t="str">
        <f>TEXT(DATE(2012,Table1[[#This Row],[MONTH_ID]],10),"mmm")</f>
        <v>Oct</v>
      </c>
      <c r="K2528">
        <v>2004</v>
      </c>
      <c r="L2528" t="s">
        <v>612</v>
      </c>
      <c r="M2528">
        <v>86</v>
      </c>
      <c r="N2528" t="s">
        <v>677</v>
      </c>
      <c r="O2528" t="s">
        <v>512</v>
      </c>
      <c r="P2528" t="s">
        <v>513</v>
      </c>
      <c r="Q2528" t="s">
        <v>514</v>
      </c>
      <c r="S2528" t="s">
        <v>515</v>
      </c>
      <c r="U2528">
        <v>8200</v>
      </c>
      <c r="V2528" t="s">
        <v>340</v>
      </c>
      <c r="W2528" t="s">
        <v>56</v>
      </c>
      <c r="X2528" t="s">
        <v>516</v>
      </c>
      <c r="Y2528" t="s">
        <v>517</v>
      </c>
      <c r="Z2528" t="s">
        <v>50</v>
      </c>
    </row>
    <row r="2529" spans="1:26" x14ac:dyDescent="0.3">
      <c r="A2529">
        <v>10327</v>
      </c>
      <c r="B2529">
        <v>20</v>
      </c>
      <c r="C2529">
        <v>100</v>
      </c>
      <c r="D2529">
        <v>7</v>
      </c>
      <c r="E2529">
        <v>3469.2</v>
      </c>
      <c r="F2529" s="1">
        <v>38301</v>
      </c>
      <c r="G2529" t="s">
        <v>422</v>
      </c>
      <c r="H2529">
        <v>4</v>
      </c>
      <c r="I2529">
        <v>11</v>
      </c>
      <c r="J2529" t="str">
        <f>TEXT(DATE(2012,Table1[[#This Row],[MONTH_ID]],10),"mmm")</f>
        <v>Nov</v>
      </c>
      <c r="K2529">
        <v>2004</v>
      </c>
      <c r="L2529" t="s">
        <v>612</v>
      </c>
      <c r="M2529">
        <v>86</v>
      </c>
      <c r="N2529" t="s">
        <v>677</v>
      </c>
      <c r="O2529" t="s">
        <v>336</v>
      </c>
      <c r="P2529" t="s">
        <v>337</v>
      </c>
      <c r="Q2529" t="s">
        <v>338</v>
      </c>
      <c r="S2529" t="s">
        <v>339</v>
      </c>
      <c r="U2529">
        <v>1734</v>
      </c>
      <c r="V2529" t="s">
        <v>340</v>
      </c>
      <c r="W2529" t="s">
        <v>56</v>
      </c>
      <c r="X2529" t="s">
        <v>341</v>
      </c>
      <c r="Y2529" t="s">
        <v>342</v>
      </c>
      <c r="Z2529" t="s">
        <v>65</v>
      </c>
    </row>
    <row r="2530" spans="1:26" x14ac:dyDescent="0.3">
      <c r="A2530">
        <v>10337</v>
      </c>
      <c r="B2530">
        <v>36</v>
      </c>
      <c r="C2530">
        <v>70.3</v>
      </c>
      <c r="D2530">
        <v>9</v>
      </c>
      <c r="E2530">
        <v>2530.8000000000002</v>
      </c>
      <c r="F2530" s="1">
        <v>38312</v>
      </c>
      <c r="G2530" t="s">
        <v>39</v>
      </c>
      <c r="H2530">
        <v>4</v>
      </c>
      <c r="I2530">
        <v>11</v>
      </c>
      <c r="J2530" t="str">
        <f>TEXT(DATE(2012,Table1[[#This Row],[MONTH_ID]],10),"mmm")</f>
        <v>Nov</v>
      </c>
      <c r="K2530">
        <v>2004</v>
      </c>
      <c r="L2530" t="s">
        <v>612</v>
      </c>
      <c r="M2530">
        <v>86</v>
      </c>
      <c r="N2530" t="s">
        <v>677</v>
      </c>
      <c r="O2530" t="s">
        <v>217</v>
      </c>
      <c r="P2530">
        <v>2125558493</v>
      </c>
      <c r="Q2530" t="s">
        <v>218</v>
      </c>
      <c r="R2530" t="s">
        <v>219</v>
      </c>
      <c r="S2530" t="s">
        <v>44</v>
      </c>
      <c r="T2530" t="s">
        <v>45</v>
      </c>
      <c r="U2530">
        <v>10022</v>
      </c>
      <c r="V2530" t="s">
        <v>46</v>
      </c>
      <c r="W2530" t="s">
        <v>47</v>
      </c>
      <c r="X2530" t="s">
        <v>138</v>
      </c>
      <c r="Y2530" t="s">
        <v>220</v>
      </c>
      <c r="Z2530" t="s">
        <v>50</v>
      </c>
    </row>
    <row r="2531" spans="1:26" x14ac:dyDescent="0.3">
      <c r="A2531">
        <v>10350</v>
      </c>
      <c r="B2531">
        <v>28</v>
      </c>
      <c r="C2531">
        <v>100</v>
      </c>
      <c r="D2531">
        <v>4</v>
      </c>
      <c r="E2531">
        <v>2924.32</v>
      </c>
      <c r="F2531" s="1">
        <v>38323</v>
      </c>
      <c r="G2531" t="s">
        <v>39</v>
      </c>
      <c r="H2531">
        <v>4</v>
      </c>
      <c r="I2531">
        <v>12</v>
      </c>
      <c r="J2531" t="str">
        <f>TEXT(DATE(2012,Table1[[#This Row],[MONTH_ID]],10),"mmm")</f>
        <v>Dec</v>
      </c>
      <c r="K2531">
        <v>2004</v>
      </c>
      <c r="L2531" t="s">
        <v>612</v>
      </c>
      <c r="M2531">
        <v>86</v>
      </c>
      <c r="N2531" t="s">
        <v>677</v>
      </c>
      <c r="O2531" t="s">
        <v>188</v>
      </c>
      <c r="P2531" t="s">
        <v>189</v>
      </c>
      <c r="Q2531" t="s">
        <v>190</v>
      </c>
      <c r="S2531" t="s">
        <v>191</v>
      </c>
      <c r="U2531">
        <v>28034</v>
      </c>
      <c r="V2531" t="s">
        <v>192</v>
      </c>
      <c r="W2531" t="s">
        <v>56</v>
      </c>
      <c r="X2531" t="s">
        <v>193</v>
      </c>
      <c r="Y2531" t="s">
        <v>194</v>
      </c>
      <c r="Z2531" t="s">
        <v>50</v>
      </c>
    </row>
    <row r="2532" spans="1:26" x14ac:dyDescent="0.3">
      <c r="A2532">
        <v>10372</v>
      </c>
      <c r="B2532">
        <v>44</v>
      </c>
      <c r="C2532">
        <v>100</v>
      </c>
      <c r="D2532">
        <v>2</v>
      </c>
      <c r="E2532">
        <v>4496.8</v>
      </c>
      <c r="F2532" s="1">
        <v>38378</v>
      </c>
      <c r="G2532" t="s">
        <v>39</v>
      </c>
      <c r="H2532">
        <v>1</v>
      </c>
      <c r="I2532">
        <v>1</v>
      </c>
      <c r="J2532" t="str">
        <f>TEXT(DATE(2012,Table1[[#This Row],[MONTH_ID]],10),"mmm")</f>
        <v>Jan</v>
      </c>
      <c r="K2532">
        <v>2005</v>
      </c>
      <c r="L2532" t="s">
        <v>612</v>
      </c>
      <c r="M2532">
        <v>86</v>
      </c>
      <c r="N2532" t="s">
        <v>677</v>
      </c>
      <c r="O2532" t="s">
        <v>260</v>
      </c>
      <c r="P2532" t="s">
        <v>261</v>
      </c>
      <c r="Q2532" t="s">
        <v>262</v>
      </c>
      <c r="S2532" t="s">
        <v>263</v>
      </c>
      <c r="T2532" t="s">
        <v>264</v>
      </c>
      <c r="U2532" t="s">
        <v>265</v>
      </c>
      <c r="V2532" t="s">
        <v>214</v>
      </c>
      <c r="W2532" t="s">
        <v>214</v>
      </c>
      <c r="X2532" t="s">
        <v>266</v>
      </c>
      <c r="Y2532" t="s">
        <v>267</v>
      </c>
      <c r="Z2532" t="s">
        <v>65</v>
      </c>
    </row>
    <row r="2533" spans="1:26" x14ac:dyDescent="0.3">
      <c r="A2533">
        <v>10384</v>
      </c>
      <c r="B2533">
        <v>49</v>
      </c>
      <c r="C2533">
        <v>100</v>
      </c>
      <c r="D2533">
        <v>1</v>
      </c>
      <c r="E2533">
        <v>6397.44</v>
      </c>
      <c r="F2533" s="1">
        <v>38406</v>
      </c>
      <c r="G2533" t="s">
        <v>39</v>
      </c>
      <c r="H2533">
        <v>1</v>
      </c>
      <c r="I2533">
        <v>2</v>
      </c>
      <c r="J2533" t="str">
        <f>TEXT(DATE(2012,Table1[[#This Row],[MONTH_ID]],10),"mmm")</f>
        <v>Feb</v>
      </c>
      <c r="K2533">
        <v>2005</v>
      </c>
      <c r="L2533" t="s">
        <v>612</v>
      </c>
      <c r="M2533">
        <v>86</v>
      </c>
      <c r="N2533" t="s">
        <v>677</v>
      </c>
      <c r="O2533" t="s">
        <v>72</v>
      </c>
      <c r="P2533">
        <v>6505551386</v>
      </c>
      <c r="Q2533" t="s">
        <v>73</v>
      </c>
      <c r="S2533" t="s">
        <v>74</v>
      </c>
      <c r="T2533" t="s">
        <v>69</v>
      </c>
      <c r="V2533" t="s">
        <v>46</v>
      </c>
      <c r="W2533" t="s">
        <v>47</v>
      </c>
      <c r="X2533" t="s">
        <v>75</v>
      </c>
      <c r="Y2533" t="s">
        <v>71</v>
      </c>
      <c r="Z2533" t="s">
        <v>65</v>
      </c>
    </row>
    <row r="2534" spans="1:26" x14ac:dyDescent="0.3">
      <c r="A2534">
        <v>10397</v>
      </c>
      <c r="B2534">
        <v>32</v>
      </c>
      <c r="C2534">
        <v>80.55</v>
      </c>
      <c r="D2534">
        <v>5</v>
      </c>
      <c r="E2534">
        <v>2577.6</v>
      </c>
      <c r="F2534" s="1">
        <v>38439</v>
      </c>
      <c r="G2534" t="s">
        <v>39</v>
      </c>
      <c r="H2534">
        <v>1</v>
      </c>
      <c r="I2534">
        <v>3</v>
      </c>
      <c r="J2534" t="str">
        <f>TEXT(DATE(2012,Table1[[#This Row],[MONTH_ID]],10),"mmm")</f>
        <v>Mar</v>
      </c>
      <c r="K2534">
        <v>2005</v>
      </c>
      <c r="L2534" t="s">
        <v>612</v>
      </c>
      <c r="M2534">
        <v>86</v>
      </c>
      <c r="N2534" t="s">
        <v>677</v>
      </c>
      <c r="O2534" t="s">
        <v>354</v>
      </c>
      <c r="P2534" t="s">
        <v>355</v>
      </c>
      <c r="Q2534" t="s">
        <v>356</v>
      </c>
      <c r="S2534" t="s">
        <v>357</v>
      </c>
      <c r="U2534">
        <v>31000</v>
      </c>
      <c r="V2534" t="s">
        <v>55</v>
      </c>
      <c r="W2534" t="s">
        <v>56</v>
      </c>
      <c r="X2534" t="s">
        <v>358</v>
      </c>
      <c r="Y2534" t="s">
        <v>359</v>
      </c>
      <c r="Z2534" t="s">
        <v>50</v>
      </c>
    </row>
    <row r="2535" spans="1:26" x14ac:dyDescent="0.3">
      <c r="A2535">
        <v>10414</v>
      </c>
      <c r="B2535">
        <v>34</v>
      </c>
      <c r="C2535">
        <v>100</v>
      </c>
      <c r="D2535">
        <v>13</v>
      </c>
      <c r="E2535">
        <v>3533.62</v>
      </c>
      <c r="F2535" s="1">
        <v>38478</v>
      </c>
      <c r="G2535" t="s">
        <v>415</v>
      </c>
      <c r="H2535">
        <v>2</v>
      </c>
      <c r="I2535">
        <v>5</v>
      </c>
      <c r="J2535" t="str">
        <f>TEXT(DATE(2012,Table1[[#This Row],[MONTH_ID]],10),"mmm")</f>
        <v>May</v>
      </c>
      <c r="K2535">
        <v>2005</v>
      </c>
      <c r="L2535" t="s">
        <v>612</v>
      </c>
      <c r="M2535">
        <v>86</v>
      </c>
      <c r="N2535" t="s">
        <v>677</v>
      </c>
      <c r="O2535" t="s">
        <v>393</v>
      </c>
      <c r="P2535">
        <v>6175559555</v>
      </c>
      <c r="Q2535" t="s">
        <v>394</v>
      </c>
      <c r="S2535" t="s">
        <v>395</v>
      </c>
      <c r="T2535" t="s">
        <v>137</v>
      </c>
      <c r="U2535">
        <v>51003</v>
      </c>
      <c r="V2535" t="s">
        <v>46</v>
      </c>
      <c r="W2535" t="s">
        <v>47</v>
      </c>
      <c r="X2535" t="s">
        <v>396</v>
      </c>
      <c r="Y2535" t="s">
        <v>80</v>
      </c>
      <c r="Z2535" t="s">
        <v>65</v>
      </c>
    </row>
    <row r="2536" spans="1:26" x14ac:dyDescent="0.3">
      <c r="A2536">
        <v>10106</v>
      </c>
      <c r="B2536">
        <v>30</v>
      </c>
      <c r="C2536">
        <v>100</v>
      </c>
      <c r="D2536">
        <v>16</v>
      </c>
      <c r="E2536">
        <v>3177.3</v>
      </c>
      <c r="F2536" s="1">
        <v>37669</v>
      </c>
      <c r="G2536" t="s">
        <v>39</v>
      </c>
      <c r="H2536">
        <v>1</v>
      </c>
      <c r="I2536">
        <v>2</v>
      </c>
      <c r="J2536" t="str">
        <f>TEXT(DATE(2012,Table1[[#This Row],[MONTH_ID]],10),"mmm")</f>
        <v>Feb</v>
      </c>
      <c r="K2536">
        <v>2003</v>
      </c>
      <c r="L2536" t="s">
        <v>612</v>
      </c>
      <c r="M2536">
        <v>90</v>
      </c>
      <c r="N2536" t="s">
        <v>678</v>
      </c>
      <c r="O2536" t="s">
        <v>566</v>
      </c>
      <c r="P2536" t="s">
        <v>567</v>
      </c>
      <c r="Q2536" t="s">
        <v>568</v>
      </c>
      <c r="S2536" t="s">
        <v>569</v>
      </c>
      <c r="U2536">
        <v>24100</v>
      </c>
      <c r="V2536" t="s">
        <v>272</v>
      </c>
      <c r="W2536" t="s">
        <v>56</v>
      </c>
      <c r="X2536" t="s">
        <v>570</v>
      </c>
      <c r="Y2536" t="s">
        <v>571</v>
      </c>
      <c r="Z2536" t="s">
        <v>65</v>
      </c>
    </row>
    <row r="2537" spans="1:26" x14ac:dyDescent="0.3">
      <c r="A2537">
        <v>10119</v>
      </c>
      <c r="B2537">
        <v>29</v>
      </c>
      <c r="C2537">
        <v>94.14</v>
      </c>
      <c r="D2537">
        <v>7</v>
      </c>
      <c r="E2537">
        <v>2730.06</v>
      </c>
      <c r="F2537" s="1">
        <v>37739</v>
      </c>
      <c r="G2537" t="s">
        <v>39</v>
      </c>
      <c r="H2537">
        <v>2</v>
      </c>
      <c r="I2537">
        <v>4</v>
      </c>
      <c r="J2537" t="str">
        <f>TEXT(DATE(2012,Table1[[#This Row],[MONTH_ID]],10),"mmm")</f>
        <v>Apr</v>
      </c>
      <c r="K2537">
        <v>2003</v>
      </c>
      <c r="L2537" t="s">
        <v>612</v>
      </c>
      <c r="M2537">
        <v>90</v>
      </c>
      <c r="N2537" t="s">
        <v>678</v>
      </c>
      <c r="O2537" t="s">
        <v>158</v>
      </c>
      <c r="P2537" t="s">
        <v>159</v>
      </c>
      <c r="Q2537" t="s">
        <v>160</v>
      </c>
      <c r="S2537" t="s">
        <v>161</v>
      </c>
      <c r="U2537">
        <v>5020</v>
      </c>
      <c r="V2537" t="s">
        <v>162</v>
      </c>
      <c r="W2537" t="s">
        <v>56</v>
      </c>
      <c r="X2537" t="s">
        <v>163</v>
      </c>
      <c r="Y2537" t="s">
        <v>164</v>
      </c>
      <c r="Z2537" t="s">
        <v>50</v>
      </c>
    </row>
    <row r="2538" spans="1:26" x14ac:dyDescent="0.3">
      <c r="A2538">
        <v>10131</v>
      </c>
      <c r="B2538">
        <v>22</v>
      </c>
      <c r="C2538">
        <v>85.99</v>
      </c>
      <c r="D2538">
        <v>8</v>
      </c>
      <c r="E2538">
        <v>1891.78</v>
      </c>
      <c r="F2538" s="1">
        <v>37788</v>
      </c>
      <c r="G2538" t="s">
        <v>39</v>
      </c>
      <c r="H2538">
        <v>2</v>
      </c>
      <c r="I2538">
        <v>6</v>
      </c>
      <c r="J2538" t="str">
        <f>TEXT(DATE(2012,Table1[[#This Row],[MONTH_ID]],10),"mmm")</f>
        <v>Jun</v>
      </c>
      <c r="K2538">
        <v>2003</v>
      </c>
      <c r="L2538" t="s">
        <v>612</v>
      </c>
      <c r="M2538">
        <v>90</v>
      </c>
      <c r="N2538" t="s">
        <v>678</v>
      </c>
      <c r="O2538" t="s">
        <v>582</v>
      </c>
      <c r="P2538">
        <v>2035554407</v>
      </c>
      <c r="Q2538" t="s">
        <v>583</v>
      </c>
      <c r="S2538" t="s">
        <v>530</v>
      </c>
      <c r="T2538" t="s">
        <v>126</v>
      </c>
      <c r="U2538">
        <v>97561</v>
      </c>
      <c r="V2538" t="s">
        <v>46</v>
      </c>
      <c r="W2538" t="s">
        <v>47</v>
      </c>
      <c r="X2538" t="s">
        <v>584</v>
      </c>
      <c r="Y2538" t="s">
        <v>585</v>
      </c>
      <c r="Z2538" t="s">
        <v>50</v>
      </c>
    </row>
    <row r="2539" spans="1:26" x14ac:dyDescent="0.3">
      <c r="A2539">
        <v>10143</v>
      </c>
      <c r="B2539">
        <v>26</v>
      </c>
      <c r="C2539">
        <v>100</v>
      </c>
      <c r="D2539">
        <v>11</v>
      </c>
      <c r="E2539">
        <v>2612.48</v>
      </c>
      <c r="F2539" s="1">
        <v>37843</v>
      </c>
      <c r="G2539" t="s">
        <v>39</v>
      </c>
      <c r="H2539">
        <v>3</v>
      </c>
      <c r="I2539">
        <v>8</v>
      </c>
      <c r="J2539" t="str">
        <f>TEXT(DATE(2012,Table1[[#This Row],[MONTH_ID]],10),"mmm")</f>
        <v>Aug</v>
      </c>
      <c r="K2539">
        <v>2003</v>
      </c>
      <c r="L2539" t="s">
        <v>612</v>
      </c>
      <c r="M2539">
        <v>90</v>
      </c>
      <c r="N2539" t="s">
        <v>678</v>
      </c>
      <c r="O2539" t="s">
        <v>349</v>
      </c>
      <c r="P2539">
        <v>5085559555</v>
      </c>
      <c r="Q2539" t="s">
        <v>350</v>
      </c>
      <c r="S2539" t="s">
        <v>176</v>
      </c>
      <c r="T2539" t="s">
        <v>137</v>
      </c>
      <c r="U2539">
        <v>50553</v>
      </c>
      <c r="V2539" t="s">
        <v>46</v>
      </c>
      <c r="W2539" t="s">
        <v>47</v>
      </c>
      <c r="X2539" t="s">
        <v>351</v>
      </c>
      <c r="Y2539" t="s">
        <v>352</v>
      </c>
      <c r="Z2539" t="s">
        <v>50</v>
      </c>
    </row>
    <row r="2540" spans="1:26" x14ac:dyDescent="0.3">
      <c r="A2540">
        <v>10155</v>
      </c>
      <c r="B2540">
        <v>32</v>
      </c>
      <c r="C2540">
        <v>91.43</v>
      </c>
      <c r="D2540">
        <v>9</v>
      </c>
      <c r="E2540">
        <v>2925.76</v>
      </c>
      <c r="F2540" s="1">
        <v>37900</v>
      </c>
      <c r="G2540" t="s">
        <v>39</v>
      </c>
      <c r="H2540">
        <v>4</v>
      </c>
      <c r="I2540">
        <v>10</v>
      </c>
      <c r="J2540" t="str">
        <f>TEXT(DATE(2012,Table1[[#This Row],[MONTH_ID]],10),"mmm")</f>
        <v>Oct</v>
      </c>
      <c r="K2540">
        <v>2003</v>
      </c>
      <c r="L2540" t="s">
        <v>612</v>
      </c>
      <c r="M2540">
        <v>90</v>
      </c>
      <c r="N2540" t="s">
        <v>678</v>
      </c>
      <c r="O2540" t="s">
        <v>140</v>
      </c>
      <c r="P2540" t="s">
        <v>141</v>
      </c>
      <c r="Q2540" t="s">
        <v>142</v>
      </c>
      <c r="S2540" t="s">
        <v>143</v>
      </c>
      <c r="U2540">
        <v>21240</v>
      </c>
      <c r="V2540" t="s">
        <v>144</v>
      </c>
      <c r="W2540" t="s">
        <v>56</v>
      </c>
      <c r="X2540" t="s">
        <v>145</v>
      </c>
      <c r="Y2540" t="s">
        <v>146</v>
      </c>
      <c r="Z2540" t="s">
        <v>50</v>
      </c>
    </row>
    <row r="2541" spans="1:26" x14ac:dyDescent="0.3">
      <c r="A2541">
        <v>10167</v>
      </c>
      <c r="B2541">
        <v>29</v>
      </c>
      <c r="C2541">
        <v>100</v>
      </c>
      <c r="D2541">
        <v>5</v>
      </c>
      <c r="E2541">
        <v>2940.02</v>
      </c>
      <c r="F2541" s="1">
        <v>37917</v>
      </c>
      <c r="G2541" t="s">
        <v>353</v>
      </c>
      <c r="H2541">
        <v>4</v>
      </c>
      <c r="I2541">
        <v>10</v>
      </c>
      <c r="J2541" t="str">
        <f>TEXT(DATE(2012,Table1[[#This Row],[MONTH_ID]],10),"mmm")</f>
        <v>Oct</v>
      </c>
      <c r="K2541">
        <v>2003</v>
      </c>
      <c r="L2541" t="s">
        <v>612</v>
      </c>
      <c r="M2541">
        <v>90</v>
      </c>
      <c r="N2541" t="s">
        <v>678</v>
      </c>
      <c r="O2541" t="s">
        <v>275</v>
      </c>
      <c r="P2541" t="s">
        <v>276</v>
      </c>
      <c r="Q2541" t="s">
        <v>277</v>
      </c>
      <c r="S2541" t="s">
        <v>278</v>
      </c>
      <c r="U2541" t="s">
        <v>279</v>
      </c>
      <c r="V2541" t="s">
        <v>202</v>
      </c>
      <c r="W2541" t="s">
        <v>56</v>
      </c>
      <c r="X2541" t="s">
        <v>280</v>
      </c>
      <c r="Y2541" t="s">
        <v>220</v>
      </c>
      <c r="Z2541" t="s">
        <v>50</v>
      </c>
    </row>
    <row r="2542" spans="1:26" x14ac:dyDescent="0.3">
      <c r="A2542">
        <v>10178</v>
      </c>
      <c r="B2542">
        <v>34</v>
      </c>
      <c r="C2542">
        <v>96.86</v>
      </c>
      <c r="D2542">
        <v>8</v>
      </c>
      <c r="E2542">
        <v>3293.24</v>
      </c>
      <c r="F2542" s="1">
        <v>37933</v>
      </c>
      <c r="G2542" t="s">
        <v>39</v>
      </c>
      <c r="H2542">
        <v>4</v>
      </c>
      <c r="I2542">
        <v>11</v>
      </c>
      <c r="J2542" t="str">
        <f>TEXT(DATE(2012,Table1[[#This Row],[MONTH_ID]],10),"mmm")</f>
        <v>Nov</v>
      </c>
      <c r="K2542">
        <v>2003</v>
      </c>
      <c r="L2542" t="s">
        <v>612</v>
      </c>
      <c r="M2542">
        <v>90</v>
      </c>
      <c r="N2542" t="s">
        <v>678</v>
      </c>
      <c r="O2542" t="s">
        <v>354</v>
      </c>
      <c r="P2542" t="s">
        <v>355</v>
      </c>
      <c r="Q2542" t="s">
        <v>356</v>
      </c>
      <c r="S2542" t="s">
        <v>357</v>
      </c>
      <c r="U2542">
        <v>31000</v>
      </c>
      <c r="V2542" t="s">
        <v>55</v>
      </c>
      <c r="W2542" t="s">
        <v>56</v>
      </c>
      <c r="X2542" t="s">
        <v>358</v>
      </c>
      <c r="Y2542" t="s">
        <v>359</v>
      </c>
      <c r="Z2542" t="s">
        <v>65</v>
      </c>
    </row>
    <row r="2543" spans="1:26" x14ac:dyDescent="0.3">
      <c r="A2543">
        <v>10186</v>
      </c>
      <c r="B2543">
        <v>24</v>
      </c>
      <c r="C2543">
        <v>99.57</v>
      </c>
      <c r="D2543">
        <v>5</v>
      </c>
      <c r="E2543">
        <v>2389.6799999999998</v>
      </c>
      <c r="F2543" s="1">
        <v>37939</v>
      </c>
      <c r="G2543" t="s">
        <v>39</v>
      </c>
      <c r="H2543">
        <v>4</v>
      </c>
      <c r="I2543">
        <v>11</v>
      </c>
      <c r="J2543" t="str">
        <f>TEXT(DATE(2012,Table1[[#This Row],[MONTH_ID]],10),"mmm")</f>
        <v>Nov</v>
      </c>
      <c r="K2543">
        <v>2003</v>
      </c>
      <c r="L2543" t="s">
        <v>612</v>
      </c>
      <c r="M2543">
        <v>90</v>
      </c>
      <c r="N2543" t="s">
        <v>678</v>
      </c>
      <c r="O2543" t="s">
        <v>360</v>
      </c>
      <c r="P2543" t="s">
        <v>361</v>
      </c>
      <c r="Q2543" t="s">
        <v>362</v>
      </c>
      <c r="S2543" t="s">
        <v>346</v>
      </c>
      <c r="U2543" t="s">
        <v>363</v>
      </c>
      <c r="V2543" t="s">
        <v>184</v>
      </c>
      <c r="W2543" t="s">
        <v>56</v>
      </c>
      <c r="X2543" t="s">
        <v>364</v>
      </c>
      <c r="Y2543" t="s">
        <v>365</v>
      </c>
      <c r="Z2543" t="s">
        <v>50</v>
      </c>
    </row>
    <row r="2544" spans="1:26" x14ac:dyDescent="0.3">
      <c r="A2544">
        <v>10197</v>
      </c>
      <c r="B2544">
        <v>24</v>
      </c>
      <c r="C2544">
        <v>90.52</v>
      </c>
      <c r="D2544">
        <v>2</v>
      </c>
      <c r="E2544">
        <v>2172.48</v>
      </c>
      <c r="F2544" s="1">
        <v>37951</v>
      </c>
      <c r="G2544" t="s">
        <v>39</v>
      </c>
      <c r="H2544">
        <v>4</v>
      </c>
      <c r="I2544">
        <v>11</v>
      </c>
      <c r="J2544" t="str">
        <f>TEXT(DATE(2012,Table1[[#This Row],[MONTH_ID]],10),"mmm")</f>
        <v>Nov</v>
      </c>
      <c r="K2544">
        <v>2003</v>
      </c>
      <c r="L2544" t="s">
        <v>612</v>
      </c>
      <c r="M2544">
        <v>90</v>
      </c>
      <c r="N2544" t="s">
        <v>678</v>
      </c>
      <c r="O2544" t="s">
        <v>366</v>
      </c>
      <c r="P2544" t="s">
        <v>367</v>
      </c>
      <c r="Q2544" t="s">
        <v>368</v>
      </c>
      <c r="S2544" t="s">
        <v>369</v>
      </c>
      <c r="U2544">
        <v>8022</v>
      </c>
      <c r="V2544" t="s">
        <v>192</v>
      </c>
      <c r="W2544" t="s">
        <v>56</v>
      </c>
      <c r="X2544" t="s">
        <v>370</v>
      </c>
      <c r="Y2544" t="s">
        <v>371</v>
      </c>
      <c r="Z2544" t="s">
        <v>50</v>
      </c>
    </row>
    <row r="2545" spans="1:26" x14ac:dyDescent="0.3">
      <c r="A2545">
        <v>10209</v>
      </c>
      <c r="B2545">
        <v>33</v>
      </c>
      <c r="C2545">
        <v>88.71</v>
      </c>
      <c r="D2545">
        <v>4</v>
      </c>
      <c r="E2545">
        <v>2927.43</v>
      </c>
      <c r="F2545" s="1">
        <v>37995</v>
      </c>
      <c r="G2545" t="s">
        <v>39</v>
      </c>
      <c r="H2545">
        <v>1</v>
      </c>
      <c r="I2545">
        <v>1</v>
      </c>
      <c r="J2545" t="str">
        <f>TEXT(DATE(2012,Table1[[#This Row],[MONTH_ID]],10),"mmm")</f>
        <v>Jan</v>
      </c>
      <c r="K2545">
        <v>2004</v>
      </c>
      <c r="L2545" t="s">
        <v>612</v>
      </c>
      <c r="M2545">
        <v>90</v>
      </c>
      <c r="N2545" t="s">
        <v>678</v>
      </c>
      <c r="O2545" t="s">
        <v>372</v>
      </c>
      <c r="P2545">
        <v>2155554369</v>
      </c>
      <c r="Q2545" t="s">
        <v>373</v>
      </c>
      <c r="S2545" t="s">
        <v>374</v>
      </c>
      <c r="T2545" t="s">
        <v>69</v>
      </c>
      <c r="V2545" t="s">
        <v>46</v>
      </c>
      <c r="W2545" t="s">
        <v>47</v>
      </c>
      <c r="X2545" t="s">
        <v>375</v>
      </c>
      <c r="Y2545" t="s">
        <v>117</v>
      </c>
      <c r="Z2545" t="s">
        <v>50</v>
      </c>
    </row>
    <row r="2546" spans="1:26" x14ac:dyDescent="0.3">
      <c r="A2546">
        <v>10222</v>
      </c>
      <c r="B2546">
        <v>26</v>
      </c>
      <c r="C2546">
        <v>100</v>
      </c>
      <c r="D2546">
        <v>8</v>
      </c>
      <c r="E2546">
        <v>2659.54</v>
      </c>
      <c r="F2546" s="1">
        <v>38036</v>
      </c>
      <c r="G2546" t="s">
        <v>39</v>
      </c>
      <c r="H2546">
        <v>1</v>
      </c>
      <c r="I2546">
        <v>2</v>
      </c>
      <c r="J2546" t="str">
        <f>TEXT(DATE(2012,Table1[[#This Row],[MONTH_ID]],10),"mmm")</f>
        <v>Feb</v>
      </c>
      <c r="K2546">
        <v>2004</v>
      </c>
      <c r="L2546" t="s">
        <v>612</v>
      </c>
      <c r="M2546">
        <v>90</v>
      </c>
      <c r="N2546" t="s">
        <v>678</v>
      </c>
      <c r="O2546" t="s">
        <v>376</v>
      </c>
      <c r="P2546">
        <v>7605558146</v>
      </c>
      <c r="Q2546" t="s">
        <v>377</v>
      </c>
      <c r="S2546" t="s">
        <v>378</v>
      </c>
      <c r="T2546" t="s">
        <v>69</v>
      </c>
      <c r="U2546">
        <v>91217</v>
      </c>
      <c r="V2546" t="s">
        <v>46</v>
      </c>
      <c r="W2546" t="s">
        <v>47</v>
      </c>
      <c r="X2546" t="s">
        <v>251</v>
      </c>
      <c r="Y2546" t="s">
        <v>290</v>
      </c>
      <c r="Z2546" t="s">
        <v>50</v>
      </c>
    </row>
    <row r="2547" spans="1:26" x14ac:dyDescent="0.3">
      <c r="A2547">
        <v>10249</v>
      </c>
      <c r="B2547">
        <v>40</v>
      </c>
      <c r="C2547">
        <v>95.95</v>
      </c>
      <c r="D2547">
        <v>4</v>
      </c>
      <c r="E2547">
        <v>3838</v>
      </c>
      <c r="F2547" s="1">
        <v>38115</v>
      </c>
      <c r="G2547" t="s">
        <v>39</v>
      </c>
      <c r="H2547">
        <v>2</v>
      </c>
      <c r="I2547">
        <v>5</v>
      </c>
      <c r="J2547" t="str">
        <f>TEXT(DATE(2012,Table1[[#This Row],[MONTH_ID]],10),"mmm")</f>
        <v>May</v>
      </c>
      <c r="K2547">
        <v>2004</v>
      </c>
      <c r="L2547" t="s">
        <v>612</v>
      </c>
      <c r="M2547">
        <v>90</v>
      </c>
      <c r="N2547" t="s">
        <v>678</v>
      </c>
      <c r="O2547" t="s">
        <v>253</v>
      </c>
      <c r="P2547">
        <v>6175555555</v>
      </c>
      <c r="Q2547" t="s">
        <v>254</v>
      </c>
      <c r="S2547" t="s">
        <v>136</v>
      </c>
      <c r="T2547" t="s">
        <v>137</v>
      </c>
      <c r="U2547">
        <v>51247</v>
      </c>
      <c r="V2547" t="s">
        <v>46</v>
      </c>
      <c r="W2547" t="s">
        <v>47</v>
      </c>
      <c r="X2547" t="s">
        <v>255</v>
      </c>
      <c r="Y2547" t="s">
        <v>157</v>
      </c>
      <c r="Z2547" t="s">
        <v>65</v>
      </c>
    </row>
    <row r="2548" spans="1:26" x14ac:dyDescent="0.3">
      <c r="A2548">
        <v>10262</v>
      </c>
      <c r="B2548">
        <v>44</v>
      </c>
      <c r="C2548">
        <v>94.14</v>
      </c>
      <c r="D2548">
        <v>13</v>
      </c>
      <c r="E2548">
        <v>4142.16</v>
      </c>
      <c r="F2548" s="1">
        <v>38162</v>
      </c>
      <c r="G2548" t="s">
        <v>353</v>
      </c>
      <c r="H2548">
        <v>2</v>
      </c>
      <c r="I2548">
        <v>6</v>
      </c>
      <c r="J2548" t="str">
        <f>TEXT(DATE(2012,Table1[[#This Row],[MONTH_ID]],10),"mmm")</f>
        <v>Jun</v>
      </c>
      <c r="K2548">
        <v>2004</v>
      </c>
      <c r="L2548" t="s">
        <v>612</v>
      </c>
      <c r="M2548">
        <v>90</v>
      </c>
      <c r="N2548" t="s">
        <v>678</v>
      </c>
      <c r="O2548" t="s">
        <v>188</v>
      </c>
      <c r="P2548" t="s">
        <v>189</v>
      </c>
      <c r="Q2548" t="s">
        <v>190</v>
      </c>
      <c r="S2548" t="s">
        <v>191</v>
      </c>
      <c r="U2548">
        <v>28034</v>
      </c>
      <c r="V2548" t="s">
        <v>192</v>
      </c>
      <c r="W2548" t="s">
        <v>56</v>
      </c>
      <c r="X2548" t="s">
        <v>193</v>
      </c>
      <c r="Y2548" t="s">
        <v>194</v>
      </c>
      <c r="Z2548" t="s">
        <v>65</v>
      </c>
    </row>
    <row r="2549" spans="1:26" x14ac:dyDescent="0.3">
      <c r="A2549">
        <v>10274</v>
      </c>
      <c r="B2549">
        <v>24</v>
      </c>
      <c r="C2549">
        <v>90.52</v>
      </c>
      <c r="D2549">
        <v>5</v>
      </c>
      <c r="E2549">
        <v>2172.48</v>
      </c>
      <c r="F2549" s="1">
        <v>38189</v>
      </c>
      <c r="G2549" t="s">
        <v>39</v>
      </c>
      <c r="H2549">
        <v>3</v>
      </c>
      <c r="I2549">
        <v>7</v>
      </c>
      <c r="J2549" t="str">
        <f>TEXT(DATE(2012,Table1[[#This Row],[MONTH_ID]],10),"mmm")</f>
        <v>Jul</v>
      </c>
      <c r="K2549">
        <v>2004</v>
      </c>
      <c r="L2549" t="s">
        <v>612</v>
      </c>
      <c r="M2549">
        <v>90</v>
      </c>
      <c r="N2549" t="s">
        <v>678</v>
      </c>
      <c r="O2549" t="s">
        <v>295</v>
      </c>
      <c r="P2549">
        <v>6175558555</v>
      </c>
      <c r="Q2549" t="s">
        <v>296</v>
      </c>
      <c r="S2549" t="s">
        <v>297</v>
      </c>
      <c r="T2549" t="s">
        <v>137</v>
      </c>
      <c r="U2549">
        <v>58339</v>
      </c>
      <c r="V2549" t="s">
        <v>46</v>
      </c>
      <c r="W2549" t="s">
        <v>47</v>
      </c>
      <c r="X2549" t="s">
        <v>289</v>
      </c>
      <c r="Y2549" t="s">
        <v>298</v>
      </c>
      <c r="Z2549" t="s">
        <v>50</v>
      </c>
    </row>
    <row r="2550" spans="1:26" x14ac:dyDescent="0.3">
      <c r="A2550">
        <v>10283</v>
      </c>
      <c r="B2550">
        <v>20</v>
      </c>
      <c r="C2550">
        <v>94.14</v>
      </c>
      <c r="D2550">
        <v>2</v>
      </c>
      <c r="E2550">
        <v>1882.8</v>
      </c>
      <c r="F2550" s="1">
        <v>38219</v>
      </c>
      <c r="G2550" t="s">
        <v>39</v>
      </c>
      <c r="H2550">
        <v>3</v>
      </c>
      <c r="I2550">
        <v>8</v>
      </c>
      <c r="J2550" t="str">
        <f>TEXT(DATE(2012,Table1[[#This Row],[MONTH_ID]],10),"mmm")</f>
        <v>Aug</v>
      </c>
      <c r="K2550">
        <v>2004</v>
      </c>
      <c r="L2550" t="s">
        <v>612</v>
      </c>
      <c r="M2550">
        <v>90</v>
      </c>
      <c r="N2550" t="s">
        <v>678</v>
      </c>
      <c r="O2550" t="s">
        <v>387</v>
      </c>
      <c r="P2550" t="s">
        <v>388</v>
      </c>
      <c r="Q2550" t="s">
        <v>389</v>
      </c>
      <c r="S2550" t="s">
        <v>390</v>
      </c>
      <c r="T2550" t="s">
        <v>243</v>
      </c>
      <c r="U2550" t="s">
        <v>391</v>
      </c>
      <c r="V2550" t="s">
        <v>245</v>
      </c>
      <c r="W2550" t="s">
        <v>47</v>
      </c>
      <c r="X2550" t="s">
        <v>392</v>
      </c>
      <c r="Y2550" t="s">
        <v>186</v>
      </c>
      <c r="Z2550" t="s">
        <v>50</v>
      </c>
    </row>
    <row r="2551" spans="1:26" x14ac:dyDescent="0.3">
      <c r="A2551">
        <v>10296</v>
      </c>
      <c r="B2551">
        <v>34</v>
      </c>
      <c r="C2551">
        <v>100</v>
      </c>
      <c r="D2551">
        <v>11</v>
      </c>
      <c r="E2551">
        <v>3477.86</v>
      </c>
      <c r="F2551" s="1">
        <v>38245</v>
      </c>
      <c r="G2551" t="s">
        <v>39</v>
      </c>
      <c r="H2551">
        <v>3</v>
      </c>
      <c r="I2551">
        <v>9</v>
      </c>
      <c r="J2551" t="str">
        <f>TEXT(DATE(2012,Table1[[#This Row],[MONTH_ID]],10),"mmm")</f>
        <v>Sep</v>
      </c>
      <c r="K2551">
        <v>2004</v>
      </c>
      <c r="L2551" t="s">
        <v>612</v>
      </c>
      <c r="M2551">
        <v>90</v>
      </c>
      <c r="N2551" t="s">
        <v>678</v>
      </c>
      <c r="O2551" t="s">
        <v>586</v>
      </c>
      <c r="P2551" t="s">
        <v>587</v>
      </c>
      <c r="Q2551" t="s">
        <v>588</v>
      </c>
      <c r="S2551" t="s">
        <v>589</v>
      </c>
      <c r="U2551">
        <v>80686</v>
      </c>
      <c r="V2551" t="s">
        <v>457</v>
      </c>
      <c r="W2551" t="s">
        <v>56</v>
      </c>
      <c r="X2551" t="s">
        <v>590</v>
      </c>
      <c r="Y2551" t="s">
        <v>117</v>
      </c>
      <c r="Z2551" t="s">
        <v>65</v>
      </c>
    </row>
    <row r="2552" spans="1:26" x14ac:dyDescent="0.3">
      <c r="A2552">
        <v>10307</v>
      </c>
      <c r="B2552">
        <v>34</v>
      </c>
      <c r="C2552">
        <v>97.76</v>
      </c>
      <c r="D2552">
        <v>5</v>
      </c>
      <c r="E2552">
        <v>3323.84</v>
      </c>
      <c r="F2552" s="1">
        <v>38274</v>
      </c>
      <c r="G2552" t="s">
        <v>39</v>
      </c>
      <c r="H2552">
        <v>4</v>
      </c>
      <c r="I2552">
        <v>10</v>
      </c>
      <c r="J2552" t="str">
        <f>TEXT(DATE(2012,Table1[[#This Row],[MONTH_ID]],10),"mmm")</f>
        <v>Oct</v>
      </c>
      <c r="K2552">
        <v>2004</v>
      </c>
      <c r="L2552" t="s">
        <v>612</v>
      </c>
      <c r="M2552">
        <v>90</v>
      </c>
      <c r="N2552" t="s">
        <v>678</v>
      </c>
      <c r="O2552" t="s">
        <v>228</v>
      </c>
      <c r="P2552">
        <v>2155554695</v>
      </c>
      <c r="Q2552" t="s">
        <v>229</v>
      </c>
      <c r="S2552" t="s">
        <v>230</v>
      </c>
      <c r="T2552" t="s">
        <v>156</v>
      </c>
      <c r="U2552">
        <v>71270</v>
      </c>
      <c r="V2552" t="s">
        <v>46</v>
      </c>
      <c r="W2552" t="s">
        <v>47</v>
      </c>
      <c r="X2552" t="s">
        <v>231</v>
      </c>
      <c r="Y2552" t="s">
        <v>232</v>
      </c>
      <c r="Z2552" t="s">
        <v>65</v>
      </c>
    </row>
    <row r="2553" spans="1:26" x14ac:dyDescent="0.3">
      <c r="A2553">
        <v>10316</v>
      </c>
      <c r="B2553">
        <v>45</v>
      </c>
      <c r="C2553">
        <v>93.24</v>
      </c>
      <c r="D2553">
        <v>13</v>
      </c>
      <c r="E2553">
        <v>4195.8</v>
      </c>
      <c r="F2553" s="1">
        <v>38292</v>
      </c>
      <c r="G2553" t="s">
        <v>39</v>
      </c>
      <c r="H2553">
        <v>4</v>
      </c>
      <c r="I2553">
        <v>11</v>
      </c>
      <c r="J2553" t="str">
        <f>TEXT(DATE(2012,Table1[[#This Row],[MONTH_ID]],10),"mmm")</f>
        <v>Nov</v>
      </c>
      <c r="K2553">
        <v>2004</v>
      </c>
      <c r="L2553" t="s">
        <v>612</v>
      </c>
      <c r="M2553">
        <v>90</v>
      </c>
      <c r="N2553" t="s">
        <v>678</v>
      </c>
      <c r="O2553" t="s">
        <v>397</v>
      </c>
      <c r="P2553" t="s">
        <v>398</v>
      </c>
      <c r="Q2553" t="s">
        <v>399</v>
      </c>
      <c r="S2553" t="s">
        <v>400</v>
      </c>
      <c r="T2553" t="s">
        <v>401</v>
      </c>
      <c r="U2553" t="s">
        <v>402</v>
      </c>
      <c r="V2553" t="s">
        <v>184</v>
      </c>
      <c r="W2553" t="s">
        <v>56</v>
      </c>
      <c r="X2553" t="s">
        <v>403</v>
      </c>
      <c r="Y2553" t="s">
        <v>404</v>
      </c>
      <c r="Z2553" t="s">
        <v>65</v>
      </c>
    </row>
    <row r="2554" spans="1:26" x14ac:dyDescent="0.3">
      <c r="A2554">
        <v>10328</v>
      </c>
      <c r="B2554">
        <v>41</v>
      </c>
      <c r="C2554">
        <v>100</v>
      </c>
      <c r="D2554">
        <v>9</v>
      </c>
      <c r="E2554">
        <v>4156.58</v>
      </c>
      <c r="F2554" s="1">
        <v>38303</v>
      </c>
      <c r="G2554" t="s">
        <v>39</v>
      </c>
      <c r="H2554">
        <v>4</v>
      </c>
      <c r="I2554">
        <v>11</v>
      </c>
      <c r="J2554" t="str">
        <f>TEXT(DATE(2012,Table1[[#This Row],[MONTH_ID]],10),"mmm")</f>
        <v>Nov</v>
      </c>
      <c r="K2554">
        <v>2004</v>
      </c>
      <c r="L2554" t="s">
        <v>612</v>
      </c>
      <c r="M2554">
        <v>90</v>
      </c>
      <c r="N2554" t="s">
        <v>678</v>
      </c>
      <c r="O2554" t="s">
        <v>566</v>
      </c>
      <c r="P2554" t="s">
        <v>567</v>
      </c>
      <c r="Q2554" t="s">
        <v>568</v>
      </c>
      <c r="S2554" t="s">
        <v>569</v>
      </c>
      <c r="U2554">
        <v>24100</v>
      </c>
      <c r="V2554" t="s">
        <v>272</v>
      </c>
      <c r="W2554" t="s">
        <v>56</v>
      </c>
      <c r="X2554" t="s">
        <v>570</v>
      </c>
      <c r="Y2554" t="s">
        <v>571</v>
      </c>
      <c r="Z2554" t="s">
        <v>65</v>
      </c>
    </row>
    <row r="2555" spans="1:26" x14ac:dyDescent="0.3">
      <c r="A2555">
        <v>10339</v>
      </c>
      <c r="B2555">
        <v>55</v>
      </c>
      <c r="C2555">
        <v>71.25</v>
      </c>
      <c r="D2555">
        <v>15</v>
      </c>
      <c r="E2555">
        <v>3918.75</v>
      </c>
      <c r="F2555" s="1">
        <v>38314</v>
      </c>
      <c r="G2555" t="s">
        <v>39</v>
      </c>
      <c r="H2555">
        <v>4</v>
      </c>
      <c r="I2555">
        <v>11</v>
      </c>
      <c r="J2555" t="str">
        <f>TEXT(DATE(2012,Table1[[#This Row],[MONTH_ID]],10),"mmm")</f>
        <v>Nov</v>
      </c>
      <c r="K2555">
        <v>2004</v>
      </c>
      <c r="L2555" t="s">
        <v>612</v>
      </c>
      <c r="M2555">
        <v>90</v>
      </c>
      <c r="N2555" t="s">
        <v>678</v>
      </c>
      <c r="O2555" t="s">
        <v>260</v>
      </c>
      <c r="P2555" t="s">
        <v>261</v>
      </c>
      <c r="Q2555" t="s">
        <v>262</v>
      </c>
      <c r="S2555" t="s">
        <v>263</v>
      </c>
      <c r="T2555" t="s">
        <v>264</v>
      </c>
      <c r="U2555" t="s">
        <v>265</v>
      </c>
      <c r="V2555" t="s">
        <v>214</v>
      </c>
      <c r="W2555" t="s">
        <v>214</v>
      </c>
      <c r="X2555" t="s">
        <v>266</v>
      </c>
      <c r="Y2555" t="s">
        <v>267</v>
      </c>
      <c r="Z2555" t="s">
        <v>65</v>
      </c>
    </row>
    <row r="2556" spans="1:26" x14ac:dyDescent="0.3">
      <c r="A2556">
        <v>10352</v>
      </c>
      <c r="B2556">
        <v>23</v>
      </c>
      <c r="C2556">
        <v>100</v>
      </c>
      <c r="D2556">
        <v>3</v>
      </c>
      <c r="E2556">
        <v>2352.67</v>
      </c>
      <c r="F2556" s="1">
        <v>38324</v>
      </c>
      <c r="G2556" t="s">
        <v>39</v>
      </c>
      <c r="H2556">
        <v>4</v>
      </c>
      <c r="I2556">
        <v>12</v>
      </c>
      <c r="J2556" t="str">
        <f>TEXT(DATE(2012,Table1[[#This Row],[MONTH_ID]],10),"mmm")</f>
        <v>Dec</v>
      </c>
      <c r="K2556">
        <v>2004</v>
      </c>
      <c r="L2556" t="s">
        <v>612</v>
      </c>
      <c r="M2556">
        <v>90</v>
      </c>
      <c r="N2556" t="s">
        <v>678</v>
      </c>
      <c r="O2556" t="s">
        <v>614</v>
      </c>
      <c r="P2556">
        <v>6175558428</v>
      </c>
      <c r="Q2556" t="s">
        <v>615</v>
      </c>
      <c r="S2556" t="s">
        <v>297</v>
      </c>
      <c r="T2556" t="s">
        <v>137</v>
      </c>
      <c r="U2556">
        <v>58339</v>
      </c>
      <c r="V2556" t="s">
        <v>46</v>
      </c>
      <c r="W2556" t="s">
        <v>47</v>
      </c>
      <c r="X2556" t="s">
        <v>543</v>
      </c>
      <c r="Y2556" t="s">
        <v>259</v>
      </c>
      <c r="Z2556" t="s">
        <v>50</v>
      </c>
    </row>
    <row r="2557" spans="1:26" x14ac:dyDescent="0.3">
      <c r="A2557">
        <v>10361</v>
      </c>
      <c r="B2557">
        <v>24</v>
      </c>
      <c r="C2557">
        <v>45.39</v>
      </c>
      <c r="D2557">
        <v>14</v>
      </c>
      <c r="E2557">
        <v>1089.3599999999999</v>
      </c>
      <c r="F2557" s="1">
        <v>38338</v>
      </c>
      <c r="G2557" t="s">
        <v>39</v>
      </c>
      <c r="H2557">
        <v>4</v>
      </c>
      <c r="I2557">
        <v>12</v>
      </c>
      <c r="J2557" t="str">
        <f>TEXT(DATE(2012,Table1[[#This Row],[MONTH_ID]],10),"mmm")</f>
        <v>Dec</v>
      </c>
      <c r="K2557">
        <v>2004</v>
      </c>
      <c r="L2557" t="s">
        <v>612</v>
      </c>
      <c r="M2557">
        <v>90</v>
      </c>
      <c r="N2557" t="s">
        <v>678</v>
      </c>
      <c r="O2557" t="s">
        <v>166</v>
      </c>
      <c r="P2557" t="s">
        <v>167</v>
      </c>
      <c r="Q2557" t="s">
        <v>168</v>
      </c>
      <c r="R2557" t="s">
        <v>169</v>
      </c>
      <c r="S2557" t="s">
        <v>170</v>
      </c>
      <c r="T2557" t="s">
        <v>171</v>
      </c>
      <c r="U2557">
        <v>2067</v>
      </c>
      <c r="V2557" t="s">
        <v>109</v>
      </c>
      <c r="W2557" t="s">
        <v>110</v>
      </c>
      <c r="X2557" t="s">
        <v>172</v>
      </c>
      <c r="Y2557" t="s">
        <v>173</v>
      </c>
      <c r="Z2557" t="s">
        <v>50</v>
      </c>
    </row>
    <row r="2558" spans="1:26" x14ac:dyDescent="0.3">
      <c r="A2558">
        <v>10373</v>
      </c>
      <c r="B2558">
        <v>32</v>
      </c>
      <c r="C2558">
        <v>84.41</v>
      </c>
      <c r="D2558">
        <v>15</v>
      </c>
      <c r="E2558">
        <v>2701.12</v>
      </c>
      <c r="F2558" s="1">
        <v>38383</v>
      </c>
      <c r="G2558" t="s">
        <v>39</v>
      </c>
      <c r="H2558">
        <v>1</v>
      </c>
      <c r="I2558">
        <v>1</v>
      </c>
      <c r="J2558" t="str">
        <f>TEXT(DATE(2012,Table1[[#This Row],[MONTH_ID]],10),"mmm")</f>
        <v>Jan</v>
      </c>
      <c r="K2558">
        <v>2005</v>
      </c>
      <c r="L2558" t="s">
        <v>612</v>
      </c>
      <c r="M2558">
        <v>90</v>
      </c>
      <c r="N2558" t="s">
        <v>678</v>
      </c>
      <c r="O2558" t="s">
        <v>405</v>
      </c>
      <c r="P2558" t="s">
        <v>406</v>
      </c>
      <c r="Q2558" t="s">
        <v>407</v>
      </c>
      <c r="S2558" t="s">
        <v>408</v>
      </c>
      <c r="U2558">
        <v>90110</v>
      </c>
      <c r="V2558" t="s">
        <v>144</v>
      </c>
      <c r="W2558" t="s">
        <v>56</v>
      </c>
      <c r="X2558" t="s">
        <v>409</v>
      </c>
      <c r="Y2558" t="s">
        <v>410</v>
      </c>
      <c r="Z2558" t="s">
        <v>50</v>
      </c>
    </row>
    <row r="2559" spans="1:26" x14ac:dyDescent="0.3">
      <c r="A2559">
        <v>10386</v>
      </c>
      <c r="B2559">
        <v>29</v>
      </c>
      <c r="C2559">
        <v>85.76</v>
      </c>
      <c r="D2559">
        <v>13</v>
      </c>
      <c r="E2559">
        <v>2487.04</v>
      </c>
      <c r="F2559" s="1">
        <v>38412</v>
      </c>
      <c r="G2559" t="s">
        <v>422</v>
      </c>
      <c r="H2559">
        <v>1</v>
      </c>
      <c r="I2559">
        <v>3</v>
      </c>
      <c r="J2559" t="str">
        <f>TEXT(DATE(2012,Table1[[#This Row],[MONTH_ID]],10),"mmm")</f>
        <v>Mar</v>
      </c>
      <c r="K2559">
        <v>2005</v>
      </c>
      <c r="L2559" t="s">
        <v>612</v>
      </c>
      <c r="M2559">
        <v>90</v>
      </c>
      <c r="N2559" t="s">
        <v>678</v>
      </c>
      <c r="O2559" t="s">
        <v>188</v>
      </c>
      <c r="P2559" t="s">
        <v>189</v>
      </c>
      <c r="Q2559" t="s">
        <v>190</v>
      </c>
      <c r="S2559" t="s">
        <v>191</v>
      </c>
      <c r="U2559">
        <v>28034</v>
      </c>
      <c r="V2559" t="s">
        <v>192</v>
      </c>
      <c r="W2559" t="s">
        <v>56</v>
      </c>
      <c r="X2559" t="s">
        <v>193</v>
      </c>
      <c r="Y2559" t="s">
        <v>194</v>
      </c>
      <c r="Z2559" t="s">
        <v>50</v>
      </c>
    </row>
    <row r="2560" spans="1:26" x14ac:dyDescent="0.3">
      <c r="A2560">
        <v>10398</v>
      </c>
      <c r="B2560">
        <v>36</v>
      </c>
      <c r="C2560">
        <v>100</v>
      </c>
      <c r="D2560">
        <v>7</v>
      </c>
      <c r="E2560">
        <v>3910.32</v>
      </c>
      <c r="F2560" s="1">
        <v>38441</v>
      </c>
      <c r="G2560" t="s">
        <v>39</v>
      </c>
      <c r="H2560">
        <v>1</v>
      </c>
      <c r="I2560">
        <v>3</v>
      </c>
      <c r="J2560" t="str">
        <f>TEXT(DATE(2012,Table1[[#This Row],[MONTH_ID]],10),"mmm")</f>
        <v>Mar</v>
      </c>
      <c r="K2560">
        <v>2005</v>
      </c>
      <c r="L2560" t="s">
        <v>612</v>
      </c>
      <c r="M2560">
        <v>90</v>
      </c>
      <c r="N2560" t="s">
        <v>678</v>
      </c>
      <c r="O2560" t="s">
        <v>51</v>
      </c>
      <c r="P2560" t="s">
        <v>52</v>
      </c>
      <c r="Q2560" t="s">
        <v>53</v>
      </c>
      <c r="S2560" t="s">
        <v>54</v>
      </c>
      <c r="U2560">
        <v>51100</v>
      </c>
      <c r="V2560" t="s">
        <v>55</v>
      </c>
      <c r="W2560" t="s">
        <v>56</v>
      </c>
      <c r="X2560" t="s">
        <v>57</v>
      </c>
      <c r="Y2560" t="s">
        <v>58</v>
      </c>
      <c r="Z2560" t="s">
        <v>65</v>
      </c>
    </row>
    <row r="2561" spans="1:26" x14ac:dyDescent="0.3">
      <c r="A2561">
        <v>10400</v>
      </c>
      <c r="B2561">
        <v>46</v>
      </c>
      <c r="C2561">
        <v>87.8</v>
      </c>
      <c r="D2561">
        <v>5</v>
      </c>
      <c r="E2561">
        <v>4038.8</v>
      </c>
      <c r="F2561" s="1">
        <v>38443</v>
      </c>
      <c r="G2561" t="s">
        <v>39</v>
      </c>
      <c r="H2561">
        <v>2</v>
      </c>
      <c r="I2561">
        <v>4</v>
      </c>
      <c r="J2561" t="str">
        <f>TEXT(DATE(2012,Table1[[#This Row],[MONTH_ID]],10),"mmm")</f>
        <v>Apr</v>
      </c>
      <c r="K2561">
        <v>2005</v>
      </c>
      <c r="L2561" t="s">
        <v>612</v>
      </c>
      <c r="M2561">
        <v>90</v>
      </c>
      <c r="N2561" t="s">
        <v>678</v>
      </c>
      <c r="O2561" t="s">
        <v>411</v>
      </c>
      <c r="P2561">
        <v>4085553659</v>
      </c>
      <c r="Q2561" t="s">
        <v>412</v>
      </c>
      <c r="S2561" t="s">
        <v>413</v>
      </c>
      <c r="T2561" t="s">
        <v>69</v>
      </c>
      <c r="U2561">
        <v>94217</v>
      </c>
      <c r="V2561" t="s">
        <v>46</v>
      </c>
      <c r="W2561" t="s">
        <v>47</v>
      </c>
      <c r="X2561" t="s">
        <v>116</v>
      </c>
      <c r="Y2561" t="s">
        <v>414</v>
      </c>
      <c r="Z2561" t="s">
        <v>65</v>
      </c>
    </row>
    <row r="2562" spans="1:26" x14ac:dyDescent="0.3">
      <c r="A2562">
        <v>10415</v>
      </c>
      <c r="B2562">
        <v>32</v>
      </c>
      <c r="C2562">
        <v>95.95</v>
      </c>
      <c r="D2562">
        <v>4</v>
      </c>
      <c r="E2562">
        <v>3070.4</v>
      </c>
      <c r="F2562" s="1">
        <v>38481</v>
      </c>
      <c r="G2562" t="s">
        <v>187</v>
      </c>
      <c r="H2562">
        <v>2</v>
      </c>
      <c r="I2562">
        <v>5</v>
      </c>
      <c r="J2562" t="str">
        <f>TEXT(DATE(2012,Table1[[#This Row],[MONTH_ID]],10),"mmm")</f>
        <v>May</v>
      </c>
      <c r="K2562">
        <v>2005</v>
      </c>
      <c r="L2562" t="s">
        <v>612</v>
      </c>
      <c r="M2562">
        <v>90</v>
      </c>
      <c r="N2562" t="s">
        <v>678</v>
      </c>
      <c r="O2562" t="s">
        <v>572</v>
      </c>
      <c r="P2562" t="s">
        <v>573</v>
      </c>
      <c r="Q2562" t="s">
        <v>574</v>
      </c>
      <c r="S2562" t="s">
        <v>575</v>
      </c>
      <c r="T2562" t="s">
        <v>108</v>
      </c>
      <c r="U2562">
        <v>3150</v>
      </c>
      <c r="V2562" t="s">
        <v>109</v>
      </c>
      <c r="W2562" t="s">
        <v>110</v>
      </c>
      <c r="X2562" t="s">
        <v>576</v>
      </c>
      <c r="Y2562" t="s">
        <v>577</v>
      </c>
      <c r="Z2562" t="s">
        <v>65</v>
      </c>
    </row>
    <row r="2563" spans="1:26" x14ac:dyDescent="0.3">
      <c r="A2563">
        <v>10106</v>
      </c>
      <c r="B2563">
        <v>34</v>
      </c>
      <c r="C2563">
        <v>100</v>
      </c>
      <c r="D2563">
        <v>9</v>
      </c>
      <c r="E2563">
        <v>3763.46</v>
      </c>
      <c r="F2563" s="1">
        <v>37669</v>
      </c>
      <c r="G2563" t="s">
        <v>39</v>
      </c>
      <c r="H2563">
        <v>1</v>
      </c>
      <c r="I2563">
        <v>2</v>
      </c>
      <c r="J2563" t="str">
        <f>TEXT(DATE(2012,Table1[[#This Row],[MONTH_ID]],10),"mmm")</f>
        <v>Feb</v>
      </c>
      <c r="K2563">
        <v>2003</v>
      </c>
      <c r="L2563" t="s">
        <v>580</v>
      </c>
      <c r="M2563">
        <v>99</v>
      </c>
      <c r="N2563" t="s">
        <v>679</v>
      </c>
      <c r="O2563" t="s">
        <v>566</v>
      </c>
      <c r="P2563" t="s">
        <v>567</v>
      </c>
      <c r="Q2563" t="s">
        <v>568</v>
      </c>
      <c r="S2563" t="s">
        <v>569</v>
      </c>
      <c r="U2563">
        <v>24100</v>
      </c>
      <c r="V2563" t="s">
        <v>272</v>
      </c>
      <c r="W2563" t="s">
        <v>56</v>
      </c>
      <c r="X2563" t="s">
        <v>570</v>
      </c>
      <c r="Y2563" t="s">
        <v>571</v>
      </c>
      <c r="Z2563" t="s">
        <v>65</v>
      </c>
    </row>
    <row r="2564" spans="1:26" x14ac:dyDescent="0.3">
      <c r="A2564">
        <v>10120</v>
      </c>
      <c r="B2564">
        <v>24</v>
      </c>
      <c r="C2564">
        <v>100</v>
      </c>
      <c r="D2564">
        <v>15</v>
      </c>
      <c r="E2564">
        <v>2584.8000000000002</v>
      </c>
      <c r="F2564" s="1">
        <v>37740</v>
      </c>
      <c r="G2564" t="s">
        <v>39</v>
      </c>
      <c r="H2564">
        <v>2</v>
      </c>
      <c r="I2564">
        <v>4</v>
      </c>
      <c r="J2564" t="str">
        <f>TEXT(DATE(2012,Table1[[#This Row],[MONTH_ID]],10),"mmm")</f>
        <v>Apr</v>
      </c>
      <c r="K2564">
        <v>2003</v>
      </c>
      <c r="L2564" t="s">
        <v>580</v>
      </c>
      <c r="M2564">
        <v>99</v>
      </c>
      <c r="N2564" t="s">
        <v>679</v>
      </c>
      <c r="O2564" t="s">
        <v>103</v>
      </c>
      <c r="P2564" t="s">
        <v>104</v>
      </c>
      <c r="Q2564" t="s">
        <v>105</v>
      </c>
      <c r="R2564" t="s">
        <v>106</v>
      </c>
      <c r="S2564" t="s">
        <v>107</v>
      </c>
      <c r="T2564" t="s">
        <v>108</v>
      </c>
      <c r="U2564">
        <v>3004</v>
      </c>
      <c r="V2564" t="s">
        <v>109</v>
      </c>
      <c r="W2564" t="s">
        <v>110</v>
      </c>
      <c r="X2564" t="s">
        <v>111</v>
      </c>
      <c r="Y2564" t="s">
        <v>112</v>
      </c>
      <c r="Z2564" t="s">
        <v>50</v>
      </c>
    </row>
    <row r="2565" spans="1:26" x14ac:dyDescent="0.3">
      <c r="A2565">
        <v>10131</v>
      </c>
      <c r="B2565">
        <v>40</v>
      </c>
      <c r="C2565">
        <v>100</v>
      </c>
      <c r="D2565">
        <v>1</v>
      </c>
      <c r="E2565">
        <v>4427.6000000000004</v>
      </c>
      <c r="F2565" s="1">
        <v>37788</v>
      </c>
      <c r="G2565" t="s">
        <v>39</v>
      </c>
      <c r="H2565">
        <v>2</v>
      </c>
      <c r="I2565">
        <v>6</v>
      </c>
      <c r="J2565" t="str">
        <f>TEXT(DATE(2012,Table1[[#This Row],[MONTH_ID]],10),"mmm")</f>
        <v>Jun</v>
      </c>
      <c r="K2565">
        <v>2003</v>
      </c>
      <c r="L2565" t="s">
        <v>580</v>
      </c>
      <c r="M2565">
        <v>99</v>
      </c>
      <c r="N2565" t="s">
        <v>679</v>
      </c>
      <c r="O2565" t="s">
        <v>582</v>
      </c>
      <c r="P2565">
        <v>2035554407</v>
      </c>
      <c r="Q2565" t="s">
        <v>583</v>
      </c>
      <c r="S2565" t="s">
        <v>530</v>
      </c>
      <c r="T2565" t="s">
        <v>126</v>
      </c>
      <c r="U2565">
        <v>97561</v>
      </c>
      <c r="V2565" t="s">
        <v>46</v>
      </c>
      <c r="W2565" t="s">
        <v>47</v>
      </c>
      <c r="X2565" t="s">
        <v>584</v>
      </c>
      <c r="Y2565" t="s">
        <v>585</v>
      </c>
      <c r="Z2565" t="s">
        <v>65</v>
      </c>
    </row>
    <row r="2566" spans="1:26" x14ac:dyDescent="0.3">
      <c r="A2566">
        <v>10143</v>
      </c>
      <c r="B2566">
        <v>26</v>
      </c>
      <c r="C2566">
        <v>82.77</v>
      </c>
      <c r="D2566">
        <v>4</v>
      </c>
      <c r="E2566">
        <v>2152.02</v>
      </c>
      <c r="F2566" s="1">
        <v>37843</v>
      </c>
      <c r="G2566" t="s">
        <v>39</v>
      </c>
      <c r="H2566">
        <v>3</v>
      </c>
      <c r="I2566">
        <v>8</v>
      </c>
      <c r="J2566" t="str">
        <f>TEXT(DATE(2012,Table1[[#This Row],[MONTH_ID]],10),"mmm")</f>
        <v>Aug</v>
      </c>
      <c r="K2566">
        <v>2003</v>
      </c>
      <c r="L2566" t="s">
        <v>580</v>
      </c>
      <c r="M2566">
        <v>99</v>
      </c>
      <c r="N2566" t="s">
        <v>679</v>
      </c>
      <c r="O2566" t="s">
        <v>349</v>
      </c>
      <c r="P2566">
        <v>5085559555</v>
      </c>
      <c r="Q2566" t="s">
        <v>350</v>
      </c>
      <c r="S2566" t="s">
        <v>176</v>
      </c>
      <c r="T2566" t="s">
        <v>137</v>
      </c>
      <c r="U2566">
        <v>50553</v>
      </c>
      <c r="V2566" t="s">
        <v>46</v>
      </c>
      <c r="W2566" t="s">
        <v>47</v>
      </c>
      <c r="X2566" t="s">
        <v>351</v>
      </c>
      <c r="Y2566" t="s">
        <v>352</v>
      </c>
      <c r="Z2566" t="s">
        <v>50</v>
      </c>
    </row>
    <row r="2567" spans="1:26" x14ac:dyDescent="0.3">
      <c r="A2567">
        <v>10155</v>
      </c>
      <c r="B2567">
        <v>20</v>
      </c>
      <c r="C2567">
        <v>100</v>
      </c>
      <c r="D2567">
        <v>2</v>
      </c>
      <c r="E2567">
        <v>2353.4</v>
      </c>
      <c r="F2567" s="1">
        <v>37900</v>
      </c>
      <c r="G2567" t="s">
        <v>39</v>
      </c>
      <c r="H2567">
        <v>4</v>
      </c>
      <c r="I2567">
        <v>10</v>
      </c>
      <c r="J2567" t="str">
        <f>TEXT(DATE(2012,Table1[[#This Row],[MONTH_ID]],10),"mmm")</f>
        <v>Oct</v>
      </c>
      <c r="K2567">
        <v>2003</v>
      </c>
      <c r="L2567" t="s">
        <v>580</v>
      </c>
      <c r="M2567">
        <v>99</v>
      </c>
      <c r="N2567" t="s">
        <v>679</v>
      </c>
      <c r="O2567" t="s">
        <v>140</v>
      </c>
      <c r="P2567" t="s">
        <v>141</v>
      </c>
      <c r="Q2567" t="s">
        <v>142</v>
      </c>
      <c r="S2567" t="s">
        <v>143</v>
      </c>
      <c r="U2567">
        <v>21240</v>
      </c>
      <c r="V2567" t="s">
        <v>144</v>
      </c>
      <c r="W2567" t="s">
        <v>56</v>
      </c>
      <c r="X2567" t="s">
        <v>145</v>
      </c>
      <c r="Y2567" t="s">
        <v>146</v>
      </c>
      <c r="Z2567" t="s">
        <v>50</v>
      </c>
    </row>
    <row r="2568" spans="1:26" x14ac:dyDescent="0.3">
      <c r="A2568">
        <v>10168</v>
      </c>
      <c r="B2568">
        <v>31</v>
      </c>
      <c r="C2568">
        <v>100</v>
      </c>
      <c r="D2568">
        <v>16</v>
      </c>
      <c r="E2568">
        <v>3431.39</v>
      </c>
      <c r="F2568" s="1">
        <v>37922</v>
      </c>
      <c r="G2568" t="s">
        <v>39</v>
      </c>
      <c r="H2568">
        <v>4</v>
      </c>
      <c r="I2568">
        <v>10</v>
      </c>
      <c r="J2568" t="str">
        <f>TEXT(DATE(2012,Table1[[#This Row],[MONTH_ID]],10),"mmm")</f>
        <v>Oct</v>
      </c>
      <c r="K2568">
        <v>2003</v>
      </c>
      <c r="L2568" t="s">
        <v>580</v>
      </c>
      <c r="M2568">
        <v>99</v>
      </c>
      <c r="N2568" t="s">
        <v>679</v>
      </c>
      <c r="O2568" t="s">
        <v>76</v>
      </c>
      <c r="P2568">
        <v>6505556809</v>
      </c>
      <c r="Q2568" t="s">
        <v>77</v>
      </c>
      <c r="S2568" t="s">
        <v>78</v>
      </c>
      <c r="T2568" t="s">
        <v>69</v>
      </c>
      <c r="U2568">
        <v>94217</v>
      </c>
      <c r="V2568" t="s">
        <v>46</v>
      </c>
      <c r="W2568" t="s">
        <v>47</v>
      </c>
      <c r="X2568" t="s">
        <v>79</v>
      </c>
      <c r="Y2568" t="s">
        <v>80</v>
      </c>
      <c r="Z2568" t="s">
        <v>65</v>
      </c>
    </row>
    <row r="2569" spans="1:26" x14ac:dyDescent="0.3">
      <c r="A2569">
        <v>10178</v>
      </c>
      <c r="B2569">
        <v>22</v>
      </c>
      <c r="C2569">
        <v>87.75</v>
      </c>
      <c r="D2569">
        <v>1</v>
      </c>
      <c r="E2569">
        <v>1930.5</v>
      </c>
      <c r="F2569" s="1">
        <v>37933</v>
      </c>
      <c r="G2569" t="s">
        <v>39</v>
      </c>
      <c r="H2569">
        <v>4</v>
      </c>
      <c r="I2569">
        <v>11</v>
      </c>
      <c r="J2569" t="str">
        <f>TEXT(DATE(2012,Table1[[#This Row],[MONTH_ID]],10),"mmm")</f>
        <v>Nov</v>
      </c>
      <c r="K2569">
        <v>2003</v>
      </c>
      <c r="L2569" t="s">
        <v>580</v>
      </c>
      <c r="M2569">
        <v>99</v>
      </c>
      <c r="N2569" t="s">
        <v>679</v>
      </c>
      <c r="O2569" t="s">
        <v>354</v>
      </c>
      <c r="P2569" t="s">
        <v>355</v>
      </c>
      <c r="Q2569" t="s">
        <v>356</v>
      </c>
      <c r="S2569" t="s">
        <v>357</v>
      </c>
      <c r="U2569">
        <v>31000</v>
      </c>
      <c r="V2569" t="s">
        <v>55</v>
      </c>
      <c r="W2569" t="s">
        <v>56</v>
      </c>
      <c r="X2569" t="s">
        <v>358</v>
      </c>
      <c r="Y2569" t="s">
        <v>359</v>
      </c>
      <c r="Z2569" t="s">
        <v>50</v>
      </c>
    </row>
    <row r="2570" spans="1:26" x14ac:dyDescent="0.3">
      <c r="A2570">
        <v>10198</v>
      </c>
      <c r="B2570">
        <v>42</v>
      </c>
      <c r="C2570">
        <v>100</v>
      </c>
      <c r="D2570">
        <v>1</v>
      </c>
      <c r="E2570">
        <v>4774.5600000000004</v>
      </c>
      <c r="F2570" s="1">
        <v>37952</v>
      </c>
      <c r="G2570" t="s">
        <v>39</v>
      </c>
      <c r="H2570">
        <v>4</v>
      </c>
      <c r="I2570">
        <v>11</v>
      </c>
      <c r="J2570" t="str">
        <f>TEXT(DATE(2012,Table1[[#This Row],[MONTH_ID]],10),"mmm")</f>
        <v>Nov</v>
      </c>
      <c r="K2570">
        <v>2003</v>
      </c>
      <c r="L2570" t="s">
        <v>580</v>
      </c>
      <c r="M2570">
        <v>99</v>
      </c>
      <c r="N2570" t="s">
        <v>679</v>
      </c>
      <c r="O2570" t="s">
        <v>439</v>
      </c>
      <c r="P2570" t="s">
        <v>440</v>
      </c>
      <c r="Q2570" t="s">
        <v>441</v>
      </c>
      <c r="S2570" t="s">
        <v>442</v>
      </c>
      <c r="U2570" t="s">
        <v>443</v>
      </c>
      <c r="V2570" t="s">
        <v>444</v>
      </c>
      <c r="W2570" t="s">
        <v>214</v>
      </c>
      <c r="X2570" t="s">
        <v>445</v>
      </c>
      <c r="Y2570" t="s">
        <v>446</v>
      </c>
      <c r="Z2570" t="s">
        <v>65</v>
      </c>
    </row>
    <row r="2571" spans="1:26" x14ac:dyDescent="0.3">
      <c r="A2571">
        <v>10210</v>
      </c>
      <c r="B2571">
        <v>26</v>
      </c>
      <c r="C2571">
        <v>99.72</v>
      </c>
      <c r="D2571">
        <v>14</v>
      </c>
      <c r="E2571">
        <v>2592.7199999999998</v>
      </c>
      <c r="F2571" s="1">
        <v>37998</v>
      </c>
      <c r="G2571" t="s">
        <v>39</v>
      </c>
      <c r="H2571">
        <v>1</v>
      </c>
      <c r="I2571">
        <v>1</v>
      </c>
      <c r="J2571" t="str">
        <f>TEXT(DATE(2012,Table1[[#This Row],[MONTH_ID]],10),"mmm")</f>
        <v>Jan</v>
      </c>
      <c r="K2571">
        <v>2004</v>
      </c>
      <c r="L2571" t="s">
        <v>580</v>
      </c>
      <c r="M2571">
        <v>99</v>
      </c>
      <c r="N2571" t="s">
        <v>679</v>
      </c>
      <c r="O2571" t="s">
        <v>316</v>
      </c>
      <c r="P2571" t="s">
        <v>317</v>
      </c>
      <c r="Q2571" t="s">
        <v>318</v>
      </c>
      <c r="S2571" t="s">
        <v>319</v>
      </c>
      <c r="T2571" t="s">
        <v>319</v>
      </c>
      <c r="U2571" t="s">
        <v>320</v>
      </c>
      <c r="V2571" t="s">
        <v>214</v>
      </c>
      <c r="W2571" t="s">
        <v>214</v>
      </c>
      <c r="X2571" t="s">
        <v>321</v>
      </c>
      <c r="Y2571" t="s">
        <v>322</v>
      </c>
      <c r="Z2571" t="s">
        <v>50</v>
      </c>
    </row>
    <row r="2572" spans="1:26" x14ac:dyDescent="0.3">
      <c r="A2572">
        <v>10222</v>
      </c>
      <c r="B2572">
        <v>37</v>
      </c>
      <c r="C2572">
        <v>87.75</v>
      </c>
      <c r="D2572">
        <v>1</v>
      </c>
      <c r="E2572">
        <v>3246.75</v>
      </c>
      <c r="F2572" s="1">
        <v>38036</v>
      </c>
      <c r="G2572" t="s">
        <v>39</v>
      </c>
      <c r="H2572">
        <v>1</v>
      </c>
      <c r="I2572">
        <v>2</v>
      </c>
      <c r="J2572" t="str">
        <f>TEXT(DATE(2012,Table1[[#This Row],[MONTH_ID]],10),"mmm")</f>
        <v>Feb</v>
      </c>
      <c r="K2572">
        <v>2004</v>
      </c>
      <c r="L2572" t="s">
        <v>580</v>
      </c>
      <c r="M2572">
        <v>99</v>
      </c>
      <c r="N2572" t="s">
        <v>679</v>
      </c>
      <c r="O2572" t="s">
        <v>376</v>
      </c>
      <c r="P2572">
        <v>7605558146</v>
      </c>
      <c r="Q2572" t="s">
        <v>377</v>
      </c>
      <c r="S2572" t="s">
        <v>378</v>
      </c>
      <c r="T2572" t="s">
        <v>69</v>
      </c>
      <c r="U2572">
        <v>91217</v>
      </c>
      <c r="V2572" t="s">
        <v>46</v>
      </c>
      <c r="W2572" t="s">
        <v>47</v>
      </c>
      <c r="X2572" t="s">
        <v>251</v>
      </c>
      <c r="Y2572" t="s">
        <v>290</v>
      </c>
      <c r="Z2572" t="s">
        <v>65</v>
      </c>
    </row>
    <row r="2573" spans="1:26" x14ac:dyDescent="0.3">
      <c r="A2573">
        <v>10235</v>
      </c>
      <c r="B2573">
        <v>38</v>
      </c>
      <c r="C2573">
        <v>88.75</v>
      </c>
      <c r="D2573">
        <v>10</v>
      </c>
      <c r="E2573">
        <v>3372.5</v>
      </c>
      <c r="F2573" s="1">
        <v>38079</v>
      </c>
      <c r="G2573" t="s">
        <v>39</v>
      </c>
      <c r="H2573">
        <v>2</v>
      </c>
      <c r="I2573">
        <v>4</v>
      </c>
      <c r="J2573" t="str">
        <f>TEXT(DATE(2012,Table1[[#This Row],[MONTH_ID]],10),"mmm")</f>
        <v>Apr</v>
      </c>
      <c r="K2573">
        <v>2004</v>
      </c>
      <c r="L2573" t="s">
        <v>580</v>
      </c>
      <c r="M2573">
        <v>99</v>
      </c>
      <c r="N2573" t="s">
        <v>679</v>
      </c>
      <c r="O2573" t="s">
        <v>387</v>
      </c>
      <c r="P2573" t="s">
        <v>388</v>
      </c>
      <c r="Q2573" t="s">
        <v>389</v>
      </c>
      <c r="S2573" t="s">
        <v>390</v>
      </c>
      <c r="T2573" t="s">
        <v>243</v>
      </c>
      <c r="U2573" t="s">
        <v>391</v>
      </c>
      <c r="V2573" t="s">
        <v>245</v>
      </c>
      <c r="W2573" t="s">
        <v>47</v>
      </c>
      <c r="X2573" t="s">
        <v>392</v>
      </c>
      <c r="Y2573" t="s">
        <v>186</v>
      </c>
      <c r="Z2573" t="s">
        <v>65</v>
      </c>
    </row>
    <row r="2574" spans="1:26" x14ac:dyDescent="0.3">
      <c r="A2574">
        <v>10250</v>
      </c>
      <c r="B2574">
        <v>35</v>
      </c>
      <c r="C2574">
        <v>100</v>
      </c>
      <c r="D2574">
        <v>11</v>
      </c>
      <c r="E2574">
        <v>3909.15</v>
      </c>
      <c r="F2574" s="1">
        <v>38118</v>
      </c>
      <c r="G2574" t="s">
        <v>39</v>
      </c>
      <c r="H2574">
        <v>2</v>
      </c>
      <c r="I2574">
        <v>5</v>
      </c>
      <c r="J2574" t="str">
        <f>TEXT(DATE(2012,Table1[[#This Row],[MONTH_ID]],10),"mmm")</f>
        <v>May</v>
      </c>
      <c r="K2574">
        <v>2004</v>
      </c>
      <c r="L2574" t="s">
        <v>580</v>
      </c>
      <c r="M2574">
        <v>99</v>
      </c>
      <c r="N2574" t="s">
        <v>679</v>
      </c>
      <c r="O2574" t="s">
        <v>411</v>
      </c>
      <c r="P2574">
        <v>4085553659</v>
      </c>
      <c r="Q2574" t="s">
        <v>412</v>
      </c>
      <c r="S2574" t="s">
        <v>413</v>
      </c>
      <c r="T2574" t="s">
        <v>69</v>
      </c>
      <c r="U2574">
        <v>94217</v>
      </c>
      <c r="V2574" t="s">
        <v>46</v>
      </c>
      <c r="W2574" t="s">
        <v>47</v>
      </c>
      <c r="X2574" t="s">
        <v>116</v>
      </c>
      <c r="Y2574" t="s">
        <v>414</v>
      </c>
      <c r="Z2574" t="s">
        <v>65</v>
      </c>
    </row>
    <row r="2575" spans="1:26" x14ac:dyDescent="0.3">
      <c r="A2575">
        <v>10262</v>
      </c>
      <c r="B2575">
        <v>33</v>
      </c>
      <c r="C2575">
        <v>90.75</v>
      </c>
      <c r="D2575">
        <v>6</v>
      </c>
      <c r="E2575">
        <v>2994.75</v>
      </c>
      <c r="F2575" s="1">
        <v>38162</v>
      </c>
      <c r="G2575" t="s">
        <v>353</v>
      </c>
      <c r="H2575">
        <v>2</v>
      </c>
      <c r="I2575">
        <v>6</v>
      </c>
      <c r="J2575" t="str">
        <f>TEXT(DATE(2012,Table1[[#This Row],[MONTH_ID]],10),"mmm")</f>
        <v>Jun</v>
      </c>
      <c r="K2575">
        <v>2004</v>
      </c>
      <c r="L2575" t="s">
        <v>580</v>
      </c>
      <c r="M2575">
        <v>99</v>
      </c>
      <c r="N2575" t="s">
        <v>679</v>
      </c>
      <c r="O2575" t="s">
        <v>188</v>
      </c>
      <c r="P2575" t="s">
        <v>189</v>
      </c>
      <c r="Q2575" t="s">
        <v>190</v>
      </c>
      <c r="S2575" t="s">
        <v>191</v>
      </c>
      <c r="U2575">
        <v>28034</v>
      </c>
      <c r="V2575" t="s">
        <v>192</v>
      </c>
      <c r="W2575" t="s">
        <v>56</v>
      </c>
      <c r="X2575" t="s">
        <v>193</v>
      </c>
      <c r="Y2575" t="s">
        <v>194</v>
      </c>
      <c r="Z2575" t="s">
        <v>50</v>
      </c>
    </row>
    <row r="2576" spans="1:26" x14ac:dyDescent="0.3">
      <c r="A2576">
        <v>10275</v>
      </c>
      <c r="B2576">
        <v>39</v>
      </c>
      <c r="C2576">
        <v>100</v>
      </c>
      <c r="D2576">
        <v>16</v>
      </c>
      <c r="E2576">
        <v>4472.5200000000004</v>
      </c>
      <c r="F2576" s="1">
        <v>38191</v>
      </c>
      <c r="G2576" t="s">
        <v>39</v>
      </c>
      <c r="H2576">
        <v>3</v>
      </c>
      <c r="I2576">
        <v>7</v>
      </c>
      <c r="J2576" t="str">
        <f>TEXT(DATE(2012,Table1[[#This Row],[MONTH_ID]],10),"mmm")</f>
        <v>Jul</v>
      </c>
      <c r="K2576">
        <v>2004</v>
      </c>
      <c r="L2576" t="s">
        <v>580</v>
      </c>
      <c r="M2576">
        <v>99</v>
      </c>
      <c r="N2576" t="s">
        <v>679</v>
      </c>
      <c r="O2576" t="s">
        <v>128</v>
      </c>
      <c r="P2576" t="s">
        <v>129</v>
      </c>
      <c r="Q2576" t="s">
        <v>130</v>
      </c>
      <c r="S2576" t="s">
        <v>131</v>
      </c>
      <c r="U2576">
        <v>44000</v>
      </c>
      <c r="V2576" t="s">
        <v>55</v>
      </c>
      <c r="W2576" t="s">
        <v>56</v>
      </c>
      <c r="X2576" t="s">
        <v>132</v>
      </c>
      <c r="Y2576" t="s">
        <v>133</v>
      </c>
      <c r="Z2576" t="s">
        <v>65</v>
      </c>
    </row>
    <row r="2577" spans="1:26" x14ac:dyDescent="0.3">
      <c r="A2577">
        <v>10284</v>
      </c>
      <c r="B2577">
        <v>45</v>
      </c>
      <c r="C2577">
        <v>100</v>
      </c>
      <c r="D2577">
        <v>8</v>
      </c>
      <c r="E2577">
        <v>4576.95</v>
      </c>
      <c r="F2577" s="1">
        <v>38220</v>
      </c>
      <c r="G2577" t="s">
        <v>39</v>
      </c>
      <c r="H2577">
        <v>3</v>
      </c>
      <c r="I2577">
        <v>8</v>
      </c>
      <c r="J2577" t="str">
        <f>TEXT(DATE(2012,Table1[[#This Row],[MONTH_ID]],10),"mmm")</f>
        <v>Aug</v>
      </c>
      <c r="K2577">
        <v>2004</v>
      </c>
      <c r="L2577" t="s">
        <v>580</v>
      </c>
      <c r="M2577">
        <v>99</v>
      </c>
      <c r="N2577" t="s">
        <v>679</v>
      </c>
      <c r="O2577" t="s">
        <v>557</v>
      </c>
      <c r="P2577" t="s">
        <v>558</v>
      </c>
      <c r="Q2577" t="s">
        <v>559</v>
      </c>
      <c r="S2577" t="s">
        <v>560</v>
      </c>
      <c r="U2577" t="s">
        <v>561</v>
      </c>
      <c r="V2577" t="s">
        <v>92</v>
      </c>
      <c r="W2577" t="s">
        <v>56</v>
      </c>
      <c r="X2577" t="s">
        <v>562</v>
      </c>
      <c r="Y2577" t="s">
        <v>563</v>
      </c>
      <c r="Z2577" t="s">
        <v>65</v>
      </c>
    </row>
    <row r="2578" spans="1:26" x14ac:dyDescent="0.3">
      <c r="A2578">
        <v>10296</v>
      </c>
      <c r="B2578">
        <v>24</v>
      </c>
      <c r="C2578">
        <v>100</v>
      </c>
      <c r="D2578">
        <v>4</v>
      </c>
      <c r="E2578">
        <v>2441.04</v>
      </c>
      <c r="F2578" s="1">
        <v>38245</v>
      </c>
      <c r="G2578" t="s">
        <v>39</v>
      </c>
      <c r="H2578">
        <v>3</v>
      </c>
      <c r="I2578">
        <v>9</v>
      </c>
      <c r="J2578" t="str">
        <f>TEXT(DATE(2012,Table1[[#This Row],[MONTH_ID]],10),"mmm")</f>
        <v>Sep</v>
      </c>
      <c r="K2578">
        <v>2004</v>
      </c>
      <c r="L2578" t="s">
        <v>580</v>
      </c>
      <c r="M2578">
        <v>99</v>
      </c>
      <c r="N2578" t="s">
        <v>679</v>
      </c>
      <c r="O2578" t="s">
        <v>586</v>
      </c>
      <c r="P2578" t="s">
        <v>587</v>
      </c>
      <c r="Q2578" t="s">
        <v>588</v>
      </c>
      <c r="S2578" t="s">
        <v>589</v>
      </c>
      <c r="U2578">
        <v>80686</v>
      </c>
      <c r="V2578" t="s">
        <v>457</v>
      </c>
      <c r="W2578" t="s">
        <v>56</v>
      </c>
      <c r="X2578" t="s">
        <v>590</v>
      </c>
      <c r="Y2578" t="s">
        <v>117</v>
      </c>
      <c r="Z2578" t="s">
        <v>50</v>
      </c>
    </row>
    <row r="2579" spans="1:26" x14ac:dyDescent="0.3">
      <c r="A2579">
        <v>10308</v>
      </c>
      <c r="B2579">
        <v>35</v>
      </c>
      <c r="C2579">
        <v>88.75</v>
      </c>
      <c r="D2579">
        <v>14</v>
      </c>
      <c r="E2579">
        <v>3106.25</v>
      </c>
      <c r="F2579" s="1">
        <v>38275</v>
      </c>
      <c r="G2579" t="s">
        <v>39</v>
      </c>
      <c r="H2579">
        <v>4</v>
      </c>
      <c r="I2579">
        <v>10</v>
      </c>
      <c r="J2579" t="str">
        <f>TEXT(DATE(2012,Table1[[#This Row],[MONTH_ID]],10),"mmm")</f>
        <v>Oct</v>
      </c>
      <c r="K2579">
        <v>2004</v>
      </c>
      <c r="L2579" t="s">
        <v>580</v>
      </c>
      <c r="M2579">
        <v>99</v>
      </c>
      <c r="N2579" t="s">
        <v>679</v>
      </c>
      <c r="O2579" t="s">
        <v>331</v>
      </c>
      <c r="P2579">
        <v>9145554562</v>
      </c>
      <c r="Q2579" t="s">
        <v>332</v>
      </c>
      <c r="S2579" t="s">
        <v>333</v>
      </c>
      <c r="T2579" t="s">
        <v>45</v>
      </c>
      <c r="U2579">
        <v>24067</v>
      </c>
      <c r="V2579" t="s">
        <v>46</v>
      </c>
      <c r="W2579" t="s">
        <v>47</v>
      </c>
      <c r="X2579" t="s">
        <v>116</v>
      </c>
      <c r="Y2579" t="s">
        <v>252</v>
      </c>
      <c r="Z2579" t="s">
        <v>65</v>
      </c>
    </row>
    <row r="2580" spans="1:26" x14ac:dyDescent="0.3">
      <c r="A2580">
        <v>10316</v>
      </c>
      <c r="B2580">
        <v>23</v>
      </c>
      <c r="C2580">
        <v>100</v>
      </c>
      <c r="D2580">
        <v>6</v>
      </c>
      <c r="E2580">
        <v>2706.41</v>
      </c>
      <c r="F2580" s="1">
        <v>38292</v>
      </c>
      <c r="G2580" t="s">
        <v>39</v>
      </c>
      <c r="H2580">
        <v>4</v>
      </c>
      <c r="I2580">
        <v>11</v>
      </c>
      <c r="J2580" t="str">
        <f>TEXT(DATE(2012,Table1[[#This Row],[MONTH_ID]],10),"mmm")</f>
        <v>Nov</v>
      </c>
      <c r="K2580">
        <v>2004</v>
      </c>
      <c r="L2580" t="s">
        <v>580</v>
      </c>
      <c r="M2580">
        <v>99</v>
      </c>
      <c r="N2580" t="s">
        <v>679</v>
      </c>
      <c r="O2580" t="s">
        <v>397</v>
      </c>
      <c r="P2580" t="s">
        <v>398</v>
      </c>
      <c r="Q2580" t="s">
        <v>399</v>
      </c>
      <c r="S2580" t="s">
        <v>400</v>
      </c>
      <c r="T2580" t="s">
        <v>401</v>
      </c>
      <c r="U2580" t="s">
        <v>402</v>
      </c>
      <c r="V2580" t="s">
        <v>184</v>
      </c>
      <c r="W2580" t="s">
        <v>56</v>
      </c>
      <c r="X2580" t="s">
        <v>403</v>
      </c>
      <c r="Y2580" t="s">
        <v>404</v>
      </c>
      <c r="Z2580" t="s">
        <v>50</v>
      </c>
    </row>
    <row r="2581" spans="1:26" x14ac:dyDescent="0.3">
      <c r="A2581">
        <v>10328</v>
      </c>
      <c r="B2581">
        <v>37</v>
      </c>
      <c r="C2581">
        <v>100</v>
      </c>
      <c r="D2581">
        <v>10</v>
      </c>
      <c r="E2581">
        <v>4021.53</v>
      </c>
      <c r="F2581" s="1">
        <v>38303</v>
      </c>
      <c r="G2581" t="s">
        <v>39</v>
      </c>
      <c r="H2581">
        <v>4</v>
      </c>
      <c r="I2581">
        <v>11</v>
      </c>
      <c r="J2581" t="str">
        <f>TEXT(DATE(2012,Table1[[#This Row],[MONTH_ID]],10),"mmm")</f>
        <v>Nov</v>
      </c>
      <c r="K2581">
        <v>2004</v>
      </c>
      <c r="L2581" t="s">
        <v>580</v>
      </c>
      <c r="M2581">
        <v>99</v>
      </c>
      <c r="N2581" t="s">
        <v>679</v>
      </c>
      <c r="O2581" t="s">
        <v>566</v>
      </c>
      <c r="P2581" t="s">
        <v>567</v>
      </c>
      <c r="Q2581" t="s">
        <v>568</v>
      </c>
      <c r="S2581" t="s">
        <v>569</v>
      </c>
      <c r="U2581">
        <v>24100</v>
      </c>
      <c r="V2581" t="s">
        <v>272</v>
      </c>
      <c r="W2581" t="s">
        <v>56</v>
      </c>
      <c r="X2581" t="s">
        <v>570</v>
      </c>
      <c r="Y2581" t="s">
        <v>571</v>
      </c>
      <c r="Z2581" t="s">
        <v>65</v>
      </c>
    </row>
    <row r="2582" spans="1:26" x14ac:dyDescent="0.3">
      <c r="A2582">
        <v>10340</v>
      </c>
      <c r="B2582">
        <v>55</v>
      </c>
      <c r="C2582">
        <v>87.75</v>
      </c>
      <c r="D2582">
        <v>7</v>
      </c>
      <c r="E2582">
        <v>4826.25</v>
      </c>
      <c r="F2582" s="1">
        <v>38315</v>
      </c>
      <c r="G2582" t="s">
        <v>39</v>
      </c>
      <c r="H2582">
        <v>4</v>
      </c>
      <c r="I2582">
        <v>11</v>
      </c>
      <c r="J2582" t="str">
        <f>TEXT(DATE(2012,Table1[[#This Row],[MONTH_ID]],10),"mmm")</f>
        <v>Nov</v>
      </c>
      <c r="K2582">
        <v>2004</v>
      </c>
      <c r="L2582" t="s">
        <v>580</v>
      </c>
      <c r="M2582">
        <v>99</v>
      </c>
      <c r="N2582" t="s">
        <v>679</v>
      </c>
      <c r="O2582" t="s">
        <v>366</v>
      </c>
      <c r="P2582" t="s">
        <v>367</v>
      </c>
      <c r="Q2582" t="s">
        <v>368</v>
      </c>
      <c r="S2582" t="s">
        <v>369</v>
      </c>
      <c r="U2582">
        <v>8022</v>
      </c>
      <c r="V2582" t="s">
        <v>192</v>
      </c>
      <c r="W2582" t="s">
        <v>56</v>
      </c>
      <c r="X2582" t="s">
        <v>370</v>
      </c>
      <c r="Y2582" t="s">
        <v>371</v>
      </c>
      <c r="Z2582" t="s">
        <v>65</v>
      </c>
    </row>
    <row r="2583" spans="1:26" x14ac:dyDescent="0.3">
      <c r="A2583">
        <v>10352</v>
      </c>
      <c r="B2583">
        <v>49</v>
      </c>
      <c r="C2583">
        <v>100</v>
      </c>
      <c r="D2583">
        <v>2</v>
      </c>
      <c r="E2583">
        <v>4935.28</v>
      </c>
      <c r="F2583" s="1">
        <v>38324</v>
      </c>
      <c r="G2583" t="s">
        <v>39</v>
      </c>
      <c r="H2583">
        <v>4</v>
      </c>
      <c r="I2583">
        <v>12</v>
      </c>
      <c r="J2583" t="str">
        <f>TEXT(DATE(2012,Table1[[#This Row],[MONTH_ID]],10),"mmm")</f>
        <v>Dec</v>
      </c>
      <c r="K2583">
        <v>2004</v>
      </c>
      <c r="L2583" t="s">
        <v>580</v>
      </c>
      <c r="M2583">
        <v>99</v>
      </c>
      <c r="N2583" t="s">
        <v>679</v>
      </c>
      <c r="O2583" t="s">
        <v>614</v>
      </c>
      <c r="P2583">
        <v>6175558428</v>
      </c>
      <c r="Q2583" t="s">
        <v>615</v>
      </c>
      <c r="S2583" t="s">
        <v>297</v>
      </c>
      <c r="T2583" t="s">
        <v>137</v>
      </c>
      <c r="U2583">
        <v>58339</v>
      </c>
      <c r="V2583" t="s">
        <v>46</v>
      </c>
      <c r="W2583" t="s">
        <v>47</v>
      </c>
      <c r="X2583" t="s">
        <v>543</v>
      </c>
      <c r="Y2583" t="s">
        <v>259</v>
      </c>
      <c r="Z2583" t="s">
        <v>65</v>
      </c>
    </row>
    <row r="2584" spans="1:26" x14ac:dyDescent="0.3">
      <c r="A2584">
        <v>10361</v>
      </c>
      <c r="B2584">
        <v>26</v>
      </c>
      <c r="C2584">
        <v>100</v>
      </c>
      <c r="D2584">
        <v>9</v>
      </c>
      <c r="E2584">
        <v>2754.7</v>
      </c>
      <c r="F2584" s="1">
        <v>38338</v>
      </c>
      <c r="G2584" t="s">
        <v>39</v>
      </c>
      <c r="H2584">
        <v>4</v>
      </c>
      <c r="I2584">
        <v>12</v>
      </c>
      <c r="J2584" t="str">
        <f>TEXT(DATE(2012,Table1[[#This Row],[MONTH_ID]],10),"mmm")</f>
        <v>Dec</v>
      </c>
      <c r="K2584">
        <v>2004</v>
      </c>
      <c r="L2584" t="s">
        <v>580</v>
      </c>
      <c r="M2584">
        <v>99</v>
      </c>
      <c r="N2584" t="s">
        <v>679</v>
      </c>
      <c r="O2584" t="s">
        <v>166</v>
      </c>
      <c r="P2584" t="s">
        <v>167</v>
      </c>
      <c r="Q2584" t="s">
        <v>168</v>
      </c>
      <c r="R2584" t="s">
        <v>169</v>
      </c>
      <c r="S2584" t="s">
        <v>170</v>
      </c>
      <c r="T2584" t="s">
        <v>171</v>
      </c>
      <c r="U2584">
        <v>2067</v>
      </c>
      <c r="V2584" t="s">
        <v>109</v>
      </c>
      <c r="W2584" t="s">
        <v>110</v>
      </c>
      <c r="X2584" t="s">
        <v>172</v>
      </c>
      <c r="Y2584" t="s">
        <v>173</v>
      </c>
      <c r="Z2584" t="s">
        <v>50</v>
      </c>
    </row>
    <row r="2585" spans="1:26" x14ac:dyDescent="0.3">
      <c r="A2585">
        <v>10375</v>
      </c>
      <c r="B2585">
        <v>33</v>
      </c>
      <c r="C2585">
        <v>100</v>
      </c>
      <c r="D2585">
        <v>1</v>
      </c>
      <c r="E2585">
        <v>3856.71</v>
      </c>
      <c r="F2585" s="1">
        <v>38386</v>
      </c>
      <c r="G2585" t="s">
        <v>39</v>
      </c>
      <c r="H2585">
        <v>1</v>
      </c>
      <c r="I2585">
        <v>2</v>
      </c>
      <c r="J2585" t="str">
        <f>TEXT(DATE(2012,Table1[[#This Row],[MONTH_ID]],10),"mmm")</f>
        <v>Feb</v>
      </c>
      <c r="K2585">
        <v>2005</v>
      </c>
      <c r="L2585" t="s">
        <v>580</v>
      </c>
      <c r="M2585">
        <v>99</v>
      </c>
      <c r="N2585" t="s">
        <v>679</v>
      </c>
      <c r="O2585" t="s">
        <v>128</v>
      </c>
      <c r="P2585" t="s">
        <v>129</v>
      </c>
      <c r="Q2585" t="s">
        <v>130</v>
      </c>
      <c r="S2585" t="s">
        <v>131</v>
      </c>
      <c r="U2585">
        <v>44000</v>
      </c>
      <c r="V2585" t="s">
        <v>55</v>
      </c>
      <c r="W2585" t="s">
        <v>56</v>
      </c>
      <c r="X2585" t="s">
        <v>132</v>
      </c>
      <c r="Y2585" t="s">
        <v>133</v>
      </c>
      <c r="Z2585" t="s">
        <v>65</v>
      </c>
    </row>
    <row r="2586" spans="1:26" x14ac:dyDescent="0.3">
      <c r="A2586">
        <v>10386</v>
      </c>
      <c r="B2586">
        <v>37</v>
      </c>
      <c r="C2586">
        <v>83.84</v>
      </c>
      <c r="D2586">
        <v>14</v>
      </c>
      <c r="E2586">
        <v>3102.08</v>
      </c>
      <c r="F2586" s="1">
        <v>38412</v>
      </c>
      <c r="G2586" t="s">
        <v>422</v>
      </c>
      <c r="H2586">
        <v>1</v>
      </c>
      <c r="I2586">
        <v>3</v>
      </c>
      <c r="J2586" t="str">
        <f>TEXT(DATE(2012,Table1[[#This Row],[MONTH_ID]],10),"mmm")</f>
        <v>Mar</v>
      </c>
      <c r="K2586">
        <v>2005</v>
      </c>
      <c r="L2586" t="s">
        <v>580</v>
      </c>
      <c r="M2586">
        <v>99</v>
      </c>
      <c r="N2586" t="s">
        <v>679</v>
      </c>
      <c r="O2586" t="s">
        <v>188</v>
      </c>
      <c r="P2586" t="s">
        <v>189</v>
      </c>
      <c r="Q2586" t="s">
        <v>190</v>
      </c>
      <c r="S2586" t="s">
        <v>191</v>
      </c>
      <c r="U2586">
        <v>28034</v>
      </c>
      <c r="V2586" t="s">
        <v>192</v>
      </c>
      <c r="W2586" t="s">
        <v>56</v>
      </c>
      <c r="X2586" t="s">
        <v>193</v>
      </c>
      <c r="Y2586" t="s">
        <v>194</v>
      </c>
      <c r="Z2586" t="s">
        <v>65</v>
      </c>
    </row>
    <row r="2587" spans="1:26" x14ac:dyDescent="0.3">
      <c r="A2587">
        <v>10398</v>
      </c>
      <c r="B2587">
        <v>22</v>
      </c>
      <c r="C2587">
        <v>86.76</v>
      </c>
      <c r="D2587">
        <v>8</v>
      </c>
      <c r="E2587">
        <v>1908.72</v>
      </c>
      <c r="F2587" s="1">
        <v>38441</v>
      </c>
      <c r="G2587" t="s">
        <v>39</v>
      </c>
      <c r="H2587">
        <v>1</v>
      </c>
      <c r="I2587">
        <v>3</v>
      </c>
      <c r="J2587" t="str">
        <f>TEXT(DATE(2012,Table1[[#This Row],[MONTH_ID]],10),"mmm")</f>
        <v>Mar</v>
      </c>
      <c r="K2587">
        <v>2005</v>
      </c>
      <c r="L2587" t="s">
        <v>580</v>
      </c>
      <c r="M2587">
        <v>99</v>
      </c>
      <c r="N2587" t="s">
        <v>679</v>
      </c>
      <c r="O2587" t="s">
        <v>51</v>
      </c>
      <c r="P2587" t="s">
        <v>52</v>
      </c>
      <c r="Q2587" t="s">
        <v>53</v>
      </c>
      <c r="S2587" t="s">
        <v>54</v>
      </c>
      <c r="U2587">
        <v>51100</v>
      </c>
      <c r="V2587" t="s">
        <v>55</v>
      </c>
      <c r="W2587" t="s">
        <v>56</v>
      </c>
      <c r="X2587" t="s">
        <v>57</v>
      </c>
      <c r="Y2587" t="s">
        <v>58</v>
      </c>
      <c r="Z2587" t="s">
        <v>50</v>
      </c>
    </row>
    <row r="2588" spans="1:26" x14ac:dyDescent="0.3">
      <c r="A2588">
        <v>10401</v>
      </c>
      <c r="B2588">
        <v>85</v>
      </c>
      <c r="C2588">
        <v>88.75</v>
      </c>
      <c r="D2588">
        <v>10</v>
      </c>
      <c r="E2588">
        <v>7543.75</v>
      </c>
      <c r="F2588" s="1">
        <v>38445</v>
      </c>
      <c r="G2588" t="s">
        <v>415</v>
      </c>
      <c r="H2588">
        <v>2</v>
      </c>
      <c r="I2588">
        <v>4</v>
      </c>
      <c r="J2588" t="str">
        <f>TEXT(DATE(2012,Table1[[#This Row],[MONTH_ID]],10),"mmm")</f>
        <v>Apr</v>
      </c>
      <c r="K2588">
        <v>2005</v>
      </c>
      <c r="L2588" t="s">
        <v>580</v>
      </c>
      <c r="M2588">
        <v>99</v>
      </c>
      <c r="N2588" t="s">
        <v>679</v>
      </c>
      <c r="O2588" t="s">
        <v>118</v>
      </c>
      <c r="P2588">
        <v>2015559350</v>
      </c>
      <c r="Q2588" t="s">
        <v>119</v>
      </c>
      <c r="S2588" t="s">
        <v>120</v>
      </c>
      <c r="T2588" t="s">
        <v>121</v>
      </c>
      <c r="U2588">
        <v>94019</v>
      </c>
      <c r="V2588" t="s">
        <v>46</v>
      </c>
      <c r="W2588" t="s">
        <v>47</v>
      </c>
      <c r="X2588" t="s">
        <v>75</v>
      </c>
      <c r="Y2588" t="s">
        <v>122</v>
      </c>
      <c r="Z2588" t="s">
        <v>165</v>
      </c>
    </row>
    <row r="2589" spans="1:26" x14ac:dyDescent="0.3">
      <c r="A2589">
        <v>10416</v>
      </c>
      <c r="B2589">
        <v>22</v>
      </c>
      <c r="C2589">
        <v>100</v>
      </c>
      <c r="D2589">
        <v>11</v>
      </c>
      <c r="E2589">
        <v>2457.1799999999998</v>
      </c>
      <c r="F2589" s="1">
        <v>38482</v>
      </c>
      <c r="G2589" t="s">
        <v>39</v>
      </c>
      <c r="H2589">
        <v>2</v>
      </c>
      <c r="I2589">
        <v>5</v>
      </c>
      <c r="J2589" t="str">
        <f>TEXT(DATE(2012,Table1[[#This Row],[MONTH_ID]],10),"mmm")</f>
        <v>May</v>
      </c>
      <c r="K2589">
        <v>2005</v>
      </c>
      <c r="L2589" t="s">
        <v>580</v>
      </c>
      <c r="M2589">
        <v>99</v>
      </c>
      <c r="N2589" t="s">
        <v>679</v>
      </c>
      <c r="O2589" t="s">
        <v>466</v>
      </c>
      <c r="P2589" t="s">
        <v>467</v>
      </c>
      <c r="Q2589" t="s">
        <v>468</v>
      </c>
      <c r="S2589" t="s">
        <v>469</v>
      </c>
      <c r="U2589">
        <v>42100</v>
      </c>
      <c r="V2589" t="s">
        <v>272</v>
      </c>
      <c r="W2589" t="s">
        <v>56</v>
      </c>
      <c r="X2589" t="s">
        <v>470</v>
      </c>
      <c r="Y2589" t="s">
        <v>471</v>
      </c>
      <c r="Z2589" t="s">
        <v>50</v>
      </c>
    </row>
    <row r="2590" spans="1:26" x14ac:dyDescent="0.3">
      <c r="A2590">
        <v>10105</v>
      </c>
      <c r="B2590">
        <v>31</v>
      </c>
      <c r="C2590">
        <v>65.77</v>
      </c>
      <c r="D2590">
        <v>3</v>
      </c>
      <c r="E2590">
        <v>2038.87</v>
      </c>
      <c r="F2590" s="1">
        <v>37663</v>
      </c>
      <c r="G2590" t="s">
        <v>39</v>
      </c>
      <c r="H2590">
        <v>1</v>
      </c>
      <c r="I2590">
        <v>2</v>
      </c>
      <c r="J2590" t="str">
        <f>TEXT(DATE(2012,Table1[[#This Row],[MONTH_ID]],10),"mmm")</f>
        <v>Feb</v>
      </c>
      <c r="K2590">
        <v>2003</v>
      </c>
      <c r="L2590" t="s">
        <v>612</v>
      </c>
      <c r="M2590">
        <v>72</v>
      </c>
      <c r="N2590" t="s">
        <v>680</v>
      </c>
      <c r="O2590" t="s">
        <v>336</v>
      </c>
      <c r="P2590" t="s">
        <v>337</v>
      </c>
      <c r="Q2590" t="s">
        <v>338</v>
      </c>
      <c r="S2590" t="s">
        <v>339</v>
      </c>
      <c r="U2590">
        <v>1734</v>
      </c>
      <c r="V2590" t="s">
        <v>340</v>
      </c>
      <c r="W2590" t="s">
        <v>56</v>
      </c>
      <c r="X2590" t="s">
        <v>341</v>
      </c>
      <c r="Y2590" t="s">
        <v>342</v>
      </c>
      <c r="Z2590" t="s">
        <v>50</v>
      </c>
    </row>
    <row r="2591" spans="1:26" x14ac:dyDescent="0.3">
      <c r="A2591">
        <v>10119</v>
      </c>
      <c r="B2591">
        <v>38</v>
      </c>
      <c r="C2591">
        <v>65.77</v>
      </c>
      <c r="D2591">
        <v>12</v>
      </c>
      <c r="E2591">
        <v>2499.2600000000002</v>
      </c>
      <c r="F2591" s="1">
        <v>37739</v>
      </c>
      <c r="G2591" t="s">
        <v>39</v>
      </c>
      <c r="H2591">
        <v>2</v>
      </c>
      <c r="I2591">
        <v>4</v>
      </c>
      <c r="J2591" t="str">
        <f>TEXT(DATE(2012,Table1[[#This Row],[MONTH_ID]],10),"mmm")</f>
        <v>Apr</v>
      </c>
      <c r="K2591">
        <v>2003</v>
      </c>
      <c r="L2591" t="s">
        <v>612</v>
      </c>
      <c r="M2591">
        <v>72</v>
      </c>
      <c r="N2591" t="s">
        <v>680</v>
      </c>
      <c r="O2591" t="s">
        <v>158</v>
      </c>
      <c r="P2591" t="s">
        <v>159</v>
      </c>
      <c r="Q2591" t="s">
        <v>160</v>
      </c>
      <c r="S2591" t="s">
        <v>161</v>
      </c>
      <c r="U2591">
        <v>5020</v>
      </c>
      <c r="V2591" t="s">
        <v>162</v>
      </c>
      <c r="W2591" t="s">
        <v>56</v>
      </c>
      <c r="X2591" t="s">
        <v>163</v>
      </c>
      <c r="Y2591" t="s">
        <v>164</v>
      </c>
      <c r="Z2591" t="s">
        <v>50</v>
      </c>
    </row>
    <row r="2592" spans="1:26" x14ac:dyDescent="0.3">
      <c r="A2592">
        <v>10129</v>
      </c>
      <c r="B2592">
        <v>45</v>
      </c>
      <c r="C2592">
        <v>85.29</v>
      </c>
      <c r="D2592">
        <v>3</v>
      </c>
      <c r="E2592">
        <v>3838.05</v>
      </c>
      <c r="F2592" s="1">
        <v>37784</v>
      </c>
      <c r="G2592" t="s">
        <v>39</v>
      </c>
      <c r="H2592">
        <v>2</v>
      </c>
      <c r="I2592">
        <v>6</v>
      </c>
      <c r="J2592" t="str">
        <f>TEXT(DATE(2012,Table1[[#This Row],[MONTH_ID]],10),"mmm")</f>
        <v>Jun</v>
      </c>
      <c r="K2592">
        <v>2003</v>
      </c>
      <c r="L2592" t="s">
        <v>612</v>
      </c>
      <c r="M2592">
        <v>72</v>
      </c>
      <c r="N2592" t="s">
        <v>680</v>
      </c>
      <c r="O2592" t="s">
        <v>343</v>
      </c>
      <c r="P2592" t="s">
        <v>344</v>
      </c>
      <c r="Q2592" t="s">
        <v>345</v>
      </c>
      <c r="S2592" t="s">
        <v>346</v>
      </c>
      <c r="U2592" t="s">
        <v>347</v>
      </c>
      <c r="V2592" t="s">
        <v>184</v>
      </c>
      <c r="W2592" t="s">
        <v>56</v>
      </c>
      <c r="X2592" t="s">
        <v>75</v>
      </c>
      <c r="Y2592" t="s">
        <v>348</v>
      </c>
      <c r="Z2592" t="s">
        <v>65</v>
      </c>
    </row>
    <row r="2593" spans="1:26" x14ac:dyDescent="0.3">
      <c r="A2593">
        <v>10143</v>
      </c>
      <c r="B2593">
        <v>31</v>
      </c>
      <c r="C2593">
        <v>85.29</v>
      </c>
      <c r="D2593">
        <v>16</v>
      </c>
      <c r="E2593">
        <v>2643.99</v>
      </c>
      <c r="F2593" s="1">
        <v>37843</v>
      </c>
      <c r="G2593" t="s">
        <v>39</v>
      </c>
      <c r="H2593">
        <v>3</v>
      </c>
      <c r="I2593">
        <v>8</v>
      </c>
      <c r="J2593" t="str">
        <f>TEXT(DATE(2012,Table1[[#This Row],[MONTH_ID]],10),"mmm")</f>
        <v>Aug</v>
      </c>
      <c r="K2593">
        <v>2003</v>
      </c>
      <c r="L2593" t="s">
        <v>612</v>
      </c>
      <c r="M2593">
        <v>72</v>
      </c>
      <c r="N2593" t="s">
        <v>680</v>
      </c>
      <c r="O2593" t="s">
        <v>349</v>
      </c>
      <c r="P2593">
        <v>5085559555</v>
      </c>
      <c r="Q2593" t="s">
        <v>350</v>
      </c>
      <c r="S2593" t="s">
        <v>176</v>
      </c>
      <c r="T2593" t="s">
        <v>137</v>
      </c>
      <c r="U2593">
        <v>50553</v>
      </c>
      <c r="V2593" t="s">
        <v>46</v>
      </c>
      <c r="W2593" t="s">
        <v>47</v>
      </c>
      <c r="X2593" t="s">
        <v>351</v>
      </c>
      <c r="Y2593" t="s">
        <v>352</v>
      </c>
      <c r="Z2593" t="s">
        <v>50</v>
      </c>
    </row>
    <row r="2594" spans="1:26" x14ac:dyDescent="0.3">
      <c r="A2594">
        <v>10154</v>
      </c>
      <c r="B2594">
        <v>36</v>
      </c>
      <c r="C2594">
        <v>64.33</v>
      </c>
      <c r="D2594">
        <v>1</v>
      </c>
      <c r="E2594">
        <v>2315.88</v>
      </c>
      <c r="F2594" s="1">
        <v>37896</v>
      </c>
      <c r="G2594" t="s">
        <v>39</v>
      </c>
      <c r="H2594">
        <v>4</v>
      </c>
      <c r="I2594">
        <v>10</v>
      </c>
      <c r="J2594" t="str">
        <f>TEXT(DATE(2012,Table1[[#This Row],[MONTH_ID]],10),"mmm")</f>
        <v>Oct</v>
      </c>
      <c r="K2594">
        <v>2003</v>
      </c>
      <c r="L2594" t="s">
        <v>612</v>
      </c>
      <c r="M2594">
        <v>72</v>
      </c>
      <c r="N2594" t="s">
        <v>680</v>
      </c>
      <c r="O2594" t="s">
        <v>528</v>
      </c>
      <c r="P2594">
        <v>3105552373</v>
      </c>
      <c r="Q2594" t="s">
        <v>529</v>
      </c>
      <c r="S2594" t="s">
        <v>530</v>
      </c>
      <c r="T2594" t="s">
        <v>69</v>
      </c>
      <c r="U2594">
        <v>92561</v>
      </c>
      <c r="V2594" t="s">
        <v>46</v>
      </c>
      <c r="W2594" t="s">
        <v>47</v>
      </c>
      <c r="X2594" t="s">
        <v>70</v>
      </c>
      <c r="Y2594" t="s">
        <v>259</v>
      </c>
      <c r="Z2594" t="s">
        <v>50</v>
      </c>
    </row>
    <row r="2595" spans="1:26" x14ac:dyDescent="0.3">
      <c r="A2595">
        <v>10167</v>
      </c>
      <c r="B2595">
        <v>46</v>
      </c>
      <c r="C2595">
        <v>70.11</v>
      </c>
      <c r="D2595">
        <v>10</v>
      </c>
      <c r="E2595">
        <v>3225.06</v>
      </c>
      <c r="F2595" s="1">
        <v>37917</v>
      </c>
      <c r="G2595" t="s">
        <v>353</v>
      </c>
      <c r="H2595">
        <v>4</v>
      </c>
      <c r="I2595">
        <v>10</v>
      </c>
      <c r="J2595" t="str">
        <f>TEXT(DATE(2012,Table1[[#This Row],[MONTH_ID]],10),"mmm")</f>
        <v>Oct</v>
      </c>
      <c r="K2595">
        <v>2003</v>
      </c>
      <c r="L2595" t="s">
        <v>612</v>
      </c>
      <c r="M2595">
        <v>72</v>
      </c>
      <c r="N2595" t="s">
        <v>680</v>
      </c>
      <c r="O2595" t="s">
        <v>275</v>
      </c>
      <c r="P2595" t="s">
        <v>276</v>
      </c>
      <c r="Q2595" t="s">
        <v>277</v>
      </c>
      <c r="S2595" t="s">
        <v>278</v>
      </c>
      <c r="U2595" t="s">
        <v>279</v>
      </c>
      <c r="V2595" t="s">
        <v>202</v>
      </c>
      <c r="W2595" t="s">
        <v>56</v>
      </c>
      <c r="X2595" t="s">
        <v>280</v>
      </c>
      <c r="Y2595" t="s">
        <v>220</v>
      </c>
      <c r="Z2595" t="s">
        <v>65</v>
      </c>
    </row>
    <row r="2596" spans="1:26" x14ac:dyDescent="0.3">
      <c r="A2596">
        <v>10177</v>
      </c>
      <c r="B2596">
        <v>32</v>
      </c>
      <c r="C2596">
        <v>76.62</v>
      </c>
      <c r="D2596">
        <v>1</v>
      </c>
      <c r="E2596">
        <v>2451.84</v>
      </c>
      <c r="F2596" s="1">
        <v>37932</v>
      </c>
      <c r="G2596" t="s">
        <v>39</v>
      </c>
      <c r="H2596">
        <v>4</v>
      </c>
      <c r="I2596">
        <v>11</v>
      </c>
      <c r="J2596" t="str">
        <f>TEXT(DATE(2012,Table1[[#This Row],[MONTH_ID]],10),"mmm")</f>
        <v>Nov</v>
      </c>
      <c r="K2596">
        <v>2003</v>
      </c>
      <c r="L2596" t="s">
        <v>612</v>
      </c>
      <c r="M2596">
        <v>72</v>
      </c>
      <c r="N2596" t="s">
        <v>680</v>
      </c>
      <c r="O2596" t="s">
        <v>501</v>
      </c>
      <c r="P2596" t="s">
        <v>502</v>
      </c>
      <c r="Q2596" t="s">
        <v>503</v>
      </c>
      <c r="S2596" t="s">
        <v>191</v>
      </c>
      <c r="U2596">
        <v>28023</v>
      </c>
      <c r="V2596" t="s">
        <v>192</v>
      </c>
      <c r="W2596" t="s">
        <v>56</v>
      </c>
      <c r="X2596" t="s">
        <v>504</v>
      </c>
      <c r="Y2596" t="s">
        <v>505</v>
      </c>
      <c r="Z2596" t="s">
        <v>50</v>
      </c>
    </row>
    <row r="2597" spans="1:26" x14ac:dyDescent="0.3">
      <c r="A2597">
        <v>10185</v>
      </c>
      <c r="B2597">
        <v>39</v>
      </c>
      <c r="C2597">
        <v>57.82</v>
      </c>
      <c r="D2597">
        <v>1</v>
      </c>
      <c r="E2597">
        <v>2254.98</v>
      </c>
      <c r="F2597" s="1">
        <v>37939</v>
      </c>
      <c r="G2597" t="s">
        <v>39</v>
      </c>
      <c r="H2597">
        <v>4</v>
      </c>
      <c r="I2597">
        <v>11</v>
      </c>
      <c r="J2597" t="str">
        <f>TEXT(DATE(2012,Table1[[#This Row],[MONTH_ID]],10),"mmm")</f>
        <v>Nov</v>
      </c>
      <c r="K2597">
        <v>2003</v>
      </c>
      <c r="L2597" t="s">
        <v>612</v>
      </c>
      <c r="M2597">
        <v>72</v>
      </c>
      <c r="N2597" t="s">
        <v>680</v>
      </c>
      <c r="O2597" t="s">
        <v>349</v>
      </c>
      <c r="P2597">
        <v>5085559555</v>
      </c>
      <c r="Q2597" t="s">
        <v>350</v>
      </c>
      <c r="S2597" t="s">
        <v>176</v>
      </c>
      <c r="T2597" t="s">
        <v>137</v>
      </c>
      <c r="U2597">
        <v>50553</v>
      </c>
      <c r="V2597" t="s">
        <v>46</v>
      </c>
      <c r="W2597" t="s">
        <v>47</v>
      </c>
      <c r="X2597" t="s">
        <v>351</v>
      </c>
      <c r="Y2597" t="s">
        <v>352</v>
      </c>
      <c r="Z2597" t="s">
        <v>50</v>
      </c>
    </row>
    <row r="2598" spans="1:26" x14ac:dyDescent="0.3">
      <c r="A2598">
        <v>10197</v>
      </c>
      <c r="B2598">
        <v>50</v>
      </c>
      <c r="C2598">
        <v>78.790000000000006</v>
      </c>
      <c r="D2598">
        <v>7</v>
      </c>
      <c r="E2598">
        <v>3939.5</v>
      </c>
      <c r="F2598" s="1">
        <v>37951</v>
      </c>
      <c r="G2598" t="s">
        <v>39</v>
      </c>
      <c r="H2598">
        <v>4</v>
      </c>
      <c r="I2598">
        <v>11</v>
      </c>
      <c r="J2598" t="str">
        <f>TEXT(DATE(2012,Table1[[#This Row],[MONTH_ID]],10),"mmm")</f>
        <v>Nov</v>
      </c>
      <c r="K2598">
        <v>2003</v>
      </c>
      <c r="L2598" t="s">
        <v>612</v>
      </c>
      <c r="M2598">
        <v>72</v>
      </c>
      <c r="N2598" t="s">
        <v>680</v>
      </c>
      <c r="O2598" t="s">
        <v>366</v>
      </c>
      <c r="P2598" t="s">
        <v>367</v>
      </c>
      <c r="Q2598" t="s">
        <v>368</v>
      </c>
      <c r="S2598" t="s">
        <v>369</v>
      </c>
      <c r="U2598">
        <v>8022</v>
      </c>
      <c r="V2598" t="s">
        <v>192</v>
      </c>
      <c r="W2598" t="s">
        <v>56</v>
      </c>
      <c r="X2598" t="s">
        <v>370</v>
      </c>
      <c r="Y2598" t="s">
        <v>371</v>
      </c>
      <c r="Z2598" t="s">
        <v>65</v>
      </c>
    </row>
    <row r="2599" spans="1:26" x14ac:dyDescent="0.3">
      <c r="A2599">
        <v>10208</v>
      </c>
      <c r="B2599">
        <v>46</v>
      </c>
      <c r="C2599">
        <v>74.45</v>
      </c>
      <c r="D2599">
        <v>1</v>
      </c>
      <c r="E2599">
        <v>3424.7</v>
      </c>
      <c r="F2599" s="1">
        <v>37988</v>
      </c>
      <c r="G2599" t="s">
        <v>39</v>
      </c>
      <c r="H2599">
        <v>1</v>
      </c>
      <c r="I2599">
        <v>1</v>
      </c>
      <c r="J2599" t="str">
        <f>TEXT(DATE(2012,Table1[[#This Row],[MONTH_ID]],10),"mmm")</f>
        <v>Jan</v>
      </c>
      <c r="K2599">
        <v>2004</v>
      </c>
      <c r="L2599" t="s">
        <v>612</v>
      </c>
      <c r="M2599">
        <v>72</v>
      </c>
      <c r="N2599" t="s">
        <v>680</v>
      </c>
      <c r="O2599" t="s">
        <v>233</v>
      </c>
      <c r="P2599" t="s">
        <v>234</v>
      </c>
      <c r="Q2599" t="s">
        <v>235</v>
      </c>
      <c r="S2599" t="s">
        <v>236</v>
      </c>
      <c r="U2599">
        <v>69004</v>
      </c>
      <c r="V2599" t="s">
        <v>55</v>
      </c>
      <c r="W2599" t="s">
        <v>56</v>
      </c>
      <c r="X2599" t="s">
        <v>237</v>
      </c>
      <c r="Y2599" t="s">
        <v>238</v>
      </c>
      <c r="Z2599" t="s">
        <v>65</v>
      </c>
    </row>
    <row r="2600" spans="1:26" x14ac:dyDescent="0.3">
      <c r="A2600">
        <v>10222</v>
      </c>
      <c r="B2600">
        <v>36</v>
      </c>
      <c r="C2600">
        <v>80.95</v>
      </c>
      <c r="D2600">
        <v>13</v>
      </c>
      <c r="E2600">
        <v>2914.2</v>
      </c>
      <c r="F2600" s="1">
        <v>38036</v>
      </c>
      <c r="G2600" t="s">
        <v>39</v>
      </c>
      <c r="H2600">
        <v>1</v>
      </c>
      <c r="I2600">
        <v>2</v>
      </c>
      <c r="J2600" t="str">
        <f>TEXT(DATE(2012,Table1[[#This Row],[MONTH_ID]],10),"mmm")</f>
        <v>Feb</v>
      </c>
      <c r="K2600">
        <v>2004</v>
      </c>
      <c r="L2600" t="s">
        <v>612</v>
      </c>
      <c r="M2600">
        <v>72</v>
      </c>
      <c r="N2600" t="s">
        <v>680</v>
      </c>
      <c r="O2600" t="s">
        <v>376</v>
      </c>
      <c r="P2600">
        <v>7605558146</v>
      </c>
      <c r="Q2600" t="s">
        <v>377</v>
      </c>
      <c r="S2600" t="s">
        <v>378</v>
      </c>
      <c r="T2600" t="s">
        <v>69</v>
      </c>
      <c r="U2600">
        <v>91217</v>
      </c>
      <c r="V2600" t="s">
        <v>46</v>
      </c>
      <c r="W2600" t="s">
        <v>47</v>
      </c>
      <c r="X2600" t="s">
        <v>251</v>
      </c>
      <c r="Y2600" t="s">
        <v>290</v>
      </c>
      <c r="Z2600" t="s">
        <v>50</v>
      </c>
    </row>
    <row r="2601" spans="1:26" x14ac:dyDescent="0.3">
      <c r="A2601">
        <v>10233</v>
      </c>
      <c r="B2601">
        <v>29</v>
      </c>
      <c r="C2601">
        <v>82.4</v>
      </c>
      <c r="D2601">
        <v>1</v>
      </c>
      <c r="E2601">
        <v>2389.6</v>
      </c>
      <c r="F2601" s="1">
        <v>38075</v>
      </c>
      <c r="G2601" t="s">
        <v>39</v>
      </c>
      <c r="H2601">
        <v>1</v>
      </c>
      <c r="I2601">
        <v>3</v>
      </c>
      <c r="J2601" t="str">
        <f>TEXT(DATE(2012,Table1[[#This Row],[MONTH_ID]],10),"mmm")</f>
        <v>Mar</v>
      </c>
      <c r="K2601">
        <v>2004</v>
      </c>
      <c r="L2601" t="s">
        <v>612</v>
      </c>
      <c r="M2601">
        <v>72</v>
      </c>
      <c r="N2601" t="s">
        <v>680</v>
      </c>
      <c r="O2601" t="s">
        <v>118</v>
      </c>
      <c r="P2601">
        <v>2015559350</v>
      </c>
      <c r="Q2601" t="s">
        <v>119</v>
      </c>
      <c r="S2601" t="s">
        <v>120</v>
      </c>
      <c r="T2601" t="s">
        <v>121</v>
      </c>
      <c r="U2601">
        <v>94019</v>
      </c>
      <c r="V2601" t="s">
        <v>46</v>
      </c>
      <c r="W2601" t="s">
        <v>47</v>
      </c>
      <c r="X2601" t="s">
        <v>75</v>
      </c>
      <c r="Y2601" t="s">
        <v>122</v>
      </c>
      <c r="Z2601" t="s">
        <v>50</v>
      </c>
    </row>
    <row r="2602" spans="1:26" x14ac:dyDescent="0.3">
      <c r="A2602">
        <v>10248</v>
      </c>
      <c r="B2602">
        <v>32</v>
      </c>
      <c r="C2602">
        <v>75.89</v>
      </c>
      <c r="D2602">
        <v>4</v>
      </c>
      <c r="E2602">
        <v>2428.48</v>
      </c>
      <c r="F2602" s="1">
        <v>38114</v>
      </c>
      <c r="G2602" t="s">
        <v>353</v>
      </c>
      <c r="H2602">
        <v>2</v>
      </c>
      <c r="I2602">
        <v>5</v>
      </c>
      <c r="J2602" t="str">
        <f>TEXT(DATE(2012,Table1[[#This Row],[MONTH_ID]],10),"mmm")</f>
        <v>May</v>
      </c>
      <c r="K2602">
        <v>2004</v>
      </c>
      <c r="L2602" t="s">
        <v>612</v>
      </c>
      <c r="M2602">
        <v>72</v>
      </c>
      <c r="N2602" t="s">
        <v>680</v>
      </c>
      <c r="O2602" t="s">
        <v>42</v>
      </c>
      <c r="P2602">
        <v>2125557818</v>
      </c>
      <c r="Q2602" t="s">
        <v>43</v>
      </c>
      <c r="S2602" t="s">
        <v>44</v>
      </c>
      <c r="T2602" t="s">
        <v>45</v>
      </c>
      <c r="U2602">
        <v>10022</v>
      </c>
      <c r="V2602" t="s">
        <v>46</v>
      </c>
      <c r="W2602" t="s">
        <v>47</v>
      </c>
      <c r="X2602" t="s">
        <v>48</v>
      </c>
      <c r="Y2602" t="s">
        <v>49</v>
      </c>
      <c r="Z2602" t="s">
        <v>50</v>
      </c>
    </row>
    <row r="2603" spans="1:26" x14ac:dyDescent="0.3">
      <c r="A2603">
        <v>10261</v>
      </c>
      <c r="B2603">
        <v>44</v>
      </c>
      <c r="C2603">
        <v>68.67</v>
      </c>
      <c r="D2603">
        <v>2</v>
      </c>
      <c r="E2603">
        <v>3021.48</v>
      </c>
      <c r="F2603" s="1">
        <v>38155</v>
      </c>
      <c r="G2603" t="s">
        <v>39</v>
      </c>
      <c r="H2603">
        <v>2</v>
      </c>
      <c r="I2603">
        <v>6</v>
      </c>
      <c r="J2603" t="str">
        <f>TEXT(DATE(2012,Table1[[#This Row],[MONTH_ID]],10),"mmm")</f>
        <v>Jun</v>
      </c>
      <c r="K2603">
        <v>2004</v>
      </c>
      <c r="L2603" t="s">
        <v>612</v>
      </c>
      <c r="M2603">
        <v>72</v>
      </c>
      <c r="N2603" t="s">
        <v>680</v>
      </c>
      <c r="O2603" t="s">
        <v>306</v>
      </c>
      <c r="P2603" t="s">
        <v>307</v>
      </c>
      <c r="Q2603" t="s">
        <v>308</v>
      </c>
      <c r="S2603" t="s">
        <v>309</v>
      </c>
      <c r="T2603" t="s">
        <v>310</v>
      </c>
      <c r="U2603" t="s">
        <v>311</v>
      </c>
      <c r="V2603" t="s">
        <v>245</v>
      </c>
      <c r="W2603" t="s">
        <v>47</v>
      </c>
      <c r="X2603" t="s">
        <v>312</v>
      </c>
      <c r="Y2603" t="s">
        <v>313</v>
      </c>
      <c r="Z2603" t="s">
        <v>65</v>
      </c>
    </row>
    <row r="2604" spans="1:26" x14ac:dyDescent="0.3">
      <c r="A2604">
        <v>10273</v>
      </c>
      <c r="B2604">
        <v>42</v>
      </c>
      <c r="C2604">
        <v>62.16</v>
      </c>
      <c r="D2604">
        <v>5</v>
      </c>
      <c r="E2604">
        <v>2610.7199999999998</v>
      </c>
      <c r="F2604" s="1">
        <v>38189</v>
      </c>
      <c r="G2604" t="s">
        <v>39</v>
      </c>
      <c r="H2604">
        <v>3</v>
      </c>
      <c r="I2604">
        <v>7</v>
      </c>
      <c r="J2604" t="str">
        <f>TEXT(DATE(2012,Table1[[#This Row],[MONTH_ID]],10),"mmm")</f>
        <v>Jul</v>
      </c>
      <c r="K2604">
        <v>2004</v>
      </c>
      <c r="L2604" t="s">
        <v>612</v>
      </c>
      <c r="M2604">
        <v>72</v>
      </c>
      <c r="N2604" t="s">
        <v>680</v>
      </c>
      <c r="O2604" t="s">
        <v>379</v>
      </c>
      <c r="P2604" t="s">
        <v>380</v>
      </c>
      <c r="Q2604" t="s">
        <v>381</v>
      </c>
      <c r="S2604" t="s">
        <v>382</v>
      </c>
      <c r="U2604" t="s">
        <v>383</v>
      </c>
      <c r="V2604" t="s">
        <v>384</v>
      </c>
      <c r="W2604" t="s">
        <v>56</v>
      </c>
      <c r="X2604" t="s">
        <v>385</v>
      </c>
      <c r="Y2604" t="s">
        <v>386</v>
      </c>
      <c r="Z2604" t="s">
        <v>50</v>
      </c>
    </row>
    <row r="2605" spans="1:26" x14ac:dyDescent="0.3">
      <c r="A2605">
        <v>10283</v>
      </c>
      <c r="B2605">
        <v>47</v>
      </c>
      <c r="C2605">
        <v>65.77</v>
      </c>
      <c r="D2605">
        <v>7</v>
      </c>
      <c r="E2605">
        <v>3091.19</v>
      </c>
      <c r="F2605" s="1">
        <v>38219</v>
      </c>
      <c r="G2605" t="s">
        <v>39</v>
      </c>
      <c r="H2605">
        <v>3</v>
      </c>
      <c r="I2605">
        <v>8</v>
      </c>
      <c r="J2605" t="str">
        <f>TEXT(DATE(2012,Table1[[#This Row],[MONTH_ID]],10),"mmm")</f>
        <v>Aug</v>
      </c>
      <c r="K2605">
        <v>2004</v>
      </c>
      <c r="L2605" t="s">
        <v>612</v>
      </c>
      <c r="M2605">
        <v>72</v>
      </c>
      <c r="N2605" t="s">
        <v>680</v>
      </c>
      <c r="O2605" t="s">
        <v>387</v>
      </c>
      <c r="P2605" t="s">
        <v>388</v>
      </c>
      <c r="Q2605" t="s">
        <v>389</v>
      </c>
      <c r="S2605" t="s">
        <v>390</v>
      </c>
      <c r="T2605" t="s">
        <v>243</v>
      </c>
      <c r="U2605" t="s">
        <v>391</v>
      </c>
      <c r="V2605" t="s">
        <v>245</v>
      </c>
      <c r="W2605" t="s">
        <v>47</v>
      </c>
      <c r="X2605" t="s">
        <v>392</v>
      </c>
      <c r="Y2605" t="s">
        <v>186</v>
      </c>
      <c r="Z2605" t="s">
        <v>65</v>
      </c>
    </row>
    <row r="2606" spans="1:26" x14ac:dyDescent="0.3">
      <c r="A2606">
        <v>10295</v>
      </c>
      <c r="B2606">
        <v>44</v>
      </c>
      <c r="C2606">
        <v>58.55</v>
      </c>
      <c r="D2606">
        <v>2</v>
      </c>
      <c r="E2606">
        <v>2576.1999999999998</v>
      </c>
      <c r="F2606" s="1">
        <v>38240</v>
      </c>
      <c r="G2606" t="s">
        <v>39</v>
      </c>
      <c r="H2606">
        <v>3</v>
      </c>
      <c r="I2606">
        <v>9</v>
      </c>
      <c r="J2606" t="str">
        <f>TEXT(DATE(2012,Table1[[#This Row],[MONTH_ID]],10),"mmm")</f>
        <v>Sep</v>
      </c>
      <c r="K2606">
        <v>2004</v>
      </c>
      <c r="L2606" t="s">
        <v>612</v>
      </c>
      <c r="M2606">
        <v>72</v>
      </c>
      <c r="N2606" t="s">
        <v>680</v>
      </c>
      <c r="O2606" t="s">
        <v>393</v>
      </c>
      <c r="P2606">
        <v>6175559555</v>
      </c>
      <c r="Q2606" t="s">
        <v>394</v>
      </c>
      <c r="S2606" t="s">
        <v>395</v>
      </c>
      <c r="T2606" t="s">
        <v>137</v>
      </c>
      <c r="U2606">
        <v>51003</v>
      </c>
      <c r="V2606" t="s">
        <v>46</v>
      </c>
      <c r="W2606" t="s">
        <v>47</v>
      </c>
      <c r="X2606" t="s">
        <v>396</v>
      </c>
      <c r="Y2606" t="s">
        <v>80</v>
      </c>
      <c r="Z2606" t="s">
        <v>50</v>
      </c>
    </row>
    <row r="2607" spans="1:26" x14ac:dyDescent="0.3">
      <c r="A2607">
        <v>10306</v>
      </c>
      <c r="B2607">
        <v>43</v>
      </c>
      <c r="C2607">
        <v>75.17</v>
      </c>
      <c r="D2607">
        <v>1</v>
      </c>
      <c r="E2607">
        <v>3232.31</v>
      </c>
      <c r="F2607" s="1">
        <v>38274</v>
      </c>
      <c r="G2607" t="s">
        <v>39</v>
      </c>
      <c r="H2607">
        <v>4</v>
      </c>
      <c r="I2607">
        <v>10</v>
      </c>
      <c r="J2607" t="str">
        <f>TEXT(DATE(2012,Table1[[#This Row],[MONTH_ID]],10),"mmm")</f>
        <v>Oct</v>
      </c>
      <c r="K2607">
        <v>2004</v>
      </c>
      <c r="L2607" t="s">
        <v>612</v>
      </c>
      <c r="M2607">
        <v>72</v>
      </c>
      <c r="N2607" t="s">
        <v>680</v>
      </c>
      <c r="O2607" t="s">
        <v>506</v>
      </c>
      <c r="P2607" t="s">
        <v>507</v>
      </c>
      <c r="Q2607" t="s">
        <v>508</v>
      </c>
      <c r="S2607" t="s">
        <v>509</v>
      </c>
      <c r="U2607" t="s">
        <v>510</v>
      </c>
      <c r="V2607" t="s">
        <v>184</v>
      </c>
      <c r="W2607" t="s">
        <v>56</v>
      </c>
      <c r="X2607" t="s">
        <v>511</v>
      </c>
      <c r="Y2607" t="s">
        <v>108</v>
      </c>
      <c r="Z2607" t="s">
        <v>65</v>
      </c>
    </row>
    <row r="2608" spans="1:26" x14ac:dyDescent="0.3">
      <c r="A2608">
        <v>10316</v>
      </c>
      <c r="B2608">
        <v>48</v>
      </c>
      <c r="C2608">
        <v>74.45</v>
      </c>
      <c r="D2608">
        <v>18</v>
      </c>
      <c r="E2608">
        <v>3573.6</v>
      </c>
      <c r="F2608" s="1">
        <v>38292</v>
      </c>
      <c r="G2608" t="s">
        <v>39</v>
      </c>
      <c r="H2608">
        <v>4</v>
      </c>
      <c r="I2608">
        <v>11</v>
      </c>
      <c r="J2608" t="str">
        <f>TEXT(DATE(2012,Table1[[#This Row],[MONTH_ID]],10),"mmm")</f>
        <v>Nov</v>
      </c>
      <c r="K2608">
        <v>2004</v>
      </c>
      <c r="L2608" t="s">
        <v>612</v>
      </c>
      <c r="M2608">
        <v>72</v>
      </c>
      <c r="N2608" t="s">
        <v>680</v>
      </c>
      <c r="O2608" t="s">
        <v>397</v>
      </c>
      <c r="P2608" t="s">
        <v>398</v>
      </c>
      <c r="Q2608" t="s">
        <v>399</v>
      </c>
      <c r="S2608" t="s">
        <v>400</v>
      </c>
      <c r="T2608" t="s">
        <v>401</v>
      </c>
      <c r="U2608" t="s">
        <v>402</v>
      </c>
      <c r="V2608" t="s">
        <v>184</v>
      </c>
      <c r="W2608" t="s">
        <v>56</v>
      </c>
      <c r="X2608" t="s">
        <v>403</v>
      </c>
      <c r="Y2608" t="s">
        <v>404</v>
      </c>
      <c r="Z2608" t="s">
        <v>65</v>
      </c>
    </row>
    <row r="2609" spans="1:26" x14ac:dyDescent="0.3">
      <c r="A2609">
        <v>10327</v>
      </c>
      <c r="B2609">
        <v>21</v>
      </c>
      <c r="C2609">
        <v>96.31</v>
      </c>
      <c r="D2609">
        <v>1</v>
      </c>
      <c r="E2609">
        <v>2022.51</v>
      </c>
      <c r="F2609" s="1">
        <v>38301</v>
      </c>
      <c r="G2609" t="s">
        <v>422</v>
      </c>
      <c r="H2609">
        <v>4</v>
      </c>
      <c r="I2609">
        <v>11</v>
      </c>
      <c r="J2609" t="str">
        <f>TEXT(DATE(2012,Table1[[#This Row],[MONTH_ID]],10),"mmm")</f>
        <v>Nov</v>
      </c>
      <c r="K2609">
        <v>2004</v>
      </c>
      <c r="L2609" t="s">
        <v>612</v>
      </c>
      <c r="M2609">
        <v>72</v>
      </c>
      <c r="N2609" t="s">
        <v>680</v>
      </c>
      <c r="O2609" t="s">
        <v>336</v>
      </c>
      <c r="P2609" t="s">
        <v>337</v>
      </c>
      <c r="Q2609" t="s">
        <v>338</v>
      </c>
      <c r="S2609" t="s">
        <v>339</v>
      </c>
      <c r="U2609">
        <v>1734</v>
      </c>
      <c r="V2609" t="s">
        <v>340</v>
      </c>
      <c r="W2609" t="s">
        <v>56</v>
      </c>
      <c r="X2609" t="s">
        <v>341</v>
      </c>
      <c r="Y2609" t="s">
        <v>342</v>
      </c>
      <c r="Z2609" t="s">
        <v>50</v>
      </c>
    </row>
    <row r="2610" spans="1:26" x14ac:dyDescent="0.3">
      <c r="A2610">
        <v>10339</v>
      </c>
      <c r="B2610">
        <v>50</v>
      </c>
      <c r="C2610">
        <v>74.349999999999994</v>
      </c>
      <c r="D2610">
        <v>9</v>
      </c>
      <c r="E2610">
        <v>3717.5</v>
      </c>
      <c r="F2610" s="1">
        <v>38314</v>
      </c>
      <c r="G2610" t="s">
        <v>39</v>
      </c>
      <c r="H2610">
        <v>4</v>
      </c>
      <c r="I2610">
        <v>11</v>
      </c>
      <c r="J2610" t="str">
        <f>TEXT(DATE(2012,Table1[[#This Row],[MONTH_ID]],10),"mmm")</f>
        <v>Nov</v>
      </c>
      <c r="K2610">
        <v>2004</v>
      </c>
      <c r="L2610" t="s">
        <v>612</v>
      </c>
      <c r="M2610">
        <v>72</v>
      </c>
      <c r="N2610" t="s">
        <v>680</v>
      </c>
      <c r="O2610" t="s">
        <v>260</v>
      </c>
      <c r="P2610" t="s">
        <v>261</v>
      </c>
      <c r="Q2610" t="s">
        <v>262</v>
      </c>
      <c r="S2610" t="s">
        <v>263</v>
      </c>
      <c r="T2610" t="s">
        <v>264</v>
      </c>
      <c r="U2610" t="s">
        <v>265</v>
      </c>
      <c r="V2610" t="s">
        <v>214</v>
      </c>
      <c r="W2610" t="s">
        <v>214</v>
      </c>
      <c r="X2610" t="s">
        <v>266</v>
      </c>
      <c r="Y2610" t="s">
        <v>267</v>
      </c>
      <c r="Z2610" t="s">
        <v>65</v>
      </c>
    </row>
    <row r="2611" spans="1:26" x14ac:dyDescent="0.3">
      <c r="A2611">
        <v>10350</v>
      </c>
      <c r="B2611">
        <v>29</v>
      </c>
      <c r="C2611">
        <v>75.349999999999994</v>
      </c>
      <c r="D2611">
        <v>12</v>
      </c>
      <c r="E2611">
        <v>2185.15</v>
      </c>
      <c r="F2611" s="1">
        <v>38323</v>
      </c>
      <c r="G2611" t="s">
        <v>39</v>
      </c>
      <c r="H2611">
        <v>4</v>
      </c>
      <c r="I2611">
        <v>12</v>
      </c>
      <c r="J2611" t="str">
        <f>TEXT(DATE(2012,Table1[[#This Row],[MONTH_ID]],10),"mmm")</f>
        <v>Dec</v>
      </c>
      <c r="K2611">
        <v>2004</v>
      </c>
      <c r="L2611" t="s">
        <v>612</v>
      </c>
      <c r="M2611">
        <v>72</v>
      </c>
      <c r="N2611" t="s">
        <v>680</v>
      </c>
      <c r="O2611" t="s">
        <v>188</v>
      </c>
      <c r="P2611" t="s">
        <v>189</v>
      </c>
      <c r="Q2611" t="s">
        <v>190</v>
      </c>
      <c r="S2611" t="s">
        <v>191</v>
      </c>
      <c r="U2611">
        <v>28034</v>
      </c>
      <c r="V2611" t="s">
        <v>192</v>
      </c>
      <c r="W2611" t="s">
        <v>56</v>
      </c>
      <c r="X2611" t="s">
        <v>193</v>
      </c>
      <c r="Y2611" t="s">
        <v>194</v>
      </c>
      <c r="Z2611" t="s">
        <v>50</v>
      </c>
    </row>
    <row r="2612" spans="1:26" x14ac:dyDescent="0.3">
      <c r="A2612">
        <v>10373</v>
      </c>
      <c r="B2612">
        <v>41</v>
      </c>
      <c r="C2612">
        <v>70.33</v>
      </c>
      <c r="D2612">
        <v>16</v>
      </c>
      <c r="E2612">
        <v>2883.53</v>
      </c>
      <c r="F2612" s="1">
        <v>38383</v>
      </c>
      <c r="G2612" t="s">
        <v>39</v>
      </c>
      <c r="H2612">
        <v>1</v>
      </c>
      <c r="I2612">
        <v>1</v>
      </c>
      <c r="J2612" t="str">
        <f>TEXT(DATE(2012,Table1[[#This Row],[MONTH_ID]],10),"mmm")</f>
        <v>Jan</v>
      </c>
      <c r="K2612">
        <v>2005</v>
      </c>
      <c r="L2612" t="s">
        <v>612</v>
      </c>
      <c r="M2612">
        <v>72</v>
      </c>
      <c r="N2612" t="s">
        <v>680</v>
      </c>
      <c r="O2612" t="s">
        <v>405</v>
      </c>
      <c r="P2612" t="s">
        <v>406</v>
      </c>
      <c r="Q2612" t="s">
        <v>407</v>
      </c>
      <c r="S2612" t="s">
        <v>408</v>
      </c>
      <c r="U2612">
        <v>90110</v>
      </c>
      <c r="V2612" t="s">
        <v>144</v>
      </c>
      <c r="W2612" t="s">
        <v>56</v>
      </c>
      <c r="X2612" t="s">
        <v>409</v>
      </c>
      <c r="Y2612" t="s">
        <v>410</v>
      </c>
      <c r="Z2612" t="s">
        <v>50</v>
      </c>
    </row>
    <row r="2613" spans="1:26" x14ac:dyDescent="0.3">
      <c r="A2613">
        <v>10386</v>
      </c>
      <c r="B2613">
        <v>37</v>
      </c>
      <c r="C2613">
        <v>100</v>
      </c>
      <c r="D2613">
        <v>10</v>
      </c>
      <c r="E2613">
        <v>5017.57</v>
      </c>
      <c r="F2613" s="1">
        <v>38412</v>
      </c>
      <c r="G2613" t="s">
        <v>422</v>
      </c>
      <c r="H2613">
        <v>1</v>
      </c>
      <c r="I2613">
        <v>3</v>
      </c>
      <c r="J2613" t="str">
        <f>TEXT(DATE(2012,Table1[[#This Row],[MONTH_ID]],10),"mmm")</f>
        <v>Mar</v>
      </c>
      <c r="K2613">
        <v>2005</v>
      </c>
      <c r="L2613" t="s">
        <v>612</v>
      </c>
      <c r="M2613">
        <v>72</v>
      </c>
      <c r="N2613" t="s">
        <v>680</v>
      </c>
      <c r="O2613" t="s">
        <v>188</v>
      </c>
      <c r="P2613" t="s">
        <v>189</v>
      </c>
      <c r="Q2613" t="s">
        <v>190</v>
      </c>
      <c r="S2613" t="s">
        <v>191</v>
      </c>
      <c r="U2613">
        <v>28034</v>
      </c>
      <c r="V2613" t="s">
        <v>192</v>
      </c>
      <c r="W2613" t="s">
        <v>56</v>
      </c>
      <c r="X2613" t="s">
        <v>193</v>
      </c>
      <c r="Y2613" t="s">
        <v>194</v>
      </c>
      <c r="Z2613" t="s">
        <v>65</v>
      </c>
    </row>
    <row r="2614" spans="1:26" x14ac:dyDescent="0.3">
      <c r="A2614">
        <v>10397</v>
      </c>
      <c r="B2614">
        <v>22</v>
      </c>
      <c r="C2614">
        <v>66.5</v>
      </c>
      <c r="D2614">
        <v>4</v>
      </c>
      <c r="E2614">
        <v>1463</v>
      </c>
      <c r="F2614" s="1">
        <v>38439</v>
      </c>
      <c r="G2614" t="s">
        <v>39</v>
      </c>
      <c r="H2614">
        <v>1</v>
      </c>
      <c r="I2614">
        <v>3</v>
      </c>
      <c r="J2614" t="str">
        <f>TEXT(DATE(2012,Table1[[#This Row],[MONTH_ID]],10),"mmm")</f>
        <v>Mar</v>
      </c>
      <c r="K2614">
        <v>2005</v>
      </c>
      <c r="L2614" t="s">
        <v>612</v>
      </c>
      <c r="M2614">
        <v>72</v>
      </c>
      <c r="N2614" t="s">
        <v>680</v>
      </c>
      <c r="O2614" t="s">
        <v>354</v>
      </c>
      <c r="P2614" t="s">
        <v>355</v>
      </c>
      <c r="Q2614" t="s">
        <v>356</v>
      </c>
      <c r="S2614" t="s">
        <v>357</v>
      </c>
      <c r="U2614">
        <v>31000</v>
      </c>
      <c r="V2614" t="s">
        <v>55</v>
      </c>
      <c r="W2614" t="s">
        <v>56</v>
      </c>
      <c r="X2614" t="s">
        <v>358</v>
      </c>
      <c r="Y2614" t="s">
        <v>359</v>
      </c>
      <c r="Z2614" t="s">
        <v>50</v>
      </c>
    </row>
    <row r="2615" spans="1:26" x14ac:dyDescent="0.3">
      <c r="A2615">
        <v>10414</v>
      </c>
      <c r="B2615">
        <v>31</v>
      </c>
      <c r="C2615">
        <v>75.89</v>
      </c>
      <c r="D2615">
        <v>4</v>
      </c>
      <c r="E2615">
        <v>2352.59</v>
      </c>
      <c r="F2615" s="1">
        <v>38478</v>
      </c>
      <c r="G2615" t="s">
        <v>415</v>
      </c>
      <c r="H2615">
        <v>2</v>
      </c>
      <c r="I2615">
        <v>5</v>
      </c>
      <c r="J2615" t="str">
        <f>TEXT(DATE(2012,Table1[[#This Row],[MONTH_ID]],10),"mmm")</f>
        <v>May</v>
      </c>
      <c r="K2615">
        <v>2005</v>
      </c>
      <c r="L2615" t="s">
        <v>612</v>
      </c>
      <c r="M2615">
        <v>72</v>
      </c>
      <c r="N2615" t="s">
        <v>680</v>
      </c>
      <c r="O2615" t="s">
        <v>393</v>
      </c>
      <c r="P2615">
        <v>6175559555</v>
      </c>
      <c r="Q2615" t="s">
        <v>394</v>
      </c>
      <c r="S2615" t="s">
        <v>395</v>
      </c>
      <c r="T2615" t="s">
        <v>137</v>
      </c>
      <c r="U2615">
        <v>51003</v>
      </c>
      <c r="V2615" t="s">
        <v>46</v>
      </c>
      <c r="W2615" t="s">
        <v>47</v>
      </c>
      <c r="X2615" t="s">
        <v>396</v>
      </c>
      <c r="Y2615" t="s">
        <v>80</v>
      </c>
      <c r="Z2615" t="s">
        <v>50</v>
      </c>
    </row>
    <row r="2616" spans="1:26" x14ac:dyDescent="0.3">
      <c r="A2616">
        <v>10103</v>
      </c>
      <c r="B2616">
        <v>42</v>
      </c>
      <c r="C2616">
        <v>100</v>
      </c>
      <c r="D2616">
        <v>6</v>
      </c>
      <c r="E2616">
        <v>4460.82</v>
      </c>
      <c r="F2616" s="1">
        <v>37650</v>
      </c>
      <c r="G2616" t="s">
        <v>39</v>
      </c>
      <c r="H2616">
        <v>1</v>
      </c>
      <c r="I2616">
        <v>1</v>
      </c>
      <c r="J2616" t="str">
        <f>TEXT(DATE(2012,Table1[[#This Row],[MONTH_ID]],10),"mmm")</f>
        <v>Jan</v>
      </c>
      <c r="K2616">
        <v>2003</v>
      </c>
      <c r="L2616" t="s">
        <v>195</v>
      </c>
      <c r="M2616">
        <v>101</v>
      </c>
      <c r="N2616" t="s">
        <v>681</v>
      </c>
      <c r="O2616" t="s">
        <v>147</v>
      </c>
      <c r="P2616" t="s">
        <v>148</v>
      </c>
      <c r="Q2616" t="s">
        <v>149</v>
      </c>
      <c r="S2616" t="s">
        <v>150</v>
      </c>
      <c r="U2616">
        <v>4110</v>
      </c>
      <c r="V2616" t="s">
        <v>92</v>
      </c>
      <c r="W2616" t="s">
        <v>56</v>
      </c>
      <c r="X2616" t="s">
        <v>151</v>
      </c>
      <c r="Y2616" t="s">
        <v>152</v>
      </c>
      <c r="Z2616" t="s">
        <v>65</v>
      </c>
    </row>
    <row r="2617" spans="1:26" x14ac:dyDescent="0.3">
      <c r="A2617">
        <v>10114</v>
      </c>
      <c r="B2617">
        <v>42</v>
      </c>
      <c r="C2617">
        <v>100</v>
      </c>
      <c r="D2617">
        <v>10</v>
      </c>
      <c r="E2617">
        <v>4758.18</v>
      </c>
      <c r="F2617" s="1">
        <v>37712</v>
      </c>
      <c r="G2617" t="s">
        <v>39</v>
      </c>
      <c r="H2617">
        <v>2</v>
      </c>
      <c r="I2617">
        <v>4</v>
      </c>
      <c r="J2617" t="str">
        <f>TEXT(DATE(2012,Table1[[#This Row],[MONTH_ID]],10),"mmm")</f>
        <v>Apr</v>
      </c>
      <c r="K2617">
        <v>2003</v>
      </c>
      <c r="L2617" t="s">
        <v>195</v>
      </c>
      <c r="M2617">
        <v>101</v>
      </c>
      <c r="N2617" t="s">
        <v>681</v>
      </c>
      <c r="O2617" t="s">
        <v>417</v>
      </c>
      <c r="P2617" t="s">
        <v>418</v>
      </c>
      <c r="Q2617" t="s">
        <v>419</v>
      </c>
      <c r="S2617" t="s">
        <v>62</v>
      </c>
      <c r="U2617">
        <v>75012</v>
      </c>
      <c r="V2617" t="s">
        <v>55</v>
      </c>
      <c r="W2617" t="s">
        <v>56</v>
      </c>
      <c r="X2617" t="s">
        <v>420</v>
      </c>
      <c r="Y2617" t="s">
        <v>421</v>
      </c>
      <c r="Z2617" t="s">
        <v>65</v>
      </c>
    </row>
    <row r="2618" spans="1:26" x14ac:dyDescent="0.3">
      <c r="A2618">
        <v>10126</v>
      </c>
      <c r="B2618">
        <v>45</v>
      </c>
      <c r="C2618">
        <v>100</v>
      </c>
      <c r="D2618">
        <v>6</v>
      </c>
      <c r="E2618">
        <v>4597.2</v>
      </c>
      <c r="F2618" s="1">
        <v>37769</v>
      </c>
      <c r="G2618" t="s">
        <v>39</v>
      </c>
      <c r="H2618">
        <v>2</v>
      </c>
      <c r="I2618">
        <v>5</v>
      </c>
      <c r="J2618" t="str">
        <f>TEXT(DATE(2012,Table1[[#This Row],[MONTH_ID]],10),"mmm")</f>
        <v>May</v>
      </c>
      <c r="K2618">
        <v>2003</v>
      </c>
      <c r="L2618" t="s">
        <v>195</v>
      </c>
      <c r="M2618">
        <v>101</v>
      </c>
      <c r="N2618" t="s">
        <v>681</v>
      </c>
      <c r="O2618" t="s">
        <v>205</v>
      </c>
      <c r="P2618" t="s">
        <v>206</v>
      </c>
      <c r="Q2618" t="s">
        <v>207</v>
      </c>
      <c r="S2618" t="s">
        <v>191</v>
      </c>
      <c r="U2618">
        <v>28023</v>
      </c>
      <c r="V2618" t="s">
        <v>192</v>
      </c>
      <c r="W2618" t="s">
        <v>56</v>
      </c>
      <c r="X2618" t="s">
        <v>208</v>
      </c>
      <c r="Y2618" t="s">
        <v>209</v>
      </c>
      <c r="Z2618" t="s">
        <v>65</v>
      </c>
    </row>
    <row r="2619" spans="1:26" x14ac:dyDescent="0.3">
      <c r="A2619">
        <v>10140</v>
      </c>
      <c r="B2619">
        <v>36</v>
      </c>
      <c r="C2619">
        <v>100</v>
      </c>
      <c r="D2619">
        <v>6</v>
      </c>
      <c r="E2619">
        <v>4114.8</v>
      </c>
      <c r="F2619" s="1">
        <v>37826</v>
      </c>
      <c r="G2619" t="s">
        <v>39</v>
      </c>
      <c r="H2619">
        <v>3</v>
      </c>
      <c r="I2619">
        <v>7</v>
      </c>
      <c r="J2619" t="str">
        <f>TEXT(DATE(2012,Table1[[#This Row],[MONTH_ID]],10),"mmm")</f>
        <v>Jul</v>
      </c>
      <c r="K2619">
        <v>2003</v>
      </c>
      <c r="L2619" t="s">
        <v>195</v>
      </c>
      <c r="M2619">
        <v>101</v>
      </c>
      <c r="N2619" t="s">
        <v>681</v>
      </c>
      <c r="O2619" t="s">
        <v>76</v>
      </c>
      <c r="P2619">
        <v>6505556809</v>
      </c>
      <c r="Q2619" t="s">
        <v>77</v>
      </c>
      <c r="S2619" t="s">
        <v>78</v>
      </c>
      <c r="T2619" t="s">
        <v>69</v>
      </c>
      <c r="U2619">
        <v>94217</v>
      </c>
      <c r="V2619" t="s">
        <v>46</v>
      </c>
      <c r="W2619" t="s">
        <v>47</v>
      </c>
      <c r="X2619" t="s">
        <v>79</v>
      </c>
      <c r="Y2619" t="s">
        <v>80</v>
      </c>
      <c r="Z2619" t="s">
        <v>65</v>
      </c>
    </row>
    <row r="2620" spans="1:26" x14ac:dyDescent="0.3">
      <c r="A2620">
        <v>10150</v>
      </c>
      <c r="B2620">
        <v>20</v>
      </c>
      <c r="C2620">
        <v>100</v>
      </c>
      <c r="D2620">
        <v>3</v>
      </c>
      <c r="E2620">
        <v>2104</v>
      </c>
      <c r="F2620" s="1">
        <v>37883</v>
      </c>
      <c r="G2620" t="s">
        <v>39</v>
      </c>
      <c r="H2620">
        <v>3</v>
      </c>
      <c r="I2620">
        <v>9</v>
      </c>
      <c r="J2620" t="str">
        <f>TEXT(DATE(2012,Table1[[#This Row],[MONTH_ID]],10),"mmm")</f>
        <v>Sep</v>
      </c>
      <c r="K2620">
        <v>2003</v>
      </c>
      <c r="L2620" t="s">
        <v>195</v>
      </c>
      <c r="M2620">
        <v>101</v>
      </c>
      <c r="N2620" t="s">
        <v>681</v>
      </c>
      <c r="O2620" t="s">
        <v>210</v>
      </c>
      <c r="P2620" t="s">
        <v>211</v>
      </c>
      <c r="Q2620" t="s">
        <v>212</v>
      </c>
      <c r="S2620" t="s">
        <v>213</v>
      </c>
      <c r="U2620">
        <v>79903</v>
      </c>
      <c r="V2620" t="s">
        <v>213</v>
      </c>
      <c r="W2620" t="s">
        <v>214</v>
      </c>
      <c r="X2620" t="s">
        <v>215</v>
      </c>
      <c r="Y2620" t="s">
        <v>216</v>
      </c>
      <c r="Z2620" t="s">
        <v>50</v>
      </c>
    </row>
    <row r="2621" spans="1:26" x14ac:dyDescent="0.3">
      <c r="A2621">
        <v>10164</v>
      </c>
      <c r="B2621">
        <v>39</v>
      </c>
      <c r="C2621">
        <v>81.93</v>
      </c>
      <c r="D2621">
        <v>4</v>
      </c>
      <c r="E2621">
        <v>3195.27</v>
      </c>
      <c r="F2621" s="1">
        <v>37915</v>
      </c>
      <c r="G2621" t="s">
        <v>422</v>
      </c>
      <c r="H2621">
        <v>4</v>
      </c>
      <c r="I2621">
        <v>10</v>
      </c>
      <c r="J2621" t="str">
        <f>TEXT(DATE(2012,Table1[[#This Row],[MONTH_ID]],10),"mmm")</f>
        <v>Oct</v>
      </c>
      <c r="K2621">
        <v>2003</v>
      </c>
      <c r="L2621" t="s">
        <v>195</v>
      </c>
      <c r="M2621">
        <v>101</v>
      </c>
      <c r="N2621" t="s">
        <v>681</v>
      </c>
      <c r="O2621" t="s">
        <v>423</v>
      </c>
      <c r="P2621" t="s">
        <v>424</v>
      </c>
      <c r="Q2621" t="s">
        <v>425</v>
      </c>
      <c r="S2621" t="s">
        <v>426</v>
      </c>
      <c r="U2621">
        <v>8010</v>
      </c>
      <c r="V2621" t="s">
        <v>162</v>
      </c>
      <c r="W2621" t="s">
        <v>56</v>
      </c>
      <c r="X2621" t="s">
        <v>427</v>
      </c>
      <c r="Y2621" t="s">
        <v>428</v>
      </c>
      <c r="Z2621" t="s">
        <v>65</v>
      </c>
    </row>
    <row r="2622" spans="1:26" x14ac:dyDescent="0.3">
      <c r="A2622">
        <v>10175</v>
      </c>
      <c r="B2622">
        <v>42</v>
      </c>
      <c r="C2622">
        <v>85.98</v>
      </c>
      <c r="D2622">
        <v>11</v>
      </c>
      <c r="E2622">
        <v>3611.16</v>
      </c>
      <c r="F2622" s="1">
        <v>37931</v>
      </c>
      <c r="G2622" t="s">
        <v>39</v>
      </c>
      <c r="H2622">
        <v>4</v>
      </c>
      <c r="I2622">
        <v>11</v>
      </c>
      <c r="J2622" t="str">
        <f>TEXT(DATE(2012,Table1[[#This Row],[MONTH_ID]],10),"mmm")</f>
        <v>Nov</v>
      </c>
      <c r="K2622">
        <v>2003</v>
      </c>
      <c r="L2622" t="s">
        <v>195</v>
      </c>
      <c r="M2622">
        <v>101</v>
      </c>
      <c r="N2622" t="s">
        <v>681</v>
      </c>
      <c r="O2622" t="s">
        <v>343</v>
      </c>
      <c r="P2622" t="s">
        <v>344</v>
      </c>
      <c r="Q2622" t="s">
        <v>345</v>
      </c>
      <c r="S2622" t="s">
        <v>346</v>
      </c>
      <c r="U2622" t="s">
        <v>347</v>
      </c>
      <c r="V2622" t="s">
        <v>184</v>
      </c>
      <c r="W2622" t="s">
        <v>56</v>
      </c>
      <c r="X2622" t="s">
        <v>75</v>
      </c>
      <c r="Y2622" t="s">
        <v>348</v>
      </c>
      <c r="Z2622" t="s">
        <v>65</v>
      </c>
    </row>
    <row r="2623" spans="1:26" x14ac:dyDescent="0.3">
      <c r="A2623">
        <v>10183</v>
      </c>
      <c r="B2623">
        <v>23</v>
      </c>
      <c r="C2623">
        <v>86.99</v>
      </c>
      <c r="D2623">
        <v>3</v>
      </c>
      <c r="E2623">
        <v>2000.77</v>
      </c>
      <c r="F2623" s="1">
        <v>37938</v>
      </c>
      <c r="G2623" t="s">
        <v>39</v>
      </c>
      <c r="H2623">
        <v>4</v>
      </c>
      <c r="I2623">
        <v>11</v>
      </c>
      <c r="J2623" t="str">
        <f>TEXT(DATE(2012,Table1[[#This Row],[MONTH_ID]],10),"mmm")</f>
        <v>Nov</v>
      </c>
      <c r="K2623">
        <v>2003</v>
      </c>
      <c r="L2623" t="s">
        <v>195</v>
      </c>
      <c r="M2623">
        <v>101</v>
      </c>
      <c r="N2623" t="s">
        <v>681</v>
      </c>
      <c r="O2623" t="s">
        <v>228</v>
      </c>
      <c r="P2623">
        <v>2155554695</v>
      </c>
      <c r="Q2623" t="s">
        <v>229</v>
      </c>
      <c r="S2623" t="s">
        <v>230</v>
      </c>
      <c r="T2623" t="s">
        <v>156</v>
      </c>
      <c r="U2623">
        <v>71270</v>
      </c>
      <c r="V2623" t="s">
        <v>46</v>
      </c>
      <c r="W2623" t="s">
        <v>47</v>
      </c>
      <c r="X2623" t="s">
        <v>231</v>
      </c>
      <c r="Y2623" t="s">
        <v>232</v>
      </c>
      <c r="Z2623" t="s">
        <v>50</v>
      </c>
    </row>
    <row r="2624" spans="1:26" x14ac:dyDescent="0.3">
      <c r="A2624">
        <v>10194</v>
      </c>
      <c r="B2624">
        <v>26</v>
      </c>
      <c r="C2624">
        <v>89.01</v>
      </c>
      <c r="D2624">
        <v>6</v>
      </c>
      <c r="E2624">
        <v>2314.2600000000002</v>
      </c>
      <c r="F2624" s="1">
        <v>37950</v>
      </c>
      <c r="G2624" t="s">
        <v>39</v>
      </c>
      <c r="H2624">
        <v>4</v>
      </c>
      <c r="I2624">
        <v>11</v>
      </c>
      <c r="J2624" t="str">
        <f>TEXT(DATE(2012,Table1[[#This Row],[MONTH_ID]],10),"mmm")</f>
        <v>Nov</v>
      </c>
      <c r="K2624">
        <v>2003</v>
      </c>
      <c r="L2624" t="s">
        <v>195</v>
      </c>
      <c r="M2624">
        <v>101</v>
      </c>
      <c r="N2624" t="s">
        <v>681</v>
      </c>
      <c r="O2624" t="s">
        <v>233</v>
      </c>
      <c r="P2624" t="s">
        <v>234</v>
      </c>
      <c r="Q2624" t="s">
        <v>235</v>
      </c>
      <c r="S2624" t="s">
        <v>236</v>
      </c>
      <c r="U2624">
        <v>69004</v>
      </c>
      <c r="V2624" t="s">
        <v>55</v>
      </c>
      <c r="W2624" t="s">
        <v>56</v>
      </c>
      <c r="X2624" t="s">
        <v>237</v>
      </c>
      <c r="Y2624" t="s">
        <v>238</v>
      </c>
      <c r="Z2624" t="s">
        <v>50</v>
      </c>
    </row>
    <row r="2625" spans="1:26" x14ac:dyDescent="0.3">
      <c r="A2625">
        <v>10206</v>
      </c>
      <c r="B2625">
        <v>33</v>
      </c>
      <c r="C2625">
        <v>100</v>
      </c>
      <c r="D2625">
        <v>1</v>
      </c>
      <c r="E2625">
        <v>3871.89</v>
      </c>
      <c r="F2625" s="1">
        <v>37960</v>
      </c>
      <c r="G2625" t="s">
        <v>39</v>
      </c>
      <c r="H2625">
        <v>4</v>
      </c>
      <c r="I2625">
        <v>12</v>
      </c>
      <c r="J2625" t="str">
        <f>TEXT(DATE(2012,Table1[[#This Row],[MONTH_ID]],10),"mmm")</f>
        <v>Dec</v>
      </c>
      <c r="K2625">
        <v>2003</v>
      </c>
      <c r="L2625" t="s">
        <v>195</v>
      </c>
      <c r="M2625">
        <v>101</v>
      </c>
      <c r="N2625" t="s">
        <v>681</v>
      </c>
      <c r="O2625" t="s">
        <v>239</v>
      </c>
      <c r="P2625" t="s">
        <v>240</v>
      </c>
      <c r="Q2625" t="s">
        <v>241</v>
      </c>
      <c r="S2625" t="s">
        <v>242</v>
      </c>
      <c r="T2625" t="s">
        <v>243</v>
      </c>
      <c r="U2625" t="s">
        <v>244</v>
      </c>
      <c r="V2625" t="s">
        <v>245</v>
      </c>
      <c r="W2625" t="s">
        <v>47</v>
      </c>
      <c r="X2625" t="s">
        <v>246</v>
      </c>
      <c r="Y2625" t="s">
        <v>247</v>
      </c>
      <c r="Z2625" t="s">
        <v>65</v>
      </c>
    </row>
    <row r="2626" spans="1:26" x14ac:dyDescent="0.3">
      <c r="A2626">
        <v>10217</v>
      </c>
      <c r="B2626">
        <v>31</v>
      </c>
      <c r="C2626">
        <v>88</v>
      </c>
      <c r="D2626">
        <v>6</v>
      </c>
      <c r="E2626">
        <v>2728</v>
      </c>
      <c r="F2626" s="1">
        <v>38021</v>
      </c>
      <c r="G2626" t="s">
        <v>39</v>
      </c>
      <c r="H2626">
        <v>1</v>
      </c>
      <c r="I2626">
        <v>2</v>
      </c>
      <c r="J2626" t="str">
        <f>TEXT(DATE(2012,Table1[[#This Row],[MONTH_ID]],10),"mmm")</f>
        <v>Feb</v>
      </c>
      <c r="K2626">
        <v>2004</v>
      </c>
      <c r="L2626" t="s">
        <v>195</v>
      </c>
      <c r="M2626">
        <v>101</v>
      </c>
      <c r="N2626" t="s">
        <v>681</v>
      </c>
      <c r="O2626" t="s">
        <v>432</v>
      </c>
      <c r="P2626" t="s">
        <v>433</v>
      </c>
      <c r="Q2626" t="s">
        <v>434</v>
      </c>
      <c r="R2626" t="s">
        <v>435</v>
      </c>
      <c r="S2626" t="s">
        <v>213</v>
      </c>
      <c r="U2626">
        <v>69045</v>
      </c>
      <c r="V2626" t="s">
        <v>213</v>
      </c>
      <c r="W2626" t="s">
        <v>110</v>
      </c>
      <c r="X2626" t="s">
        <v>436</v>
      </c>
      <c r="Y2626" t="s">
        <v>437</v>
      </c>
      <c r="Z2626" t="s">
        <v>50</v>
      </c>
    </row>
    <row r="2627" spans="1:26" x14ac:dyDescent="0.3">
      <c r="A2627">
        <v>10229</v>
      </c>
      <c r="B2627">
        <v>50</v>
      </c>
      <c r="C2627">
        <v>100</v>
      </c>
      <c r="D2627">
        <v>11</v>
      </c>
      <c r="E2627">
        <v>5614</v>
      </c>
      <c r="F2627" s="1">
        <v>38057</v>
      </c>
      <c r="G2627" t="s">
        <v>39</v>
      </c>
      <c r="H2627">
        <v>1</v>
      </c>
      <c r="I2627">
        <v>3</v>
      </c>
      <c r="J2627" t="str">
        <f>TEXT(DATE(2012,Table1[[#This Row],[MONTH_ID]],10),"mmm")</f>
        <v>Mar</v>
      </c>
      <c r="K2627">
        <v>2004</v>
      </c>
      <c r="L2627" t="s">
        <v>195</v>
      </c>
      <c r="M2627">
        <v>101</v>
      </c>
      <c r="N2627" t="s">
        <v>681</v>
      </c>
      <c r="O2627" t="s">
        <v>286</v>
      </c>
      <c r="P2627">
        <v>4155551450</v>
      </c>
      <c r="Q2627" t="s">
        <v>287</v>
      </c>
      <c r="S2627" t="s">
        <v>288</v>
      </c>
      <c r="T2627" t="s">
        <v>69</v>
      </c>
      <c r="U2627">
        <v>97562</v>
      </c>
      <c r="V2627" t="s">
        <v>46</v>
      </c>
      <c r="W2627" t="s">
        <v>47</v>
      </c>
      <c r="X2627" t="s">
        <v>289</v>
      </c>
      <c r="Y2627" t="s">
        <v>290</v>
      </c>
      <c r="Z2627" t="s">
        <v>65</v>
      </c>
    </row>
    <row r="2628" spans="1:26" x14ac:dyDescent="0.3">
      <c r="A2628">
        <v>10245</v>
      </c>
      <c r="B2628">
        <v>44</v>
      </c>
      <c r="C2628">
        <v>100</v>
      </c>
      <c r="D2628">
        <v>4</v>
      </c>
      <c r="E2628">
        <v>4628.8</v>
      </c>
      <c r="F2628" s="1">
        <v>38111</v>
      </c>
      <c r="G2628" t="s">
        <v>39</v>
      </c>
      <c r="H2628">
        <v>2</v>
      </c>
      <c r="I2628">
        <v>5</v>
      </c>
      <c r="J2628" t="str">
        <f>TEXT(DATE(2012,Table1[[#This Row],[MONTH_ID]],10),"mmm")</f>
        <v>May</v>
      </c>
      <c r="K2628">
        <v>2004</v>
      </c>
      <c r="L2628" t="s">
        <v>195</v>
      </c>
      <c r="M2628">
        <v>101</v>
      </c>
      <c r="N2628" t="s">
        <v>681</v>
      </c>
      <c r="O2628" t="s">
        <v>256</v>
      </c>
      <c r="P2628">
        <v>2035559545</v>
      </c>
      <c r="Q2628" t="s">
        <v>257</v>
      </c>
      <c r="S2628" t="s">
        <v>258</v>
      </c>
      <c r="T2628" t="s">
        <v>126</v>
      </c>
      <c r="U2628">
        <v>97823</v>
      </c>
      <c r="V2628" t="s">
        <v>46</v>
      </c>
      <c r="W2628" t="s">
        <v>47</v>
      </c>
      <c r="X2628" t="s">
        <v>97</v>
      </c>
      <c r="Y2628" t="s">
        <v>259</v>
      </c>
      <c r="Z2628" t="s">
        <v>65</v>
      </c>
    </row>
    <row r="2629" spans="1:26" x14ac:dyDescent="0.3">
      <c r="A2629">
        <v>10258</v>
      </c>
      <c r="B2629">
        <v>45</v>
      </c>
      <c r="C2629">
        <v>80.92</v>
      </c>
      <c r="D2629">
        <v>1</v>
      </c>
      <c r="E2629">
        <v>3641.4</v>
      </c>
      <c r="F2629" s="1">
        <v>38153</v>
      </c>
      <c r="G2629" t="s">
        <v>39</v>
      </c>
      <c r="H2629">
        <v>2</v>
      </c>
      <c r="I2629">
        <v>6</v>
      </c>
      <c r="J2629" t="str">
        <f>TEXT(DATE(2012,Table1[[#This Row],[MONTH_ID]],10),"mmm")</f>
        <v>Jun</v>
      </c>
      <c r="K2629">
        <v>2004</v>
      </c>
      <c r="L2629" t="s">
        <v>195</v>
      </c>
      <c r="M2629">
        <v>101</v>
      </c>
      <c r="N2629" t="s">
        <v>681</v>
      </c>
      <c r="O2629" t="s">
        <v>260</v>
      </c>
      <c r="P2629" t="s">
        <v>261</v>
      </c>
      <c r="Q2629" t="s">
        <v>262</v>
      </c>
      <c r="S2629" t="s">
        <v>263</v>
      </c>
      <c r="T2629" t="s">
        <v>264</v>
      </c>
      <c r="U2629" t="s">
        <v>265</v>
      </c>
      <c r="V2629" t="s">
        <v>214</v>
      </c>
      <c r="W2629" t="s">
        <v>214</v>
      </c>
      <c r="X2629" t="s">
        <v>266</v>
      </c>
      <c r="Y2629" t="s">
        <v>267</v>
      </c>
      <c r="Z2629" t="s">
        <v>65</v>
      </c>
    </row>
    <row r="2630" spans="1:26" x14ac:dyDescent="0.3">
      <c r="A2630">
        <v>10270</v>
      </c>
      <c r="B2630">
        <v>46</v>
      </c>
      <c r="C2630">
        <v>88</v>
      </c>
      <c r="D2630">
        <v>4</v>
      </c>
      <c r="E2630">
        <v>4048</v>
      </c>
      <c r="F2630" s="1">
        <v>38187</v>
      </c>
      <c r="G2630" t="s">
        <v>39</v>
      </c>
      <c r="H2630">
        <v>3</v>
      </c>
      <c r="I2630">
        <v>7</v>
      </c>
      <c r="J2630" t="str">
        <f>TEXT(DATE(2012,Table1[[#This Row],[MONTH_ID]],10),"mmm")</f>
        <v>Jul</v>
      </c>
      <c r="K2630">
        <v>2004</v>
      </c>
      <c r="L2630" t="s">
        <v>195</v>
      </c>
      <c r="M2630">
        <v>101</v>
      </c>
      <c r="N2630" t="s">
        <v>681</v>
      </c>
      <c r="O2630" t="s">
        <v>166</v>
      </c>
      <c r="P2630" t="s">
        <v>167</v>
      </c>
      <c r="Q2630" t="s">
        <v>168</v>
      </c>
      <c r="R2630" t="s">
        <v>169</v>
      </c>
      <c r="S2630" t="s">
        <v>170</v>
      </c>
      <c r="T2630" t="s">
        <v>171</v>
      </c>
      <c r="U2630">
        <v>2067</v>
      </c>
      <c r="V2630" t="s">
        <v>109</v>
      </c>
      <c r="W2630" t="s">
        <v>110</v>
      </c>
      <c r="X2630" t="s">
        <v>172</v>
      </c>
      <c r="Y2630" t="s">
        <v>173</v>
      </c>
      <c r="Z2630" t="s">
        <v>65</v>
      </c>
    </row>
    <row r="2631" spans="1:26" x14ac:dyDescent="0.3">
      <c r="A2631">
        <v>10281</v>
      </c>
      <c r="B2631">
        <v>27</v>
      </c>
      <c r="C2631">
        <v>85.98</v>
      </c>
      <c r="D2631">
        <v>11</v>
      </c>
      <c r="E2631">
        <v>2321.46</v>
      </c>
      <c r="F2631" s="1">
        <v>38218</v>
      </c>
      <c r="G2631" t="s">
        <v>39</v>
      </c>
      <c r="H2631">
        <v>3</v>
      </c>
      <c r="I2631">
        <v>8</v>
      </c>
      <c r="J2631" t="str">
        <f>TEXT(DATE(2012,Table1[[#This Row],[MONTH_ID]],10),"mmm")</f>
        <v>Aug</v>
      </c>
      <c r="K2631">
        <v>2004</v>
      </c>
      <c r="L2631" t="s">
        <v>195</v>
      </c>
      <c r="M2631">
        <v>101</v>
      </c>
      <c r="N2631" t="s">
        <v>681</v>
      </c>
      <c r="O2631" t="s">
        <v>153</v>
      </c>
      <c r="P2631">
        <v>2155551555</v>
      </c>
      <c r="Q2631" t="s">
        <v>154</v>
      </c>
      <c r="S2631" t="s">
        <v>155</v>
      </c>
      <c r="T2631" t="s">
        <v>156</v>
      </c>
      <c r="U2631">
        <v>70267</v>
      </c>
      <c r="V2631" t="s">
        <v>46</v>
      </c>
      <c r="W2631" t="s">
        <v>47</v>
      </c>
      <c r="X2631" t="s">
        <v>48</v>
      </c>
      <c r="Y2631" t="s">
        <v>157</v>
      </c>
      <c r="Z2631" t="s">
        <v>50</v>
      </c>
    </row>
    <row r="2632" spans="1:26" x14ac:dyDescent="0.3">
      <c r="A2632">
        <v>10291</v>
      </c>
      <c r="B2632">
        <v>28</v>
      </c>
      <c r="C2632">
        <v>100</v>
      </c>
      <c r="D2632">
        <v>6</v>
      </c>
      <c r="E2632">
        <v>3256.96</v>
      </c>
      <c r="F2632" s="1">
        <v>38238</v>
      </c>
      <c r="G2632" t="s">
        <v>39</v>
      </c>
      <c r="H2632">
        <v>3</v>
      </c>
      <c r="I2632">
        <v>9</v>
      </c>
      <c r="J2632" t="str">
        <f>TEXT(DATE(2012,Table1[[#This Row],[MONTH_ID]],10),"mmm")</f>
        <v>Sep</v>
      </c>
      <c r="K2632">
        <v>2004</v>
      </c>
      <c r="L2632" t="s">
        <v>195</v>
      </c>
      <c r="M2632">
        <v>101</v>
      </c>
      <c r="N2632" t="s">
        <v>681</v>
      </c>
      <c r="O2632" t="s">
        <v>275</v>
      </c>
      <c r="P2632" t="s">
        <v>276</v>
      </c>
      <c r="Q2632" t="s">
        <v>277</v>
      </c>
      <c r="S2632" t="s">
        <v>278</v>
      </c>
      <c r="U2632" t="s">
        <v>279</v>
      </c>
      <c r="V2632" t="s">
        <v>202</v>
      </c>
      <c r="W2632" t="s">
        <v>56</v>
      </c>
      <c r="X2632" t="s">
        <v>280</v>
      </c>
      <c r="Y2632" t="s">
        <v>220</v>
      </c>
      <c r="Z2632" t="s">
        <v>65</v>
      </c>
    </row>
    <row r="2633" spans="1:26" x14ac:dyDescent="0.3">
      <c r="A2633">
        <v>10304</v>
      </c>
      <c r="B2633">
        <v>40</v>
      </c>
      <c r="C2633">
        <v>100</v>
      </c>
      <c r="D2633">
        <v>1</v>
      </c>
      <c r="E2633">
        <v>4208</v>
      </c>
      <c r="F2633" s="1">
        <v>38271</v>
      </c>
      <c r="G2633" t="s">
        <v>39</v>
      </c>
      <c r="H2633">
        <v>4</v>
      </c>
      <c r="I2633">
        <v>10</v>
      </c>
      <c r="J2633" t="str">
        <f>TEXT(DATE(2012,Table1[[#This Row],[MONTH_ID]],10),"mmm")</f>
        <v>Oct</v>
      </c>
      <c r="K2633">
        <v>2004</v>
      </c>
      <c r="L2633" t="s">
        <v>195</v>
      </c>
      <c r="M2633">
        <v>101</v>
      </c>
      <c r="N2633" t="s">
        <v>681</v>
      </c>
      <c r="O2633" t="s">
        <v>281</v>
      </c>
      <c r="P2633" t="s">
        <v>282</v>
      </c>
      <c r="Q2633" t="s">
        <v>283</v>
      </c>
      <c r="S2633" t="s">
        <v>284</v>
      </c>
      <c r="U2633">
        <v>78000</v>
      </c>
      <c r="V2633" t="s">
        <v>55</v>
      </c>
      <c r="W2633" t="s">
        <v>56</v>
      </c>
      <c r="X2633" t="s">
        <v>285</v>
      </c>
      <c r="Y2633" t="s">
        <v>64</v>
      </c>
      <c r="Z2633" t="s">
        <v>65</v>
      </c>
    </row>
    <row r="2634" spans="1:26" x14ac:dyDescent="0.3">
      <c r="A2634">
        <v>10313</v>
      </c>
      <c r="B2634">
        <v>30</v>
      </c>
      <c r="C2634">
        <v>99.13</v>
      </c>
      <c r="D2634">
        <v>9</v>
      </c>
      <c r="E2634">
        <v>2973.9</v>
      </c>
      <c r="F2634" s="1">
        <v>38282</v>
      </c>
      <c r="G2634" t="s">
        <v>39</v>
      </c>
      <c r="H2634">
        <v>4</v>
      </c>
      <c r="I2634">
        <v>10</v>
      </c>
      <c r="J2634" t="str">
        <f>TEXT(DATE(2012,Table1[[#This Row],[MONTH_ID]],10),"mmm")</f>
        <v>Oct</v>
      </c>
      <c r="K2634">
        <v>2004</v>
      </c>
      <c r="L2634" t="s">
        <v>195</v>
      </c>
      <c r="M2634">
        <v>101</v>
      </c>
      <c r="N2634" t="s">
        <v>681</v>
      </c>
      <c r="O2634" t="s">
        <v>239</v>
      </c>
      <c r="P2634" t="s">
        <v>240</v>
      </c>
      <c r="Q2634" t="s">
        <v>241</v>
      </c>
      <c r="S2634" t="s">
        <v>242</v>
      </c>
      <c r="T2634" t="s">
        <v>243</v>
      </c>
      <c r="U2634" t="s">
        <v>244</v>
      </c>
      <c r="V2634" t="s">
        <v>245</v>
      </c>
      <c r="W2634" t="s">
        <v>47</v>
      </c>
      <c r="X2634" t="s">
        <v>246</v>
      </c>
      <c r="Y2634" t="s">
        <v>247</v>
      </c>
      <c r="Z2634" t="s">
        <v>50</v>
      </c>
    </row>
    <row r="2635" spans="1:26" x14ac:dyDescent="0.3">
      <c r="A2635">
        <v>10324</v>
      </c>
      <c r="B2635">
        <v>34</v>
      </c>
      <c r="C2635">
        <v>100</v>
      </c>
      <c r="D2635">
        <v>5</v>
      </c>
      <c r="E2635">
        <v>4248.3</v>
      </c>
      <c r="F2635" s="1">
        <v>38296</v>
      </c>
      <c r="G2635" t="s">
        <v>39</v>
      </c>
      <c r="H2635">
        <v>4</v>
      </c>
      <c r="I2635">
        <v>11</v>
      </c>
      <c r="J2635" t="str">
        <f>TEXT(DATE(2012,Table1[[#This Row],[MONTH_ID]],10),"mmm")</f>
        <v>Nov</v>
      </c>
      <c r="K2635">
        <v>2004</v>
      </c>
      <c r="L2635" t="s">
        <v>195</v>
      </c>
      <c r="M2635">
        <v>101</v>
      </c>
      <c r="N2635" t="s">
        <v>681</v>
      </c>
      <c r="O2635" t="s">
        <v>113</v>
      </c>
      <c r="P2635">
        <v>2125551500</v>
      </c>
      <c r="Q2635" t="s">
        <v>114</v>
      </c>
      <c r="R2635" t="s">
        <v>115</v>
      </c>
      <c r="S2635" t="s">
        <v>44</v>
      </c>
      <c r="T2635" t="s">
        <v>45</v>
      </c>
      <c r="U2635">
        <v>10022</v>
      </c>
      <c r="V2635" t="s">
        <v>46</v>
      </c>
      <c r="W2635" t="s">
        <v>47</v>
      </c>
      <c r="X2635" t="s">
        <v>116</v>
      </c>
      <c r="Y2635" t="s">
        <v>117</v>
      </c>
      <c r="Z2635" t="s">
        <v>65</v>
      </c>
    </row>
    <row r="2636" spans="1:26" x14ac:dyDescent="0.3">
      <c r="A2636">
        <v>10336</v>
      </c>
      <c r="B2636">
        <v>46</v>
      </c>
      <c r="C2636">
        <v>100</v>
      </c>
      <c r="D2636">
        <v>2</v>
      </c>
      <c r="E2636">
        <v>9558.7999999999993</v>
      </c>
      <c r="F2636" s="1">
        <v>38311</v>
      </c>
      <c r="G2636" t="s">
        <v>39</v>
      </c>
      <c r="H2636">
        <v>4</v>
      </c>
      <c r="I2636">
        <v>11</v>
      </c>
      <c r="J2636" t="str">
        <f>TEXT(DATE(2012,Table1[[#This Row],[MONTH_ID]],10),"mmm")</f>
        <v>Nov</v>
      </c>
      <c r="K2636">
        <v>2004</v>
      </c>
      <c r="L2636" t="s">
        <v>195</v>
      </c>
      <c r="M2636">
        <v>101</v>
      </c>
      <c r="N2636" t="s">
        <v>681</v>
      </c>
      <c r="O2636" t="s">
        <v>417</v>
      </c>
      <c r="P2636" t="s">
        <v>418</v>
      </c>
      <c r="Q2636" t="s">
        <v>419</v>
      </c>
      <c r="S2636" t="s">
        <v>62</v>
      </c>
      <c r="U2636">
        <v>75012</v>
      </c>
      <c r="V2636" t="s">
        <v>55</v>
      </c>
      <c r="W2636" t="s">
        <v>56</v>
      </c>
      <c r="X2636" t="s">
        <v>420</v>
      </c>
      <c r="Y2636" t="s">
        <v>421</v>
      </c>
      <c r="Z2636" t="s">
        <v>165</v>
      </c>
    </row>
    <row r="2637" spans="1:26" x14ac:dyDescent="0.3">
      <c r="A2637">
        <v>10348</v>
      </c>
      <c r="B2637">
        <v>32</v>
      </c>
      <c r="C2637">
        <v>82.83</v>
      </c>
      <c r="D2637">
        <v>7</v>
      </c>
      <c r="E2637">
        <v>2650.56</v>
      </c>
      <c r="F2637" s="1">
        <v>38292</v>
      </c>
      <c r="G2637" t="s">
        <v>39</v>
      </c>
      <c r="H2637">
        <v>4</v>
      </c>
      <c r="I2637">
        <v>11</v>
      </c>
      <c r="J2637" t="str">
        <f>TEXT(DATE(2012,Table1[[#This Row],[MONTH_ID]],10),"mmm")</f>
        <v>Nov</v>
      </c>
      <c r="K2637">
        <v>2004</v>
      </c>
      <c r="L2637" t="s">
        <v>195</v>
      </c>
      <c r="M2637">
        <v>101</v>
      </c>
      <c r="N2637" t="s">
        <v>681</v>
      </c>
      <c r="O2637" t="s">
        <v>205</v>
      </c>
      <c r="P2637" t="s">
        <v>206</v>
      </c>
      <c r="Q2637" t="s">
        <v>207</v>
      </c>
      <c r="S2637" t="s">
        <v>191</v>
      </c>
      <c r="U2637">
        <v>28023</v>
      </c>
      <c r="V2637" t="s">
        <v>192</v>
      </c>
      <c r="W2637" t="s">
        <v>56</v>
      </c>
      <c r="X2637" t="s">
        <v>208</v>
      </c>
      <c r="Y2637" t="s">
        <v>209</v>
      </c>
      <c r="Z2637" t="s">
        <v>50</v>
      </c>
    </row>
    <row r="2638" spans="1:26" x14ac:dyDescent="0.3">
      <c r="A2638">
        <v>10358</v>
      </c>
      <c r="B2638">
        <v>27</v>
      </c>
      <c r="C2638">
        <v>100</v>
      </c>
      <c r="D2638">
        <v>3</v>
      </c>
      <c r="E2638">
        <v>3761.37</v>
      </c>
      <c r="F2638" s="1">
        <v>38331</v>
      </c>
      <c r="G2638" t="s">
        <v>39</v>
      </c>
      <c r="H2638">
        <v>4</v>
      </c>
      <c r="I2638">
        <v>12</v>
      </c>
      <c r="J2638" t="str">
        <f>TEXT(DATE(2012,Table1[[#This Row],[MONTH_ID]],10),"mmm")</f>
        <v>Dec</v>
      </c>
      <c r="K2638">
        <v>2004</v>
      </c>
      <c r="L2638" t="s">
        <v>195</v>
      </c>
      <c r="M2638">
        <v>101</v>
      </c>
      <c r="N2638" t="s">
        <v>681</v>
      </c>
      <c r="O2638" t="s">
        <v>188</v>
      </c>
      <c r="P2638" t="s">
        <v>189</v>
      </c>
      <c r="Q2638" t="s">
        <v>190</v>
      </c>
      <c r="S2638" t="s">
        <v>191</v>
      </c>
      <c r="U2638">
        <v>28034</v>
      </c>
      <c r="V2638" t="s">
        <v>192</v>
      </c>
      <c r="W2638" t="s">
        <v>56</v>
      </c>
      <c r="X2638" t="s">
        <v>193</v>
      </c>
      <c r="Y2638" t="s">
        <v>194</v>
      </c>
      <c r="Z2638" t="s">
        <v>65</v>
      </c>
    </row>
    <row r="2639" spans="1:26" x14ac:dyDescent="0.3">
      <c r="A2639">
        <v>10371</v>
      </c>
      <c r="B2639">
        <v>34</v>
      </c>
      <c r="C2639">
        <v>100</v>
      </c>
      <c r="D2639">
        <v>3</v>
      </c>
      <c r="E2639">
        <v>4301.34</v>
      </c>
      <c r="F2639" s="1">
        <v>38375</v>
      </c>
      <c r="G2639" t="s">
        <v>39</v>
      </c>
      <c r="H2639">
        <v>1</v>
      </c>
      <c r="I2639">
        <v>1</v>
      </c>
      <c r="J2639" t="str">
        <f>TEXT(DATE(2012,Table1[[#This Row],[MONTH_ID]],10),"mmm")</f>
        <v>Jan</v>
      </c>
      <c r="K2639">
        <v>2005</v>
      </c>
      <c r="L2639" t="s">
        <v>195</v>
      </c>
      <c r="M2639">
        <v>101</v>
      </c>
      <c r="N2639" t="s">
        <v>681</v>
      </c>
      <c r="O2639" t="s">
        <v>286</v>
      </c>
      <c r="P2639">
        <v>4155551450</v>
      </c>
      <c r="Q2639" t="s">
        <v>287</v>
      </c>
      <c r="S2639" t="s">
        <v>288</v>
      </c>
      <c r="T2639" t="s">
        <v>69</v>
      </c>
      <c r="U2639">
        <v>97562</v>
      </c>
      <c r="V2639" t="s">
        <v>46</v>
      </c>
      <c r="W2639" t="s">
        <v>47</v>
      </c>
      <c r="X2639" t="s">
        <v>289</v>
      </c>
      <c r="Y2639" t="s">
        <v>290</v>
      </c>
      <c r="Z2639" t="s">
        <v>65</v>
      </c>
    </row>
    <row r="2640" spans="1:26" x14ac:dyDescent="0.3">
      <c r="A2640">
        <v>10382</v>
      </c>
      <c r="B2640">
        <v>34</v>
      </c>
      <c r="C2640">
        <v>54.84</v>
      </c>
      <c r="D2640">
        <v>9</v>
      </c>
      <c r="E2640">
        <v>1864.56</v>
      </c>
      <c r="F2640" s="1">
        <v>38400</v>
      </c>
      <c r="G2640" t="s">
        <v>39</v>
      </c>
      <c r="H2640">
        <v>1</v>
      </c>
      <c r="I2640">
        <v>2</v>
      </c>
      <c r="J2640" t="str">
        <f>TEXT(DATE(2012,Table1[[#This Row],[MONTH_ID]],10),"mmm")</f>
        <v>Feb</v>
      </c>
      <c r="K2640">
        <v>2005</v>
      </c>
      <c r="L2640" t="s">
        <v>195</v>
      </c>
      <c r="M2640">
        <v>101</v>
      </c>
      <c r="N2640" t="s">
        <v>681</v>
      </c>
      <c r="O2640" t="s">
        <v>286</v>
      </c>
      <c r="P2640">
        <v>4155551450</v>
      </c>
      <c r="Q2640" t="s">
        <v>287</v>
      </c>
      <c r="S2640" t="s">
        <v>288</v>
      </c>
      <c r="T2640" t="s">
        <v>69</v>
      </c>
      <c r="U2640">
        <v>97562</v>
      </c>
      <c r="V2640" t="s">
        <v>46</v>
      </c>
      <c r="W2640" t="s">
        <v>47</v>
      </c>
      <c r="X2640" t="s">
        <v>289</v>
      </c>
      <c r="Y2640" t="s">
        <v>290</v>
      </c>
      <c r="Z2640" t="s">
        <v>50</v>
      </c>
    </row>
    <row r="2641" spans="1:26" x14ac:dyDescent="0.3">
      <c r="A2641">
        <v>10411</v>
      </c>
      <c r="B2641">
        <v>34</v>
      </c>
      <c r="C2641">
        <v>100</v>
      </c>
      <c r="D2641">
        <v>4</v>
      </c>
      <c r="E2641">
        <v>3576.8</v>
      </c>
      <c r="F2641" s="1">
        <v>38473</v>
      </c>
      <c r="G2641" t="s">
        <v>39</v>
      </c>
      <c r="H2641">
        <v>2</v>
      </c>
      <c r="I2641">
        <v>5</v>
      </c>
      <c r="J2641" t="str">
        <f>TEXT(DATE(2012,Table1[[#This Row],[MONTH_ID]],10),"mmm")</f>
        <v>May</v>
      </c>
      <c r="K2641">
        <v>2005</v>
      </c>
      <c r="L2641" t="s">
        <v>195</v>
      </c>
      <c r="M2641">
        <v>101</v>
      </c>
      <c r="N2641" t="s">
        <v>681</v>
      </c>
      <c r="O2641" t="s">
        <v>306</v>
      </c>
      <c r="P2641" t="s">
        <v>307</v>
      </c>
      <c r="Q2641" t="s">
        <v>308</v>
      </c>
      <c r="S2641" t="s">
        <v>309</v>
      </c>
      <c r="T2641" t="s">
        <v>310</v>
      </c>
      <c r="U2641" t="s">
        <v>311</v>
      </c>
      <c r="V2641" t="s">
        <v>245</v>
      </c>
      <c r="W2641" t="s">
        <v>47</v>
      </c>
      <c r="X2641" t="s">
        <v>312</v>
      </c>
      <c r="Y2641" t="s">
        <v>313</v>
      </c>
      <c r="Z2641" t="s">
        <v>65</v>
      </c>
    </row>
    <row r="2642" spans="1:26" x14ac:dyDescent="0.3">
      <c r="A2642">
        <v>10424</v>
      </c>
      <c r="B2642">
        <v>46</v>
      </c>
      <c r="C2642">
        <v>80.92</v>
      </c>
      <c r="D2642">
        <v>1</v>
      </c>
      <c r="E2642">
        <v>3722.32</v>
      </c>
      <c r="F2642" s="1">
        <v>38503</v>
      </c>
      <c r="G2642" t="s">
        <v>314</v>
      </c>
      <c r="H2642">
        <v>2</v>
      </c>
      <c r="I2642">
        <v>5</v>
      </c>
      <c r="J2642" t="str">
        <f>TEXT(DATE(2012,Table1[[#This Row],[MONTH_ID]],10),"mmm")</f>
        <v>May</v>
      </c>
      <c r="K2642">
        <v>2005</v>
      </c>
      <c r="L2642" t="s">
        <v>195</v>
      </c>
      <c r="M2642">
        <v>101</v>
      </c>
      <c r="N2642" t="s">
        <v>681</v>
      </c>
      <c r="O2642" t="s">
        <v>188</v>
      </c>
      <c r="P2642" t="s">
        <v>189</v>
      </c>
      <c r="Q2642" t="s">
        <v>190</v>
      </c>
      <c r="S2642" t="s">
        <v>191</v>
      </c>
      <c r="U2642">
        <v>28034</v>
      </c>
      <c r="V2642" t="s">
        <v>192</v>
      </c>
      <c r="W2642" t="s">
        <v>56</v>
      </c>
      <c r="X2642" t="s">
        <v>193</v>
      </c>
      <c r="Y2642" t="s">
        <v>194</v>
      </c>
      <c r="Z2642" t="s">
        <v>65</v>
      </c>
    </row>
    <row r="2643" spans="1:26" x14ac:dyDescent="0.3">
      <c r="A2643">
        <v>10106</v>
      </c>
      <c r="B2643">
        <v>32</v>
      </c>
      <c r="C2643">
        <v>100</v>
      </c>
      <c r="D2643">
        <v>1</v>
      </c>
      <c r="E2643">
        <v>3986.56</v>
      </c>
      <c r="F2643" s="1">
        <v>37669</v>
      </c>
      <c r="G2643" t="s">
        <v>39</v>
      </c>
      <c r="H2643">
        <v>1</v>
      </c>
      <c r="I2643">
        <v>2</v>
      </c>
      <c r="J2643" t="str">
        <f>TEXT(DATE(2012,Table1[[#This Row],[MONTH_ID]],10),"mmm")</f>
        <v>Feb</v>
      </c>
      <c r="K2643">
        <v>2003</v>
      </c>
      <c r="L2643" t="s">
        <v>580</v>
      </c>
      <c r="M2643">
        <v>118</v>
      </c>
      <c r="N2643" t="s">
        <v>682</v>
      </c>
      <c r="O2643" t="s">
        <v>566</v>
      </c>
      <c r="P2643" t="s">
        <v>567</v>
      </c>
      <c r="Q2643" t="s">
        <v>568</v>
      </c>
      <c r="S2643" t="s">
        <v>569</v>
      </c>
      <c r="U2643">
        <v>24100</v>
      </c>
      <c r="V2643" t="s">
        <v>272</v>
      </c>
      <c r="W2643" t="s">
        <v>56</v>
      </c>
      <c r="X2643" t="s">
        <v>570</v>
      </c>
      <c r="Y2643" t="s">
        <v>571</v>
      </c>
      <c r="Z2643" t="s">
        <v>65</v>
      </c>
    </row>
    <row r="2644" spans="1:26" x14ac:dyDescent="0.3">
      <c r="A2644">
        <v>10120</v>
      </c>
      <c r="B2644">
        <v>24</v>
      </c>
      <c r="C2644">
        <v>100</v>
      </c>
      <c r="D2644">
        <v>7</v>
      </c>
      <c r="E2644">
        <v>3417.12</v>
      </c>
      <c r="F2644" s="1">
        <v>37740</v>
      </c>
      <c r="G2644" t="s">
        <v>39</v>
      </c>
      <c r="H2644">
        <v>2</v>
      </c>
      <c r="I2644">
        <v>4</v>
      </c>
      <c r="J2644" t="str">
        <f>TEXT(DATE(2012,Table1[[#This Row],[MONTH_ID]],10),"mmm")</f>
        <v>Apr</v>
      </c>
      <c r="K2644">
        <v>2003</v>
      </c>
      <c r="L2644" t="s">
        <v>580</v>
      </c>
      <c r="M2644">
        <v>118</v>
      </c>
      <c r="N2644" t="s">
        <v>682</v>
      </c>
      <c r="O2644" t="s">
        <v>103</v>
      </c>
      <c r="P2644" t="s">
        <v>104</v>
      </c>
      <c r="Q2644" t="s">
        <v>105</v>
      </c>
      <c r="R2644" t="s">
        <v>106</v>
      </c>
      <c r="S2644" t="s">
        <v>107</v>
      </c>
      <c r="T2644" t="s">
        <v>108</v>
      </c>
      <c r="U2644">
        <v>3004</v>
      </c>
      <c r="V2644" t="s">
        <v>109</v>
      </c>
      <c r="W2644" t="s">
        <v>110</v>
      </c>
      <c r="X2644" t="s">
        <v>111</v>
      </c>
      <c r="Y2644" t="s">
        <v>112</v>
      </c>
      <c r="Z2644" t="s">
        <v>65</v>
      </c>
    </row>
    <row r="2645" spans="1:26" x14ac:dyDescent="0.3">
      <c r="A2645">
        <v>10133</v>
      </c>
      <c r="B2645">
        <v>27</v>
      </c>
      <c r="C2645">
        <v>99.67</v>
      </c>
      <c r="D2645">
        <v>2</v>
      </c>
      <c r="E2645">
        <v>2691.09</v>
      </c>
      <c r="F2645" s="1">
        <v>37799</v>
      </c>
      <c r="G2645" t="s">
        <v>39</v>
      </c>
      <c r="H2645">
        <v>2</v>
      </c>
      <c r="I2645">
        <v>6</v>
      </c>
      <c r="J2645" t="str">
        <f>TEXT(DATE(2012,Table1[[#This Row],[MONTH_ID]],10),"mmm")</f>
        <v>Jun</v>
      </c>
      <c r="K2645">
        <v>2003</v>
      </c>
      <c r="L2645" t="s">
        <v>580</v>
      </c>
      <c r="M2645">
        <v>118</v>
      </c>
      <c r="N2645" t="s">
        <v>682</v>
      </c>
      <c r="O2645" t="s">
        <v>188</v>
      </c>
      <c r="P2645" t="s">
        <v>189</v>
      </c>
      <c r="Q2645" t="s">
        <v>190</v>
      </c>
      <c r="S2645" t="s">
        <v>191</v>
      </c>
      <c r="U2645">
        <v>28034</v>
      </c>
      <c r="V2645" t="s">
        <v>192</v>
      </c>
      <c r="W2645" t="s">
        <v>56</v>
      </c>
      <c r="X2645" t="s">
        <v>193</v>
      </c>
      <c r="Y2645" t="s">
        <v>194</v>
      </c>
      <c r="Z2645" t="s">
        <v>50</v>
      </c>
    </row>
    <row r="2646" spans="1:26" x14ac:dyDescent="0.3">
      <c r="A2646">
        <v>10145</v>
      </c>
      <c r="B2646">
        <v>20</v>
      </c>
      <c r="C2646">
        <v>100</v>
      </c>
      <c r="D2646">
        <v>13</v>
      </c>
      <c r="E2646">
        <v>2752.6</v>
      </c>
      <c r="F2646" s="1">
        <v>37858</v>
      </c>
      <c r="G2646" t="s">
        <v>39</v>
      </c>
      <c r="H2646">
        <v>3</v>
      </c>
      <c r="I2646">
        <v>8</v>
      </c>
      <c r="J2646" t="str">
        <f>TEXT(DATE(2012,Table1[[#This Row],[MONTH_ID]],10),"mmm")</f>
        <v>Aug</v>
      </c>
      <c r="K2646">
        <v>2003</v>
      </c>
      <c r="L2646" t="s">
        <v>580</v>
      </c>
      <c r="M2646">
        <v>118</v>
      </c>
      <c r="N2646" t="s">
        <v>682</v>
      </c>
      <c r="O2646" t="s">
        <v>66</v>
      </c>
      <c r="P2646">
        <v>6265557265</v>
      </c>
      <c r="Q2646" t="s">
        <v>67</v>
      </c>
      <c r="S2646" t="s">
        <v>68</v>
      </c>
      <c r="T2646" t="s">
        <v>69</v>
      </c>
      <c r="U2646">
        <v>90003</v>
      </c>
      <c r="V2646" t="s">
        <v>46</v>
      </c>
      <c r="W2646" t="s">
        <v>47</v>
      </c>
      <c r="X2646" t="s">
        <v>70</v>
      </c>
      <c r="Y2646" t="s">
        <v>71</v>
      </c>
      <c r="Z2646" t="s">
        <v>50</v>
      </c>
    </row>
    <row r="2647" spans="1:26" x14ac:dyDescent="0.3">
      <c r="A2647">
        <v>10168</v>
      </c>
      <c r="B2647">
        <v>36</v>
      </c>
      <c r="C2647">
        <v>100</v>
      </c>
      <c r="D2647">
        <v>8</v>
      </c>
      <c r="E2647">
        <v>4527.72</v>
      </c>
      <c r="F2647" s="1">
        <v>37922</v>
      </c>
      <c r="G2647" t="s">
        <v>39</v>
      </c>
      <c r="H2647">
        <v>4</v>
      </c>
      <c r="I2647">
        <v>10</v>
      </c>
      <c r="J2647" t="str">
        <f>TEXT(DATE(2012,Table1[[#This Row],[MONTH_ID]],10),"mmm")</f>
        <v>Oct</v>
      </c>
      <c r="K2647">
        <v>2003</v>
      </c>
      <c r="L2647" t="s">
        <v>580</v>
      </c>
      <c r="M2647">
        <v>118</v>
      </c>
      <c r="N2647" t="s">
        <v>682</v>
      </c>
      <c r="O2647" t="s">
        <v>76</v>
      </c>
      <c r="P2647">
        <v>6505556809</v>
      </c>
      <c r="Q2647" t="s">
        <v>77</v>
      </c>
      <c r="S2647" t="s">
        <v>78</v>
      </c>
      <c r="T2647" t="s">
        <v>69</v>
      </c>
      <c r="U2647">
        <v>94217</v>
      </c>
      <c r="V2647" t="s">
        <v>46</v>
      </c>
      <c r="W2647" t="s">
        <v>47</v>
      </c>
      <c r="X2647" t="s">
        <v>79</v>
      </c>
      <c r="Y2647" t="s">
        <v>80</v>
      </c>
      <c r="Z2647" t="s">
        <v>65</v>
      </c>
    </row>
    <row r="2648" spans="1:26" x14ac:dyDescent="0.3">
      <c r="A2648">
        <v>10188</v>
      </c>
      <c r="B2648">
        <v>29</v>
      </c>
      <c r="C2648">
        <v>100</v>
      </c>
      <c r="D2648">
        <v>8</v>
      </c>
      <c r="E2648">
        <v>3957.05</v>
      </c>
      <c r="F2648" s="1">
        <v>37943</v>
      </c>
      <c r="G2648" t="s">
        <v>39</v>
      </c>
      <c r="H2648">
        <v>4</v>
      </c>
      <c r="I2648">
        <v>11</v>
      </c>
      <c r="J2648" t="str">
        <f>TEXT(DATE(2012,Table1[[#This Row],[MONTH_ID]],10),"mmm")</f>
        <v>Nov</v>
      </c>
      <c r="K2648">
        <v>2003</v>
      </c>
      <c r="L2648" t="s">
        <v>580</v>
      </c>
      <c r="M2648">
        <v>118</v>
      </c>
      <c r="N2648" t="s">
        <v>682</v>
      </c>
      <c r="O2648" t="s">
        <v>87</v>
      </c>
      <c r="P2648" t="s">
        <v>88</v>
      </c>
      <c r="Q2648" t="s">
        <v>89</v>
      </c>
      <c r="S2648" t="s">
        <v>90</v>
      </c>
      <c r="U2648" t="s">
        <v>91</v>
      </c>
      <c r="V2648" t="s">
        <v>92</v>
      </c>
      <c r="W2648" t="s">
        <v>56</v>
      </c>
      <c r="X2648" t="s">
        <v>93</v>
      </c>
      <c r="Y2648" t="s">
        <v>94</v>
      </c>
      <c r="Z2648" t="s">
        <v>65</v>
      </c>
    </row>
    <row r="2649" spans="1:26" x14ac:dyDescent="0.3">
      <c r="A2649">
        <v>10210</v>
      </c>
      <c r="B2649">
        <v>25</v>
      </c>
      <c r="C2649">
        <v>100</v>
      </c>
      <c r="D2649">
        <v>6</v>
      </c>
      <c r="E2649">
        <v>2818</v>
      </c>
      <c r="F2649" s="1">
        <v>37998</v>
      </c>
      <c r="G2649" t="s">
        <v>39</v>
      </c>
      <c r="H2649">
        <v>1</v>
      </c>
      <c r="I2649">
        <v>1</v>
      </c>
      <c r="J2649" t="str">
        <f>TEXT(DATE(2012,Table1[[#This Row],[MONTH_ID]],10),"mmm")</f>
        <v>Jan</v>
      </c>
      <c r="K2649">
        <v>2004</v>
      </c>
      <c r="L2649" t="s">
        <v>580</v>
      </c>
      <c r="M2649">
        <v>118</v>
      </c>
      <c r="N2649" t="s">
        <v>682</v>
      </c>
      <c r="O2649" t="s">
        <v>316</v>
      </c>
      <c r="P2649" t="s">
        <v>317</v>
      </c>
      <c r="Q2649" t="s">
        <v>318</v>
      </c>
      <c r="S2649" t="s">
        <v>319</v>
      </c>
      <c r="T2649" t="s">
        <v>319</v>
      </c>
      <c r="U2649" t="s">
        <v>320</v>
      </c>
      <c r="V2649" t="s">
        <v>214</v>
      </c>
      <c r="W2649" t="s">
        <v>214</v>
      </c>
      <c r="X2649" t="s">
        <v>321</v>
      </c>
      <c r="Y2649" t="s">
        <v>322</v>
      </c>
      <c r="Z2649" t="s">
        <v>50</v>
      </c>
    </row>
    <row r="2650" spans="1:26" x14ac:dyDescent="0.3">
      <c r="A2650">
        <v>10223</v>
      </c>
      <c r="B2650">
        <v>29</v>
      </c>
      <c r="C2650">
        <v>100</v>
      </c>
      <c r="D2650">
        <v>8</v>
      </c>
      <c r="E2650">
        <v>3199.86</v>
      </c>
      <c r="F2650" s="1">
        <v>38037</v>
      </c>
      <c r="G2650" t="s">
        <v>39</v>
      </c>
      <c r="H2650">
        <v>1</v>
      </c>
      <c r="I2650">
        <v>2</v>
      </c>
      <c r="J2650" t="str">
        <f>TEXT(DATE(2012,Table1[[#This Row],[MONTH_ID]],10),"mmm")</f>
        <v>Feb</v>
      </c>
      <c r="K2650">
        <v>2004</v>
      </c>
      <c r="L2650" t="s">
        <v>580</v>
      </c>
      <c r="M2650">
        <v>118</v>
      </c>
      <c r="N2650" t="s">
        <v>682</v>
      </c>
      <c r="O2650" t="s">
        <v>103</v>
      </c>
      <c r="P2650" t="s">
        <v>104</v>
      </c>
      <c r="Q2650" t="s">
        <v>105</v>
      </c>
      <c r="R2650" t="s">
        <v>106</v>
      </c>
      <c r="S2650" t="s">
        <v>107</v>
      </c>
      <c r="T2650" t="s">
        <v>108</v>
      </c>
      <c r="U2650">
        <v>3004</v>
      </c>
      <c r="V2650" t="s">
        <v>109</v>
      </c>
      <c r="W2650" t="s">
        <v>110</v>
      </c>
      <c r="X2650" t="s">
        <v>111</v>
      </c>
      <c r="Y2650" t="s">
        <v>112</v>
      </c>
      <c r="Z2650" t="s">
        <v>65</v>
      </c>
    </row>
    <row r="2651" spans="1:26" x14ac:dyDescent="0.3">
      <c r="A2651">
        <v>10235</v>
      </c>
      <c r="B2651">
        <v>25</v>
      </c>
      <c r="C2651">
        <v>96.11</v>
      </c>
      <c r="D2651">
        <v>2</v>
      </c>
      <c r="E2651">
        <v>2402.75</v>
      </c>
      <c r="F2651" s="1">
        <v>38079</v>
      </c>
      <c r="G2651" t="s">
        <v>39</v>
      </c>
      <c r="H2651">
        <v>2</v>
      </c>
      <c r="I2651">
        <v>4</v>
      </c>
      <c r="J2651" t="str">
        <f>TEXT(DATE(2012,Table1[[#This Row],[MONTH_ID]],10),"mmm")</f>
        <v>Apr</v>
      </c>
      <c r="K2651">
        <v>2004</v>
      </c>
      <c r="L2651" t="s">
        <v>580</v>
      </c>
      <c r="M2651">
        <v>118</v>
      </c>
      <c r="N2651" t="s">
        <v>682</v>
      </c>
      <c r="O2651" t="s">
        <v>387</v>
      </c>
      <c r="P2651" t="s">
        <v>388</v>
      </c>
      <c r="Q2651" t="s">
        <v>389</v>
      </c>
      <c r="S2651" t="s">
        <v>390</v>
      </c>
      <c r="T2651" t="s">
        <v>243</v>
      </c>
      <c r="U2651" t="s">
        <v>391</v>
      </c>
      <c r="V2651" t="s">
        <v>245</v>
      </c>
      <c r="W2651" t="s">
        <v>47</v>
      </c>
      <c r="X2651" t="s">
        <v>392</v>
      </c>
      <c r="Y2651" t="s">
        <v>186</v>
      </c>
      <c r="Z2651" t="s">
        <v>50</v>
      </c>
    </row>
    <row r="2652" spans="1:26" x14ac:dyDescent="0.3">
      <c r="A2652">
        <v>10250</v>
      </c>
      <c r="B2652">
        <v>44</v>
      </c>
      <c r="C2652">
        <v>100</v>
      </c>
      <c r="D2652">
        <v>3</v>
      </c>
      <c r="E2652">
        <v>6055.72</v>
      </c>
      <c r="F2652" s="1">
        <v>38118</v>
      </c>
      <c r="G2652" t="s">
        <v>39</v>
      </c>
      <c r="H2652">
        <v>2</v>
      </c>
      <c r="I2652">
        <v>5</v>
      </c>
      <c r="J2652" t="str">
        <f>TEXT(DATE(2012,Table1[[#This Row],[MONTH_ID]],10),"mmm")</f>
        <v>May</v>
      </c>
      <c r="K2652">
        <v>2004</v>
      </c>
      <c r="L2652" t="s">
        <v>580</v>
      </c>
      <c r="M2652">
        <v>118</v>
      </c>
      <c r="N2652" t="s">
        <v>682</v>
      </c>
      <c r="O2652" t="s">
        <v>411</v>
      </c>
      <c r="P2652">
        <v>4085553659</v>
      </c>
      <c r="Q2652" t="s">
        <v>412</v>
      </c>
      <c r="S2652" t="s">
        <v>413</v>
      </c>
      <c r="T2652" t="s">
        <v>69</v>
      </c>
      <c r="U2652">
        <v>94217</v>
      </c>
      <c r="V2652" t="s">
        <v>46</v>
      </c>
      <c r="W2652" t="s">
        <v>47</v>
      </c>
      <c r="X2652" t="s">
        <v>116</v>
      </c>
      <c r="Y2652" t="s">
        <v>414</v>
      </c>
      <c r="Z2652" t="s">
        <v>65</v>
      </c>
    </row>
    <row r="2653" spans="1:26" x14ac:dyDescent="0.3">
      <c r="A2653">
        <v>10263</v>
      </c>
      <c r="B2653">
        <v>47</v>
      </c>
      <c r="C2653">
        <v>100</v>
      </c>
      <c r="D2653">
        <v>9</v>
      </c>
      <c r="E2653">
        <v>5465.16</v>
      </c>
      <c r="F2653" s="1">
        <v>38166</v>
      </c>
      <c r="G2653" t="s">
        <v>39</v>
      </c>
      <c r="H2653">
        <v>2</v>
      </c>
      <c r="I2653">
        <v>6</v>
      </c>
      <c r="J2653" t="str">
        <f>TEXT(DATE(2012,Table1[[#This Row],[MONTH_ID]],10),"mmm")</f>
        <v>Jun</v>
      </c>
      <c r="K2653">
        <v>2004</v>
      </c>
      <c r="L2653" t="s">
        <v>580</v>
      </c>
      <c r="M2653">
        <v>118</v>
      </c>
      <c r="N2653" t="s">
        <v>682</v>
      </c>
      <c r="O2653" t="s">
        <v>123</v>
      </c>
      <c r="P2653">
        <v>2035552570</v>
      </c>
      <c r="Q2653" t="s">
        <v>124</v>
      </c>
      <c r="S2653" t="s">
        <v>125</v>
      </c>
      <c r="T2653" t="s">
        <v>126</v>
      </c>
      <c r="U2653">
        <v>97562</v>
      </c>
      <c r="V2653" t="s">
        <v>46</v>
      </c>
      <c r="W2653" t="s">
        <v>47</v>
      </c>
      <c r="X2653" t="s">
        <v>127</v>
      </c>
      <c r="Y2653" t="s">
        <v>71</v>
      </c>
      <c r="Z2653" t="s">
        <v>65</v>
      </c>
    </row>
    <row r="2654" spans="1:26" x14ac:dyDescent="0.3">
      <c r="A2654">
        <v>10275</v>
      </c>
      <c r="B2654">
        <v>48</v>
      </c>
      <c r="C2654">
        <v>100</v>
      </c>
      <c r="D2654">
        <v>8</v>
      </c>
      <c r="E2654">
        <v>6378.72</v>
      </c>
      <c r="F2654" s="1">
        <v>38191</v>
      </c>
      <c r="G2654" t="s">
        <v>39</v>
      </c>
      <c r="H2654">
        <v>3</v>
      </c>
      <c r="I2654">
        <v>7</v>
      </c>
      <c r="J2654" t="str">
        <f>TEXT(DATE(2012,Table1[[#This Row],[MONTH_ID]],10),"mmm")</f>
        <v>Jul</v>
      </c>
      <c r="K2654">
        <v>2004</v>
      </c>
      <c r="L2654" t="s">
        <v>580</v>
      </c>
      <c r="M2654">
        <v>118</v>
      </c>
      <c r="N2654" t="s">
        <v>682</v>
      </c>
      <c r="O2654" t="s">
        <v>128</v>
      </c>
      <c r="P2654" t="s">
        <v>129</v>
      </c>
      <c r="Q2654" t="s">
        <v>130</v>
      </c>
      <c r="S2654" t="s">
        <v>131</v>
      </c>
      <c r="U2654">
        <v>44000</v>
      </c>
      <c r="V2654" t="s">
        <v>55</v>
      </c>
      <c r="W2654" t="s">
        <v>56</v>
      </c>
      <c r="X2654" t="s">
        <v>132</v>
      </c>
      <c r="Y2654" t="s">
        <v>133</v>
      </c>
      <c r="Z2654" t="s">
        <v>65</v>
      </c>
    </row>
    <row r="2655" spans="1:26" x14ac:dyDescent="0.3">
      <c r="A2655">
        <v>10285</v>
      </c>
      <c r="B2655">
        <v>45</v>
      </c>
      <c r="C2655">
        <v>100</v>
      </c>
      <c r="D2655">
        <v>13</v>
      </c>
      <c r="E2655">
        <v>5392.8</v>
      </c>
      <c r="F2655" s="1">
        <v>38226</v>
      </c>
      <c r="G2655" t="s">
        <v>39</v>
      </c>
      <c r="H2655">
        <v>3</v>
      </c>
      <c r="I2655">
        <v>8</v>
      </c>
      <c r="J2655" t="str">
        <f>TEXT(DATE(2012,Table1[[#This Row],[MONTH_ID]],10),"mmm")</f>
        <v>Aug</v>
      </c>
      <c r="K2655">
        <v>2004</v>
      </c>
      <c r="L2655" t="s">
        <v>580</v>
      </c>
      <c r="M2655">
        <v>118</v>
      </c>
      <c r="N2655" t="s">
        <v>682</v>
      </c>
      <c r="O2655" t="s">
        <v>134</v>
      </c>
      <c r="P2655">
        <v>6175558555</v>
      </c>
      <c r="Q2655" t="s">
        <v>135</v>
      </c>
      <c r="S2655" t="s">
        <v>136</v>
      </c>
      <c r="T2655" t="s">
        <v>137</v>
      </c>
      <c r="U2655">
        <v>51247</v>
      </c>
      <c r="V2655" t="s">
        <v>46</v>
      </c>
      <c r="W2655" t="s">
        <v>47</v>
      </c>
      <c r="X2655" t="s">
        <v>138</v>
      </c>
      <c r="Y2655" t="s">
        <v>139</v>
      </c>
      <c r="Z2655" t="s">
        <v>65</v>
      </c>
    </row>
    <row r="2656" spans="1:26" x14ac:dyDescent="0.3">
      <c r="A2656">
        <v>10297</v>
      </c>
      <c r="B2656">
        <v>35</v>
      </c>
      <c r="C2656">
        <v>100</v>
      </c>
      <c r="D2656">
        <v>3</v>
      </c>
      <c r="E2656">
        <v>3986.5</v>
      </c>
      <c r="F2656" s="1">
        <v>38246</v>
      </c>
      <c r="G2656" t="s">
        <v>39</v>
      </c>
      <c r="H2656">
        <v>3</v>
      </c>
      <c r="I2656">
        <v>9</v>
      </c>
      <c r="J2656" t="str">
        <f>TEXT(DATE(2012,Table1[[#This Row],[MONTH_ID]],10),"mmm")</f>
        <v>Sep</v>
      </c>
      <c r="K2656">
        <v>2004</v>
      </c>
      <c r="L2656" t="s">
        <v>580</v>
      </c>
      <c r="M2656">
        <v>118</v>
      </c>
      <c r="N2656" t="s">
        <v>682</v>
      </c>
      <c r="O2656" t="s">
        <v>493</v>
      </c>
      <c r="P2656" t="s">
        <v>494</v>
      </c>
      <c r="Q2656" t="s">
        <v>495</v>
      </c>
      <c r="R2656" t="s">
        <v>496</v>
      </c>
      <c r="S2656" t="s">
        <v>497</v>
      </c>
      <c r="U2656">
        <v>2</v>
      </c>
      <c r="V2656" t="s">
        <v>498</v>
      </c>
      <c r="W2656" t="s">
        <v>56</v>
      </c>
      <c r="X2656" t="s">
        <v>499</v>
      </c>
      <c r="Y2656" t="s">
        <v>500</v>
      </c>
      <c r="Z2656" t="s">
        <v>65</v>
      </c>
    </row>
    <row r="2657" spans="1:26" x14ac:dyDescent="0.3">
      <c r="A2657">
        <v>10308</v>
      </c>
      <c r="B2657">
        <v>31</v>
      </c>
      <c r="C2657">
        <v>100</v>
      </c>
      <c r="D2657">
        <v>6</v>
      </c>
      <c r="E2657">
        <v>4009.23</v>
      </c>
      <c r="F2657" s="1">
        <v>38275</v>
      </c>
      <c r="G2657" t="s">
        <v>39</v>
      </c>
      <c r="H2657">
        <v>4</v>
      </c>
      <c r="I2657">
        <v>10</v>
      </c>
      <c r="J2657" t="str">
        <f>TEXT(DATE(2012,Table1[[#This Row],[MONTH_ID]],10),"mmm")</f>
        <v>Oct</v>
      </c>
      <c r="K2657">
        <v>2004</v>
      </c>
      <c r="L2657" t="s">
        <v>580</v>
      </c>
      <c r="M2657">
        <v>118</v>
      </c>
      <c r="N2657" t="s">
        <v>682</v>
      </c>
      <c r="O2657" t="s">
        <v>331</v>
      </c>
      <c r="P2657">
        <v>9145554562</v>
      </c>
      <c r="Q2657" t="s">
        <v>332</v>
      </c>
      <c r="S2657" t="s">
        <v>333</v>
      </c>
      <c r="T2657" t="s">
        <v>45</v>
      </c>
      <c r="U2657">
        <v>24067</v>
      </c>
      <c r="V2657" t="s">
        <v>46</v>
      </c>
      <c r="W2657" t="s">
        <v>47</v>
      </c>
      <c r="X2657" t="s">
        <v>116</v>
      </c>
      <c r="Y2657" t="s">
        <v>252</v>
      </c>
      <c r="Z2657" t="s">
        <v>65</v>
      </c>
    </row>
    <row r="2658" spans="1:26" x14ac:dyDescent="0.3">
      <c r="A2658">
        <v>10318</v>
      </c>
      <c r="B2658">
        <v>50</v>
      </c>
      <c r="C2658">
        <v>100</v>
      </c>
      <c r="D2658">
        <v>8</v>
      </c>
      <c r="E2658">
        <v>7119</v>
      </c>
      <c r="F2658" s="1">
        <v>38293</v>
      </c>
      <c r="G2658" t="s">
        <v>39</v>
      </c>
      <c r="H2658">
        <v>4</v>
      </c>
      <c r="I2658">
        <v>11</v>
      </c>
      <c r="J2658" t="str">
        <f>TEXT(DATE(2012,Table1[[#This Row],[MONTH_ID]],10),"mmm")</f>
        <v>Nov</v>
      </c>
      <c r="K2658">
        <v>2004</v>
      </c>
      <c r="L2658" t="s">
        <v>580</v>
      </c>
      <c r="M2658">
        <v>118</v>
      </c>
      <c r="N2658" t="s">
        <v>682</v>
      </c>
      <c r="O2658" t="s">
        <v>153</v>
      </c>
      <c r="P2658">
        <v>2155551555</v>
      </c>
      <c r="Q2658" t="s">
        <v>154</v>
      </c>
      <c r="S2658" t="s">
        <v>155</v>
      </c>
      <c r="T2658" t="s">
        <v>156</v>
      </c>
      <c r="U2658">
        <v>70267</v>
      </c>
      <c r="V2658" t="s">
        <v>46</v>
      </c>
      <c r="W2658" t="s">
        <v>47</v>
      </c>
      <c r="X2658" t="s">
        <v>48</v>
      </c>
      <c r="Y2658" t="s">
        <v>157</v>
      </c>
      <c r="Z2658" t="s">
        <v>165</v>
      </c>
    </row>
    <row r="2659" spans="1:26" x14ac:dyDescent="0.3">
      <c r="A2659">
        <v>10328</v>
      </c>
      <c r="B2659">
        <v>33</v>
      </c>
      <c r="C2659">
        <v>100</v>
      </c>
      <c r="D2659">
        <v>11</v>
      </c>
      <c r="E2659">
        <v>4072.2</v>
      </c>
      <c r="F2659" s="1">
        <v>38303</v>
      </c>
      <c r="G2659" t="s">
        <v>39</v>
      </c>
      <c r="H2659">
        <v>4</v>
      </c>
      <c r="I2659">
        <v>11</v>
      </c>
      <c r="J2659" t="str">
        <f>TEXT(DATE(2012,Table1[[#This Row],[MONTH_ID]],10),"mmm")</f>
        <v>Nov</v>
      </c>
      <c r="K2659">
        <v>2004</v>
      </c>
      <c r="L2659" t="s">
        <v>580</v>
      </c>
      <c r="M2659">
        <v>118</v>
      </c>
      <c r="N2659" t="s">
        <v>682</v>
      </c>
      <c r="O2659" t="s">
        <v>566</v>
      </c>
      <c r="P2659" t="s">
        <v>567</v>
      </c>
      <c r="Q2659" t="s">
        <v>568</v>
      </c>
      <c r="S2659" t="s">
        <v>569</v>
      </c>
      <c r="U2659">
        <v>24100</v>
      </c>
      <c r="V2659" t="s">
        <v>272</v>
      </c>
      <c r="W2659" t="s">
        <v>56</v>
      </c>
      <c r="X2659" t="s">
        <v>570</v>
      </c>
      <c r="Y2659" t="s">
        <v>571</v>
      </c>
      <c r="Z2659" t="s">
        <v>65</v>
      </c>
    </row>
    <row r="2660" spans="1:26" x14ac:dyDescent="0.3">
      <c r="A2660">
        <v>10340</v>
      </c>
      <c r="B2660">
        <v>29</v>
      </c>
      <c r="C2660">
        <v>100</v>
      </c>
      <c r="D2660">
        <v>6</v>
      </c>
      <c r="E2660">
        <v>4094.51</v>
      </c>
      <c r="F2660" s="1">
        <v>38315</v>
      </c>
      <c r="G2660" t="s">
        <v>39</v>
      </c>
      <c r="H2660">
        <v>4</v>
      </c>
      <c r="I2660">
        <v>11</v>
      </c>
      <c r="J2660" t="str">
        <f>TEXT(DATE(2012,Table1[[#This Row],[MONTH_ID]],10),"mmm")</f>
        <v>Nov</v>
      </c>
      <c r="K2660">
        <v>2004</v>
      </c>
      <c r="L2660" t="s">
        <v>580</v>
      </c>
      <c r="M2660">
        <v>118</v>
      </c>
      <c r="N2660" t="s">
        <v>682</v>
      </c>
      <c r="O2660" t="s">
        <v>366</v>
      </c>
      <c r="P2660" t="s">
        <v>367</v>
      </c>
      <c r="Q2660" t="s">
        <v>368</v>
      </c>
      <c r="S2660" t="s">
        <v>369</v>
      </c>
      <c r="U2660">
        <v>8022</v>
      </c>
      <c r="V2660" t="s">
        <v>192</v>
      </c>
      <c r="W2660" t="s">
        <v>56</v>
      </c>
      <c r="X2660" t="s">
        <v>370</v>
      </c>
      <c r="Y2660" t="s">
        <v>371</v>
      </c>
      <c r="Z2660" t="s">
        <v>65</v>
      </c>
    </row>
    <row r="2661" spans="1:26" x14ac:dyDescent="0.3">
      <c r="A2661">
        <v>10353</v>
      </c>
      <c r="B2661">
        <v>48</v>
      </c>
      <c r="C2661">
        <v>68.8</v>
      </c>
      <c r="D2661">
        <v>4</v>
      </c>
      <c r="E2661">
        <v>3302.4</v>
      </c>
      <c r="F2661" s="1">
        <v>38325</v>
      </c>
      <c r="G2661" t="s">
        <v>39</v>
      </c>
      <c r="H2661">
        <v>4</v>
      </c>
      <c r="I2661">
        <v>12</v>
      </c>
      <c r="J2661" t="str">
        <f>TEXT(DATE(2012,Table1[[#This Row],[MONTH_ID]],10),"mmm")</f>
        <v>Dec</v>
      </c>
      <c r="K2661">
        <v>2004</v>
      </c>
      <c r="L2661" t="s">
        <v>580</v>
      </c>
      <c r="M2661">
        <v>118</v>
      </c>
      <c r="N2661" t="s">
        <v>682</v>
      </c>
      <c r="O2661" t="s">
        <v>582</v>
      </c>
      <c r="P2661">
        <v>2035554407</v>
      </c>
      <c r="Q2661" t="s">
        <v>583</v>
      </c>
      <c r="S2661" t="s">
        <v>530</v>
      </c>
      <c r="T2661" t="s">
        <v>126</v>
      </c>
      <c r="U2661">
        <v>97561</v>
      </c>
      <c r="V2661" t="s">
        <v>46</v>
      </c>
      <c r="W2661" t="s">
        <v>47</v>
      </c>
      <c r="X2661" t="s">
        <v>584</v>
      </c>
      <c r="Y2661" t="s">
        <v>585</v>
      </c>
      <c r="Z2661" t="s">
        <v>65</v>
      </c>
    </row>
    <row r="2662" spans="1:26" x14ac:dyDescent="0.3">
      <c r="A2662">
        <v>10361</v>
      </c>
      <c r="B2662">
        <v>44</v>
      </c>
      <c r="C2662">
        <v>72.42</v>
      </c>
      <c r="D2662">
        <v>5</v>
      </c>
      <c r="E2662">
        <v>3186.48</v>
      </c>
      <c r="F2662" s="1">
        <v>38338</v>
      </c>
      <c r="G2662" t="s">
        <v>39</v>
      </c>
      <c r="H2662">
        <v>4</v>
      </c>
      <c r="I2662">
        <v>12</v>
      </c>
      <c r="J2662" t="str">
        <f>TEXT(DATE(2012,Table1[[#This Row],[MONTH_ID]],10),"mmm")</f>
        <v>Dec</v>
      </c>
      <c r="K2662">
        <v>2004</v>
      </c>
      <c r="L2662" t="s">
        <v>580</v>
      </c>
      <c r="M2662">
        <v>118</v>
      </c>
      <c r="N2662" t="s">
        <v>682</v>
      </c>
      <c r="O2662" t="s">
        <v>166</v>
      </c>
      <c r="P2662" t="s">
        <v>167</v>
      </c>
      <c r="Q2662" t="s">
        <v>168</v>
      </c>
      <c r="R2662" t="s">
        <v>169</v>
      </c>
      <c r="S2662" t="s">
        <v>170</v>
      </c>
      <c r="T2662" t="s">
        <v>171</v>
      </c>
      <c r="U2662">
        <v>2067</v>
      </c>
      <c r="V2662" t="s">
        <v>109</v>
      </c>
      <c r="W2662" t="s">
        <v>110</v>
      </c>
      <c r="X2662" t="s">
        <v>172</v>
      </c>
      <c r="Y2662" t="s">
        <v>173</v>
      </c>
      <c r="Z2662" t="s">
        <v>65</v>
      </c>
    </row>
    <row r="2663" spans="1:26" x14ac:dyDescent="0.3">
      <c r="A2663">
        <v>10375</v>
      </c>
      <c r="B2663">
        <v>25</v>
      </c>
      <c r="C2663">
        <v>66.73</v>
      </c>
      <c r="D2663">
        <v>10</v>
      </c>
      <c r="E2663">
        <v>1668.25</v>
      </c>
      <c r="F2663" s="1">
        <v>38386</v>
      </c>
      <c r="G2663" t="s">
        <v>39</v>
      </c>
      <c r="H2663">
        <v>1</v>
      </c>
      <c r="I2663">
        <v>2</v>
      </c>
      <c r="J2663" t="str">
        <f>TEXT(DATE(2012,Table1[[#This Row],[MONTH_ID]],10),"mmm")</f>
        <v>Feb</v>
      </c>
      <c r="K2663">
        <v>2005</v>
      </c>
      <c r="L2663" t="s">
        <v>580</v>
      </c>
      <c r="M2663">
        <v>118</v>
      </c>
      <c r="N2663" t="s">
        <v>682</v>
      </c>
      <c r="O2663" t="s">
        <v>128</v>
      </c>
      <c r="P2663" t="s">
        <v>129</v>
      </c>
      <c r="Q2663" t="s">
        <v>130</v>
      </c>
      <c r="S2663" t="s">
        <v>131</v>
      </c>
      <c r="U2663">
        <v>44000</v>
      </c>
      <c r="V2663" t="s">
        <v>55</v>
      </c>
      <c r="W2663" t="s">
        <v>56</v>
      </c>
      <c r="X2663" t="s">
        <v>132</v>
      </c>
      <c r="Y2663" t="s">
        <v>133</v>
      </c>
      <c r="Z2663" t="s">
        <v>50</v>
      </c>
    </row>
    <row r="2664" spans="1:26" x14ac:dyDescent="0.3">
      <c r="A2664">
        <v>10388</v>
      </c>
      <c r="B2664">
        <v>50</v>
      </c>
      <c r="C2664">
        <v>100</v>
      </c>
      <c r="D2664">
        <v>3</v>
      </c>
      <c r="E2664">
        <v>7154.5</v>
      </c>
      <c r="F2664" s="1">
        <v>38414</v>
      </c>
      <c r="G2664" t="s">
        <v>39</v>
      </c>
      <c r="H2664">
        <v>1</v>
      </c>
      <c r="I2664">
        <v>3</v>
      </c>
      <c r="J2664" t="str">
        <f>TEXT(DATE(2012,Table1[[#This Row],[MONTH_ID]],10),"mmm")</f>
        <v>Mar</v>
      </c>
      <c r="K2664">
        <v>2005</v>
      </c>
      <c r="L2664" t="s">
        <v>580</v>
      </c>
      <c r="M2664">
        <v>118</v>
      </c>
      <c r="N2664" t="s">
        <v>682</v>
      </c>
      <c r="O2664" t="s">
        <v>174</v>
      </c>
      <c r="P2664">
        <v>5085552555</v>
      </c>
      <c r="Q2664" t="s">
        <v>175</v>
      </c>
      <c r="S2664" t="s">
        <v>176</v>
      </c>
      <c r="T2664" t="s">
        <v>137</v>
      </c>
      <c r="U2664">
        <v>50553</v>
      </c>
      <c r="V2664" t="s">
        <v>46</v>
      </c>
      <c r="W2664" t="s">
        <v>47</v>
      </c>
      <c r="X2664" t="s">
        <v>177</v>
      </c>
      <c r="Y2664" t="s">
        <v>178</v>
      </c>
      <c r="Z2664" t="s">
        <v>165</v>
      </c>
    </row>
    <row r="2665" spans="1:26" x14ac:dyDescent="0.3">
      <c r="A2665">
        <v>10398</v>
      </c>
      <c r="B2665">
        <v>23</v>
      </c>
      <c r="C2665">
        <v>100</v>
      </c>
      <c r="D2665">
        <v>9</v>
      </c>
      <c r="E2665">
        <v>2810.83</v>
      </c>
      <c r="F2665" s="1">
        <v>38441</v>
      </c>
      <c r="G2665" t="s">
        <v>39</v>
      </c>
      <c r="H2665">
        <v>1</v>
      </c>
      <c r="I2665">
        <v>3</v>
      </c>
      <c r="J2665" t="str">
        <f>TEXT(DATE(2012,Table1[[#This Row],[MONTH_ID]],10),"mmm")</f>
        <v>Mar</v>
      </c>
      <c r="K2665">
        <v>2005</v>
      </c>
      <c r="L2665" t="s">
        <v>580</v>
      </c>
      <c r="M2665">
        <v>118</v>
      </c>
      <c r="N2665" t="s">
        <v>682</v>
      </c>
      <c r="O2665" t="s">
        <v>51</v>
      </c>
      <c r="P2665" t="s">
        <v>52</v>
      </c>
      <c r="Q2665" t="s">
        <v>53</v>
      </c>
      <c r="S2665" t="s">
        <v>54</v>
      </c>
      <c r="U2665">
        <v>51100</v>
      </c>
      <c r="V2665" t="s">
        <v>55</v>
      </c>
      <c r="W2665" t="s">
        <v>56</v>
      </c>
      <c r="X2665" t="s">
        <v>57</v>
      </c>
      <c r="Y2665" t="s">
        <v>58</v>
      </c>
      <c r="Z2665" t="s">
        <v>50</v>
      </c>
    </row>
    <row r="2666" spans="1:26" x14ac:dyDescent="0.3">
      <c r="A2666">
        <v>10401</v>
      </c>
      <c r="B2666">
        <v>21</v>
      </c>
      <c r="C2666">
        <v>96.11</v>
      </c>
      <c r="D2666">
        <v>2</v>
      </c>
      <c r="E2666">
        <v>2018.31</v>
      </c>
      <c r="F2666" s="1">
        <v>38445</v>
      </c>
      <c r="G2666" t="s">
        <v>415</v>
      </c>
      <c r="H2666">
        <v>2</v>
      </c>
      <c r="I2666">
        <v>4</v>
      </c>
      <c r="J2666" t="str">
        <f>TEXT(DATE(2012,Table1[[#This Row],[MONTH_ID]],10),"mmm")</f>
        <v>Apr</v>
      </c>
      <c r="K2666">
        <v>2005</v>
      </c>
      <c r="L2666" t="s">
        <v>580</v>
      </c>
      <c r="M2666">
        <v>118</v>
      </c>
      <c r="N2666" t="s">
        <v>682</v>
      </c>
      <c r="O2666" t="s">
        <v>118</v>
      </c>
      <c r="P2666">
        <v>2015559350</v>
      </c>
      <c r="Q2666" t="s">
        <v>119</v>
      </c>
      <c r="S2666" t="s">
        <v>120</v>
      </c>
      <c r="T2666" t="s">
        <v>121</v>
      </c>
      <c r="U2666">
        <v>94019</v>
      </c>
      <c r="V2666" t="s">
        <v>46</v>
      </c>
      <c r="W2666" t="s">
        <v>47</v>
      </c>
      <c r="X2666" t="s">
        <v>75</v>
      </c>
      <c r="Y2666" t="s">
        <v>122</v>
      </c>
      <c r="Z2666" t="s">
        <v>50</v>
      </c>
    </row>
    <row r="2667" spans="1:26" x14ac:dyDescent="0.3">
      <c r="A2667">
        <v>10416</v>
      </c>
      <c r="B2667">
        <v>41</v>
      </c>
      <c r="C2667">
        <v>100</v>
      </c>
      <c r="D2667">
        <v>3</v>
      </c>
      <c r="E2667">
        <v>5642.83</v>
      </c>
      <c r="F2667" s="1">
        <v>38482</v>
      </c>
      <c r="G2667" t="s">
        <v>39</v>
      </c>
      <c r="H2667">
        <v>2</v>
      </c>
      <c r="I2667">
        <v>5</v>
      </c>
      <c r="J2667" t="str">
        <f>TEXT(DATE(2012,Table1[[#This Row],[MONTH_ID]],10),"mmm")</f>
        <v>May</v>
      </c>
      <c r="K2667">
        <v>2005</v>
      </c>
      <c r="L2667" t="s">
        <v>580</v>
      </c>
      <c r="M2667">
        <v>118</v>
      </c>
      <c r="N2667" t="s">
        <v>682</v>
      </c>
      <c r="O2667" t="s">
        <v>466</v>
      </c>
      <c r="P2667" t="s">
        <v>467</v>
      </c>
      <c r="Q2667" t="s">
        <v>468</v>
      </c>
      <c r="S2667" t="s">
        <v>469</v>
      </c>
      <c r="U2667">
        <v>42100</v>
      </c>
      <c r="V2667" t="s">
        <v>272</v>
      </c>
      <c r="W2667" t="s">
        <v>56</v>
      </c>
      <c r="X2667" t="s">
        <v>470</v>
      </c>
      <c r="Y2667" t="s">
        <v>471</v>
      </c>
      <c r="Z2667" t="s">
        <v>65</v>
      </c>
    </row>
    <row r="2668" spans="1:26" x14ac:dyDescent="0.3">
      <c r="A2668">
        <v>10106</v>
      </c>
      <c r="B2668">
        <v>44</v>
      </c>
      <c r="C2668">
        <v>74.400000000000006</v>
      </c>
      <c r="D2668">
        <v>8</v>
      </c>
      <c r="E2668">
        <v>3273.6</v>
      </c>
      <c r="F2668" s="1">
        <v>37669</v>
      </c>
      <c r="G2668" t="s">
        <v>39</v>
      </c>
      <c r="H2668">
        <v>1</v>
      </c>
      <c r="I2668">
        <v>2</v>
      </c>
      <c r="J2668" t="str">
        <f>TEXT(DATE(2012,Table1[[#This Row],[MONTH_ID]],10),"mmm")</f>
        <v>Feb</v>
      </c>
      <c r="K2668">
        <v>2003</v>
      </c>
      <c r="L2668" t="s">
        <v>580</v>
      </c>
      <c r="M2668">
        <v>80</v>
      </c>
      <c r="N2668" t="s">
        <v>683</v>
      </c>
      <c r="O2668" t="s">
        <v>566</v>
      </c>
      <c r="P2668" t="s">
        <v>567</v>
      </c>
      <c r="Q2668" t="s">
        <v>568</v>
      </c>
      <c r="S2668" t="s">
        <v>569</v>
      </c>
      <c r="U2668">
        <v>24100</v>
      </c>
      <c r="V2668" t="s">
        <v>272</v>
      </c>
      <c r="W2668" t="s">
        <v>56</v>
      </c>
      <c r="X2668" t="s">
        <v>570</v>
      </c>
      <c r="Y2668" t="s">
        <v>571</v>
      </c>
      <c r="Z2668" t="s">
        <v>65</v>
      </c>
    </row>
    <row r="2669" spans="1:26" x14ac:dyDescent="0.3">
      <c r="A2669">
        <v>10120</v>
      </c>
      <c r="B2669">
        <v>43</v>
      </c>
      <c r="C2669">
        <v>76</v>
      </c>
      <c r="D2669">
        <v>14</v>
      </c>
      <c r="E2669">
        <v>3268</v>
      </c>
      <c r="F2669" s="1">
        <v>37740</v>
      </c>
      <c r="G2669" t="s">
        <v>39</v>
      </c>
      <c r="H2669">
        <v>2</v>
      </c>
      <c r="I2669">
        <v>4</v>
      </c>
      <c r="J2669" t="str">
        <f>TEXT(DATE(2012,Table1[[#This Row],[MONTH_ID]],10),"mmm")</f>
        <v>Apr</v>
      </c>
      <c r="K2669">
        <v>2003</v>
      </c>
      <c r="L2669" t="s">
        <v>580</v>
      </c>
      <c r="M2669">
        <v>80</v>
      </c>
      <c r="N2669" t="s">
        <v>683</v>
      </c>
      <c r="O2669" t="s">
        <v>103</v>
      </c>
      <c r="P2669" t="s">
        <v>104</v>
      </c>
      <c r="Q2669" t="s">
        <v>105</v>
      </c>
      <c r="R2669" t="s">
        <v>106</v>
      </c>
      <c r="S2669" t="s">
        <v>107</v>
      </c>
      <c r="T2669" t="s">
        <v>108</v>
      </c>
      <c r="U2669">
        <v>3004</v>
      </c>
      <c r="V2669" t="s">
        <v>109</v>
      </c>
      <c r="W2669" t="s">
        <v>110</v>
      </c>
      <c r="X2669" t="s">
        <v>111</v>
      </c>
      <c r="Y2669" t="s">
        <v>112</v>
      </c>
      <c r="Z2669" t="s">
        <v>65</v>
      </c>
    </row>
    <row r="2670" spans="1:26" x14ac:dyDescent="0.3">
      <c r="A2670">
        <v>10143</v>
      </c>
      <c r="B2670">
        <v>28</v>
      </c>
      <c r="C2670">
        <v>96</v>
      </c>
      <c r="D2670">
        <v>3</v>
      </c>
      <c r="E2670">
        <v>2688</v>
      </c>
      <c r="F2670" s="1">
        <v>37843</v>
      </c>
      <c r="G2670" t="s">
        <v>39</v>
      </c>
      <c r="H2670">
        <v>3</v>
      </c>
      <c r="I2670">
        <v>8</v>
      </c>
      <c r="J2670" t="str">
        <f>TEXT(DATE(2012,Table1[[#This Row],[MONTH_ID]],10),"mmm")</f>
        <v>Aug</v>
      </c>
      <c r="K2670">
        <v>2003</v>
      </c>
      <c r="L2670" t="s">
        <v>580</v>
      </c>
      <c r="M2670">
        <v>80</v>
      </c>
      <c r="N2670" t="s">
        <v>683</v>
      </c>
      <c r="O2670" t="s">
        <v>349</v>
      </c>
      <c r="P2670">
        <v>5085559555</v>
      </c>
      <c r="Q2670" t="s">
        <v>350</v>
      </c>
      <c r="S2670" t="s">
        <v>176</v>
      </c>
      <c r="T2670" t="s">
        <v>137</v>
      </c>
      <c r="U2670">
        <v>50553</v>
      </c>
      <c r="V2670" t="s">
        <v>46</v>
      </c>
      <c r="W2670" t="s">
        <v>47</v>
      </c>
      <c r="X2670" t="s">
        <v>351</v>
      </c>
      <c r="Y2670" t="s">
        <v>352</v>
      </c>
      <c r="Z2670" t="s">
        <v>50</v>
      </c>
    </row>
    <row r="2671" spans="1:26" x14ac:dyDescent="0.3">
      <c r="A2671">
        <v>10155</v>
      </c>
      <c r="B2671">
        <v>43</v>
      </c>
      <c r="C2671">
        <v>86.4</v>
      </c>
      <c r="D2671">
        <v>1</v>
      </c>
      <c r="E2671">
        <v>3715.2</v>
      </c>
      <c r="F2671" s="1">
        <v>37900</v>
      </c>
      <c r="G2671" t="s">
        <v>39</v>
      </c>
      <c r="H2671">
        <v>4</v>
      </c>
      <c r="I2671">
        <v>10</v>
      </c>
      <c r="J2671" t="str">
        <f>TEXT(DATE(2012,Table1[[#This Row],[MONTH_ID]],10),"mmm")</f>
        <v>Oct</v>
      </c>
      <c r="K2671">
        <v>2003</v>
      </c>
      <c r="L2671" t="s">
        <v>580</v>
      </c>
      <c r="M2671">
        <v>80</v>
      </c>
      <c r="N2671" t="s">
        <v>683</v>
      </c>
      <c r="O2671" t="s">
        <v>140</v>
      </c>
      <c r="P2671" t="s">
        <v>141</v>
      </c>
      <c r="Q2671" t="s">
        <v>142</v>
      </c>
      <c r="S2671" t="s">
        <v>143</v>
      </c>
      <c r="U2671">
        <v>21240</v>
      </c>
      <c r="V2671" t="s">
        <v>144</v>
      </c>
      <c r="W2671" t="s">
        <v>56</v>
      </c>
      <c r="X2671" t="s">
        <v>145</v>
      </c>
      <c r="Y2671" t="s">
        <v>146</v>
      </c>
      <c r="Z2671" t="s">
        <v>65</v>
      </c>
    </row>
    <row r="2672" spans="1:26" x14ac:dyDescent="0.3">
      <c r="A2672">
        <v>10168</v>
      </c>
      <c r="B2672">
        <v>48</v>
      </c>
      <c r="C2672">
        <v>96</v>
      </c>
      <c r="D2672">
        <v>15</v>
      </c>
      <c r="E2672">
        <v>4608</v>
      </c>
      <c r="F2672" s="1">
        <v>37922</v>
      </c>
      <c r="G2672" t="s">
        <v>39</v>
      </c>
      <c r="H2672">
        <v>4</v>
      </c>
      <c r="I2672">
        <v>10</v>
      </c>
      <c r="J2672" t="str">
        <f>TEXT(DATE(2012,Table1[[#This Row],[MONTH_ID]],10),"mmm")</f>
        <v>Oct</v>
      </c>
      <c r="K2672">
        <v>2003</v>
      </c>
      <c r="L2672" t="s">
        <v>580</v>
      </c>
      <c r="M2672">
        <v>80</v>
      </c>
      <c r="N2672" t="s">
        <v>683</v>
      </c>
      <c r="O2672" t="s">
        <v>76</v>
      </c>
      <c r="P2672">
        <v>6505556809</v>
      </c>
      <c r="Q2672" t="s">
        <v>77</v>
      </c>
      <c r="S2672" t="s">
        <v>78</v>
      </c>
      <c r="T2672" t="s">
        <v>69</v>
      </c>
      <c r="U2672">
        <v>94217</v>
      </c>
      <c r="V2672" t="s">
        <v>46</v>
      </c>
      <c r="W2672" t="s">
        <v>47</v>
      </c>
      <c r="X2672" t="s">
        <v>79</v>
      </c>
      <c r="Y2672" t="s">
        <v>80</v>
      </c>
      <c r="Z2672" t="s">
        <v>65</v>
      </c>
    </row>
    <row r="2673" spans="1:26" x14ac:dyDescent="0.3">
      <c r="A2673">
        <v>10199</v>
      </c>
      <c r="B2673">
        <v>38</v>
      </c>
      <c r="C2673">
        <v>82.4</v>
      </c>
      <c r="D2673">
        <v>3</v>
      </c>
      <c r="E2673">
        <v>3131.2</v>
      </c>
      <c r="F2673" s="1">
        <v>37956</v>
      </c>
      <c r="G2673" t="s">
        <v>39</v>
      </c>
      <c r="H2673">
        <v>4</v>
      </c>
      <c r="I2673">
        <v>12</v>
      </c>
      <c r="J2673" t="str">
        <f>TEXT(DATE(2012,Table1[[#This Row],[MONTH_ID]],10),"mmm")</f>
        <v>Dec</v>
      </c>
      <c r="K2673">
        <v>2003</v>
      </c>
      <c r="L2673" t="s">
        <v>580</v>
      </c>
      <c r="M2673">
        <v>80</v>
      </c>
      <c r="N2673" t="s">
        <v>683</v>
      </c>
      <c r="O2673" t="s">
        <v>248</v>
      </c>
      <c r="P2673">
        <v>3105553722</v>
      </c>
      <c r="Q2673" t="s">
        <v>249</v>
      </c>
      <c r="S2673" t="s">
        <v>250</v>
      </c>
      <c r="T2673" t="s">
        <v>69</v>
      </c>
      <c r="U2673">
        <v>94019</v>
      </c>
      <c r="V2673" t="s">
        <v>46</v>
      </c>
      <c r="W2673" t="s">
        <v>47</v>
      </c>
      <c r="X2673" t="s">
        <v>251</v>
      </c>
      <c r="Y2673" t="s">
        <v>252</v>
      </c>
      <c r="Z2673" t="s">
        <v>65</v>
      </c>
    </row>
    <row r="2674" spans="1:26" x14ac:dyDescent="0.3">
      <c r="A2674">
        <v>10210</v>
      </c>
      <c r="B2674">
        <v>31</v>
      </c>
      <c r="C2674">
        <v>86.4</v>
      </c>
      <c r="D2674">
        <v>13</v>
      </c>
      <c r="E2674">
        <v>2678.4</v>
      </c>
      <c r="F2674" s="1">
        <v>37998</v>
      </c>
      <c r="G2674" t="s">
        <v>39</v>
      </c>
      <c r="H2674">
        <v>1</v>
      </c>
      <c r="I2674">
        <v>1</v>
      </c>
      <c r="J2674" t="str">
        <f>TEXT(DATE(2012,Table1[[#This Row],[MONTH_ID]],10),"mmm")</f>
        <v>Jan</v>
      </c>
      <c r="K2674">
        <v>2004</v>
      </c>
      <c r="L2674" t="s">
        <v>580</v>
      </c>
      <c r="M2674">
        <v>80</v>
      </c>
      <c r="N2674" t="s">
        <v>683</v>
      </c>
      <c r="O2674" t="s">
        <v>316</v>
      </c>
      <c r="P2674" t="s">
        <v>317</v>
      </c>
      <c r="Q2674" t="s">
        <v>318</v>
      </c>
      <c r="S2674" t="s">
        <v>319</v>
      </c>
      <c r="T2674" t="s">
        <v>319</v>
      </c>
      <c r="U2674" t="s">
        <v>320</v>
      </c>
      <c r="V2674" t="s">
        <v>214</v>
      </c>
      <c r="W2674" t="s">
        <v>214</v>
      </c>
      <c r="X2674" t="s">
        <v>321</v>
      </c>
      <c r="Y2674" t="s">
        <v>322</v>
      </c>
      <c r="Z2674" t="s">
        <v>50</v>
      </c>
    </row>
    <row r="2675" spans="1:26" x14ac:dyDescent="0.3">
      <c r="A2675">
        <v>10223</v>
      </c>
      <c r="B2675">
        <v>26</v>
      </c>
      <c r="C2675">
        <v>67.2</v>
      </c>
      <c r="D2675">
        <v>15</v>
      </c>
      <c r="E2675">
        <v>1747.2</v>
      </c>
      <c r="F2675" s="1">
        <v>38037</v>
      </c>
      <c r="G2675" t="s">
        <v>39</v>
      </c>
      <c r="H2675">
        <v>1</v>
      </c>
      <c r="I2675">
        <v>2</v>
      </c>
      <c r="J2675" t="str">
        <f>TEXT(DATE(2012,Table1[[#This Row],[MONTH_ID]],10),"mmm")</f>
        <v>Feb</v>
      </c>
      <c r="K2675">
        <v>2004</v>
      </c>
      <c r="L2675" t="s">
        <v>580</v>
      </c>
      <c r="M2675">
        <v>80</v>
      </c>
      <c r="N2675" t="s">
        <v>683</v>
      </c>
      <c r="O2675" t="s">
        <v>103</v>
      </c>
      <c r="P2675" t="s">
        <v>104</v>
      </c>
      <c r="Q2675" t="s">
        <v>105</v>
      </c>
      <c r="R2675" t="s">
        <v>106</v>
      </c>
      <c r="S2675" t="s">
        <v>107</v>
      </c>
      <c r="T2675" t="s">
        <v>108</v>
      </c>
      <c r="U2675">
        <v>3004</v>
      </c>
      <c r="V2675" t="s">
        <v>109</v>
      </c>
      <c r="W2675" t="s">
        <v>110</v>
      </c>
      <c r="X2675" t="s">
        <v>111</v>
      </c>
      <c r="Y2675" t="s">
        <v>112</v>
      </c>
      <c r="Z2675" t="s">
        <v>50</v>
      </c>
    </row>
    <row r="2676" spans="1:26" x14ac:dyDescent="0.3">
      <c r="A2676">
        <v>10235</v>
      </c>
      <c r="B2676">
        <v>32</v>
      </c>
      <c r="C2676">
        <v>92</v>
      </c>
      <c r="D2676">
        <v>9</v>
      </c>
      <c r="E2676">
        <v>2944</v>
      </c>
      <c r="F2676" s="1">
        <v>38079</v>
      </c>
      <c r="G2676" t="s">
        <v>39</v>
      </c>
      <c r="H2676">
        <v>2</v>
      </c>
      <c r="I2676">
        <v>4</v>
      </c>
      <c r="J2676" t="str">
        <f>TEXT(DATE(2012,Table1[[#This Row],[MONTH_ID]],10),"mmm")</f>
        <v>Apr</v>
      </c>
      <c r="K2676">
        <v>2004</v>
      </c>
      <c r="L2676" t="s">
        <v>580</v>
      </c>
      <c r="M2676">
        <v>80</v>
      </c>
      <c r="N2676" t="s">
        <v>683</v>
      </c>
      <c r="O2676" t="s">
        <v>387</v>
      </c>
      <c r="P2676" t="s">
        <v>388</v>
      </c>
      <c r="Q2676" t="s">
        <v>389</v>
      </c>
      <c r="S2676" t="s">
        <v>390</v>
      </c>
      <c r="T2676" t="s">
        <v>243</v>
      </c>
      <c r="U2676" t="s">
        <v>391</v>
      </c>
      <c r="V2676" t="s">
        <v>245</v>
      </c>
      <c r="W2676" t="s">
        <v>47</v>
      </c>
      <c r="X2676" t="s">
        <v>392</v>
      </c>
      <c r="Y2676" t="s">
        <v>186</v>
      </c>
      <c r="Z2676" t="s">
        <v>50</v>
      </c>
    </row>
    <row r="2677" spans="1:26" x14ac:dyDescent="0.3">
      <c r="A2677">
        <v>10250</v>
      </c>
      <c r="B2677">
        <v>44</v>
      </c>
      <c r="C2677">
        <v>67.2</v>
      </c>
      <c r="D2677">
        <v>10</v>
      </c>
      <c r="E2677">
        <v>2956.8</v>
      </c>
      <c r="F2677" s="1">
        <v>38118</v>
      </c>
      <c r="G2677" t="s">
        <v>39</v>
      </c>
      <c r="H2677">
        <v>2</v>
      </c>
      <c r="I2677">
        <v>5</v>
      </c>
      <c r="J2677" t="str">
        <f>TEXT(DATE(2012,Table1[[#This Row],[MONTH_ID]],10),"mmm")</f>
        <v>May</v>
      </c>
      <c r="K2677">
        <v>2004</v>
      </c>
      <c r="L2677" t="s">
        <v>580</v>
      </c>
      <c r="M2677">
        <v>80</v>
      </c>
      <c r="N2677" t="s">
        <v>683</v>
      </c>
      <c r="O2677" t="s">
        <v>411</v>
      </c>
      <c r="P2677">
        <v>4085553659</v>
      </c>
      <c r="Q2677" t="s">
        <v>412</v>
      </c>
      <c r="S2677" t="s">
        <v>413</v>
      </c>
      <c r="T2677" t="s">
        <v>69</v>
      </c>
      <c r="U2677">
        <v>94217</v>
      </c>
      <c r="V2677" t="s">
        <v>46</v>
      </c>
      <c r="W2677" t="s">
        <v>47</v>
      </c>
      <c r="X2677" t="s">
        <v>116</v>
      </c>
      <c r="Y2677" t="s">
        <v>414</v>
      </c>
      <c r="Z2677" t="s">
        <v>50</v>
      </c>
    </row>
    <row r="2678" spans="1:26" x14ac:dyDescent="0.3">
      <c r="A2678">
        <v>10262</v>
      </c>
      <c r="B2678">
        <v>27</v>
      </c>
      <c r="C2678">
        <v>76</v>
      </c>
      <c r="D2678">
        <v>5</v>
      </c>
      <c r="E2678">
        <v>2052</v>
      </c>
      <c r="F2678" s="1">
        <v>38162</v>
      </c>
      <c r="G2678" t="s">
        <v>353</v>
      </c>
      <c r="H2678">
        <v>2</v>
      </c>
      <c r="I2678">
        <v>6</v>
      </c>
      <c r="J2678" t="str">
        <f>TEXT(DATE(2012,Table1[[#This Row],[MONTH_ID]],10),"mmm")</f>
        <v>Jun</v>
      </c>
      <c r="K2678">
        <v>2004</v>
      </c>
      <c r="L2678" t="s">
        <v>580</v>
      </c>
      <c r="M2678">
        <v>80</v>
      </c>
      <c r="N2678" t="s">
        <v>683</v>
      </c>
      <c r="O2678" t="s">
        <v>188</v>
      </c>
      <c r="P2678" t="s">
        <v>189</v>
      </c>
      <c r="Q2678" t="s">
        <v>190</v>
      </c>
      <c r="S2678" t="s">
        <v>191</v>
      </c>
      <c r="U2678">
        <v>28034</v>
      </c>
      <c r="V2678" t="s">
        <v>192</v>
      </c>
      <c r="W2678" t="s">
        <v>56</v>
      </c>
      <c r="X2678" t="s">
        <v>193</v>
      </c>
      <c r="Y2678" t="s">
        <v>194</v>
      </c>
      <c r="Z2678" t="s">
        <v>50</v>
      </c>
    </row>
    <row r="2679" spans="1:26" x14ac:dyDescent="0.3">
      <c r="A2679">
        <v>10275</v>
      </c>
      <c r="B2679">
        <v>43</v>
      </c>
      <c r="C2679">
        <v>73.599999999999994</v>
      </c>
      <c r="D2679">
        <v>15</v>
      </c>
      <c r="E2679">
        <v>3164.8</v>
      </c>
      <c r="F2679" s="1">
        <v>38191</v>
      </c>
      <c r="G2679" t="s">
        <v>39</v>
      </c>
      <c r="H2679">
        <v>3</v>
      </c>
      <c r="I2679">
        <v>7</v>
      </c>
      <c r="J2679" t="str">
        <f>TEXT(DATE(2012,Table1[[#This Row],[MONTH_ID]],10),"mmm")</f>
        <v>Jul</v>
      </c>
      <c r="K2679">
        <v>2004</v>
      </c>
      <c r="L2679" t="s">
        <v>580</v>
      </c>
      <c r="M2679">
        <v>80</v>
      </c>
      <c r="N2679" t="s">
        <v>683</v>
      </c>
      <c r="O2679" t="s">
        <v>128</v>
      </c>
      <c r="P2679" t="s">
        <v>129</v>
      </c>
      <c r="Q2679" t="s">
        <v>130</v>
      </c>
      <c r="S2679" t="s">
        <v>131</v>
      </c>
      <c r="U2679">
        <v>44000</v>
      </c>
      <c r="V2679" t="s">
        <v>55</v>
      </c>
      <c r="W2679" t="s">
        <v>56</v>
      </c>
      <c r="X2679" t="s">
        <v>132</v>
      </c>
      <c r="Y2679" t="s">
        <v>133</v>
      </c>
      <c r="Z2679" t="s">
        <v>65</v>
      </c>
    </row>
    <row r="2680" spans="1:26" x14ac:dyDescent="0.3">
      <c r="A2680">
        <v>10284</v>
      </c>
      <c r="B2680">
        <v>25</v>
      </c>
      <c r="C2680">
        <v>69.599999999999994</v>
      </c>
      <c r="D2680">
        <v>7</v>
      </c>
      <c r="E2680">
        <v>1740</v>
      </c>
      <c r="F2680" s="1">
        <v>38220</v>
      </c>
      <c r="G2680" t="s">
        <v>39</v>
      </c>
      <c r="H2680">
        <v>3</v>
      </c>
      <c r="I2680">
        <v>8</v>
      </c>
      <c r="J2680" t="str">
        <f>TEXT(DATE(2012,Table1[[#This Row],[MONTH_ID]],10),"mmm")</f>
        <v>Aug</v>
      </c>
      <c r="K2680">
        <v>2004</v>
      </c>
      <c r="L2680" t="s">
        <v>580</v>
      </c>
      <c r="M2680">
        <v>80</v>
      </c>
      <c r="N2680" t="s">
        <v>683</v>
      </c>
      <c r="O2680" t="s">
        <v>557</v>
      </c>
      <c r="P2680" t="s">
        <v>558</v>
      </c>
      <c r="Q2680" t="s">
        <v>559</v>
      </c>
      <c r="S2680" t="s">
        <v>560</v>
      </c>
      <c r="U2680" t="s">
        <v>561</v>
      </c>
      <c r="V2680" t="s">
        <v>92</v>
      </c>
      <c r="W2680" t="s">
        <v>56</v>
      </c>
      <c r="X2680" t="s">
        <v>562</v>
      </c>
      <c r="Y2680" t="s">
        <v>563</v>
      </c>
      <c r="Z2680" t="s">
        <v>50</v>
      </c>
    </row>
    <row r="2681" spans="1:26" x14ac:dyDescent="0.3">
      <c r="A2681">
        <v>10296</v>
      </c>
      <c r="B2681">
        <v>22</v>
      </c>
      <c r="C2681">
        <v>80.8</v>
      </c>
      <c r="D2681">
        <v>3</v>
      </c>
      <c r="E2681">
        <v>1777.6</v>
      </c>
      <c r="F2681" s="1">
        <v>38245</v>
      </c>
      <c r="G2681" t="s">
        <v>39</v>
      </c>
      <c r="H2681">
        <v>3</v>
      </c>
      <c r="I2681">
        <v>9</v>
      </c>
      <c r="J2681" t="str">
        <f>TEXT(DATE(2012,Table1[[#This Row],[MONTH_ID]],10),"mmm")</f>
        <v>Sep</v>
      </c>
      <c r="K2681">
        <v>2004</v>
      </c>
      <c r="L2681" t="s">
        <v>580</v>
      </c>
      <c r="M2681">
        <v>80</v>
      </c>
      <c r="N2681" t="s">
        <v>683</v>
      </c>
      <c r="O2681" t="s">
        <v>586</v>
      </c>
      <c r="P2681" t="s">
        <v>587</v>
      </c>
      <c r="Q2681" t="s">
        <v>588</v>
      </c>
      <c r="S2681" t="s">
        <v>589</v>
      </c>
      <c r="U2681">
        <v>80686</v>
      </c>
      <c r="V2681" t="s">
        <v>457</v>
      </c>
      <c r="W2681" t="s">
        <v>56</v>
      </c>
      <c r="X2681" t="s">
        <v>590</v>
      </c>
      <c r="Y2681" t="s">
        <v>117</v>
      </c>
      <c r="Z2681" t="s">
        <v>50</v>
      </c>
    </row>
    <row r="2682" spans="1:26" x14ac:dyDescent="0.3">
      <c r="A2682">
        <v>10308</v>
      </c>
      <c r="B2682">
        <v>21</v>
      </c>
      <c r="C2682">
        <v>87.2</v>
      </c>
      <c r="D2682">
        <v>13</v>
      </c>
      <c r="E2682">
        <v>1831.2</v>
      </c>
      <c r="F2682" s="1">
        <v>38275</v>
      </c>
      <c r="G2682" t="s">
        <v>39</v>
      </c>
      <c r="H2682">
        <v>4</v>
      </c>
      <c r="I2682">
        <v>10</v>
      </c>
      <c r="J2682" t="str">
        <f>TEXT(DATE(2012,Table1[[#This Row],[MONTH_ID]],10),"mmm")</f>
        <v>Oct</v>
      </c>
      <c r="K2682">
        <v>2004</v>
      </c>
      <c r="L2682" t="s">
        <v>580</v>
      </c>
      <c r="M2682">
        <v>80</v>
      </c>
      <c r="N2682" t="s">
        <v>683</v>
      </c>
      <c r="O2682" t="s">
        <v>331</v>
      </c>
      <c r="P2682">
        <v>9145554562</v>
      </c>
      <c r="Q2682" t="s">
        <v>332</v>
      </c>
      <c r="S2682" t="s">
        <v>333</v>
      </c>
      <c r="T2682" t="s">
        <v>45</v>
      </c>
      <c r="U2682">
        <v>24067</v>
      </c>
      <c r="V2682" t="s">
        <v>46</v>
      </c>
      <c r="W2682" t="s">
        <v>47</v>
      </c>
      <c r="X2682" t="s">
        <v>116</v>
      </c>
      <c r="Y2682" t="s">
        <v>252</v>
      </c>
      <c r="Z2682" t="s">
        <v>50</v>
      </c>
    </row>
    <row r="2683" spans="1:26" x14ac:dyDescent="0.3">
      <c r="A2683">
        <v>10316</v>
      </c>
      <c r="B2683">
        <v>48</v>
      </c>
      <c r="C2683">
        <v>75.2</v>
      </c>
      <c r="D2683">
        <v>5</v>
      </c>
      <c r="E2683">
        <v>3609.6</v>
      </c>
      <c r="F2683" s="1">
        <v>38292</v>
      </c>
      <c r="G2683" t="s">
        <v>39</v>
      </c>
      <c r="H2683">
        <v>4</v>
      </c>
      <c r="I2683">
        <v>11</v>
      </c>
      <c r="J2683" t="str">
        <f>TEXT(DATE(2012,Table1[[#This Row],[MONTH_ID]],10),"mmm")</f>
        <v>Nov</v>
      </c>
      <c r="K2683">
        <v>2004</v>
      </c>
      <c r="L2683" t="s">
        <v>580</v>
      </c>
      <c r="M2683">
        <v>80</v>
      </c>
      <c r="N2683" t="s">
        <v>683</v>
      </c>
      <c r="O2683" t="s">
        <v>397</v>
      </c>
      <c r="P2683" t="s">
        <v>398</v>
      </c>
      <c r="Q2683" t="s">
        <v>399</v>
      </c>
      <c r="S2683" t="s">
        <v>400</v>
      </c>
      <c r="T2683" t="s">
        <v>401</v>
      </c>
      <c r="U2683" t="s">
        <v>402</v>
      </c>
      <c r="V2683" t="s">
        <v>184</v>
      </c>
      <c r="W2683" t="s">
        <v>56</v>
      </c>
      <c r="X2683" t="s">
        <v>403</v>
      </c>
      <c r="Y2683" t="s">
        <v>404</v>
      </c>
      <c r="Z2683" t="s">
        <v>65</v>
      </c>
    </row>
    <row r="2684" spans="1:26" x14ac:dyDescent="0.3">
      <c r="A2684">
        <v>10328</v>
      </c>
      <c r="B2684">
        <v>33</v>
      </c>
      <c r="C2684">
        <v>64</v>
      </c>
      <c r="D2684">
        <v>13</v>
      </c>
      <c r="E2684">
        <v>2112</v>
      </c>
      <c r="F2684" s="1">
        <v>38303</v>
      </c>
      <c r="G2684" t="s">
        <v>39</v>
      </c>
      <c r="H2684">
        <v>4</v>
      </c>
      <c r="I2684">
        <v>11</v>
      </c>
      <c r="J2684" t="str">
        <f>TEXT(DATE(2012,Table1[[#This Row],[MONTH_ID]],10),"mmm")</f>
        <v>Nov</v>
      </c>
      <c r="K2684">
        <v>2004</v>
      </c>
      <c r="L2684" t="s">
        <v>580</v>
      </c>
      <c r="M2684">
        <v>80</v>
      </c>
      <c r="N2684" t="s">
        <v>683</v>
      </c>
      <c r="O2684" t="s">
        <v>566</v>
      </c>
      <c r="P2684" t="s">
        <v>567</v>
      </c>
      <c r="Q2684" t="s">
        <v>568</v>
      </c>
      <c r="S2684" t="s">
        <v>569</v>
      </c>
      <c r="U2684">
        <v>24100</v>
      </c>
      <c r="V2684" t="s">
        <v>272</v>
      </c>
      <c r="W2684" t="s">
        <v>56</v>
      </c>
      <c r="X2684" t="s">
        <v>570</v>
      </c>
      <c r="Y2684" t="s">
        <v>571</v>
      </c>
      <c r="Z2684" t="s">
        <v>50</v>
      </c>
    </row>
    <row r="2685" spans="1:26" x14ac:dyDescent="0.3">
      <c r="A2685">
        <v>10341</v>
      </c>
      <c r="B2685">
        <v>34</v>
      </c>
      <c r="C2685">
        <v>100</v>
      </c>
      <c r="D2685">
        <v>5</v>
      </c>
      <c r="E2685">
        <v>3644.12</v>
      </c>
      <c r="F2685" s="1">
        <v>38315</v>
      </c>
      <c r="G2685" t="s">
        <v>39</v>
      </c>
      <c r="H2685">
        <v>4</v>
      </c>
      <c r="I2685">
        <v>11</v>
      </c>
      <c r="J2685" t="str">
        <f>TEXT(DATE(2012,Table1[[#This Row],[MONTH_ID]],10),"mmm")</f>
        <v>Nov</v>
      </c>
      <c r="K2685">
        <v>2004</v>
      </c>
      <c r="L2685" t="s">
        <v>580</v>
      </c>
      <c r="M2685">
        <v>80</v>
      </c>
      <c r="N2685" t="s">
        <v>683</v>
      </c>
      <c r="O2685" t="s">
        <v>158</v>
      </c>
      <c r="P2685" t="s">
        <v>159</v>
      </c>
      <c r="Q2685" t="s">
        <v>160</v>
      </c>
      <c r="S2685" t="s">
        <v>161</v>
      </c>
      <c r="U2685">
        <v>5020</v>
      </c>
      <c r="V2685" t="s">
        <v>162</v>
      </c>
      <c r="W2685" t="s">
        <v>56</v>
      </c>
      <c r="X2685" t="s">
        <v>163</v>
      </c>
      <c r="Y2685" t="s">
        <v>164</v>
      </c>
      <c r="Z2685" t="s">
        <v>65</v>
      </c>
    </row>
    <row r="2686" spans="1:26" x14ac:dyDescent="0.3">
      <c r="A2686">
        <v>10353</v>
      </c>
      <c r="B2686">
        <v>43</v>
      </c>
      <c r="C2686">
        <v>81.95</v>
      </c>
      <c r="D2686">
        <v>6</v>
      </c>
      <c r="E2686">
        <v>3523.85</v>
      </c>
      <c r="F2686" s="1">
        <v>38325</v>
      </c>
      <c r="G2686" t="s">
        <v>39</v>
      </c>
      <c r="H2686">
        <v>4</v>
      </c>
      <c r="I2686">
        <v>12</v>
      </c>
      <c r="J2686" t="str">
        <f>TEXT(DATE(2012,Table1[[#This Row],[MONTH_ID]],10),"mmm")</f>
        <v>Dec</v>
      </c>
      <c r="K2686">
        <v>2004</v>
      </c>
      <c r="L2686" t="s">
        <v>580</v>
      </c>
      <c r="M2686">
        <v>80</v>
      </c>
      <c r="N2686" t="s">
        <v>683</v>
      </c>
      <c r="O2686" t="s">
        <v>582</v>
      </c>
      <c r="P2686">
        <v>2035554407</v>
      </c>
      <c r="Q2686" t="s">
        <v>583</v>
      </c>
      <c r="S2686" t="s">
        <v>530</v>
      </c>
      <c r="T2686" t="s">
        <v>126</v>
      </c>
      <c r="U2686">
        <v>97561</v>
      </c>
      <c r="V2686" t="s">
        <v>46</v>
      </c>
      <c r="W2686" t="s">
        <v>47</v>
      </c>
      <c r="X2686" t="s">
        <v>584</v>
      </c>
      <c r="Y2686" t="s">
        <v>585</v>
      </c>
      <c r="Z2686" t="s">
        <v>65</v>
      </c>
    </row>
    <row r="2687" spans="1:26" x14ac:dyDescent="0.3">
      <c r="A2687">
        <v>10361</v>
      </c>
      <c r="B2687">
        <v>44</v>
      </c>
      <c r="C2687">
        <v>100</v>
      </c>
      <c r="D2687">
        <v>10</v>
      </c>
      <c r="E2687">
        <v>5001.92</v>
      </c>
      <c r="F2687" s="1">
        <v>38338</v>
      </c>
      <c r="G2687" t="s">
        <v>39</v>
      </c>
      <c r="H2687">
        <v>4</v>
      </c>
      <c r="I2687">
        <v>12</v>
      </c>
      <c r="J2687" t="str">
        <f>TEXT(DATE(2012,Table1[[#This Row],[MONTH_ID]],10),"mmm")</f>
        <v>Dec</v>
      </c>
      <c r="K2687">
        <v>2004</v>
      </c>
      <c r="L2687" t="s">
        <v>580</v>
      </c>
      <c r="M2687">
        <v>80</v>
      </c>
      <c r="N2687" t="s">
        <v>683</v>
      </c>
      <c r="O2687" t="s">
        <v>166</v>
      </c>
      <c r="P2687" t="s">
        <v>167</v>
      </c>
      <c r="Q2687" t="s">
        <v>168</v>
      </c>
      <c r="R2687" t="s">
        <v>169</v>
      </c>
      <c r="S2687" t="s">
        <v>170</v>
      </c>
      <c r="T2687" t="s">
        <v>171</v>
      </c>
      <c r="U2687">
        <v>2067</v>
      </c>
      <c r="V2687" t="s">
        <v>109</v>
      </c>
      <c r="W2687" t="s">
        <v>110</v>
      </c>
      <c r="X2687" t="s">
        <v>172</v>
      </c>
      <c r="Y2687" t="s">
        <v>173</v>
      </c>
      <c r="Z2687" t="s">
        <v>65</v>
      </c>
    </row>
    <row r="2688" spans="1:26" x14ac:dyDescent="0.3">
      <c r="A2688">
        <v>10375</v>
      </c>
      <c r="B2688">
        <v>44</v>
      </c>
      <c r="C2688">
        <v>100</v>
      </c>
      <c r="D2688">
        <v>11</v>
      </c>
      <c r="E2688">
        <v>5208.72</v>
      </c>
      <c r="F2688" s="1">
        <v>38386</v>
      </c>
      <c r="G2688" t="s">
        <v>39</v>
      </c>
      <c r="H2688">
        <v>1</v>
      </c>
      <c r="I2688">
        <v>2</v>
      </c>
      <c r="J2688" t="str">
        <f>TEXT(DATE(2012,Table1[[#This Row],[MONTH_ID]],10),"mmm")</f>
        <v>Feb</v>
      </c>
      <c r="K2688">
        <v>2005</v>
      </c>
      <c r="L2688" t="s">
        <v>580</v>
      </c>
      <c r="M2688">
        <v>80</v>
      </c>
      <c r="N2688" t="s">
        <v>683</v>
      </c>
      <c r="O2688" t="s">
        <v>128</v>
      </c>
      <c r="P2688" t="s">
        <v>129</v>
      </c>
      <c r="Q2688" t="s">
        <v>130</v>
      </c>
      <c r="S2688" t="s">
        <v>131</v>
      </c>
      <c r="U2688">
        <v>44000</v>
      </c>
      <c r="V2688" t="s">
        <v>55</v>
      </c>
      <c r="W2688" t="s">
        <v>56</v>
      </c>
      <c r="X2688" t="s">
        <v>132</v>
      </c>
      <c r="Y2688" t="s">
        <v>133</v>
      </c>
      <c r="Z2688" t="s">
        <v>65</v>
      </c>
    </row>
    <row r="2689" spans="1:26" x14ac:dyDescent="0.3">
      <c r="A2689">
        <v>10386</v>
      </c>
      <c r="B2689">
        <v>32</v>
      </c>
      <c r="C2689">
        <v>94.34</v>
      </c>
      <c r="D2689">
        <v>17</v>
      </c>
      <c r="E2689">
        <v>3018.88</v>
      </c>
      <c r="F2689" s="1">
        <v>38412</v>
      </c>
      <c r="G2689" t="s">
        <v>422</v>
      </c>
      <c r="H2689">
        <v>1</v>
      </c>
      <c r="I2689">
        <v>3</v>
      </c>
      <c r="J2689" t="str">
        <f>TEXT(DATE(2012,Table1[[#This Row],[MONTH_ID]],10),"mmm")</f>
        <v>Mar</v>
      </c>
      <c r="K2689">
        <v>2005</v>
      </c>
      <c r="L2689" t="s">
        <v>580</v>
      </c>
      <c r="M2689">
        <v>80</v>
      </c>
      <c r="N2689" t="s">
        <v>683</v>
      </c>
      <c r="O2689" t="s">
        <v>188</v>
      </c>
      <c r="P2689" t="s">
        <v>189</v>
      </c>
      <c r="Q2689" t="s">
        <v>190</v>
      </c>
      <c r="S2689" t="s">
        <v>191</v>
      </c>
      <c r="U2689">
        <v>28034</v>
      </c>
      <c r="V2689" t="s">
        <v>192</v>
      </c>
      <c r="W2689" t="s">
        <v>56</v>
      </c>
      <c r="X2689" t="s">
        <v>193</v>
      </c>
      <c r="Y2689" t="s">
        <v>194</v>
      </c>
      <c r="Z2689" t="s">
        <v>65</v>
      </c>
    </row>
    <row r="2690" spans="1:26" x14ac:dyDescent="0.3">
      <c r="A2690">
        <v>10398</v>
      </c>
      <c r="B2690">
        <v>29</v>
      </c>
      <c r="C2690">
        <v>65.599999999999994</v>
      </c>
      <c r="D2690">
        <v>10</v>
      </c>
      <c r="E2690">
        <v>1902.4</v>
      </c>
      <c r="F2690" s="1">
        <v>38441</v>
      </c>
      <c r="G2690" t="s">
        <v>39</v>
      </c>
      <c r="H2690">
        <v>1</v>
      </c>
      <c r="I2690">
        <v>3</v>
      </c>
      <c r="J2690" t="str">
        <f>TEXT(DATE(2012,Table1[[#This Row],[MONTH_ID]],10),"mmm")</f>
        <v>Mar</v>
      </c>
      <c r="K2690">
        <v>2005</v>
      </c>
      <c r="L2690" t="s">
        <v>580</v>
      </c>
      <c r="M2690">
        <v>80</v>
      </c>
      <c r="N2690" t="s">
        <v>683</v>
      </c>
      <c r="O2690" t="s">
        <v>51</v>
      </c>
      <c r="P2690" t="s">
        <v>52</v>
      </c>
      <c r="Q2690" t="s">
        <v>53</v>
      </c>
      <c r="S2690" t="s">
        <v>54</v>
      </c>
      <c r="U2690">
        <v>51100</v>
      </c>
      <c r="V2690" t="s">
        <v>55</v>
      </c>
      <c r="W2690" t="s">
        <v>56</v>
      </c>
      <c r="X2690" t="s">
        <v>57</v>
      </c>
      <c r="Y2690" t="s">
        <v>58</v>
      </c>
      <c r="Z2690" t="s">
        <v>50</v>
      </c>
    </row>
    <row r="2691" spans="1:26" x14ac:dyDescent="0.3">
      <c r="A2691">
        <v>10401</v>
      </c>
      <c r="B2691">
        <v>77</v>
      </c>
      <c r="C2691">
        <v>92</v>
      </c>
      <c r="D2691">
        <v>9</v>
      </c>
      <c r="E2691">
        <v>7084</v>
      </c>
      <c r="F2691" s="1">
        <v>38445</v>
      </c>
      <c r="G2691" t="s">
        <v>415</v>
      </c>
      <c r="H2691">
        <v>2</v>
      </c>
      <c r="I2691">
        <v>4</v>
      </c>
      <c r="J2691" t="str">
        <f>TEXT(DATE(2012,Table1[[#This Row],[MONTH_ID]],10),"mmm")</f>
        <v>Apr</v>
      </c>
      <c r="K2691">
        <v>2005</v>
      </c>
      <c r="L2691" t="s">
        <v>580</v>
      </c>
      <c r="M2691">
        <v>80</v>
      </c>
      <c r="N2691" t="s">
        <v>683</v>
      </c>
      <c r="O2691" t="s">
        <v>118</v>
      </c>
      <c r="P2691">
        <v>2015559350</v>
      </c>
      <c r="Q2691" t="s">
        <v>119</v>
      </c>
      <c r="S2691" t="s">
        <v>120</v>
      </c>
      <c r="T2691" t="s">
        <v>121</v>
      </c>
      <c r="U2691">
        <v>94019</v>
      </c>
      <c r="V2691" t="s">
        <v>46</v>
      </c>
      <c r="W2691" t="s">
        <v>47</v>
      </c>
      <c r="X2691" t="s">
        <v>75</v>
      </c>
      <c r="Y2691" t="s">
        <v>122</v>
      </c>
      <c r="Z2691" t="s">
        <v>165</v>
      </c>
    </row>
    <row r="2692" spans="1:26" x14ac:dyDescent="0.3">
      <c r="A2692">
        <v>10416</v>
      </c>
      <c r="B2692">
        <v>39</v>
      </c>
      <c r="C2692">
        <v>67.2</v>
      </c>
      <c r="D2692">
        <v>10</v>
      </c>
      <c r="E2692">
        <v>2620.8000000000002</v>
      </c>
      <c r="F2692" s="1">
        <v>38482</v>
      </c>
      <c r="G2692" t="s">
        <v>39</v>
      </c>
      <c r="H2692">
        <v>2</v>
      </c>
      <c r="I2692">
        <v>5</v>
      </c>
      <c r="J2692" t="str">
        <f>TEXT(DATE(2012,Table1[[#This Row],[MONTH_ID]],10),"mmm")</f>
        <v>May</v>
      </c>
      <c r="K2692">
        <v>2005</v>
      </c>
      <c r="L2692" t="s">
        <v>580</v>
      </c>
      <c r="M2692">
        <v>80</v>
      </c>
      <c r="N2692" t="s">
        <v>683</v>
      </c>
      <c r="O2692" t="s">
        <v>466</v>
      </c>
      <c r="P2692" t="s">
        <v>467</v>
      </c>
      <c r="Q2692" t="s">
        <v>468</v>
      </c>
      <c r="S2692" t="s">
        <v>469</v>
      </c>
      <c r="U2692">
        <v>42100</v>
      </c>
      <c r="V2692" t="s">
        <v>272</v>
      </c>
      <c r="W2692" t="s">
        <v>56</v>
      </c>
      <c r="X2692" t="s">
        <v>470</v>
      </c>
      <c r="Y2692" t="s">
        <v>471</v>
      </c>
      <c r="Z2692" t="s">
        <v>50</v>
      </c>
    </row>
    <row r="2693" spans="1:26" x14ac:dyDescent="0.3">
      <c r="A2693">
        <v>10105</v>
      </c>
      <c r="B2693">
        <v>39</v>
      </c>
      <c r="C2693">
        <v>81.14</v>
      </c>
      <c r="D2693">
        <v>6</v>
      </c>
      <c r="E2693">
        <v>3164.46</v>
      </c>
      <c r="F2693" s="1">
        <v>37663</v>
      </c>
      <c r="G2693" t="s">
        <v>39</v>
      </c>
      <c r="H2693">
        <v>1</v>
      </c>
      <c r="I2693">
        <v>2</v>
      </c>
      <c r="J2693" t="str">
        <f>TEXT(DATE(2012,Table1[[#This Row],[MONTH_ID]],10),"mmm")</f>
        <v>Feb</v>
      </c>
      <c r="K2693">
        <v>2003</v>
      </c>
      <c r="L2693" t="s">
        <v>612</v>
      </c>
      <c r="M2693">
        <v>100</v>
      </c>
      <c r="N2693" t="s">
        <v>684</v>
      </c>
      <c r="O2693" t="s">
        <v>336</v>
      </c>
      <c r="P2693" t="s">
        <v>337</v>
      </c>
      <c r="Q2693" t="s">
        <v>338</v>
      </c>
      <c r="S2693" t="s">
        <v>339</v>
      </c>
      <c r="U2693">
        <v>1734</v>
      </c>
      <c r="V2693" t="s">
        <v>340</v>
      </c>
      <c r="W2693" t="s">
        <v>56</v>
      </c>
      <c r="X2693" t="s">
        <v>341</v>
      </c>
      <c r="Y2693" t="s">
        <v>342</v>
      </c>
      <c r="Z2693" t="s">
        <v>65</v>
      </c>
    </row>
    <row r="2694" spans="1:26" x14ac:dyDescent="0.3">
      <c r="A2694">
        <v>10118</v>
      </c>
      <c r="B2694">
        <v>36</v>
      </c>
      <c r="C2694">
        <v>100</v>
      </c>
      <c r="D2694">
        <v>1</v>
      </c>
      <c r="E2694">
        <v>4219.2</v>
      </c>
      <c r="F2694" s="1">
        <v>37732</v>
      </c>
      <c r="G2694" t="s">
        <v>39</v>
      </c>
      <c r="H2694">
        <v>2</v>
      </c>
      <c r="I2694">
        <v>4</v>
      </c>
      <c r="J2694" t="str">
        <f>TEXT(DATE(2012,Table1[[#This Row],[MONTH_ID]],10),"mmm")</f>
        <v>Apr</v>
      </c>
      <c r="K2694">
        <v>2003</v>
      </c>
      <c r="L2694" t="s">
        <v>612</v>
      </c>
      <c r="M2694">
        <v>100</v>
      </c>
      <c r="N2694" t="s">
        <v>684</v>
      </c>
      <c r="O2694" t="s">
        <v>366</v>
      </c>
      <c r="P2694" t="s">
        <v>367</v>
      </c>
      <c r="Q2694" t="s">
        <v>368</v>
      </c>
      <c r="S2694" t="s">
        <v>369</v>
      </c>
      <c r="U2694">
        <v>8022</v>
      </c>
      <c r="V2694" t="s">
        <v>192</v>
      </c>
      <c r="W2694" t="s">
        <v>56</v>
      </c>
      <c r="X2694" t="s">
        <v>370</v>
      </c>
      <c r="Y2694" t="s">
        <v>371</v>
      </c>
      <c r="Z2694" t="s">
        <v>65</v>
      </c>
    </row>
    <row r="2695" spans="1:26" x14ac:dyDescent="0.3">
      <c r="A2695">
        <v>10129</v>
      </c>
      <c r="B2695">
        <v>42</v>
      </c>
      <c r="C2695">
        <v>91.15</v>
      </c>
      <c r="D2695">
        <v>6</v>
      </c>
      <c r="E2695">
        <v>3828.3</v>
      </c>
      <c r="F2695" s="1">
        <v>37784</v>
      </c>
      <c r="G2695" t="s">
        <v>39</v>
      </c>
      <c r="H2695">
        <v>2</v>
      </c>
      <c r="I2695">
        <v>6</v>
      </c>
      <c r="J2695" t="str">
        <f>TEXT(DATE(2012,Table1[[#This Row],[MONTH_ID]],10),"mmm")</f>
        <v>Jun</v>
      </c>
      <c r="K2695">
        <v>2003</v>
      </c>
      <c r="L2695" t="s">
        <v>612</v>
      </c>
      <c r="M2695">
        <v>100</v>
      </c>
      <c r="N2695" t="s">
        <v>684</v>
      </c>
      <c r="O2695" t="s">
        <v>343</v>
      </c>
      <c r="P2695" t="s">
        <v>344</v>
      </c>
      <c r="Q2695" t="s">
        <v>345</v>
      </c>
      <c r="S2695" t="s">
        <v>346</v>
      </c>
      <c r="U2695" t="s">
        <v>347</v>
      </c>
      <c r="V2695" t="s">
        <v>184</v>
      </c>
      <c r="W2695" t="s">
        <v>56</v>
      </c>
      <c r="X2695" t="s">
        <v>75</v>
      </c>
      <c r="Y2695" t="s">
        <v>348</v>
      </c>
      <c r="Z2695" t="s">
        <v>65</v>
      </c>
    </row>
    <row r="2696" spans="1:26" x14ac:dyDescent="0.3">
      <c r="A2696">
        <v>10142</v>
      </c>
      <c r="B2696">
        <v>21</v>
      </c>
      <c r="C2696">
        <v>100</v>
      </c>
      <c r="D2696">
        <v>3</v>
      </c>
      <c r="E2696">
        <v>2334.9899999999998</v>
      </c>
      <c r="F2696" s="1">
        <v>37841</v>
      </c>
      <c r="G2696" t="s">
        <v>39</v>
      </c>
      <c r="H2696">
        <v>3</v>
      </c>
      <c r="I2696">
        <v>8</v>
      </c>
      <c r="J2696" t="str">
        <f>TEXT(DATE(2012,Table1[[#This Row],[MONTH_ID]],10),"mmm")</f>
        <v>Aug</v>
      </c>
      <c r="K2696">
        <v>2003</v>
      </c>
      <c r="L2696" t="s">
        <v>612</v>
      </c>
      <c r="M2696">
        <v>100</v>
      </c>
      <c r="N2696" t="s">
        <v>684</v>
      </c>
      <c r="O2696" t="s">
        <v>286</v>
      </c>
      <c r="P2696">
        <v>4155551450</v>
      </c>
      <c r="Q2696" t="s">
        <v>287</v>
      </c>
      <c r="S2696" t="s">
        <v>288</v>
      </c>
      <c r="T2696" t="s">
        <v>69</v>
      </c>
      <c r="U2696">
        <v>97562</v>
      </c>
      <c r="V2696" t="s">
        <v>46</v>
      </c>
      <c r="W2696" t="s">
        <v>47</v>
      </c>
      <c r="X2696" t="s">
        <v>289</v>
      </c>
      <c r="Y2696" t="s">
        <v>290</v>
      </c>
      <c r="Z2696" t="s">
        <v>50</v>
      </c>
    </row>
    <row r="2697" spans="1:26" x14ac:dyDescent="0.3">
      <c r="A2697">
        <v>10153</v>
      </c>
      <c r="B2697">
        <v>50</v>
      </c>
      <c r="C2697">
        <v>88.15</v>
      </c>
      <c r="D2697">
        <v>2</v>
      </c>
      <c r="E2697">
        <v>4407.5</v>
      </c>
      <c r="F2697" s="1">
        <v>37892</v>
      </c>
      <c r="G2697" t="s">
        <v>39</v>
      </c>
      <c r="H2697">
        <v>3</v>
      </c>
      <c r="I2697">
        <v>9</v>
      </c>
      <c r="J2697" t="str">
        <f>TEXT(DATE(2012,Table1[[#This Row],[MONTH_ID]],10),"mmm")</f>
        <v>Sep</v>
      </c>
      <c r="K2697">
        <v>2003</v>
      </c>
      <c r="L2697" t="s">
        <v>612</v>
      </c>
      <c r="M2697">
        <v>100</v>
      </c>
      <c r="N2697" t="s">
        <v>684</v>
      </c>
      <c r="O2697" t="s">
        <v>188</v>
      </c>
      <c r="P2697" t="s">
        <v>189</v>
      </c>
      <c r="Q2697" t="s">
        <v>190</v>
      </c>
      <c r="S2697" t="s">
        <v>191</v>
      </c>
      <c r="U2697">
        <v>28034</v>
      </c>
      <c r="V2697" t="s">
        <v>192</v>
      </c>
      <c r="W2697" t="s">
        <v>56</v>
      </c>
      <c r="X2697" t="s">
        <v>193</v>
      </c>
      <c r="Y2697" t="s">
        <v>194</v>
      </c>
      <c r="Z2697" t="s">
        <v>65</v>
      </c>
    </row>
    <row r="2698" spans="1:26" x14ac:dyDescent="0.3">
      <c r="A2698">
        <v>10167</v>
      </c>
      <c r="B2698">
        <v>24</v>
      </c>
      <c r="C2698">
        <v>100</v>
      </c>
      <c r="D2698">
        <v>13</v>
      </c>
      <c r="E2698">
        <v>2812.8</v>
      </c>
      <c r="F2698" s="1">
        <v>37917</v>
      </c>
      <c r="G2698" t="s">
        <v>353</v>
      </c>
      <c r="H2698">
        <v>4</v>
      </c>
      <c r="I2698">
        <v>10</v>
      </c>
      <c r="J2698" t="str">
        <f>TEXT(DATE(2012,Table1[[#This Row],[MONTH_ID]],10),"mmm")</f>
        <v>Oct</v>
      </c>
      <c r="K2698">
        <v>2003</v>
      </c>
      <c r="L2698" t="s">
        <v>612</v>
      </c>
      <c r="M2698">
        <v>100</v>
      </c>
      <c r="N2698" t="s">
        <v>684</v>
      </c>
      <c r="O2698" t="s">
        <v>275</v>
      </c>
      <c r="P2698" t="s">
        <v>276</v>
      </c>
      <c r="Q2698" t="s">
        <v>277</v>
      </c>
      <c r="S2698" t="s">
        <v>278</v>
      </c>
      <c r="U2698" t="s">
        <v>279</v>
      </c>
      <c r="V2698" t="s">
        <v>202</v>
      </c>
      <c r="W2698" t="s">
        <v>56</v>
      </c>
      <c r="X2698" t="s">
        <v>280</v>
      </c>
      <c r="Y2698" t="s">
        <v>220</v>
      </c>
      <c r="Z2698" t="s">
        <v>50</v>
      </c>
    </row>
    <row r="2699" spans="1:26" x14ac:dyDescent="0.3">
      <c r="A2699">
        <v>10177</v>
      </c>
      <c r="B2699">
        <v>44</v>
      </c>
      <c r="C2699">
        <v>92.16</v>
      </c>
      <c r="D2699">
        <v>4</v>
      </c>
      <c r="E2699">
        <v>4055.04</v>
      </c>
      <c r="F2699" s="1">
        <v>37932</v>
      </c>
      <c r="G2699" t="s">
        <v>39</v>
      </c>
      <c r="H2699">
        <v>4</v>
      </c>
      <c r="I2699">
        <v>11</v>
      </c>
      <c r="J2699" t="str">
        <f>TEXT(DATE(2012,Table1[[#This Row],[MONTH_ID]],10),"mmm")</f>
        <v>Nov</v>
      </c>
      <c r="K2699">
        <v>2003</v>
      </c>
      <c r="L2699" t="s">
        <v>612</v>
      </c>
      <c r="M2699">
        <v>100</v>
      </c>
      <c r="N2699" t="s">
        <v>684</v>
      </c>
      <c r="O2699" t="s">
        <v>501</v>
      </c>
      <c r="P2699" t="s">
        <v>502</v>
      </c>
      <c r="Q2699" t="s">
        <v>503</v>
      </c>
      <c r="S2699" t="s">
        <v>191</v>
      </c>
      <c r="U2699">
        <v>28023</v>
      </c>
      <c r="V2699" t="s">
        <v>192</v>
      </c>
      <c r="W2699" t="s">
        <v>56</v>
      </c>
      <c r="X2699" t="s">
        <v>504</v>
      </c>
      <c r="Y2699" t="s">
        <v>505</v>
      </c>
      <c r="Z2699" t="s">
        <v>65</v>
      </c>
    </row>
    <row r="2700" spans="1:26" x14ac:dyDescent="0.3">
      <c r="A2700">
        <v>10185</v>
      </c>
      <c r="B2700">
        <v>37</v>
      </c>
      <c r="C2700">
        <v>100</v>
      </c>
      <c r="D2700">
        <v>4</v>
      </c>
      <c r="E2700">
        <v>3891.66</v>
      </c>
      <c r="F2700" s="1">
        <v>37939</v>
      </c>
      <c r="G2700" t="s">
        <v>39</v>
      </c>
      <c r="H2700">
        <v>4</v>
      </c>
      <c r="I2700">
        <v>11</v>
      </c>
      <c r="J2700" t="str">
        <f>TEXT(DATE(2012,Table1[[#This Row],[MONTH_ID]],10),"mmm")</f>
        <v>Nov</v>
      </c>
      <c r="K2700">
        <v>2003</v>
      </c>
      <c r="L2700" t="s">
        <v>612</v>
      </c>
      <c r="M2700">
        <v>100</v>
      </c>
      <c r="N2700" t="s">
        <v>684</v>
      </c>
      <c r="O2700" t="s">
        <v>349</v>
      </c>
      <c r="P2700">
        <v>5085559555</v>
      </c>
      <c r="Q2700" t="s">
        <v>350</v>
      </c>
      <c r="S2700" t="s">
        <v>176</v>
      </c>
      <c r="T2700" t="s">
        <v>137</v>
      </c>
      <c r="U2700">
        <v>50553</v>
      </c>
      <c r="V2700" t="s">
        <v>46</v>
      </c>
      <c r="W2700" t="s">
        <v>47</v>
      </c>
      <c r="X2700" t="s">
        <v>351</v>
      </c>
      <c r="Y2700" t="s">
        <v>352</v>
      </c>
      <c r="Z2700" t="s">
        <v>65</v>
      </c>
    </row>
    <row r="2701" spans="1:26" x14ac:dyDescent="0.3">
      <c r="A2701">
        <v>10197</v>
      </c>
      <c r="B2701">
        <v>27</v>
      </c>
      <c r="C2701">
        <v>92.16</v>
      </c>
      <c r="D2701">
        <v>10</v>
      </c>
      <c r="E2701">
        <v>2488.3200000000002</v>
      </c>
      <c r="F2701" s="1">
        <v>37951</v>
      </c>
      <c r="G2701" t="s">
        <v>39</v>
      </c>
      <c r="H2701">
        <v>4</v>
      </c>
      <c r="I2701">
        <v>11</v>
      </c>
      <c r="J2701" t="str">
        <f>TEXT(DATE(2012,Table1[[#This Row],[MONTH_ID]],10),"mmm")</f>
        <v>Nov</v>
      </c>
      <c r="K2701">
        <v>2003</v>
      </c>
      <c r="L2701" t="s">
        <v>612</v>
      </c>
      <c r="M2701">
        <v>100</v>
      </c>
      <c r="N2701" t="s">
        <v>684</v>
      </c>
      <c r="O2701" t="s">
        <v>366</v>
      </c>
      <c r="P2701" t="s">
        <v>367</v>
      </c>
      <c r="Q2701" t="s">
        <v>368</v>
      </c>
      <c r="S2701" t="s">
        <v>369</v>
      </c>
      <c r="U2701">
        <v>8022</v>
      </c>
      <c r="V2701" t="s">
        <v>192</v>
      </c>
      <c r="W2701" t="s">
        <v>56</v>
      </c>
      <c r="X2701" t="s">
        <v>370</v>
      </c>
      <c r="Y2701" t="s">
        <v>371</v>
      </c>
      <c r="Z2701" t="s">
        <v>50</v>
      </c>
    </row>
    <row r="2702" spans="1:26" x14ac:dyDescent="0.3">
      <c r="A2702">
        <v>10208</v>
      </c>
      <c r="B2702">
        <v>37</v>
      </c>
      <c r="C2702">
        <v>100</v>
      </c>
      <c r="D2702">
        <v>4</v>
      </c>
      <c r="E2702">
        <v>4447.3999999999996</v>
      </c>
      <c r="F2702" s="1">
        <v>37988</v>
      </c>
      <c r="G2702" t="s">
        <v>39</v>
      </c>
      <c r="H2702">
        <v>1</v>
      </c>
      <c r="I2702">
        <v>1</v>
      </c>
      <c r="J2702" t="str">
        <f>TEXT(DATE(2012,Table1[[#This Row],[MONTH_ID]],10),"mmm")</f>
        <v>Jan</v>
      </c>
      <c r="K2702">
        <v>2004</v>
      </c>
      <c r="L2702" t="s">
        <v>612</v>
      </c>
      <c r="M2702">
        <v>100</v>
      </c>
      <c r="N2702" t="s">
        <v>684</v>
      </c>
      <c r="O2702" t="s">
        <v>233</v>
      </c>
      <c r="P2702" t="s">
        <v>234</v>
      </c>
      <c r="Q2702" t="s">
        <v>235</v>
      </c>
      <c r="S2702" t="s">
        <v>236</v>
      </c>
      <c r="U2702">
        <v>69004</v>
      </c>
      <c r="V2702" t="s">
        <v>55</v>
      </c>
      <c r="W2702" t="s">
        <v>56</v>
      </c>
      <c r="X2702" t="s">
        <v>237</v>
      </c>
      <c r="Y2702" t="s">
        <v>238</v>
      </c>
      <c r="Z2702" t="s">
        <v>65</v>
      </c>
    </row>
    <row r="2703" spans="1:26" x14ac:dyDescent="0.3">
      <c r="A2703">
        <v>10222</v>
      </c>
      <c r="B2703">
        <v>38</v>
      </c>
      <c r="C2703">
        <v>100</v>
      </c>
      <c r="D2703">
        <v>16</v>
      </c>
      <c r="E2703">
        <v>4187.22</v>
      </c>
      <c r="F2703" s="1">
        <v>38036</v>
      </c>
      <c r="G2703" t="s">
        <v>39</v>
      </c>
      <c r="H2703">
        <v>1</v>
      </c>
      <c r="I2703">
        <v>2</v>
      </c>
      <c r="J2703" t="str">
        <f>TEXT(DATE(2012,Table1[[#This Row],[MONTH_ID]],10),"mmm")</f>
        <v>Feb</v>
      </c>
      <c r="K2703">
        <v>2004</v>
      </c>
      <c r="L2703" t="s">
        <v>612</v>
      </c>
      <c r="M2703">
        <v>100</v>
      </c>
      <c r="N2703" t="s">
        <v>684</v>
      </c>
      <c r="O2703" t="s">
        <v>376</v>
      </c>
      <c r="P2703">
        <v>7605558146</v>
      </c>
      <c r="Q2703" t="s">
        <v>377</v>
      </c>
      <c r="S2703" t="s">
        <v>378</v>
      </c>
      <c r="T2703" t="s">
        <v>69</v>
      </c>
      <c r="U2703">
        <v>91217</v>
      </c>
      <c r="V2703" t="s">
        <v>46</v>
      </c>
      <c r="W2703" t="s">
        <v>47</v>
      </c>
      <c r="X2703" t="s">
        <v>251</v>
      </c>
      <c r="Y2703" t="s">
        <v>290</v>
      </c>
      <c r="Z2703" t="s">
        <v>65</v>
      </c>
    </row>
    <row r="2704" spans="1:26" x14ac:dyDescent="0.3">
      <c r="A2704">
        <v>10232</v>
      </c>
      <c r="B2704">
        <v>48</v>
      </c>
      <c r="C2704">
        <v>96.16</v>
      </c>
      <c r="D2704">
        <v>1</v>
      </c>
      <c r="E2704">
        <v>4615.68</v>
      </c>
      <c r="F2704" s="1">
        <v>38066</v>
      </c>
      <c r="G2704" t="s">
        <v>39</v>
      </c>
      <c r="H2704">
        <v>1</v>
      </c>
      <c r="I2704">
        <v>3</v>
      </c>
      <c r="J2704" t="str">
        <f>TEXT(DATE(2012,Table1[[#This Row],[MONTH_ID]],10),"mmm")</f>
        <v>Mar</v>
      </c>
      <c r="K2704">
        <v>2004</v>
      </c>
      <c r="L2704" t="s">
        <v>612</v>
      </c>
      <c r="M2704">
        <v>100</v>
      </c>
      <c r="N2704" t="s">
        <v>684</v>
      </c>
      <c r="O2704" t="s">
        <v>397</v>
      </c>
      <c r="P2704" t="s">
        <v>398</v>
      </c>
      <c r="Q2704" t="s">
        <v>399</v>
      </c>
      <c r="S2704" t="s">
        <v>400</v>
      </c>
      <c r="T2704" t="s">
        <v>401</v>
      </c>
      <c r="U2704" t="s">
        <v>402</v>
      </c>
      <c r="V2704" t="s">
        <v>184</v>
      </c>
      <c r="W2704" t="s">
        <v>56</v>
      </c>
      <c r="X2704" t="s">
        <v>403</v>
      </c>
      <c r="Y2704" t="s">
        <v>404</v>
      </c>
      <c r="Z2704" t="s">
        <v>65</v>
      </c>
    </row>
    <row r="2705" spans="1:26" x14ac:dyDescent="0.3">
      <c r="A2705">
        <v>10248</v>
      </c>
      <c r="B2705">
        <v>30</v>
      </c>
      <c r="C2705">
        <v>100</v>
      </c>
      <c r="D2705">
        <v>7</v>
      </c>
      <c r="E2705">
        <v>3245.4</v>
      </c>
      <c r="F2705" s="1">
        <v>38114</v>
      </c>
      <c r="G2705" t="s">
        <v>353</v>
      </c>
      <c r="H2705">
        <v>2</v>
      </c>
      <c r="I2705">
        <v>5</v>
      </c>
      <c r="J2705" t="str">
        <f>TEXT(DATE(2012,Table1[[#This Row],[MONTH_ID]],10),"mmm")</f>
        <v>May</v>
      </c>
      <c r="K2705">
        <v>2004</v>
      </c>
      <c r="L2705" t="s">
        <v>612</v>
      </c>
      <c r="M2705">
        <v>100</v>
      </c>
      <c r="N2705" t="s">
        <v>684</v>
      </c>
      <c r="O2705" t="s">
        <v>42</v>
      </c>
      <c r="P2705">
        <v>2125557818</v>
      </c>
      <c r="Q2705" t="s">
        <v>43</v>
      </c>
      <c r="S2705" t="s">
        <v>44</v>
      </c>
      <c r="T2705" t="s">
        <v>45</v>
      </c>
      <c r="U2705">
        <v>10022</v>
      </c>
      <c r="V2705" t="s">
        <v>46</v>
      </c>
      <c r="W2705" t="s">
        <v>47</v>
      </c>
      <c r="X2705" t="s">
        <v>48</v>
      </c>
      <c r="Y2705" t="s">
        <v>49</v>
      </c>
      <c r="Z2705" t="s">
        <v>65</v>
      </c>
    </row>
    <row r="2706" spans="1:26" x14ac:dyDescent="0.3">
      <c r="A2706">
        <v>10261</v>
      </c>
      <c r="B2706">
        <v>25</v>
      </c>
      <c r="C2706">
        <v>88.15</v>
      </c>
      <c r="D2706">
        <v>5</v>
      </c>
      <c r="E2706">
        <v>2203.75</v>
      </c>
      <c r="F2706" s="1">
        <v>38155</v>
      </c>
      <c r="G2706" t="s">
        <v>39</v>
      </c>
      <c r="H2706">
        <v>2</v>
      </c>
      <c r="I2706">
        <v>6</v>
      </c>
      <c r="J2706" t="str">
        <f>TEXT(DATE(2012,Table1[[#This Row],[MONTH_ID]],10),"mmm")</f>
        <v>Jun</v>
      </c>
      <c r="K2706">
        <v>2004</v>
      </c>
      <c r="L2706" t="s">
        <v>612</v>
      </c>
      <c r="M2706">
        <v>100</v>
      </c>
      <c r="N2706" t="s">
        <v>684</v>
      </c>
      <c r="O2706" t="s">
        <v>306</v>
      </c>
      <c r="P2706" t="s">
        <v>307</v>
      </c>
      <c r="Q2706" t="s">
        <v>308</v>
      </c>
      <c r="S2706" t="s">
        <v>309</v>
      </c>
      <c r="T2706" t="s">
        <v>310</v>
      </c>
      <c r="U2706" t="s">
        <v>311</v>
      </c>
      <c r="V2706" t="s">
        <v>245</v>
      </c>
      <c r="W2706" t="s">
        <v>47</v>
      </c>
      <c r="X2706" t="s">
        <v>312</v>
      </c>
      <c r="Y2706" t="s">
        <v>313</v>
      </c>
      <c r="Z2706" t="s">
        <v>50</v>
      </c>
    </row>
    <row r="2707" spans="1:26" x14ac:dyDescent="0.3">
      <c r="A2707">
        <v>10273</v>
      </c>
      <c r="B2707">
        <v>40</v>
      </c>
      <c r="C2707">
        <v>86.15</v>
      </c>
      <c r="D2707">
        <v>8</v>
      </c>
      <c r="E2707">
        <v>3446</v>
      </c>
      <c r="F2707" s="1">
        <v>38189</v>
      </c>
      <c r="G2707" t="s">
        <v>39</v>
      </c>
      <c r="H2707">
        <v>3</v>
      </c>
      <c r="I2707">
        <v>7</v>
      </c>
      <c r="J2707" t="str">
        <f>TEXT(DATE(2012,Table1[[#This Row],[MONTH_ID]],10),"mmm")</f>
        <v>Jul</v>
      </c>
      <c r="K2707">
        <v>2004</v>
      </c>
      <c r="L2707" t="s">
        <v>612</v>
      </c>
      <c r="M2707">
        <v>100</v>
      </c>
      <c r="N2707" t="s">
        <v>684</v>
      </c>
      <c r="O2707" t="s">
        <v>379</v>
      </c>
      <c r="P2707" t="s">
        <v>380</v>
      </c>
      <c r="Q2707" t="s">
        <v>381</v>
      </c>
      <c r="S2707" t="s">
        <v>382</v>
      </c>
      <c r="U2707" t="s">
        <v>383</v>
      </c>
      <c r="V2707" t="s">
        <v>384</v>
      </c>
      <c r="W2707" t="s">
        <v>56</v>
      </c>
      <c r="X2707" t="s">
        <v>385</v>
      </c>
      <c r="Y2707" t="s">
        <v>386</v>
      </c>
      <c r="Z2707" t="s">
        <v>65</v>
      </c>
    </row>
    <row r="2708" spans="1:26" x14ac:dyDescent="0.3">
      <c r="A2708">
        <v>10283</v>
      </c>
      <c r="B2708">
        <v>22</v>
      </c>
      <c r="C2708">
        <v>88.15</v>
      </c>
      <c r="D2708">
        <v>10</v>
      </c>
      <c r="E2708">
        <v>1939.3</v>
      </c>
      <c r="F2708" s="1">
        <v>38219</v>
      </c>
      <c r="G2708" t="s">
        <v>39</v>
      </c>
      <c r="H2708">
        <v>3</v>
      </c>
      <c r="I2708">
        <v>8</v>
      </c>
      <c r="J2708" t="str">
        <f>TEXT(DATE(2012,Table1[[#This Row],[MONTH_ID]],10),"mmm")</f>
        <v>Aug</v>
      </c>
      <c r="K2708">
        <v>2004</v>
      </c>
      <c r="L2708" t="s">
        <v>612</v>
      </c>
      <c r="M2708">
        <v>100</v>
      </c>
      <c r="N2708" t="s">
        <v>684</v>
      </c>
      <c r="O2708" t="s">
        <v>387</v>
      </c>
      <c r="P2708" t="s">
        <v>388</v>
      </c>
      <c r="Q2708" t="s">
        <v>389</v>
      </c>
      <c r="S2708" t="s">
        <v>390</v>
      </c>
      <c r="T2708" t="s">
        <v>243</v>
      </c>
      <c r="U2708" t="s">
        <v>391</v>
      </c>
      <c r="V2708" t="s">
        <v>245</v>
      </c>
      <c r="W2708" t="s">
        <v>47</v>
      </c>
      <c r="X2708" t="s">
        <v>392</v>
      </c>
      <c r="Y2708" t="s">
        <v>186</v>
      </c>
      <c r="Z2708" t="s">
        <v>50</v>
      </c>
    </row>
    <row r="2709" spans="1:26" x14ac:dyDescent="0.3">
      <c r="A2709">
        <v>10295</v>
      </c>
      <c r="B2709">
        <v>34</v>
      </c>
      <c r="C2709">
        <v>100</v>
      </c>
      <c r="D2709">
        <v>5</v>
      </c>
      <c r="E2709">
        <v>3473.78</v>
      </c>
      <c r="F2709" s="1">
        <v>38240</v>
      </c>
      <c r="G2709" t="s">
        <v>39</v>
      </c>
      <c r="H2709">
        <v>3</v>
      </c>
      <c r="I2709">
        <v>9</v>
      </c>
      <c r="J2709" t="str">
        <f>TEXT(DATE(2012,Table1[[#This Row],[MONTH_ID]],10),"mmm")</f>
        <v>Sep</v>
      </c>
      <c r="K2709">
        <v>2004</v>
      </c>
      <c r="L2709" t="s">
        <v>612</v>
      </c>
      <c r="M2709">
        <v>100</v>
      </c>
      <c r="N2709" t="s">
        <v>684</v>
      </c>
      <c r="O2709" t="s">
        <v>393</v>
      </c>
      <c r="P2709">
        <v>6175559555</v>
      </c>
      <c r="Q2709" t="s">
        <v>394</v>
      </c>
      <c r="S2709" t="s">
        <v>395</v>
      </c>
      <c r="T2709" t="s">
        <v>137</v>
      </c>
      <c r="U2709">
        <v>51003</v>
      </c>
      <c r="V2709" t="s">
        <v>46</v>
      </c>
      <c r="W2709" t="s">
        <v>47</v>
      </c>
      <c r="X2709" t="s">
        <v>396</v>
      </c>
      <c r="Y2709" t="s">
        <v>80</v>
      </c>
      <c r="Z2709" t="s">
        <v>65</v>
      </c>
    </row>
    <row r="2710" spans="1:26" x14ac:dyDescent="0.3">
      <c r="A2710">
        <v>10306</v>
      </c>
      <c r="B2710">
        <v>32</v>
      </c>
      <c r="C2710">
        <v>90.15</v>
      </c>
      <c r="D2710">
        <v>4</v>
      </c>
      <c r="E2710">
        <v>2884.8</v>
      </c>
      <c r="F2710" s="1">
        <v>38274</v>
      </c>
      <c r="G2710" t="s">
        <v>39</v>
      </c>
      <c r="H2710">
        <v>4</v>
      </c>
      <c r="I2710">
        <v>10</v>
      </c>
      <c r="J2710" t="str">
        <f>TEXT(DATE(2012,Table1[[#This Row],[MONTH_ID]],10),"mmm")</f>
        <v>Oct</v>
      </c>
      <c r="K2710">
        <v>2004</v>
      </c>
      <c r="L2710" t="s">
        <v>612</v>
      </c>
      <c r="M2710">
        <v>100</v>
      </c>
      <c r="N2710" t="s">
        <v>684</v>
      </c>
      <c r="O2710" t="s">
        <v>506</v>
      </c>
      <c r="P2710" t="s">
        <v>507</v>
      </c>
      <c r="Q2710" t="s">
        <v>508</v>
      </c>
      <c r="S2710" t="s">
        <v>509</v>
      </c>
      <c r="U2710" t="s">
        <v>510</v>
      </c>
      <c r="V2710" t="s">
        <v>184</v>
      </c>
      <c r="W2710" t="s">
        <v>56</v>
      </c>
      <c r="X2710" t="s">
        <v>511</v>
      </c>
      <c r="Y2710" t="s">
        <v>108</v>
      </c>
      <c r="Z2710" t="s">
        <v>50</v>
      </c>
    </row>
    <row r="2711" spans="1:26" x14ac:dyDescent="0.3">
      <c r="A2711">
        <v>10315</v>
      </c>
      <c r="B2711">
        <v>31</v>
      </c>
      <c r="C2711">
        <v>86.15</v>
      </c>
      <c r="D2711">
        <v>3</v>
      </c>
      <c r="E2711">
        <v>2670.65</v>
      </c>
      <c r="F2711" s="1">
        <v>38289</v>
      </c>
      <c r="G2711" t="s">
        <v>39</v>
      </c>
      <c r="H2711">
        <v>4</v>
      </c>
      <c r="I2711">
        <v>10</v>
      </c>
      <c r="J2711" t="str">
        <f>TEXT(DATE(2012,Table1[[#This Row],[MONTH_ID]],10),"mmm")</f>
        <v>Oct</v>
      </c>
      <c r="K2711">
        <v>2004</v>
      </c>
      <c r="L2711" t="s">
        <v>612</v>
      </c>
      <c r="M2711">
        <v>100</v>
      </c>
      <c r="N2711" t="s">
        <v>684</v>
      </c>
      <c r="O2711" t="s">
        <v>128</v>
      </c>
      <c r="P2711" t="s">
        <v>129</v>
      </c>
      <c r="Q2711" t="s">
        <v>130</v>
      </c>
      <c r="S2711" t="s">
        <v>131</v>
      </c>
      <c r="U2711">
        <v>44000</v>
      </c>
      <c r="V2711" t="s">
        <v>55</v>
      </c>
      <c r="W2711" t="s">
        <v>56</v>
      </c>
      <c r="X2711" t="s">
        <v>132</v>
      </c>
      <c r="Y2711" t="s">
        <v>133</v>
      </c>
      <c r="Z2711" t="s">
        <v>50</v>
      </c>
    </row>
    <row r="2712" spans="1:26" x14ac:dyDescent="0.3">
      <c r="A2712">
        <v>10327</v>
      </c>
      <c r="B2712">
        <v>43</v>
      </c>
      <c r="C2712">
        <v>80</v>
      </c>
      <c r="D2712">
        <v>2</v>
      </c>
      <c r="E2712">
        <v>3440</v>
      </c>
      <c r="F2712" s="1">
        <v>38301</v>
      </c>
      <c r="G2712" t="s">
        <v>422</v>
      </c>
      <c r="H2712">
        <v>4</v>
      </c>
      <c r="I2712">
        <v>11</v>
      </c>
      <c r="J2712" t="str">
        <f>TEXT(DATE(2012,Table1[[#This Row],[MONTH_ID]],10),"mmm")</f>
        <v>Nov</v>
      </c>
      <c r="K2712">
        <v>2004</v>
      </c>
      <c r="L2712" t="s">
        <v>612</v>
      </c>
      <c r="M2712">
        <v>100</v>
      </c>
      <c r="N2712" t="s">
        <v>684</v>
      </c>
      <c r="O2712" t="s">
        <v>336</v>
      </c>
      <c r="P2712" t="s">
        <v>337</v>
      </c>
      <c r="Q2712" t="s">
        <v>338</v>
      </c>
      <c r="S2712" t="s">
        <v>339</v>
      </c>
      <c r="U2712">
        <v>1734</v>
      </c>
      <c r="V2712" t="s">
        <v>340</v>
      </c>
      <c r="W2712" t="s">
        <v>56</v>
      </c>
      <c r="X2712" t="s">
        <v>341</v>
      </c>
      <c r="Y2712" t="s">
        <v>342</v>
      </c>
      <c r="Z2712" t="s">
        <v>65</v>
      </c>
    </row>
    <row r="2713" spans="1:26" x14ac:dyDescent="0.3">
      <c r="A2713">
        <v>10337</v>
      </c>
      <c r="B2713">
        <v>31</v>
      </c>
      <c r="C2713">
        <v>89.38</v>
      </c>
      <c r="D2713">
        <v>1</v>
      </c>
      <c r="E2713">
        <v>2770.78</v>
      </c>
      <c r="F2713" s="1">
        <v>38312</v>
      </c>
      <c r="G2713" t="s">
        <v>39</v>
      </c>
      <c r="H2713">
        <v>4</v>
      </c>
      <c r="I2713">
        <v>11</v>
      </c>
      <c r="J2713" t="str">
        <f>TEXT(DATE(2012,Table1[[#This Row],[MONTH_ID]],10),"mmm")</f>
        <v>Nov</v>
      </c>
      <c r="K2713">
        <v>2004</v>
      </c>
      <c r="L2713" t="s">
        <v>612</v>
      </c>
      <c r="M2713">
        <v>100</v>
      </c>
      <c r="N2713" t="s">
        <v>684</v>
      </c>
      <c r="O2713" t="s">
        <v>217</v>
      </c>
      <c r="P2713">
        <v>2125558493</v>
      </c>
      <c r="Q2713" t="s">
        <v>218</v>
      </c>
      <c r="R2713" t="s">
        <v>219</v>
      </c>
      <c r="S2713" t="s">
        <v>44</v>
      </c>
      <c r="T2713" t="s">
        <v>45</v>
      </c>
      <c r="U2713">
        <v>10022</v>
      </c>
      <c r="V2713" t="s">
        <v>46</v>
      </c>
      <c r="W2713" t="s">
        <v>47</v>
      </c>
      <c r="X2713" t="s">
        <v>138</v>
      </c>
      <c r="Y2713" t="s">
        <v>220</v>
      </c>
      <c r="Z2713" t="s">
        <v>50</v>
      </c>
    </row>
    <row r="2714" spans="1:26" x14ac:dyDescent="0.3">
      <c r="A2714">
        <v>10350</v>
      </c>
      <c r="B2714">
        <v>31</v>
      </c>
      <c r="C2714">
        <v>77.34</v>
      </c>
      <c r="D2714">
        <v>13</v>
      </c>
      <c r="E2714">
        <v>2397.54</v>
      </c>
      <c r="F2714" s="1">
        <v>38323</v>
      </c>
      <c r="G2714" t="s">
        <v>39</v>
      </c>
      <c r="H2714">
        <v>4</v>
      </c>
      <c r="I2714">
        <v>12</v>
      </c>
      <c r="J2714" t="str">
        <f>TEXT(DATE(2012,Table1[[#This Row],[MONTH_ID]],10),"mmm")</f>
        <v>Dec</v>
      </c>
      <c r="K2714">
        <v>2004</v>
      </c>
      <c r="L2714" t="s">
        <v>612</v>
      </c>
      <c r="M2714">
        <v>100</v>
      </c>
      <c r="N2714" t="s">
        <v>684</v>
      </c>
      <c r="O2714" t="s">
        <v>188</v>
      </c>
      <c r="P2714" t="s">
        <v>189</v>
      </c>
      <c r="Q2714" t="s">
        <v>190</v>
      </c>
      <c r="S2714" t="s">
        <v>191</v>
      </c>
      <c r="U2714">
        <v>28034</v>
      </c>
      <c r="V2714" t="s">
        <v>192</v>
      </c>
      <c r="W2714" t="s">
        <v>56</v>
      </c>
      <c r="X2714" t="s">
        <v>193</v>
      </c>
      <c r="Y2714" t="s">
        <v>194</v>
      </c>
      <c r="Z2714" t="s">
        <v>50</v>
      </c>
    </row>
    <row r="2715" spans="1:26" x14ac:dyDescent="0.3">
      <c r="A2715">
        <v>10373</v>
      </c>
      <c r="B2715">
        <v>34</v>
      </c>
      <c r="C2715">
        <v>96.34</v>
      </c>
      <c r="D2715">
        <v>2</v>
      </c>
      <c r="E2715">
        <v>3275.56</v>
      </c>
      <c r="F2715" s="1">
        <v>38383</v>
      </c>
      <c r="G2715" t="s">
        <v>39</v>
      </c>
      <c r="H2715">
        <v>1</v>
      </c>
      <c r="I2715">
        <v>1</v>
      </c>
      <c r="J2715" t="str">
        <f>TEXT(DATE(2012,Table1[[#This Row],[MONTH_ID]],10),"mmm")</f>
        <v>Jan</v>
      </c>
      <c r="K2715">
        <v>2005</v>
      </c>
      <c r="L2715" t="s">
        <v>612</v>
      </c>
      <c r="M2715">
        <v>100</v>
      </c>
      <c r="N2715" t="s">
        <v>684</v>
      </c>
      <c r="O2715" t="s">
        <v>405</v>
      </c>
      <c r="P2715" t="s">
        <v>406</v>
      </c>
      <c r="Q2715" t="s">
        <v>407</v>
      </c>
      <c r="S2715" t="s">
        <v>408</v>
      </c>
      <c r="U2715">
        <v>90110</v>
      </c>
      <c r="V2715" t="s">
        <v>144</v>
      </c>
      <c r="W2715" t="s">
        <v>56</v>
      </c>
      <c r="X2715" t="s">
        <v>409</v>
      </c>
      <c r="Y2715" t="s">
        <v>410</v>
      </c>
      <c r="Z2715" t="s">
        <v>65</v>
      </c>
    </row>
    <row r="2716" spans="1:26" x14ac:dyDescent="0.3">
      <c r="A2716">
        <v>10386</v>
      </c>
      <c r="B2716">
        <v>45</v>
      </c>
      <c r="C2716">
        <v>92.08</v>
      </c>
      <c r="D2716">
        <v>2</v>
      </c>
      <c r="E2716">
        <v>4143.6000000000004</v>
      </c>
      <c r="F2716" s="1">
        <v>38412</v>
      </c>
      <c r="G2716" t="s">
        <v>422</v>
      </c>
      <c r="H2716">
        <v>1</v>
      </c>
      <c r="I2716">
        <v>3</v>
      </c>
      <c r="J2716" t="str">
        <f>TEXT(DATE(2012,Table1[[#This Row],[MONTH_ID]],10),"mmm")</f>
        <v>Mar</v>
      </c>
      <c r="K2716">
        <v>2005</v>
      </c>
      <c r="L2716" t="s">
        <v>612</v>
      </c>
      <c r="M2716">
        <v>100</v>
      </c>
      <c r="N2716" t="s">
        <v>684</v>
      </c>
      <c r="O2716" t="s">
        <v>188</v>
      </c>
      <c r="P2716" t="s">
        <v>189</v>
      </c>
      <c r="Q2716" t="s">
        <v>190</v>
      </c>
      <c r="S2716" t="s">
        <v>191</v>
      </c>
      <c r="U2716">
        <v>28034</v>
      </c>
      <c r="V2716" t="s">
        <v>192</v>
      </c>
      <c r="W2716" t="s">
        <v>56</v>
      </c>
      <c r="X2716" t="s">
        <v>193</v>
      </c>
      <c r="Y2716" t="s">
        <v>194</v>
      </c>
      <c r="Z2716" t="s">
        <v>65</v>
      </c>
    </row>
    <row r="2717" spans="1:26" x14ac:dyDescent="0.3">
      <c r="A2717">
        <v>10397</v>
      </c>
      <c r="B2717">
        <v>48</v>
      </c>
      <c r="C2717">
        <v>100</v>
      </c>
      <c r="D2717">
        <v>3</v>
      </c>
      <c r="E2717">
        <v>5192.6400000000003</v>
      </c>
      <c r="F2717" s="1">
        <v>38439</v>
      </c>
      <c r="G2717" t="s">
        <v>39</v>
      </c>
      <c r="H2717">
        <v>1</v>
      </c>
      <c r="I2717">
        <v>3</v>
      </c>
      <c r="J2717" t="str">
        <f>TEXT(DATE(2012,Table1[[#This Row],[MONTH_ID]],10),"mmm")</f>
        <v>Mar</v>
      </c>
      <c r="K2717">
        <v>2005</v>
      </c>
      <c r="L2717" t="s">
        <v>612</v>
      </c>
      <c r="M2717">
        <v>100</v>
      </c>
      <c r="N2717" t="s">
        <v>684</v>
      </c>
      <c r="O2717" t="s">
        <v>354</v>
      </c>
      <c r="P2717" t="s">
        <v>355</v>
      </c>
      <c r="Q2717" t="s">
        <v>356</v>
      </c>
      <c r="S2717" t="s">
        <v>357</v>
      </c>
      <c r="U2717">
        <v>31000</v>
      </c>
      <c r="V2717" t="s">
        <v>55</v>
      </c>
      <c r="W2717" t="s">
        <v>56</v>
      </c>
      <c r="X2717" t="s">
        <v>358</v>
      </c>
      <c r="Y2717" t="s">
        <v>359</v>
      </c>
      <c r="Z2717" t="s">
        <v>65</v>
      </c>
    </row>
    <row r="2718" spans="1:26" x14ac:dyDescent="0.3">
      <c r="A2718">
        <v>10414</v>
      </c>
      <c r="B2718">
        <v>28</v>
      </c>
      <c r="C2718">
        <v>100</v>
      </c>
      <c r="D2718">
        <v>7</v>
      </c>
      <c r="E2718">
        <v>3029.04</v>
      </c>
      <c r="F2718" s="1">
        <v>38478</v>
      </c>
      <c r="G2718" t="s">
        <v>415</v>
      </c>
      <c r="H2718">
        <v>2</v>
      </c>
      <c r="I2718">
        <v>5</v>
      </c>
      <c r="J2718" t="str">
        <f>TEXT(DATE(2012,Table1[[#This Row],[MONTH_ID]],10),"mmm")</f>
        <v>May</v>
      </c>
      <c r="K2718">
        <v>2005</v>
      </c>
      <c r="L2718" t="s">
        <v>612</v>
      </c>
      <c r="M2718">
        <v>100</v>
      </c>
      <c r="N2718" t="s">
        <v>684</v>
      </c>
      <c r="O2718" t="s">
        <v>393</v>
      </c>
      <c r="P2718">
        <v>6175559555</v>
      </c>
      <c r="Q2718" t="s">
        <v>394</v>
      </c>
      <c r="S2718" t="s">
        <v>395</v>
      </c>
      <c r="T2718" t="s">
        <v>137</v>
      </c>
      <c r="U2718">
        <v>51003</v>
      </c>
      <c r="V2718" t="s">
        <v>46</v>
      </c>
      <c r="W2718" t="s">
        <v>47</v>
      </c>
      <c r="X2718" t="s">
        <v>396</v>
      </c>
      <c r="Y2718" t="s">
        <v>80</v>
      </c>
      <c r="Z2718" t="s">
        <v>65</v>
      </c>
    </row>
    <row r="2719" spans="1:26" x14ac:dyDescent="0.3">
      <c r="A2719">
        <v>10105</v>
      </c>
      <c r="B2719">
        <v>22</v>
      </c>
      <c r="C2719">
        <v>100</v>
      </c>
      <c r="D2719">
        <v>7</v>
      </c>
      <c r="E2719">
        <v>2556.1799999999998</v>
      </c>
      <c r="F2719" s="1">
        <v>37663</v>
      </c>
      <c r="G2719" t="s">
        <v>39</v>
      </c>
      <c r="H2719">
        <v>1</v>
      </c>
      <c r="I2719">
        <v>2</v>
      </c>
      <c r="J2719" t="str">
        <f>TEXT(DATE(2012,Table1[[#This Row],[MONTH_ID]],10),"mmm")</f>
        <v>Feb</v>
      </c>
      <c r="K2719">
        <v>2003</v>
      </c>
      <c r="L2719" t="s">
        <v>612</v>
      </c>
      <c r="M2719">
        <v>99</v>
      </c>
      <c r="N2719" t="s">
        <v>685</v>
      </c>
      <c r="O2719" t="s">
        <v>336</v>
      </c>
      <c r="P2719" t="s">
        <v>337</v>
      </c>
      <c r="Q2719" t="s">
        <v>338</v>
      </c>
      <c r="S2719" t="s">
        <v>339</v>
      </c>
      <c r="U2719">
        <v>1734</v>
      </c>
      <c r="V2719" t="s">
        <v>340</v>
      </c>
      <c r="W2719" t="s">
        <v>56</v>
      </c>
      <c r="X2719" t="s">
        <v>341</v>
      </c>
      <c r="Y2719" t="s">
        <v>342</v>
      </c>
      <c r="Z2719" t="s">
        <v>50</v>
      </c>
    </row>
    <row r="2720" spans="1:26" x14ac:dyDescent="0.3">
      <c r="A2720">
        <v>10117</v>
      </c>
      <c r="B2720">
        <v>45</v>
      </c>
      <c r="C2720">
        <v>83.42</v>
      </c>
      <c r="D2720">
        <v>1</v>
      </c>
      <c r="E2720">
        <v>3753.9</v>
      </c>
      <c r="F2720" s="1">
        <v>37727</v>
      </c>
      <c r="G2720" t="s">
        <v>39</v>
      </c>
      <c r="H2720">
        <v>2</v>
      </c>
      <c r="I2720">
        <v>4</v>
      </c>
      <c r="J2720" t="str">
        <f>TEXT(DATE(2012,Table1[[#This Row],[MONTH_ID]],10),"mmm")</f>
        <v>Apr</v>
      </c>
      <c r="K2720">
        <v>2003</v>
      </c>
      <c r="L2720" t="s">
        <v>612</v>
      </c>
      <c r="M2720">
        <v>99</v>
      </c>
      <c r="N2720" t="s">
        <v>685</v>
      </c>
      <c r="O2720" t="s">
        <v>210</v>
      </c>
      <c r="P2720" t="s">
        <v>211</v>
      </c>
      <c r="Q2720" t="s">
        <v>212</v>
      </c>
      <c r="S2720" t="s">
        <v>213</v>
      </c>
      <c r="U2720">
        <v>79903</v>
      </c>
      <c r="V2720" t="s">
        <v>213</v>
      </c>
      <c r="W2720" t="s">
        <v>214</v>
      </c>
      <c r="X2720" t="s">
        <v>215</v>
      </c>
      <c r="Y2720" t="s">
        <v>216</v>
      </c>
      <c r="Z2720" t="s">
        <v>65</v>
      </c>
    </row>
    <row r="2721" spans="1:26" x14ac:dyDescent="0.3">
      <c r="A2721">
        <v>10129</v>
      </c>
      <c r="B2721">
        <v>30</v>
      </c>
      <c r="C2721">
        <v>85.41</v>
      </c>
      <c r="D2721">
        <v>7</v>
      </c>
      <c r="E2721">
        <v>2562.3000000000002</v>
      </c>
      <c r="F2721" s="1">
        <v>37784</v>
      </c>
      <c r="G2721" t="s">
        <v>39</v>
      </c>
      <c r="H2721">
        <v>2</v>
      </c>
      <c r="I2721">
        <v>6</v>
      </c>
      <c r="J2721" t="str">
        <f>TEXT(DATE(2012,Table1[[#This Row],[MONTH_ID]],10),"mmm")</f>
        <v>Jun</v>
      </c>
      <c r="K2721">
        <v>2003</v>
      </c>
      <c r="L2721" t="s">
        <v>612</v>
      </c>
      <c r="M2721">
        <v>99</v>
      </c>
      <c r="N2721" t="s">
        <v>685</v>
      </c>
      <c r="O2721" t="s">
        <v>343</v>
      </c>
      <c r="P2721" t="s">
        <v>344</v>
      </c>
      <c r="Q2721" t="s">
        <v>345</v>
      </c>
      <c r="S2721" t="s">
        <v>346</v>
      </c>
      <c r="U2721" t="s">
        <v>347</v>
      </c>
      <c r="V2721" t="s">
        <v>184</v>
      </c>
      <c r="W2721" t="s">
        <v>56</v>
      </c>
      <c r="X2721" t="s">
        <v>75</v>
      </c>
      <c r="Y2721" t="s">
        <v>348</v>
      </c>
      <c r="Z2721" t="s">
        <v>50</v>
      </c>
    </row>
    <row r="2722" spans="1:26" x14ac:dyDescent="0.3">
      <c r="A2722">
        <v>10142</v>
      </c>
      <c r="B2722">
        <v>38</v>
      </c>
      <c r="C2722">
        <v>85.41</v>
      </c>
      <c r="D2722">
        <v>4</v>
      </c>
      <c r="E2722">
        <v>3245.58</v>
      </c>
      <c r="F2722" s="1">
        <v>37841</v>
      </c>
      <c r="G2722" t="s">
        <v>39</v>
      </c>
      <c r="H2722">
        <v>3</v>
      </c>
      <c r="I2722">
        <v>8</v>
      </c>
      <c r="J2722" t="str">
        <f>TEXT(DATE(2012,Table1[[#This Row],[MONTH_ID]],10),"mmm")</f>
        <v>Aug</v>
      </c>
      <c r="K2722">
        <v>2003</v>
      </c>
      <c r="L2722" t="s">
        <v>612</v>
      </c>
      <c r="M2722">
        <v>99</v>
      </c>
      <c r="N2722" t="s">
        <v>685</v>
      </c>
      <c r="O2722" t="s">
        <v>286</v>
      </c>
      <c r="P2722">
        <v>4155551450</v>
      </c>
      <c r="Q2722" t="s">
        <v>287</v>
      </c>
      <c r="S2722" t="s">
        <v>288</v>
      </c>
      <c r="T2722" t="s">
        <v>69</v>
      </c>
      <c r="U2722">
        <v>97562</v>
      </c>
      <c r="V2722" t="s">
        <v>46</v>
      </c>
      <c r="W2722" t="s">
        <v>47</v>
      </c>
      <c r="X2722" t="s">
        <v>289</v>
      </c>
      <c r="Y2722" t="s">
        <v>290</v>
      </c>
      <c r="Z2722" t="s">
        <v>65</v>
      </c>
    </row>
    <row r="2723" spans="1:26" x14ac:dyDescent="0.3">
      <c r="A2723">
        <v>10153</v>
      </c>
      <c r="B2723">
        <v>20</v>
      </c>
      <c r="C2723">
        <v>100</v>
      </c>
      <c r="D2723">
        <v>3</v>
      </c>
      <c r="E2723">
        <v>2204.6</v>
      </c>
      <c r="F2723" s="1">
        <v>37892</v>
      </c>
      <c r="G2723" t="s">
        <v>39</v>
      </c>
      <c r="H2723">
        <v>3</v>
      </c>
      <c r="I2723">
        <v>9</v>
      </c>
      <c r="J2723" t="str">
        <f>TEXT(DATE(2012,Table1[[#This Row],[MONTH_ID]],10),"mmm")</f>
        <v>Sep</v>
      </c>
      <c r="K2723">
        <v>2003</v>
      </c>
      <c r="L2723" t="s">
        <v>612</v>
      </c>
      <c r="M2723">
        <v>99</v>
      </c>
      <c r="N2723" t="s">
        <v>685</v>
      </c>
      <c r="O2723" t="s">
        <v>188</v>
      </c>
      <c r="P2723" t="s">
        <v>189</v>
      </c>
      <c r="Q2723" t="s">
        <v>190</v>
      </c>
      <c r="S2723" t="s">
        <v>191</v>
      </c>
      <c r="U2723">
        <v>28034</v>
      </c>
      <c r="V2723" t="s">
        <v>192</v>
      </c>
      <c r="W2723" t="s">
        <v>56</v>
      </c>
      <c r="X2723" t="s">
        <v>193</v>
      </c>
      <c r="Y2723" t="s">
        <v>194</v>
      </c>
      <c r="Z2723" t="s">
        <v>50</v>
      </c>
    </row>
    <row r="2724" spans="1:26" x14ac:dyDescent="0.3">
      <c r="A2724">
        <v>10167</v>
      </c>
      <c r="B2724">
        <v>28</v>
      </c>
      <c r="C2724">
        <v>100</v>
      </c>
      <c r="D2724">
        <v>14</v>
      </c>
      <c r="E2724">
        <v>3003</v>
      </c>
      <c r="F2724" s="1">
        <v>37917</v>
      </c>
      <c r="G2724" t="s">
        <v>353</v>
      </c>
      <c r="H2724">
        <v>4</v>
      </c>
      <c r="I2724">
        <v>10</v>
      </c>
      <c r="J2724" t="str">
        <f>TEXT(DATE(2012,Table1[[#This Row],[MONTH_ID]],10),"mmm")</f>
        <v>Oct</v>
      </c>
      <c r="K2724">
        <v>2003</v>
      </c>
      <c r="L2724" t="s">
        <v>612</v>
      </c>
      <c r="M2724">
        <v>99</v>
      </c>
      <c r="N2724" t="s">
        <v>685</v>
      </c>
      <c r="O2724" t="s">
        <v>275</v>
      </c>
      <c r="P2724" t="s">
        <v>276</v>
      </c>
      <c r="Q2724" t="s">
        <v>277</v>
      </c>
      <c r="S2724" t="s">
        <v>278</v>
      </c>
      <c r="U2724" t="s">
        <v>279</v>
      </c>
      <c r="V2724" t="s">
        <v>202</v>
      </c>
      <c r="W2724" t="s">
        <v>56</v>
      </c>
      <c r="X2724" t="s">
        <v>280</v>
      </c>
      <c r="Y2724" t="s">
        <v>220</v>
      </c>
      <c r="Z2724" t="s">
        <v>65</v>
      </c>
    </row>
    <row r="2725" spans="1:26" x14ac:dyDescent="0.3">
      <c r="A2725">
        <v>10177</v>
      </c>
      <c r="B2725">
        <v>24</v>
      </c>
      <c r="C2725">
        <v>100</v>
      </c>
      <c r="D2725">
        <v>5</v>
      </c>
      <c r="E2725">
        <v>2526.48</v>
      </c>
      <c r="F2725" s="1">
        <v>37932</v>
      </c>
      <c r="G2725" t="s">
        <v>39</v>
      </c>
      <c r="H2725">
        <v>4</v>
      </c>
      <c r="I2725">
        <v>11</v>
      </c>
      <c r="J2725" t="str">
        <f>TEXT(DATE(2012,Table1[[#This Row],[MONTH_ID]],10),"mmm")</f>
        <v>Nov</v>
      </c>
      <c r="K2725">
        <v>2003</v>
      </c>
      <c r="L2725" t="s">
        <v>612</v>
      </c>
      <c r="M2725">
        <v>99</v>
      </c>
      <c r="N2725" t="s">
        <v>685</v>
      </c>
      <c r="O2725" t="s">
        <v>501</v>
      </c>
      <c r="P2725" t="s">
        <v>502</v>
      </c>
      <c r="Q2725" t="s">
        <v>503</v>
      </c>
      <c r="S2725" t="s">
        <v>191</v>
      </c>
      <c r="U2725">
        <v>28023</v>
      </c>
      <c r="V2725" t="s">
        <v>192</v>
      </c>
      <c r="W2725" t="s">
        <v>56</v>
      </c>
      <c r="X2725" t="s">
        <v>504</v>
      </c>
      <c r="Y2725" t="s">
        <v>505</v>
      </c>
      <c r="Z2725" t="s">
        <v>50</v>
      </c>
    </row>
    <row r="2726" spans="1:26" x14ac:dyDescent="0.3">
      <c r="A2726">
        <v>10185</v>
      </c>
      <c r="B2726">
        <v>22</v>
      </c>
      <c r="C2726">
        <v>79.45</v>
      </c>
      <c r="D2726">
        <v>5</v>
      </c>
      <c r="E2726">
        <v>1747.9</v>
      </c>
      <c r="F2726" s="1">
        <v>37939</v>
      </c>
      <c r="G2726" t="s">
        <v>39</v>
      </c>
      <c r="H2726">
        <v>4</v>
      </c>
      <c r="I2726">
        <v>11</v>
      </c>
      <c r="J2726" t="str">
        <f>TEXT(DATE(2012,Table1[[#This Row],[MONTH_ID]],10),"mmm")</f>
        <v>Nov</v>
      </c>
      <c r="K2726">
        <v>2003</v>
      </c>
      <c r="L2726" t="s">
        <v>612</v>
      </c>
      <c r="M2726">
        <v>99</v>
      </c>
      <c r="N2726" t="s">
        <v>685</v>
      </c>
      <c r="O2726" t="s">
        <v>349</v>
      </c>
      <c r="P2726">
        <v>5085559555</v>
      </c>
      <c r="Q2726" t="s">
        <v>350</v>
      </c>
      <c r="S2726" t="s">
        <v>176</v>
      </c>
      <c r="T2726" t="s">
        <v>137</v>
      </c>
      <c r="U2726">
        <v>50553</v>
      </c>
      <c r="V2726" t="s">
        <v>46</v>
      </c>
      <c r="W2726" t="s">
        <v>47</v>
      </c>
      <c r="X2726" t="s">
        <v>351</v>
      </c>
      <c r="Y2726" t="s">
        <v>352</v>
      </c>
      <c r="Z2726" t="s">
        <v>50</v>
      </c>
    </row>
    <row r="2727" spans="1:26" x14ac:dyDescent="0.3">
      <c r="A2727">
        <v>10197</v>
      </c>
      <c r="B2727">
        <v>35</v>
      </c>
      <c r="C2727">
        <v>93.35</v>
      </c>
      <c r="D2727">
        <v>11</v>
      </c>
      <c r="E2727">
        <v>3267.25</v>
      </c>
      <c r="F2727" s="1">
        <v>37951</v>
      </c>
      <c r="G2727" t="s">
        <v>39</v>
      </c>
      <c r="H2727">
        <v>4</v>
      </c>
      <c r="I2727">
        <v>11</v>
      </c>
      <c r="J2727" t="str">
        <f>TEXT(DATE(2012,Table1[[#This Row],[MONTH_ID]],10),"mmm")</f>
        <v>Nov</v>
      </c>
      <c r="K2727">
        <v>2003</v>
      </c>
      <c r="L2727" t="s">
        <v>612</v>
      </c>
      <c r="M2727">
        <v>99</v>
      </c>
      <c r="N2727" t="s">
        <v>685</v>
      </c>
      <c r="O2727" t="s">
        <v>366</v>
      </c>
      <c r="P2727" t="s">
        <v>367</v>
      </c>
      <c r="Q2727" t="s">
        <v>368</v>
      </c>
      <c r="S2727" t="s">
        <v>369</v>
      </c>
      <c r="U2727">
        <v>8022</v>
      </c>
      <c r="V2727" t="s">
        <v>192</v>
      </c>
      <c r="W2727" t="s">
        <v>56</v>
      </c>
      <c r="X2727" t="s">
        <v>370</v>
      </c>
      <c r="Y2727" t="s">
        <v>371</v>
      </c>
      <c r="Z2727" t="s">
        <v>65</v>
      </c>
    </row>
    <row r="2728" spans="1:26" x14ac:dyDescent="0.3">
      <c r="A2728">
        <v>10208</v>
      </c>
      <c r="B2728">
        <v>33</v>
      </c>
      <c r="C2728">
        <v>85.41</v>
      </c>
      <c r="D2728">
        <v>5</v>
      </c>
      <c r="E2728">
        <v>2818.53</v>
      </c>
      <c r="F2728" s="1">
        <v>37988</v>
      </c>
      <c r="G2728" t="s">
        <v>39</v>
      </c>
      <c r="H2728">
        <v>1</v>
      </c>
      <c r="I2728">
        <v>1</v>
      </c>
      <c r="J2728" t="str">
        <f>TEXT(DATE(2012,Table1[[#This Row],[MONTH_ID]],10),"mmm")</f>
        <v>Jan</v>
      </c>
      <c r="K2728">
        <v>2004</v>
      </c>
      <c r="L2728" t="s">
        <v>612</v>
      </c>
      <c r="M2728">
        <v>99</v>
      </c>
      <c r="N2728" t="s">
        <v>685</v>
      </c>
      <c r="O2728" t="s">
        <v>233</v>
      </c>
      <c r="P2728" t="s">
        <v>234</v>
      </c>
      <c r="Q2728" t="s">
        <v>235</v>
      </c>
      <c r="S2728" t="s">
        <v>236</v>
      </c>
      <c r="U2728">
        <v>69004</v>
      </c>
      <c r="V2728" t="s">
        <v>55</v>
      </c>
      <c r="W2728" t="s">
        <v>56</v>
      </c>
      <c r="X2728" t="s">
        <v>237</v>
      </c>
      <c r="Y2728" t="s">
        <v>238</v>
      </c>
      <c r="Z2728" t="s">
        <v>50</v>
      </c>
    </row>
    <row r="2729" spans="1:26" x14ac:dyDescent="0.3">
      <c r="A2729">
        <v>10222</v>
      </c>
      <c r="B2729">
        <v>31</v>
      </c>
      <c r="C2729">
        <v>95.34</v>
      </c>
      <c r="D2729">
        <v>17</v>
      </c>
      <c r="E2729">
        <v>2955.54</v>
      </c>
      <c r="F2729" s="1">
        <v>38036</v>
      </c>
      <c r="G2729" t="s">
        <v>39</v>
      </c>
      <c r="H2729">
        <v>1</v>
      </c>
      <c r="I2729">
        <v>2</v>
      </c>
      <c r="J2729" t="str">
        <f>TEXT(DATE(2012,Table1[[#This Row],[MONTH_ID]],10),"mmm")</f>
        <v>Feb</v>
      </c>
      <c r="K2729">
        <v>2004</v>
      </c>
      <c r="L2729" t="s">
        <v>612</v>
      </c>
      <c r="M2729">
        <v>99</v>
      </c>
      <c r="N2729" t="s">
        <v>685</v>
      </c>
      <c r="O2729" t="s">
        <v>376</v>
      </c>
      <c r="P2729">
        <v>7605558146</v>
      </c>
      <c r="Q2729" t="s">
        <v>377</v>
      </c>
      <c r="S2729" t="s">
        <v>378</v>
      </c>
      <c r="T2729" t="s">
        <v>69</v>
      </c>
      <c r="U2729">
        <v>91217</v>
      </c>
      <c r="V2729" t="s">
        <v>46</v>
      </c>
      <c r="W2729" t="s">
        <v>47</v>
      </c>
      <c r="X2729" t="s">
        <v>251</v>
      </c>
      <c r="Y2729" t="s">
        <v>290</v>
      </c>
      <c r="Z2729" t="s">
        <v>50</v>
      </c>
    </row>
    <row r="2730" spans="1:26" x14ac:dyDescent="0.3">
      <c r="A2730">
        <v>10232</v>
      </c>
      <c r="B2730">
        <v>35</v>
      </c>
      <c r="C2730">
        <v>82.43</v>
      </c>
      <c r="D2730">
        <v>2</v>
      </c>
      <c r="E2730">
        <v>2885.05</v>
      </c>
      <c r="F2730" s="1">
        <v>38066</v>
      </c>
      <c r="G2730" t="s">
        <v>39</v>
      </c>
      <c r="H2730">
        <v>1</v>
      </c>
      <c r="I2730">
        <v>3</v>
      </c>
      <c r="J2730" t="str">
        <f>TEXT(DATE(2012,Table1[[#This Row],[MONTH_ID]],10),"mmm")</f>
        <v>Mar</v>
      </c>
      <c r="K2730">
        <v>2004</v>
      </c>
      <c r="L2730" t="s">
        <v>612</v>
      </c>
      <c r="M2730">
        <v>99</v>
      </c>
      <c r="N2730" t="s">
        <v>685</v>
      </c>
      <c r="O2730" t="s">
        <v>397</v>
      </c>
      <c r="P2730" t="s">
        <v>398</v>
      </c>
      <c r="Q2730" t="s">
        <v>399</v>
      </c>
      <c r="S2730" t="s">
        <v>400</v>
      </c>
      <c r="T2730" t="s">
        <v>401</v>
      </c>
      <c r="U2730" t="s">
        <v>402</v>
      </c>
      <c r="V2730" t="s">
        <v>184</v>
      </c>
      <c r="W2730" t="s">
        <v>56</v>
      </c>
      <c r="X2730" t="s">
        <v>403</v>
      </c>
      <c r="Y2730" t="s">
        <v>404</v>
      </c>
      <c r="Z2730" t="s">
        <v>50</v>
      </c>
    </row>
    <row r="2731" spans="1:26" x14ac:dyDescent="0.3">
      <c r="A2731">
        <v>10248</v>
      </c>
      <c r="B2731">
        <v>35</v>
      </c>
      <c r="C2731">
        <v>90.37</v>
      </c>
      <c r="D2731">
        <v>8</v>
      </c>
      <c r="E2731">
        <v>3162.95</v>
      </c>
      <c r="F2731" s="1">
        <v>38114</v>
      </c>
      <c r="G2731" t="s">
        <v>353</v>
      </c>
      <c r="H2731">
        <v>2</v>
      </c>
      <c r="I2731">
        <v>5</v>
      </c>
      <c r="J2731" t="str">
        <f>TEXT(DATE(2012,Table1[[#This Row],[MONTH_ID]],10),"mmm")</f>
        <v>May</v>
      </c>
      <c r="K2731">
        <v>2004</v>
      </c>
      <c r="L2731" t="s">
        <v>612</v>
      </c>
      <c r="M2731">
        <v>99</v>
      </c>
      <c r="N2731" t="s">
        <v>685</v>
      </c>
      <c r="O2731" t="s">
        <v>42</v>
      </c>
      <c r="P2731">
        <v>2125557818</v>
      </c>
      <c r="Q2731" t="s">
        <v>43</v>
      </c>
      <c r="S2731" t="s">
        <v>44</v>
      </c>
      <c r="T2731" t="s">
        <v>45</v>
      </c>
      <c r="U2731">
        <v>10022</v>
      </c>
      <c r="V2731" t="s">
        <v>46</v>
      </c>
      <c r="W2731" t="s">
        <v>47</v>
      </c>
      <c r="X2731" t="s">
        <v>48</v>
      </c>
      <c r="Y2731" t="s">
        <v>49</v>
      </c>
      <c r="Z2731" t="s">
        <v>65</v>
      </c>
    </row>
    <row r="2732" spans="1:26" x14ac:dyDescent="0.3">
      <c r="A2732">
        <v>10261</v>
      </c>
      <c r="B2732">
        <v>50</v>
      </c>
      <c r="C2732">
        <v>81.430000000000007</v>
      </c>
      <c r="D2732">
        <v>6</v>
      </c>
      <c r="E2732">
        <v>4071.5</v>
      </c>
      <c r="F2732" s="1">
        <v>38155</v>
      </c>
      <c r="G2732" t="s">
        <v>39</v>
      </c>
      <c r="H2732">
        <v>2</v>
      </c>
      <c r="I2732">
        <v>6</v>
      </c>
      <c r="J2732" t="str">
        <f>TEXT(DATE(2012,Table1[[#This Row],[MONTH_ID]],10),"mmm")</f>
        <v>Jun</v>
      </c>
      <c r="K2732">
        <v>2004</v>
      </c>
      <c r="L2732" t="s">
        <v>612</v>
      </c>
      <c r="M2732">
        <v>99</v>
      </c>
      <c r="N2732" t="s">
        <v>685</v>
      </c>
      <c r="O2732" t="s">
        <v>306</v>
      </c>
      <c r="P2732" t="s">
        <v>307</v>
      </c>
      <c r="Q2732" t="s">
        <v>308</v>
      </c>
      <c r="S2732" t="s">
        <v>309</v>
      </c>
      <c r="T2732" t="s">
        <v>310</v>
      </c>
      <c r="U2732" t="s">
        <v>311</v>
      </c>
      <c r="V2732" t="s">
        <v>245</v>
      </c>
      <c r="W2732" t="s">
        <v>47</v>
      </c>
      <c r="X2732" t="s">
        <v>312</v>
      </c>
      <c r="Y2732" t="s">
        <v>313</v>
      </c>
      <c r="Z2732" t="s">
        <v>65</v>
      </c>
    </row>
    <row r="2733" spans="1:26" x14ac:dyDescent="0.3">
      <c r="A2733">
        <v>10273</v>
      </c>
      <c r="B2733">
        <v>26</v>
      </c>
      <c r="C2733">
        <v>100</v>
      </c>
      <c r="D2733">
        <v>9</v>
      </c>
      <c r="E2733">
        <v>2969.46</v>
      </c>
      <c r="F2733" s="1">
        <v>38189</v>
      </c>
      <c r="G2733" t="s">
        <v>39</v>
      </c>
      <c r="H2733">
        <v>3</v>
      </c>
      <c r="I2733">
        <v>7</v>
      </c>
      <c r="J2733" t="str">
        <f>TEXT(DATE(2012,Table1[[#This Row],[MONTH_ID]],10),"mmm")</f>
        <v>Jul</v>
      </c>
      <c r="K2733">
        <v>2004</v>
      </c>
      <c r="L2733" t="s">
        <v>612</v>
      </c>
      <c r="M2733">
        <v>99</v>
      </c>
      <c r="N2733" t="s">
        <v>685</v>
      </c>
      <c r="O2733" t="s">
        <v>379</v>
      </c>
      <c r="P2733" t="s">
        <v>380</v>
      </c>
      <c r="Q2733" t="s">
        <v>381</v>
      </c>
      <c r="S2733" t="s">
        <v>382</v>
      </c>
      <c r="U2733" t="s">
        <v>383</v>
      </c>
      <c r="V2733" t="s">
        <v>384</v>
      </c>
      <c r="W2733" t="s">
        <v>56</v>
      </c>
      <c r="X2733" t="s">
        <v>385</v>
      </c>
      <c r="Y2733" t="s">
        <v>386</v>
      </c>
      <c r="Z2733" t="s">
        <v>50</v>
      </c>
    </row>
    <row r="2734" spans="1:26" x14ac:dyDescent="0.3">
      <c r="A2734">
        <v>10283</v>
      </c>
      <c r="B2734">
        <v>38</v>
      </c>
      <c r="C2734">
        <v>89.38</v>
      </c>
      <c r="D2734">
        <v>11</v>
      </c>
      <c r="E2734">
        <v>3396.44</v>
      </c>
      <c r="F2734" s="1">
        <v>38219</v>
      </c>
      <c r="G2734" t="s">
        <v>39</v>
      </c>
      <c r="H2734">
        <v>3</v>
      </c>
      <c r="I2734">
        <v>8</v>
      </c>
      <c r="J2734" t="str">
        <f>TEXT(DATE(2012,Table1[[#This Row],[MONTH_ID]],10),"mmm")</f>
        <v>Aug</v>
      </c>
      <c r="K2734">
        <v>2004</v>
      </c>
      <c r="L2734" t="s">
        <v>612</v>
      </c>
      <c r="M2734">
        <v>99</v>
      </c>
      <c r="N2734" t="s">
        <v>685</v>
      </c>
      <c r="O2734" t="s">
        <v>387</v>
      </c>
      <c r="P2734" t="s">
        <v>388</v>
      </c>
      <c r="Q2734" t="s">
        <v>389</v>
      </c>
      <c r="S2734" t="s">
        <v>390</v>
      </c>
      <c r="T2734" t="s">
        <v>243</v>
      </c>
      <c r="U2734" t="s">
        <v>391</v>
      </c>
      <c r="V2734" t="s">
        <v>245</v>
      </c>
      <c r="W2734" t="s">
        <v>47</v>
      </c>
      <c r="X2734" t="s">
        <v>392</v>
      </c>
      <c r="Y2734" t="s">
        <v>186</v>
      </c>
      <c r="Z2734" t="s">
        <v>65</v>
      </c>
    </row>
    <row r="2735" spans="1:26" x14ac:dyDescent="0.3">
      <c r="A2735">
        <v>10294</v>
      </c>
      <c r="B2735">
        <v>45</v>
      </c>
      <c r="C2735">
        <v>100</v>
      </c>
      <c r="D2735">
        <v>1</v>
      </c>
      <c r="E2735">
        <v>4692.6000000000004</v>
      </c>
      <c r="F2735" s="1">
        <v>38240</v>
      </c>
      <c r="G2735" t="s">
        <v>39</v>
      </c>
      <c r="H2735">
        <v>3</v>
      </c>
      <c r="I2735">
        <v>9</v>
      </c>
      <c r="J2735" t="str">
        <f>TEXT(DATE(2012,Table1[[#This Row],[MONTH_ID]],10),"mmm")</f>
        <v>Sep</v>
      </c>
      <c r="K2735">
        <v>2004</v>
      </c>
      <c r="L2735" t="s">
        <v>612</v>
      </c>
      <c r="M2735">
        <v>99</v>
      </c>
      <c r="N2735" t="s">
        <v>685</v>
      </c>
      <c r="O2735" t="s">
        <v>472</v>
      </c>
      <c r="P2735">
        <v>6175557555</v>
      </c>
      <c r="Q2735" t="s">
        <v>473</v>
      </c>
      <c r="S2735" t="s">
        <v>297</v>
      </c>
      <c r="T2735" t="s">
        <v>137</v>
      </c>
      <c r="U2735">
        <v>58339</v>
      </c>
      <c r="V2735" t="s">
        <v>46</v>
      </c>
      <c r="W2735" t="s">
        <v>47</v>
      </c>
      <c r="X2735" t="s">
        <v>474</v>
      </c>
      <c r="Y2735" t="s">
        <v>475</v>
      </c>
      <c r="Z2735" t="s">
        <v>65</v>
      </c>
    </row>
    <row r="2736" spans="1:26" x14ac:dyDescent="0.3">
      <c r="A2736">
        <v>10306</v>
      </c>
      <c r="B2736">
        <v>30</v>
      </c>
      <c r="C2736">
        <v>100</v>
      </c>
      <c r="D2736">
        <v>5</v>
      </c>
      <c r="E2736">
        <v>3515.7</v>
      </c>
      <c r="F2736" s="1">
        <v>38274</v>
      </c>
      <c r="G2736" t="s">
        <v>39</v>
      </c>
      <c r="H2736">
        <v>4</v>
      </c>
      <c r="I2736">
        <v>10</v>
      </c>
      <c r="J2736" t="str">
        <f>TEXT(DATE(2012,Table1[[#This Row],[MONTH_ID]],10),"mmm")</f>
        <v>Oct</v>
      </c>
      <c r="K2736">
        <v>2004</v>
      </c>
      <c r="L2736" t="s">
        <v>612</v>
      </c>
      <c r="M2736">
        <v>99</v>
      </c>
      <c r="N2736" t="s">
        <v>685</v>
      </c>
      <c r="O2736" t="s">
        <v>506</v>
      </c>
      <c r="P2736" t="s">
        <v>507</v>
      </c>
      <c r="Q2736" t="s">
        <v>508</v>
      </c>
      <c r="S2736" t="s">
        <v>509</v>
      </c>
      <c r="U2736" t="s">
        <v>510</v>
      </c>
      <c r="V2736" t="s">
        <v>184</v>
      </c>
      <c r="W2736" t="s">
        <v>56</v>
      </c>
      <c r="X2736" t="s">
        <v>511</v>
      </c>
      <c r="Y2736" t="s">
        <v>108</v>
      </c>
      <c r="Z2736" t="s">
        <v>65</v>
      </c>
    </row>
    <row r="2737" spans="1:26" x14ac:dyDescent="0.3">
      <c r="A2737">
        <v>10315</v>
      </c>
      <c r="B2737">
        <v>37</v>
      </c>
      <c r="C2737">
        <v>91.37</v>
      </c>
      <c r="D2737">
        <v>4</v>
      </c>
      <c r="E2737">
        <v>3380.69</v>
      </c>
      <c r="F2737" s="1">
        <v>38289</v>
      </c>
      <c r="G2737" t="s">
        <v>39</v>
      </c>
      <c r="H2737">
        <v>4</v>
      </c>
      <c r="I2737">
        <v>10</v>
      </c>
      <c r="J2737" t="str">
        <f>TEXT(DATE(2012,Table1[[#This Row],[MONTH_ID]],10),"mmm")</f>
        <v>Oct</v>
      </c>
      <c r="K2737">
        <v>2004</v>
      </c>
      <c r="L2737" t="s">
        <v>612</v>
      </c>
      <c r="M2737">
        <v>99</v>
      </c>
      <c r="N2737" t="s">
        <v>685</v>
      </c>
      <c r="O2737" t="s">
        <v>128</v>
      </c>
      <c r="P2737" t="s">
        <v>129</v>
      </c>
      <c r="Q2737" t="s">
        <v>130</v>
      </c>
      <c r="S2737" t="s">
        <v>131</v>
      </c>
      <c r="U2737">
        <v>44000</v>
      </c>
      <c r="V2737" t="s">
        <v>55</v>
      </c>
      <c r="W2737" t="s">
        <v>56</v>
      </c>
      <c r="X2737" t="s">
        <v>132</v>
      </c>
      <c r="Y2737" t="s">
        <v>133</v>
      </c>
      <c r="Z2737" t="s">
        <v>65</v>
      </c>
    </row>
    <row r="2738" spans="1:26" x14ac:dyDescent="0.3">
      <c r="A2738">
        <v>10327</v>
      </c>
      <c r="B2738">
        <v>37</v>
      </c>
      <c r="C2738">
        <v>86.61</v>
      </c>
      <c r="D2738">
        <v>3</v>
      </c>
      <c r="E2738">
        <v>3204.57</v>
      </c>
      <c r="F2738" s="1">
        <v>38301</v>
      </c>
      <c r="G2738" t="s">
        <v>422</v>
      </c>
      <c r="H2738">
        <v>4</v>
      </c>
      <c r="I2738">
        <v>11</v>
      </c>
      <c r="J2738" t="str">
        <f>TEXT(DATE(2012,Table1[[#This Row],[MONTH_ID]],10),"mmm")</f>
        <v>Nov</v>
      </c>
      <c r="K2738">
        <v>2004</v>
      </c>
      <c r="L2738" t="s">
        <v>612</v>
      </c>
      <c r="M2738">
        <v>99</v>
      </c>
      <c r="N2738" t="s">
        <v>685</v>
      </c>
      <c r="O2738" t="s">
        <v>336</v>
      </c>
      <c r="P2738" t="s">
        <v>337</v>
      </c>
      <c r="Q2738" t="s">
        <v>338</v>
      </c>
      <c r="S2738" t="s">
        <v>339</v>
      </c>
      <c r="U2738">
        <v>1734</v>
      </c>
      <c r="V2738" t="s">
        <v>340</v>
      </c>
      <c r="W2738" t="s">
        <v>56</v>
      </c>
      <c r="X2738" t="s">
        <v>341</v>
      </c>
      <c r="Y2738" t="s">
        <v>342</v>
      </c>
      <c r="Z2738" t="s">
        <v>65</v>
      </c>
    </row>
    <row r="2739" spans="1:26" x14ac:dyDescent="0.3">
      <c r="A2739">
        <v>10337</v>
      </c>
      <c r="B2739">
        <v>36</v>
      </c>
      <c r="C2739">
        <v>71.89</v>
      </c>
      <c r="D2739">
        <v>7</v>
      </c>
      <c r="E2739">
        <v>2588.04</v>
      </c>
      <c r="F2739" s="1">
        <v>38312</v>
      </c>
      <c r="G2739" t="s">
        <v>39</v>
      </c>
      <c r="H2739">
        <v>4</v>
      </c>
      <c r="I2739">
        <v>11</v>
      </c>
      <c r="J2739" t="str">
        <f>TEXT(DATE(2012,Table1[[#This Row],[MONTH_ID]],10),"mmm")</f>
        <v>Nov</v>
      </c>
      <c r="K2739">
        <v>2004</v>
      </c>
      <c r="L2739" t="s">
        <v>612</v>
      </c>
      <c r="M2739">
        <v>99</v>
      </c>
      <c r="N2739" t="s">
        <v>685</v>
      </c>
      <c r="O2739" t="s">
        <v>217</v>
      </c>
      <c r="P2739">
        <v>2125558493</v>
      </c>
      <c r="Q2739" t="s">
        <v>218</v>
      </c>
      <c r="R2739" t="s">
        <v>219</v>
      </c>
      <c r="S2739" t="s">
        <v>44</v>
      </c>
      <c r="T2739" t="s">
        <v>45</v>
      </c>
      <c r="U2739">
        <v>10022</v>
      </c>
      <c r="V2739" t="s">
        <v>46</v>
      </c>
      <c r="W2739" t="s">
        <v>47</v>
      </c>
      <c r="X2739" t="s">
        <v>138</v>
      </c>
      <c r="Y2739" t="s">
        <v>220</v>
      </c>
      <c r="Z2739" t="s">
        <v>50</v>
      </c>
    </row>
    <row r="2740" spans="1:26" x14ac:dyDescent="0.3">
      <c r="A2740">
        <v>10350</v>
      </c>
      <c r="B2740">
        <v>25</v>
      </c>
      <c r="C2740">
        <v>100</v>
      </c>
      <c r="D2740">
        <v>16</v>
      </c>
      <c r="E2740">
        <v>2854.75</v>
      </c>
      <c r="F2740" s="1">
        <v>38323</v>
      </c>
      <c r="G2740" t="s">
        <v>39</v>
      </c>
      <c r="H2740">
        <v>4</v>
      </c>
      <c r="I2740">
        <v>12</v>
      </c>
      <c r="J2740" t="str">
        <f>TEXT(DATE(2012,Table1[[#This Row],[MONTH_ID]],10),"mmm")</f>
        <v>Dec</v>
      </c>
      <c r="K2740">
        <v>2004</v>
      </c>
      <c r="L2740" t="s">
        <v>612</v>
      </c>
      <c r="M2740">
        <v>99</v>
      </c>
      <c r="N2740" t="s">
        <v>685</v>
      </c>
      <c r="O2740" t="s">
        <v>188</v>
      </c>
      <c r="P2740" t="s">
        <v>189</v>
      </c>
      <c r="Q2740" t="s">
        <v>190</v>
      </c>
      <c r="S2740" t="s">
        <v>191</v>
      </c>
      <c r="U2740">
        <v>28034</v>
      </c>
      <c r="V2740" t="s">
        <v>192</v>
      </c>
      <c r="W2740" t="s">
        <v>56</v>
      </c>
      <c r="X2740" t="s">
        <v>193</v>
      </c>
      <c r="Y2740" t="s">
        <v>194</v>
      </c>
      <c r="Z2740" t="s">
        <v>50</v>
      </c>
    </row>
    <row r="2741" spans="1:26" x14ac:dyDescent="0.3">
      <c r="A2741">
        <v>10373</v>
      </c>
      <c r="B2741">
        <v>37</v>
      </c>
      <c r="C2741">
        <v>100</v>
      </c>
      <c r="D2741">
        <v>8</v>
      </c>
      <c r="E2741">
        <v>4025.6</v>
      </c>
      <c r="F2741" s="1">
        <v>38383</v>
      </c>
      <c r="G2741" t="s">
        <v>39</v>
      </c>
      <c r="H2741">
        <v>1</v>
      </c>
      <c r="I2741">
        <v>1</v>
      </c>
      <c r="J2741" t="str">
        <f>TEXT(DATE(2012,Table1[[#This Row],[MONTH_ID]],10),"mmm")</f>
        <v>Jan</v>
      </c>
      <c r="K2741">
        <v>2005</v>
      </c>
      <c r="L2741" t="s">
        <v>612</v>
      </c>
      <c r="M2741">
        <v>99</v>
      </c>
      <c r="N2741" t="s">
        <v>685</v>
      </c>
      <c r="O2741" t="s">
        <v>405</v>
      </c>
      <c r="P2741" t="s">
        <v>406</v>
      </c>
      <c r="Q2741" t="s">
        <v>407</v>
      </c>
      <c r="S2741" t="s">
        <v>408</v>
      </c>
      <c r="U2741">
        <v>90110</v>
      </c>
      <c r="V2741" t="s">
        <v>144</v>
      </c>
      <c r="W2741" t="s">
        <v>56</v>
      </c>
      <c r="X2741" t="s">
        <v>409</v>
      </c>
      <c r="Y2741" t="s">
        <v>410</v>
      </c>
      <c r="Z2741" t="s">
        <v>65</v>
      </c>
    </row>
    <row r="2742" spans="1:26" x14ac:dyDescent="0.3">
      <c r="A2742">
        <v>10386</v>
      </c>
      <c r="B2742">
        <v>30</v>
      </c>
      <c r="C2742">
        <v>95.48</v>
      </c>
      <c r="D2742">
        <v>3</v>
      </c>
      <c r="E2742">
        <v>2864.4</v>
      </c>
      <c r="F2742" s="1">
        <v>38412</v>
      </c>
      <c r="G2742" t="s">
        <v>422</v>
      </c>
      <c r="H2742">
        <v>1</v>
      </c>
      <c r="I2742">
        <v>3</v>
      </c>
      <c r="J2742" t="str">
        <f>TEXT(DATE(2012,Table1[[#This Row],[MONTH_ID]],10),"mmm")</f>
        <v>Mar</v>
      </c>
      <c r="K2742">
        <v>2005</v>
      </c>
      <c r="L2742" t="s">
        <v>612</v>
      </c>
      <c r="M2742">
        <v>99</v>
      </c>
      <c r="N2742" t="s">
        <v>685</v>
      </c>
      <c r="O2742" t="s">
        <v>188</v>
      </c>
      <c r="P2742" t="s">
        <v>189</v>
      </c>
      <c r="Q2742" t="s">
        <v>190</v>
      </c>
      <c r="S2742" t="s">
        <v>191</v>
      </c>
      <c r="U2742">
        <v>28034</v>
      </c>
      <c r="V2742" t="s">
        <v>192</v>
      </c>
      <c r="W2742" t="s">
        <v>56</v>
      </c>
      <c r="X2742" t="s">
        <v>193</v>
      </c>
      <c r="Y2742" t="s">
        <v>194</v>
      </c>
      <c r="Z2742" t="s">
        <v>50</v>
      </c>
    </row>
    <row r="2743" spans="1:26" x14ac:dyDescent="0.3">
      <c r="A2743">
        <v>10397</v>
      </c>
      <c r="B2743">
        <v>36</v>
      </c>
      <c r="C2743">
        <v>100</v>
      </c>
      <c r="D2743">
        <v>2</v>
      </c>
      <c r="E2743">
        <v>3789.72</v>
      </c>
      <c r="F2743" s="1">
        <v>38439</v>
      </c>
      <c r="G2743" t="s">
        <v>39</v>
      </c>
      <c r="H2743">
        <v>1</v>
      </c>
      <c r="I2743">
        <v>3</v>
      </c>
      <c r="J2743" t="str">
        <f>TEXT(DATE(2012,Table1[[#This Row],[MONTH_ID]],10),"mmm")</f>
        <v>Mar</v>
      </c>
      <c r="K2743">
        <v>2005</v>
      </c>
      <c r="L2743" t="s">
        <v>612</v>
      </c>
      <c r="M2743">
        <v>99</v>
      </c>
      <c r="N2743" t="s">
        <v>685</v>
      </c>
      <c r="O2743" t="s">
        <v>354</v>
      </c>
      <c r="P2743" t="s">
        <v>355</v>
      </c>
      <c r="Q2743" t="s">
        <v>356</v>
      </c>
      <c r="S2743" t="s">
        <v>357</v>
      </c>
      <c r="U2743">
        <v>31000</v>
      </c>
      <c r="V2743" t="s">
        <v>55</v>
      </c>
      <c r="W2743" t="s">
        <v>56</v>
      </c>
      <c r="X2743" t="s">
        <v>358</v>
      </c>
      <c r="Y2743" t="s">
        <v>359</v>
      </c>
      <c r="Z2743" t="s">
        <v>65</v>
      </c>
    </row>
    <row r="2744" spans="1:26" x14ac:dyDescent="0.3">
      <c r="A2744">
        <v>10414</v>
      </c>
      <c r="B2744">
        <v>27</v>
      </c>
      <c r="C2744">
        <v>90.37</v>
      </c>
      <c r="D2744">
        <v>8</v>
      </c>
      <c r="E2744">
        <v>2439.9899999999998</v>
      </c>
      <c r="F2744" s="1">
        <v>38478</v>
      </c>
      <c r="G2744" t="s">
        <v>415</v>
      </c>
      <c r="H2744">
        <v>2</v>
      </c>
      <c r="I2744">
        <v>5</v>
      </c>
      <c r="J2744" t="str">
        <f>TEXT(DATE(2012,Table1[[#This Row],[MONTH_ID]],10),"mmm")</f>
        <v>May</v>
      </c>
      <c r="K2744">
        <v>2005</v>
      </c>
      <c r="L2744" t="s">
        <v>612</v>
      </c>
      <c r="M2744">
        <v>99</v>
      </c>
      <c r="N2744" t="s">
        <v>685</v>
      </c>
      <c r="O2744" t="s">
        <v>393</v>
      </c>
      <c r="P2744">
        <v>6175559555</v>
      </c>
      <c r="Q2744" t="s">
        <v>394</v>
      </c>
      <c r="S2744" t="s">
        <v>395</v>
      </c>
      <c r="T2744" t="s">
        <v>137</v>
      </c>
      <c r="U2744">
        <v>51003</v>
      </c>
      <c r="V2744" t="s">
        <v>46</v>
      </c>
      <c r="W2744" t="s">
        <v>47</v>
      </c>
      <c r="X2744" t="s">
        <v>396</v>
      </c>
      <c r="Y2744" t="s">
        <v>80</v>
      </c>
      <c r="Z2744" t="s">
        <v>50</v>
      </c>
    </row>
    <row r="2745" spans="1:26" x14ac:dyDescent="0.3">
      <c r="A2745">
        <v>10106</v>
      </c>
      <c r="B2745">
        <v>48</v>
      </c>
      <c r="C2745">
        <v>61.44</v>
      </c>
      <c r="D2745">
        <v>10</v>
      </c>
      <c r="E2745">
        <v>2949.12</v>
      </c>
      <c r="F2745" s="1">
        <v>37669</v>
      </c>
      <c r="G2745" t="s">
        <v>39</v>
      </c>
      <c r="H2745">
        <v>1</v>
      </c>
      <c r="I2745">
        <v>2</v>
      </c>
      <c r="J2745" t="str">
        <f>TEXT(DATE(2012,Table1[[#This Row],[MONTH_ID]],10),"mmm")</f>
        <v>Feb</v>
      </c>
      <c r="K2745">
        <v>2003</v>
      </c>
      <c r="L2745" t="s">
        <v>580</v>
      </c>
      <c r="M2745">
        <v>74</v>
      </c>
      <c r="N2745" t="s">
        <v>686</v>
      </c>
      <c r="O2745" t="s">
        <v>566</v>
      </c>
      <c r="P2745" t="s">
        <v>567</v>
      </c>
      <c r="Q2745" t="s">
        <v>568</v>
      </c>
      <c r="S2745" t="s">
        <v>569</v>
      </c>
      <c r="U2745">
        <v>24100</v>
      </c>
      <c r="V2745" t="s">
        <v>272</v>
      </c>
      <c r="W2745" t="s">
        <v>56</v>
      </c>
      <c r="X2745" t="s">
        <v>570</v>
      </c>
      <c r="Y2745" t="s">
        <v>571</v>
      </c>
      <c r="Z2745" t="s">
        <v>50</v>
      </c>
    </row>
    <row r="2746" spans="1:26" x14ac:dyDescent="0.3">
      <c r="A2746">
        <v>10119</v>
      </c>
      <c r="B2746">
        <v>26</v>
      </c>
      <c r="C2746">
        <v>59.22</v>
      </c>
      <c r="D2746">
        <v>1</v>
      </c>
      <c r="E2746">
        <v>1539.72</v>
      </c>
      <c r="F2746" s="1">
        <v>37739</v>
      </c>
      <c r="G2746" t="s">
        <v>39</v>
      </c>
      <c r="H2746">
        <v>2</v>
      </c>
      <c r="I2746">
        <v>4</v>
      </c>
      <c r="J2746" t="str">
        <f>TEXT(DATE(2012,Table1[[#This Row],[MONTH_ID]],10),"mmm")</f>
        <v>Apr</v>
      </c>
      <c r="K2746">
        <v>2003</v>
      </c>
      <c r="L2746" t="s">
        <v>580</v>
      </c>
      <c r="M2746">
        <v>74</v>
      </c>
      <c r="N2746" t="s">
        <v>686</v>
      </c>
      <c r="O2746" t="s">
        <v>158</v>
      </c>
      <c r="P2746" t="s">
        <v>159</v>
      </c>
      <c r="Q2746" t="s">
        <v>160</v>
      </c>
      <c r="S2746" t="s">
        <v>161</v>
      </c>
      <c r="U2746">
        <v>5020</v>
      </c>
      <c r="V2746" t="s">
        <v>162</v>
      </c>
      <c r="W2746" t="s">
        <v>56</v>
      </c>
      <c r="X2746" t="s">
        <v>163</v>
      </c>
      <c r="Y2746" t="s">
        <v>164</v>
      </c>
      <c r="Z2746" t="s">
        <v>50</v>
      </c>
    </row>
    <row r="2747" spans="1:26" x14ac:dyDescent="0.3">
      <c r="A2747">
        <v>10131</v>
      </c>
      <c r="B2747">
        <v>26</v>
      </c>
      <c r="C2747">
        <v>85.13</v>
      </c>
      <c r="D2747">
        <v>2</v>
      </c>
      <c r="E2747">
        <v>2213.38</v>
      </c>
      <c r="F2747" s="1">
        <v>37788</v>
      </c>
      <c r="G2747" t="s">
        <v>39</v>
      </c>
      <c r="H2747">
        <v>2</v>
      </c>
      <c r="I2747">
        <v>6</v>
      </c>
      <c r="J2747" t="str">
        <f>TEXT(DATE(2012,Table1[[#This Row],[MONTH_ID]],10),"mmm")</f>
        <v>Jun</v>
      </c>
      <c r="K2747">
        <v>2003</v>
      </c>
      <c r="L2747" t="s">
        <v>580</v>
      </c>
      <c r="M2747">
        <v>74</v>
      </c>
      <c r="N2747" t="s">
        <v>686</v>
      </c>
      <c r="O2747" t="s">
        <v>582</v>
      </c>
      <c r="P2747">
        <v>2035554407</v>
      </c>
      <c r="Q2747" t="s">
        <v>583</v>
      </c>
      <c r="S2747" t="s">
        <v>530</v>
      </c>
      <c r="T2747" t="s">
        <v>126</v>
      </c>
      <c r="U2747">
        <v>97561</v>
      </c>
      <c r="V2747" t="s">
        <v>46</v>
      </c>
      <c r="W2747" t="s">
        <v>47</v>
      </c>
      <c r="X2747" t="s">
        <v>584</v>
      </c>
      <c r="Y2747" t="s">
        <v>585</v>
      </c>
      <c r="Z2747" t="s">
        <v>50</v>
      </c>
    </row>
    <row r="2748" spans="1:26" x14ac:dyDescent="0.3">
      <c r="A2748">
        <v>10143</v>
      </c>
      <c r="B2748">
        <v>34</v>
      </c>
      <c r="C2748">
        <v>85.87</v>
      </c>
      <c r="D2748">
        <v>5</v>
      </c>
      <c r="E2748">
        <v>2919.58</v>
      </c>
      <c r="F2748" s="1">
        <v>37843</v>
      </c>
      <c r="G2748" t="s">
        <v>39</v>
      </c>
      <c r="H2748">
        <v>3</v>
      </c>
      <c r="I2748">
        <v>8</v>
      </c>
      <c r="J2748" t="str">
        <f>TEXT(DATE(2012,Table1[[#This Row],[MONTH_ID]],10),"mmm")</f>
        <v>Aug</v>
      </c>
      <c r="K2748">
        <v>2003</v>
      </c>
      <c r="L2748" t="s">
        <v>580</v>
      </c>
      <c r="M2748">
        <v>74</v>
      </c>
      <c r="N2748" t="s">
        <v>686</v>
      </c>
      <c r="O2748" t="s">
        <v>349</v>
      </c>
      <c r="P2748">
        <v>5085559555</v>
      </c>
      <c r="Q2748" t="s">
        <v>350</v>
      </c>
      <c r="S2748" t="s">
        <v>176</v>
      </c>
      <c r="T2748" t="s">
        <v>137</v>
      </c>
      <c r="U2748">
        <v>50553</v>
      </c>
      <c r="V2748" t="s">
        <v>46</v>
      </c>
      <c r="W2748" t="s">
        <v>47</v>
      </c>
      <c r="X2748" t="s">
        <v>351</v>
      </c>
      <c r="Y2748" t="s">
        <v>352</v>
      </c>
      <c r="Z2748" t="s">
        <v>50</v>
      </c>
    </row>
    <row r="2749" spans="1:26" x14ac:dyDescent="0.3">
      <c r="A2749">
        <v>10155</v>
      </c>
      <c r="B2749">
        <v>44</v>
      </c>
      <c r="C2749">
        <v>85.87</v>
      </c>
      <c r="D2749">
        <v>3</v>
      </c>
      <c r="E2749">
        <v>3778.28</v>
      </c>
      <c r="F2749" s="1">
        <v>37900</v>
      </c>
      <c r="G2749" t="s">
        <v>39</v>
      </c>
      <c r="H2749">
        <v>4</v>
      </c>
      <c r="I2749">
        <v>10</v>
      </c>
      <c r="J2749" t="str">
        <f>TEXT(DATE(2012,Table1[[#This Row],[MONTH_ID]],10),"mmm")</f>
        <v>Oct</v>
      </c>
      <c r="K2749">
        <v>2003</v>
      </c>
      <c r="L2749" t="s">
        <v>580</v>
      </c>
      <c r="M2749">
        <v>74</v>
      </c>
      <c r="N2749" t="s">
        <v>686</v>
      </c>
      <c r="O2749" t="s">
        <v>140</v>
      </c>
      <c r="P2749" t="s">
        <v>141</v>
      </c>
      <c r="Q2749" t="s">
        <v>142</v>
      </c>
      <c r="S2749" t="s">
        <v>143</v>
      </c>
      <c r="U2749">
        <v>21240</v>
      </c>
      <c r="V2749" t="s">
        <v>144</v>
      </c>
      <c r="W2749" t="s">
        <v>56</v>
      </c>
      <c r="X2749" t="s">
        <v>145</v>
      </c>
      <c r="Y2749" t="s">
        <v>146</v>
      </c>
      <c r="Z2749" t="s">
        <v>65</v>
      </c>
    </row>
    <row r="2750" spans="1:26" x14ac:dyDescent="0.3">
      <c r="A2750">
        <v>10168</v>
      </c>
      <c r="B2750">
        <v>39</v>
      </c>
      <c r="C2750">
        <v>82.91</v>
      </c>
      <c r="D2750">
        <v>17</v>
      </c>
      <c r="E2750">
        <v>3233.49</v>
      </c>
      <c r="F2750" s="1">
        <v>37922</v>
      </c>
      <c r="G2750" t="s">
        <v>39</v>
      </c>
      <c r="H2750">
        <v>4</v>
      </c>
      <c r="I2750">
        <v>10</v>
      </c>
      <c r="J2750" t="str">
        <f>TEXT(DATE(2012,Table1[[#This Row],[MONTH_ID]],10),"mmm")</f>
        <v>Oct</v>
      </c>
      <c r="K2750">
        <v>2003</v>
      </c>
      <c r="L2750" t="s">
        <v>580</v>
      </c>
      <c r="M2750">
        <v>74</v>
      </c>
      <c r="N2750" t="s">
        <v>686</v>
      </c>
      <c r="O2750" t="s">
        <v>76</v>
      </c>
      <c r="P2750">
        <v>6505556809</v>
      </c>
      <c r="Q2750" t="s">
        <v>77</v>
      </c>
      <c r="S2750" t="s">
        <v>78</v>
      </c>
      <c r="T2750" t="s">
        <v>69</v>
      </c>
      <c r="U2750">
        <v>94217</v>
      </c>
      <c r="V2750" t="s">
        <v>46</v>
      </c>
      <c r="W2750" t="s">
        <v>47</v>
      </c>
      <c r="X2750" t="s">
        <v>79</v>
      </c>
      <c r="Y2750" t="s">
        <v>80</v>
      </c>
      <c r="Z2750" t="s">
        <v>65</v>
      </c>
    </row>
    <row r="2751" spans="1:26" x14ac:dyDescent="0.3">
      <c r="A2751">
        <v>10178</v>
      </c>
      <c r="B2751">
        <v>45</v>
      </c>
      <c r="C2751">
        <v>76.25</v>
      </c>
      <c r="D2751">
        <v>2</v>
      </c>
      <c r="E2751">
        <v>3431.25</v>
      </c>
      <c r="F2751" s="1">
        <v>37933</v>
      </c>
      <c r="G2751" t="s">
        <v>39</v>
      </c>
      <c r="H2751">
        <v>4</v>
      </c>
      <c r="I2751">
        <v>11</v>
      </c>
      <c r="J2751" t="str">
        <f>TEXT(DATE(2012,Table1[[#This Row],[MONTH_ID]],10),"mmm")</f>
        <v>Nov</v>
      </c>
      <c r="K2751">
        <v>2003</v>
      </c>
      <c r="L2751" t="s">
        <v>580</v>
      </c>
      <c r="M2751">
        <v>74</v>
      </c>
      <c r="N2751" t="s">
        <v>686</v>
      </c>
      <c r="O2751" t="s">
        <v>354</v>
      </c>
      <c r="P2751" t="s">
        <v>355</v>
      </c>
      <c r="Q2751" t="s">
        <v>356</v>
      </c>
      <c r="S2751" t="s">
        <v>357</v>
      </c>
      <c r="U2751">
        <v>31000</v>
      </c>
      <c r="V2751" t="s">
        <v>55</v>
      </c>
      <c r="W2751" t="s">
        <v>56</v>
      </c>
      <c r="X2751" t="s">
        <v>358</v>
      </c>
      <c r="Y2751" t="s">
        <v>359</v>
      </c>
      <c r="Z2751" t="s">
        <v>65</v>
      </c>
    </row>
    <row r="2752" spans="1:26" x14ac:dyDescent="0.3">
      <c r="A2752">
        <v>10198</v>
      </c>
      <c r="B2752">
        <v>40</v>
      </c>
      <c r="C2752">
        <v>63.67</v>
      </c>
      <c r="D2752">
        <v>2</v>
      </c>
      <c r="E2752">
        <v>2546.8000000000002</v>
      </c>
      <c r="F2752" s="1">
        <v>37952</v>
      </c>
      <c r="G2752" t="s">
        <v>39</v>
      </c>
      <c r="H2752">
        <v>4</v>
      </c>
      <c r="I2752">
        <v>11</v>
      </c>
      <c r="J2752" t="str">
        <f>TEXT(DATE(2012,Table1[[#This Row],[MONTH_ID]],10),"mmm")</f>
        <v>Nov</v>
      </c>
      <c r="K2752">
        <v>2003</v>
      </c>
      <c r="L2752" t="s">
        <v>580</v>
      </c>
      <c r="M2752">
        <v>74</v>
      </c>
      <c r="N2752" t="s">
        <v>686</v>
      </c>
      <c r="O2752" t="s">
        <v>439</v>
      </c>
      <c r="P2752" t="s">
        <v>440</v>
      </c>
      <c r="Q2752" t="s">
        <v>441</v>
      </c>
      <c r="S2752" t="s">
        <v>442</v>
      </c>
      <c r="U2752" t="s">
        <v>443</v>
      </c>
      <c r="V2752" t="s">
        <v>444</v>
      </c>
      <c r="W2752" t="s">
        <v>214</v>
      </c>
      <c r="X2752" t="s">
        <v>445</v>
      </c>
      <c r="Y2752" t="s">
        <v>446</v>
      </c>
      <c r="Z2752" t="s">
        <v>50</v>
      </c>
    </row>
    <row r="2753" spans="1:26" x14ac:dyDescent="0.3">
      <c r="A2753">
        <v>10210</v>
      </c>
      <c r="B2753">
        <v>42</v>
      </c>
      <c r="C2753">
        <v>70.33</v>
      </c>
      <c r="D2753">
        <v>15</v>
      </c>
      <c r="E2753">
        <v>2953.86</v>
      </c>
      <c r="F2753" s="1">
        <v>37998</v>
      </c>
      <c r="G2753" t="s">
        <v>39</v>
      </c>
      <c r="H2753">
        <v>1</v>
      </c>
      <c r="I2753">
        <v>1</v>
      </c>
      <c r="J2753" t="str">
        <f>TEXT(DATE(2012,Table1[[#This Row],[MONTH_ID]],10),"mmm")</f>
        <v>Jan</v>
      </c>
      <c r="K2753">
        <v>2004</v>
      </c>
      <c r="L2753" t="s">
        <v>580</v>
      </c>
      <c r="M2753">
        <v>74</v>
      </c>
      <c r="N2753" t="s">
        <v>686</v>
      </c>
      <c r="O2753" t="s">
        <v>316</v>
      </c>
      <c r="P2753" t="s">
        <v>317</v>
      </c>
      <c r="Q2753" t="s">
        <v>318</v>
      </c>
      <c r="S2753" t="s">
        <v>319</v>
      </c>
      <c r="T2753" t="s">
        <v>319</v>
      </c>
      <c r="U2753" t="s">
        <v>320</v>
      </c>
      <c r="V2753" t="s">
        <v>214</v>
      </c>
      <c r="W2753" t="s">
        <v>214</v>
      </c>
      <c r="X2753" t="s">
        <v>321</v>
      </c>
      <c r="Y2753" t="s">
        <v>322</v>
      </c>
      <c r="Z2753" t="s">
        <v>50</v>
      </c>
    </row>
    <row r="2754" spans="1:26" x14ac:dyDescent="0.3">
      <c r="A2754">
        <v>10222</v>
      </c>
      <c r="B2754">
        <v>43</v>
      </c>
      <c r="C2754">
        <v>74.03</v>
      </c>
      <c r="D2754">
        <v>2</v>
      </c>
      <c r="E2754">
        <v>3183.29</v>
      </c>
      <c r="F2754" s="1">
        <v>38036</v>
      </c>
      <c r="G2754" t="s">
        <v>39</v>
      </c>
      <c r="H2754">
        <v>1</v>
      </c>
      <c r="I2754">
        <v>2</v>
      </c>
      <c r="J2754" t="str">
        <f>TEXT(DATE(2012,Table1[[#This Row],[MONTH_ID]],10),"mmm")</f>
        <v>Feb</v>
      </c>
      <c r="K2754">
        <v>2004</v>
      </c>
      <c r="L2754" t="s">
        <v>580</v>
      </c>
      <c r="M2754">
        <v>74</v>
      </c>
      <c r="N2754" t="s">
        <v>686</v>
      </c>
      <c r="O2754" t="s">
        <v>376</v>
      </c>
      <c r="P2754">
        <v>7605558146</v>
      </c>
      <c r="Q2754" t="s">
        <v>377</v>
      </c>
      <c r="S2754" t="s">
        <v>378</v>
      </c>
      <c r="T2754" t="s">
        <v>69</v>
      </c>
      <c r="U2754">
        <v>91217</v>
      </c>
      <c r="V2754" t="s">
        <v>46</v>
      </c>
      <c r="W2754" t="s">
        <v>47</v>
      </c>
      <c r="X2754" t="s">
        <v>251</v>
      </c>
      <c r="Y2754" t="s">
        <v>290</v>
      </c>
      <c r="Z2754" t="s">
        <v>65</v>
      </c>
    </row>
    <row r="2755" spans="1:26" x14ac:dyDescent="0.3">
      <c r="A2755">
        <v>10235</v>
      </c>
      <c r="B2755">
        <v>34</v>
      </c>
      <c r="C2755">
        <v>72.55</v>
      </c>
      <c r="D2755">
        <v>11</v>
      </c>
      <c r="E2755">
        <v>2466.6999999999998</v>
      </c>
      <c r="F2755" s="1">
        <v>38079</v>
      </c>
      <c r="G2755" t="s">
        <v>39</v>
      </c>
      <c r="H2755">
        <v>2</v>
      </c>
      <c r="I2755">
        <v>4</v>
      </c>
      <c r="J2755" t="str">
        <f>TEXT(DATE(2012,Table1[[#This Row],[MONTH_ID]],10),"mmm")</f>
        <v>Apr</v>
      </c>
      <c r="K2755">
        <v>2004</v>
      </c>
      <c r="L2755" t="s">
        <v>580</v>
      </c>
      <c r="M2755">
        <v>74</v>
      </c>
      <c r="N2755" t="s">
        <v>686</v>
      </c>
      <c r="O2755" t="s">
        <v>387</v>
      </c>
      <c r="P2755" t="s">
        <v>388</v>
      </c>
      <c r="Q2755" t="s">
        <v>389</v>
      </c>
      <c r="S2755" t="s">
        <v>390</v>
      </c>
      <c r="T2755" t="s">
        <v>243</v>
      </c>
      <c r="U2755" t="s">
        <v>391</v>
      </c>
      <c r="V2755" t="s">
        <v>245</v>
      </c>
      <c r="W2755" t="s">
        <v>47</v>
      </c>
      <c r="X2755" t="s">
        <v>392</v>
      </c>
      <c r="Y2755" t="s">
        <v>186</v>
      </c>
      <c r="Z2755" t="s">
        <v>50</v>
      </c>
    </row>
    <row r="2756" spans="1:26" x14ac:dyDescent="0.3">
      <c r="A2756">
        <v>10250</v>
      </c>
      <c r="B2756">
        <v>38</v>
      </c>
      <c r="C2756">
        <v>62.19</v>
      </c>
      <c r="D2756">
        <v>12</v>
      </c>
      <c r="E2756">
        <v>2363.2199999999998</v>
      </c>
      <c r="F2756" s="1">
        <v>38118</v>
      </c>
      <c r="G2756" t="s">
        <v>39</v>
      </c>
      <c r="H2756">
        <v>2</v>
      </c>
      <c r="I2756">
        <v>5</v>
      </c>
      <c r="J2756" t="str">
        <f>TEXT(DATE(2012,Table1[[#This Row],[MONTH_ID]],10),"mmm")</f>
        <v>May</v>
      </c>
      <c r="K2756">
        <v>2004</v>
      </c>
      <c r="L2756" t="s">
        <v>580</v>
      </c>
      <c r="M2756">
        <v>74</v>
      </c>
      <c r="N2756" t="s">
        <v>686</v>
      </c>
      <c r="O2756" t="s">
        <v>411</v>
      </c>
      <c r="P2756">
        <v>4085553659</v>
      </c>
      <c r="Q2756" t="s">
        <v>412</v>
      </c>
      <c r="S2756" t="s">
        <v>413</v>
      </c>
      <c r="T2756" t="s">
        <v>69</v>
      </c>
      <c r="U2756">
        <v>94217</v>
      </c>
      <c r="V2756" t="s">
        <v>46</v>
      </c>
      <c r="W2756" t="s">
        <v>47</v>
      </c>
      <c r="X2756" t="s">
        <v>116</v>
      </c>
      <c r="Y2756" t="s">
        <v>414</v>
      </c>
      <c r="Z2756" t="s">
        <v>50</v>
      </c>
    </row>
    <row r="2757" spans="1:26" x14ac:dyDescent="0.3">
      <c r="A2757">
        <v>10262</v>
      </c>
      <c r="B2757">
        <v>35</v>
      </c>
      <c r="C2757">
        <v>71.069999999999993</v>
      </c>
      <c r="D2757">
        <v>7</v>
      </c>
      <c r="E2757">
        <v>2487.4499999999998</v>
      </c>
      <c r="F2757" s="1">
        <v>38162</v>
      </c>
      <c r="G2757" t="s">
        <v>353</v>
      </c>
      <c r="H2757">
        <v>2</v>
      </c>
      <c r="I2757">
        <v>6</v>
      </c>
      <c r="J2757" t="str">
        <f>TEXT(DATE(2012,Table1[[#This Row],[MONTH_ID]],10),"mmm")</f>
        <v>Jun</v>
      </c>
      <c r="K2757">
        <v>2004</v>
      </c>
      <c r="L2757" t="s">
        <v>580</v>
      </c>
      <c r="M2757">
        <v>74</v>
      </c>
      <c r="N2757" t="s">
        <v>686</v>
      </c>
      <c r="O2757" t="s">
        <v>188</v>
      </c>
      <c r="P2757" t="s">
        <v>189</v>
      </c>
      <c r="Q2757" t="s">
        <v>190</v>
      </c>
      <c r="S2757" t="s">
        <v>191</v>
      </c>
      <c r="U2757">
        <v>28034</v>
      </c>
      <c r="V2757" t="s">
        <v>192</v>
      </c>
      <c r="W2757" t="s">
        <v>56</v>
      </c>
      <c r="X2757" t="s">
        <v>193</v>
      </c>
      <c r="Y2757" t="s">
        <v>194</v>
      </c>
      <c r="Z2757" t="s">
        <v>50</v>
      </c>
    </row>
    <row r="2758" spans="1:26" x14ac:dyDescent="0.3">
      <c r="A2758">
        <v>10275</v>
      </c>
      <c r="B2758">
        <v>31</v>
      </c>
      <c r="C2758">
        <v>72.55</v>
      </c>
      <c r="D2758">
        <v>17</v>
      </c>
      <c r="E2758">
        <v>2249.0500000000002</v>
      </c>
      <c r="F2758" s="1">
        <v>38191</v>
      </c>
      <c r="G2758" t="s">
        <v>39</v>
      </c>
      <c r="H2758">
        <v>3</v>
      </c>
      <c r="I2758">
        <v>7</v>
      </c>
      <c r="J2758" t="str">
        <f>TEXT(DATE(2012,Table1[[#This Row],[MONTH_ID]],10),"mmm")</f>
        <v>Jul</v>
      </c>
      <c r="K2758">
        <v>2004</v>
      </c>
      <c r="L2758" t="s">
        <v>580</v>
      </c>
      <c r="M2758">
        <v>74</v>
      </c>
      <c r="N2758" t="s">
        <v>686</v>
      </c>
      <c r="O2758" t="s">
        <v>128</v>
      </c>
      <c r="P2758" t="s">
        <v>129</v>
      </c>
      <c r="Q2758" t="s">
        <v>130</v>
      </c>
      <c r="S2758" t="s">
        <v>131</v>
      </c>
      <c r="U2758">
        <v>44000</v>
      </c>
      <c r="V2758" t="s">
        <v>55</v>
      </c>
      <c r="W2758" t="s">
        <v>56</v>
      </c>
      <c r="X2758" t="s">
        <v>132</v>
      </c>
      <c r="Y2758" t="s">
        <v>133</v>
      </c>
      <c r="Z2758" t="s">
        <v>50</v>
      </c>
    </row>
    <row r="2759" spans="1:26" x14ac:dyDescent="0.3">
      <c r="A2759">
        <v>10284</v>
      </c>
      <c r="B2759">
        <v>32</v>
      </c>
      <c r="C2759">
        <v>64.41</v>
      </c>
      <c r="D2759">
        <v>9</v>
      </c>
      <c r="E2759">
        <v>2061.12</v>
      </c>
      <c r="F2759" s="1">
        <v>38220</v>
      </c>
      <c r="G2759" t="s">
        <v>39</v>
      </c>
      <c r="H2759">
        <v>3</v>
      </c>
      <c r="I2759">
        <v>8</v>
      </c>
      <c r="J2759" t="str">
        <f>TEXT(DATE(2012,Table1[[#This Row],[MONTH_ID]],10),"mmm")</f>
        <v>Aug</v>
      </c>
      <c r="K2759">
        <v>2004</v>
      </c>
      <c r="L2759" t="s">
        <v>580</v>
      </c>
      <c r="M2759">
        <v>74</v>
      </c>
      <c r="N2759" t="s">
        <v>686</v>
      </c>
      <c r="O2759" t="s">
        <v>557</v>
      </c>
      <c r="P2759" t="s">
        <v>558</v>
      </c>
      <c r="Q2759" t="s">
        <v>559</v>
      </c>
      <c r="S2759" t="s">
        <v>560</v>
      </c>
      <c r="U2759" t="s">
        <v>561</v>
      </c>
      <c r="V2759" t="s">
        <v>92</v>
      </c>
      <c r="W2759" t="s">
        <v>56</v>
      </c>
      <c r="X2759" t="s">
        <v>562</v>
      </c>
      <c r="Y2759" t="s">
        <v>563</v>
      </c>
      <c r="Z2759" t="s">
        <v>50</v>
      </c>
    </row>
    <row r="2760" spans="1:26" x14ac:dyDescent="0.3">
      <c r="A2760">
        <v>10296</v>
      </c>
      <c r="B2760">
        <v>47</v>
      </c>
      <c r="C2760">
        <v>86.62</v>
      </c>
      <c r="D2760">
        <v>5</v>
      </c>
      <c r="E2760">
        <v>4071.14</v>
      </c>
      <c r="F2760" s="1">
        <v>38245</v>
      </c>
      <c r="G2760" t="s">
        <v>39</v>
      </c>
      <c r="H2760">
        <v>3</v>
      </c>
      <c r="I2760">
        <v>9</v>
      </c>
      <c r="J2760" t="str">
        <f>TEXT(DATE(2012,Table1[[#This Row],[MONTH_ID]],10),"mmm")</f>
        <v>Sep</v>
      </c>
      <c r="K2760">
        <v>2004</v>
      </c>
      <c r="L2760" t="s">
        <v>580</v>
      </c>
      <c r="M2760">
        <v>74</v>
      </c>
      <c r="N2760" t="s">
        <v>686</v>
      </c>
      <c r="O2760" t="s">
        <v>586</v>
      </c>
      <c r="P2760" t="s">
        <v>587</v>
      </c>
      <c r="Q2760" t="s">
        <v>588</v>
      </c>
      <c r="S2760" t="s">
        <v>589</v>
      </c>
      <c r="U2760">
        <v>80686</v>
      </c>
      <c r="V2760" t="s">
        <v>457</v>
      </c>
      <c r="W2760" t="s">
        <v>56</v>
      </c>
      <c r="X2760" t="s">
        <v>590</v>
      </c>
      <c r="Y2760" t="s">
        <v>117</v>
      </c>
      <c r="Z2760" t="s">
        <v>65</v>
      </c>
    </row>
    <row r="2761" spans="1:26" x14ac:dyDescent="0.3">
      <c r="A2761">
        <v>10308</v>
      </c>
      <c r="B2761">
        <v>39</v>
      </c>
      <c r="C2761">
        <v>68.11</v>
      </c>
      <c r="D2761">
        <v>15</v>
      </c>
      <c r="E2761">
        <v>2656.29</v>
      </c>
      <c r="F2761" s="1">
        <v>38275</v>
      </c>
      <c r="G2761" t="s">
        <v>39</v>
      </c>
      <c r="H2761">
        <v>4</v>
      </c>
      <c r="I2761">
        <v>10</v>
      </c>
      <c r="J2761" t="str">
        <f>TEXT(DATE(2012,Table1[[#This Row],[MONTH_ID]],10),"mmm")</f>
        <v>Oct</v>
      </c>
      <c r="K2761">
        <v>2004</v>
      </c>
      <c r="L2761" t="s">
        <v>580</v>
      </c>
      <c r="M2761">
        <v>74</v>
      </c>
      <c r="N2761" t="s">
        <v>686</v>
      </c>
      <c r="O2761" t="s">
        <v>331</v>
      </c>
      <c r="P2761">
        <v>9145554562</v>
      </c>
      <c r="Q2761" t="s">
        <v>332</v>
      </c>
      <c r="S2761" t="s">
        <v>333</v>
      </c>
      <c r="T2761" t="s">
        <v>45</v>
      </c>
      <c r="U2761">
        <v>24067</v>
      </c>
      <c r="V2761" t="s">
        <v>46</v>
      </c>
      <c r="W2761" t="s">
        <v>47</v>
      </c>
      <c r="X2761" t="s">
        <v>116</v>
      </c>
      <c r="Y2761" t="s">
        <v>252</v>
      </c>
      <c r="Z2761" t="s">
        <v>50</v>
      </c>
    </row>
    <row r="2762" spans="1:26" x14ac:dyDescent="0.3">
      <c r="A2762">
        <v>10316</v>
      </c>
      <c r="B2762">
        <v>44</v>
      </c>
      <c r="C2762">
        <v>62.19</v>
      </c>
      <c r="D2762">
        <v>7</v>
      </c>
      <c r="E2762">
        <v>2736.36</v>
      </c>
      <c r="F2762" s="1">
        <v>38292</v>
      </c>
      <c r="G2762" t="s">
        <v>39</v>
      </c>
      <c r="H2762">
        <v>4</v>
      </c>
      <c r="I2762">
        <v>11</v>
      </c>
      <c r="J2762" t="str">
        <f>TEXT(DATE(2012,Table1[[#This Row],[MONTH_ID]],10),"mmm")</f>
        <v>Nov</v>
      </c>
      <c r="K2762">
        <v>2004</v>
      </c>
      <c r="L2762" t="s">
        <v>580</v>
      </c>
      <c r="M2762">
        <v>74</v>
      </c>
      <c r="N2762" t="s">
        <v>686</v>
      </c>
      <c r="O2762" t="s">
        <v>397</v>
      </c>
      <c r="P2762" t="s">
        <v>398</v>
      </c>
      <c r="Q2762" t="s">
        <v>399</v>
      </c>
      <c r="S2762" t="s">
        <v>400</v>
      </c>
      <c r="T2762" t="s">
        <v>401</v>
      </c>
      <c r="U2762" t="s">
        <v>402</v>
      </c>
      <c r="V2762" t="s">
        <v>184</v>
      </c>
      <c r="W2762" t="s">
        <v>56</v>
      </c>
      <c r="X2762" t="s">
        <v>403</v>
      </c>
      <c r="Y2762" t="s">
        <v>404</v>
      </c>
      <c r="Z2762" t="s">
        <v>50</v>
      </c>
    </row>
    <row r="2763" spans="1:26" x14ac:dyDescent="0.3">
      <c r="A2763">
        <v>10328</v>
      </c>
      <c r="B2763">
        <v>39</v>
      </c>
      <c r="C2763">
        <v>85.87</v>
      </c>
      <c r="D2763">
        <v>12</v>
      </c>
      <c r="E2763">
        <v>3348.93</v>
      </c>
      <c r="F2763" s="1">
        <v>38303</v>
      </c>
      <c r="G2763" t="s">
        <v>39</v>
      </c>
      <c r="H2763">
        <v>4</v>
      </c>
      <c r="I2763">
        <v>11</v>
      </c>
      <c r="J2763" t="str">
        <f>TEXT(DATE(2012,Table1[[#This Row],[MONTH_ID]],10),"mmm")</f>
        <v>Nov</v>
      </c>
      <c r="K2763">
        <v>2004</v>
      </c>
      <c r="L2763" t="s">
        <v>580</v>
      </c>
      <c r="M2763">
        <v>74</v>
      </c>
      <c r="N2763" t="s">
        <v>686</v>
      </c>
      <c r="O2763" t="s">
        <v>566</v>
      </c>
      <c r="P2763" t="s">
        <v>567</v>
      </c>
      <c r="Q2763" t="s">
        <v>568</v>
      </c>
      <c r="S2763" t="s">
        <v>569</v>
      </c>
      <c r="U2763">
        <v>24100</v>
      </c>
      <c r="V2763" t="s">
        <v>272</v>
      </c>
      <c r="W2763" t="s">
        <v>56</v>
      </c>
      <c r="X2763" t="s">
        <v>570</v>
      </c>
      <c r="Y2763" t="s">
        <v>571</v>
      </c>
      <c r="Z2763" t="s">
        <v>65</v>
      </c>
    </row>
    <row r="2764" spans="1:26" x14ac:dyDescent="0.3">
      <c r="A2764">
        <v>10339</v>
      </c>
      <c r="B2764">
        <v>50</v>
      </c>
      <c r="C2764">
        <v>57.86</v>
      </c>
      <c r="D2764">
        <v>8</v>
      </c>
      <c r="E2764">
        <v>2893</v>
      </c>
      <c r="F2764" s="1">
        <v>38314</v>
      </c>
      <c r="G2764" t="s">
        <v>39</v>
      </c>
      <c r="H2764">
        <v>4</v>
      </c>
      <c r="I2764">
        <v>11</v>
      </c>
      <c r="J2764" t="str">
        <f>TEXT(DATE(2012,Table1[[#This Row],[MONTH_ID]],10),"mmm")</f>
        <v>Nov</v>
      </c>
      <c r="K2764">
        <v>2004</v>
      </c>
      <c r="L2764" t="s">
        <v>580</v>
      </c>
      <c r="M2764">
        <v>74</v>
      </c>
      <c r="N2764" t="s">
        <v>686</v>
      </c>
      <c r="O2764" t="s">
        <v>260</v>
      </c>
      <c r="P2764" t="s">
        <v>261</v>
      </c>
      <c r="Q2764" t="s">
        <v>262</v>
      </c>
      <c r="S2764" t="s">
        <v>263</v>
      </c>
      <c r="T2764" t="s">
        <v>264</v>
      </c>
      <c r="U2764" t="s">
        <v>265</v>
      </c>
      <c r="V2764" t="s">
        <v>214</v>
      </c>
      <c r="W2764" t="s">
        <v>214</v>
      </c>
      <c r="X2764" t="s">
        <v>266</v>
      </c>
      <c r="Y2764" t="s">
        <v>267</v>
      </c>
      <c r="Z2764" t="s">
        <v>50</v>
      </c>
    </row>
    <row r="2765" spans="1:26" x14ac:dyDescent="0.3">
      <c r="A2765">
        <v>10352</v>
      </c>
      <c r="B2765">
        <v>22</v>
      </c>
      <c r="C2765">
        <v>75.510000000000005</v>
      </c>
      <c r="D2765">
        <v>1</v>
      </c>
      <c r="E2765">
        <v>1661.22</v>
      </c>
      <c r="F2765" s="1">
        <v>38324</v>
      </c>
      <c r="G2765" t="s">
        <v>39</v>
      </c>
      <c r="H2765">
        <v>4</v>
      </c>
      <c r="I2765">
        <v>12</v>
      </c>
      <c r="J2765" t="str">
        <f>TEXT(DATE(2012,Table1[[#This Row],[MONTH_ID]],10),"mmm")</f>
        <v>Dec</v>
      </c>
      <c r="K2765">
        <v>2004</v>
      </c>
      <c r="L2765" t="s">
        <v>580</v>
      </c>
      <c r="M2765">
        <v>74</v>
      </c>
      <c r="N2765" t="s">
        <v>686</v>
      </c>
      <c r="O2765" t="s">
        <v>614</v>
      </c>
      <c r="P2765">
        <v>6175558428</v>
      </c>
      <c r="Q2765" t="s">
        <v>615</v>
      </c>
      <c r="S2765" t="s">
        <v>297</v>
      </c>
      <c r="T2765" t="s">
        <v>137</v>
      </c>
      <c r="U2765">
        <v>58339</v>
      </c>
      <c r="V2765" t="s">
        <v>46</v>
      </c>
      <c r="W2765" t="s">
        <v>47</v>
      </c>
      <c r="X2765" t="s">
        <v>543</v>
      </c>
      <c r="Y2765" t="s">
        <v>259</v>
      </c>
      <c r="Z2765" t="s">
        <v>50</v>
      </c>
    </row>
    <row r="2766" spans="1:26" x14ac:dyDescent="0.3">
      <c r="A2766">
        <v>10361</v>
      </c>
      <c r="B2766">
        <v>35</v>
      </c>
      <c r="C2766">
        <v>100</v>
      </c>
      <c r="D2766">
        <v>11</v>
      </c>
      <c r="E2766">
        <v>4277.3500000000004</v>
      </c>
      <c r="F2766" s="1">
        <v>38338</v>
      </c>
      <c r="G2766" t="s">
        <v>39</v>
      </c>
      <c r="H2766">
        <v>4</v>
      </c>
      <c r="I2766">
        <v>12</v>
      </c>
      <c r="J2766" t="str">
        <f>TEXT(DATE(2012,Table1[[#This Row],[MONTH_ID]],10),"mmm")</f>
        <v>Dec</v>
      </c>
      <c r="K2766">
        <v>2004</v>
      </c>
      <c r="L2766" t="s">
        <v>580</v>
      </c>
      <c r="M2766">
        <v>74</v>
      </c>
      <c r="N2766" t="s">
        <v>686</v>
      </c>
      <c r="O2766" t="s">
        <v>166</v>
      </c>
      <c r="P2766" t="s">
        <v>167</v>
      </c>
      <c r="Q2766" t="s">
        <v>168</v>
      </c>
      <c r="R2766" t="s">
        <v>169</v>
      </c>
      <c r="S2766" t="s">
        <v>170</v>
      </c>
      <c r="T2766" t="s">
        <v>171</v>
      </c>
      <c r="U2766">
        <v>2067</v>
      </c>
      <c r="V2766" t="s">
        <v>109</v>
      </c>
      <c r="W2766" t="s">
        <v>110</v>
      </c>
      <c r="X2766" t="s">
        <v>172</v>
      </c>
      <c r="Y2766" t="s">
        <v>173</v>
      </c>
      <c r="Z2766" t="s">
        <v>65</v>
      </c>
    </row>
    <row r="2767" spans="1:26" x14ac:dyDescent="0.3">
      <c r="A2767">
        <v>10373</v>
      </c>
      <c r="B2767">
        <v>45</v>
      </c>
      <c r="C2767">
        <v>55.62</v>
      </c>
      <c r="D2767">
        <v>17</v>
      </c>
      <c r="E2767">
        <v>2502.9</v>
      </c>
      <c r="F2767" s="1">
        <v>38383</v>
      </c>
      <c r="G2767" t="s">
        <v>39</v>
      </c>
      <c r="H2767">
        <v>1</v>
      </c>
      <c r="I2767">
        <v>1</v>
      </c>
      <c r="J2767" t="str">
        <f>TEXT(DATE(2012,Table1[[#This Row],[MONTH_ID]],10),"mmm")</f>
        <v>Jan</v>
      </c>
      <c r="K2767">
        <v>2005</v>
      </c>
      <c r="L2767" t="s">
        <v>580</v>
      </c>
      <c r="M2767">
        <v>74</v>
      </c>
      <c r="N2767" t="s">
        <v>686</v>
      </c>
      <c r="O2767" t="s">
        <v>405</v>
      </c>
      <c r="P2767" t="s">
        <v>406</v>
      </c>
      <c r="Q2767" t="s">
        <v>407</v>
      </c>
      <c r="S2767" t="s">
        <v>408</v>
      </c>
      <c r="U2767">
        <v>90110</v>
      </c>
      <c r="V2767" t="s">
        <v>144</v>
      </c>
      <c r="W2767" t="s">
        <v>56</v>
      </c>
      <c r="X2767" t="s">
        <v>409</v>
      </c>
      <c r="Y2767" t="s">
        <v>410</v>
      </c>
      <c r="Z2767" t="s">
        <v>50</v>
      </c>
    </row>
    <row r="2768" spans="1:26" x14ac:dyDescent="0.3">
      <c r="A2768">
        <v>10386</v>
      </c>
      <c r="B2768">
        <v>44</v>
      </c>
      <c r="C2768">
        <v>86.4</v>
      </c>
      <c r="D2768">
        <v>15</v>
      </c>
      <c r="E2768">
        <v>3801.6</v>
      </c>
      <c r="F2768" s="1">
        <v>38412</v>
      </c>
      <c r="G2768" t="s">
        <v>422</v>
      </c>
      <c r="H2768">
        <v>1</v>
      </c>
      <c r="I2768">
        <v>3</v>
      </c>
      <c r="J2768" t="str">
        <f>TEXT(DATE(2012,Table1[[#This Row],[MONTH_ID]],10),"mmm")</f>
        <v>Mar</v>
      </c>
      <c r="K2768">
        <v>2005</v>
      </c>
      <c r="L2768" t="s">
        <v>580</v>
      </c>
      <c r="M2768">
        <v>74</v>
      </c>
      <c r="N2768" t="s">
        <v>686</v>
      </c>
      <c r="O2768" t="s">
        <v>188</v>
      </c>
      <c r="P2768" t="s">
        <v>189</v>
      </c>
      <c r="Q2768" t="s">
        <v>190</v>
      </c>
      <c r="S2768" t="s">
        <v>191</v>
      </c>
      <c r="U2768">
        <v>28034</v>
      </c>
      <c r="V2768" t="s">
        <v>192</v>
      </c>
      <c r="W2768" t="s">
        <v>56</v>
      </c>
      <c r="X2768" t="s">
        <v>193</v>
      </c>
      <c r="Y2768" t="s">
        <v>194</v>
      </c>
      <c r="Z2768" t="s">
        <v>65</v>
      </c>
    </row>
    <row r="2769" spans="1:26" x14ac:dyDescent="0.3">
      <c r="A2769">
        <v>10398</v>
      </c>
      <c r="B2769">
        <v>36</v>
      </c>
      <c r="C2769">
        <v>87.36</v>
      </c>
      <c r="D2769">
        <v>12</v>
      </c>
      <c r="E2769">
        <v>3144.96</v>
      </c>
      <c r="F2769" s="1">
        <v>38441</v>
      </c>
      <c r="G2769" t="s">
        <v>39</v>
      </c>
      <c r="H2769">
        <v>1</v>
      </c>
      <c r="I2769">
        <v>3</v>
      </c>
      <c r="J2769" t="str">
        <f>TEXT(DATE(2012,Table1[[#This Row],[MONTH_ID]],10),"mmm")</f>
        <v>Mar</v>
      </c>
      <c r="K2769">
        <v>2005</v>
      </c>
      <c r="L2769" t="s">
        <v>580</v>
      </c>
      <c r="M2769">
        <v>74</v>
      </c>
      <c r="N2769" t="s">
        <v>686</v>
      </c>
      <c r="O2769" t="s">
        <v>51</v>
      </c>
      <c r="P2769" t="s">
        <v>52</v>
      </c>
      <c r="Q2769" t="s">
        <v>53</v>
      </c>
      <c r="S2769" t="s">
        <v>54</v>
      </c>
      <c r="U2769">
        <v>51100</v>
      </c>
      <c r="V2769" t="s">
        <v>55</v>
      </c>
      <c r="W2769" t="s">
        <v>56</v>
      </c>
      <c r="X2769" t="s">
        <v>57</v>
      </c>
      <c r="Y2769" t="s">
        <v>58</v>
      </c>
      <c r="Z2769" t="s">
        <v>65</v>
      </c>
    </row>
    <row r="2770" spans="1:26" x14ac:dyDescent="0.3">
      <c r="A2770">
        <v>10401</v>
      </c>
      <c r="B2770">
        <v>28</v>
      </c>
      <c r="C2770">
        <v>72.55</v>
      </c>
      <c r="D2770">
        <v>11</v>
      </c>
      <c r="E2770">
        <v>2031.4</v>
      </c>
      <c r="F2770" s="1">
        <v>38445</v>
      </c>
      <c r="G2770" t="s">
        <v>415</v>
      </c>
      <c r="H2770">
        <v>2</v>
      </c>
      <c r="I2770">
        <v>4</v>
      </c>
      <c r="J2770" t="str">
        <f>TEXT(DATE(2012,Table1[[#This Row],[MONTH_ID]],10),"mmm")</f>
        <v>Apr</v>
      </c>
      <c r="K2770">
        <v>2005</v>
      </c>
      <c r="L2770" t="s">
        <v>580</v>
      </c>
      <c r="M2770">
        <v>74</v>
      </c>
      <c r="N2770" t="s">
        <v>686</v>
      </c>
      <c r="O2770" t="s">
        <v>118</v>
      </c>
      <c r="P2770">
        <v>2015559350</v>
      </c>
      <c r="Q2770" t="s">
        <v>119</v>
      </c>
      <c r="S2770" t="s">
        <v>120</v>
      </c>
      <c r="T2770" t="s">
        <v>121</v>
      </c>
      <c r="U2770">
        <v>94019</v>
      </c>
      <c r="V2770" t="s">
        <v>46</v>
      </c>
      <c r="W2770" t="s">
        <v>47</v>
      </c>
      <c r="X2770" t="s">
        <v>75</v>
      </c>
      <c r="Y2770" t="s">
        <v>122</v>
      </c>
      <c r="Z2770" t="s">
        <v>50</v>
      </c>
    </row>
    <row r="2771" spans="1:26" x14ac:dyDescent="0.3">
      <c r="A2771">
        <v>10416</v>
      </c>
      <c r="B2771">
        <v>43</v>
      </c>
      <c r="C2771">
        <v>62.19</v>
      </c>
      <c r="D2771">
        <v>12</v>
      </c>
      <c r="E2771">
        <v>2674.17</v>
      </c>
      <c r="F2771" s="1">
        <v>38482</v>
      </c>
      <c r="G2771" t="s">
        <v>39</v>
      </c>
      <c r="H2771">
        <v>2</v>
      </c>
      <c r="I2771">
        <v>5</v>
      </c>
      <c r="J2771" t="str">
        <f>TEXT(DATE(2012,Table1[[#This Row],[MONTH_ID]],10),"mmm")</f>
        <v>May</v>
      </c>
      <c r="K2771">
        <v>2005</v>
      </c>
      <c r="L2771" t="s">
        <v>580</v>
      </c>
      <c r="M2771">
        <v>74</v>
      </c>
      <c r="N2771" t="s">
        <v>686</v>
      </c>
      <c r="O2771" t="s">
        <v>466</v>
      </c>
      <c r="P2771" t="s">
        <v>467</v>
      </c>
      <c r="Q2771" t="s">
        <v>468</v>
      </c>
      <c r="S2771" t="s">
        <v>469</v>
      </c>
      <c r="U2771">
        <v>42100</v>
      </c>
      <c r="V2771" t="s">
        <v>272</v>
      </c>
      <c r="W2771" t="s">
        <v>56</v>
      </c>
      <c r="X2771" t="s">
        <v>470</v>
      </c>
      <c r="Y2771" t="s">
        <v>471</v>
      </c>
      <c r="Z2771" t="s">
        <v>50</v>
      </c>
    </row>
    <row r="2772" spans="1:26" x14ac:dyDescent="0.3">
      <c r="A2772">
        <v>10106</v>
      </c>
      <c r="B2772">
        <v>48</v>
      </c>
      <c r="C2772">
        <v>52.64</v>
      </c>
      <c r="D2772">
        <v>15</v>
      </c>
      <c r="E2772">
        <v>2526.7199999999998</v>
      </c>
      <c r="F2772" s="1">
        <v>37669</v>
      </c>
      <c r="G2772" t="s">
        <v>39</v>
      </c>
      <c r="H2772">
        <v>1</v>
      </c>
      <c r="I2772">
        <v>2</v>
      </c>
      <c r="J2772" t="str">
        <f>TEXT(DATE(2012,Table1[[#This Row],[MONTH_ID]],10),"mmm")</f>
        <v>Feb</v>
      </c>
      <c r="K2772">
        <v>2003</v>
      </c>
      <c r="L2772" t="s">
        <v>580</v>
      </c>
      <c r="M2772">
        <v>49</v>
      </c>
      <c r="N2772" t="s">
        <v>687</v>
      </c>
      <c r="O2772" t="s">
        <v>566</v>
      </c>
      <c r="P2772" t="s">
        <v>567</v>
      </c>
      <c r="Q2772" t="s">
        <v>568</v>
      </c>
      <c r="S2772" t="s">
        <v>569</v>
      </c>
      <c r="U2772">
        <v>24100</v>
      </c>
      <c r="V2772" t="s">
        <v>272</v>
      </c>
      <c r="W2772" t="s">
        <v>56</v>
      </c>
      <c r="X2772" t="s">
        <v>570</v>
      </c>
      <c r="Y2772" t="s">
        <v>571</v>
      </c>
      <c r="Z2772" t="s">
        <v>50</v>
      </c>
    </row>
    <row r="2773" spans="1:26" x14ac:dyDescent="0.3">
      <c r="A2773">
        <v>10119</v>
      </c>
      <c r="B2773">
        <v>28</v>
      </c>
      <c r="C2773">
        <v>48.17</v>
      </c>
      <c r="D2773">
        <v>6</v>
      </c>
      <c r="E2773">
        <v>1348.76</v>
      </c>
      <c r="F2773" s="1">
        <v>37739</v>
      </c>
      <c r="G2773" t="s">
        <v>39</v>
      </c>
      <c r="H2773">
        <v>2</v>
      </c>
      <c r="I2773">
        <v>4</v>
      </c>
      <c r="J2773" t="str">
        <f>TEXT(DATE(2012,Table1[[#This Row],[MONTH_ID]],10),"mmm")</f>
        <v>Apr</v>
      </c>
      <c r="K2773">
        <v>2003</v>
      </c>
      <c r="L2773" t="s">
        <v>580</v>
      </c>
      <c r="M2773">
        <v>49</v>
      </c>
      <c r="N2773" t="s">
        <v>687</v>
      </c>
      <c r="O2773" t="s">
        <v>158</v>
      </c>
      <c r="P2773" t="s">
        <v>159</v>
      </c>
      <c r="Q2773" t="s">
        <v>160</v>
      </c>
      <c r="S2773" t="s">
        <v>161</v>
      </c>
      <c r="U2773">
        <v>5020</v>
      </c>
      <c r="V2773" t="s">
        <v>162</v>
      </c>
      <c r="W2773" t="s">
        <v>56</v>
      </c>
      <c r="X2773" t="s">
        <v>163</v>
      </c>
      <c r="Y2773" t="s">
        <v>164</v>
      </c>
      <c r="Z2773" t="s">
        <v>50</v>
      </c>
    </row>
    <row r="2774" spans="1:26" x14ac:dyDescent="0.3">
      <c r="A2774">
        <v>10131</v>
      </c>
      <c r="B2774">
        <v>21</v>
      </c>
      <c r="C2774">
        <v>41.71</v>
      </c>
      <c r="D2774">
        <v>7</v>
      </c>
      <c r="E2774">
        <v>875.91</v>
      </c>
      <c r="F2774" s="1">
        <v>37788</v>
      </c>
      <c r="G2774" t="s">
        <v>39</v>
      </c>
      <c r="H2774">
        <v>2</v>
      </c>
      <c r="I2774">
        <v>6</v>
      </c>
      <c r="J2774" t="str">
        <f>TEXT(DATE(2012,Table1[[#This Row],[MONTH_ID]],10),"mmm")</f>
        <v>Jun</v>
      </c>
      <c r="K2774">
        <v>2003</v>
      </c>
      <c r="L2774" t="s">
        <v>580</v>
      </c>
      <c r="M2774">
        <v>49</v>
      </c>
      <c r="N2774" t="s">
        <v>687</v>
      </c>
      <c r="O2774" t="s">
        <v>582</v>
      </c>
      <c r="P2774">
        <v>2035554407</v>
      </c>
      <c r="Q2774" t="s">
        <v>583</v>
      </c>
      <c r="S2774" t="s">
        <v>530</v>
      </c>
      <c r="T2774" t="s">
        <v>126</v>
      </c>
      <c r="U2774">
        <v>97561</v>
      </c>
      <c r="V2774" t="s">
        <v>46</v>
      </c>
      <c r="W2774" t="s">
        <v>47</v>
      </c>
      <c r="X2774" t="s">
        <v>584</v>
      </c>
      <c r="Y2774" t="s">
        <v>585</v>
      </c>
      <c r="Z2774" t="s">
        <v>50</v>
      </c>
    </row>
    <row r="2775" spans="1:26" x14ac:dyDescent="0.3">
      <c r="A2775">
        <v>10143</v>
      </c>
      <c r="B2775">
        <v>37</v>
      </c>
      <c r="C2775">
        <v>50.65</v>
      </c>
      <c r="D2775">
        <v>10</v>
      </c>
      <c r="E2775">
        <v>1874.05</v>
      </c>
      <c r="F2775" s="1">
        <v>37843</v>
      </c>
      <c r="G2775" t="s">
        <v>39</v>
      </c>
      <c r="H2775">
        <v>3</v>
      </c>
      <c r="I2775">
        <v>8</v>
      </c>
      <c r="J2775" t="str">
        <f>TEXT(DATE(2012,Table1[[#This Row],[MONTH_ID]],10),"mmm")</f>
        <v>Aug</v>
      </c>
      <c r="K2775">
        <v>2003</v>
      </c>
      <c r="L2775" t="s">
        <v>580</v>
      </c>
      <c r="M2775">
        <v>49</v>
      </c>
      <c r="N2775" t="s">
        <v>687</v>
      </c>
      <c r="O2775" t="s">
        <v>349</v>
      </c>
      <c r="P2775">
        <v>5085559555</v>
      </c>
      <c r="Q2775" t="s">
        <v>350</v>
      </c>
      <c r="S2775" t="s">
        <v>176</v>
      </c>
      <c r="T2775" t="s">
        <v>137</v>
      </c>
      <c r="U2775">
        <v>50553</v>
      </c>
      <c r="V2775" t="s">
        <v>46</v>
      </c>
      <c r="W2775" t="s">
        <v>47</v>
      </c>
      <c r="X2775" t="s">
        <v>351</v>
      </c>
      <c r="Y2775" t="s">
        <v>352</v>
      </c>
      <c r="Z2775" t="s">
        <v>50</v>
      </c>
    </row>
    <row r="2776" spans="1:26" x14ac:dyDescent="0.3">
      <c r="A2776">
        <v>10155</v>
      </c>
      <c r="B2776">
        <v>34</v>
      </c>
      <c r="C2776">
        <v>49.16</v>
      </c>
      <c r="D2776">
        <v>8</v>
      </c>
      <c r="E2776">
        <v>1671.44</v>
      </c>
      <c r="F2776" s="1">
        <v>37900</v>
      </c>
      <c r="G2776" t="s">
        <v>39</v>
      </c>
      <c r="H2776">
        <v>4</v>
      </c>
      <c r="I2776">
        <v>10</v>
      </c>
      <c r="J2776" t="str">
        <f>TEXT(DATE(2012,Table1[[#This Row],[MONTH_ID]],10),"mmm")</f>
        <v>Oct</v>
      </c>
      <c r="K2776">
        <v>2003</v>
      </c>
      <c r="L2776" t="s">
        <v>580</v>
      </c>
      <c r="M2776">
        <v>49</v>
      </c>
      <c r="N2776" t="s">
        <v>687</v>
      </c>
      <c r="O2776" t="s">
        <v>140</v>
      </c>
      <c r="P2776" t="s">
        <v>141</v>
      </c>
      <c r="Q2776" t="s">
        <v>142</v>
      </c>
      <c r="S2776" t="s">
        <v>143</v>
      </c>
      <c r="U2776">
        <v>21240</v>
      </c>
      <c r="V2776" t="s">
        <v>144</v>
      </c>
      <c r="W2776" t="s">
        <v>56</v>
      </c>
      <c r="X2776" t="s">
        <v>145</v>
      </c>
      <c r="Y2776" t="s">
        <v>146</v>
      </c>
      <c r="Z2776" t="s">
        <v>50</v>
      </c>
    </row>
    <row r="2777" spans="1:26" x14ac:dyDescent="0.3">
      <c r="A2777">
        <v>10167</v>
      </c>
      <c r="B2777">
        <v>40</v>
      </c>
      <c r="C2777">
        <v>41.71</v>
      </c>
      <c r="D2777">
        <v>4</v>
      </c>
      <c r="E2777">
        <v>1668.4</v>
      </c>
      <c r="F2777" s="1">
        <v>37917</v>
      </c>
      <c r="G2777" t="s">
        <v>353</v>
      </c>
      <c r="H2777">
        <v>4</v>
      </c>
      <c r="I2777">
        <v>10</v>
      </c>
      <c r="J2777" t="str">
        <f>TEXT(DATE(2012,Table1[[#This Row],[MONTH_ID]],10),"mmm")</f>
        <v>Oct</v>
      </c>
      <c r="K2777">
        <v>2003</v>
      </c>
      <c r="L2777" t="s">
        <v>580</v>
      </c>
      <c r="M2777">
        <v>49</v>
      </c>
      <c r="N2777" t="s">
        <v>687</v>
      </c>
      <c r="O2777" t="s">
        <v>275</v>
      </c>
      <c r="P2777" t="s">
        <v>276</v>
      </c>
      <c r="Q2777" t="s">
        <v>277</v>
      </c>
      <c r="S2777" t="s">
        <v>278</v>
      </c>
      <c r="U2777" t="s">
        <v>279</v>
      </c>
      <c r="V2777" t="s">
        <v>202</v>
      </c>
      <c r="W2777" t="s">
        <v>56</v>
      </c>
      <c r="X2777" t="s">
        <v>280</v>
      </c>
      <c r="Y2777" t="s">
        <v>220</v>
      </c>
      <c r="Z2777" t="s">
        <v>50</v>
      </c>
    </row>
    <row r="2778" spans="1:26" x14ac:dyDescent="0.3">
      <c r="A2778">
        <v>10178</v>
      </c>
      <c r="B2778">
        <v>45</v>
      </c>
      <c r="C2778">
        <v>51.15</v>
      </c>
      <c r="D2778">
        <v>7</v>
      </c>
      <c r="E2778">
        <v>2301.75</v>
      </c>
      <c r="F2778" s="1">
        <v>37933</v>
      </c>
      <c r="G2778" t="s">
        <v>39</v>
      </c>
      <c r="H2778">
        <v>4</v>
      </c>
      <c r="I2778">
        <v>11</v>
      </c>
      <c r="J2778" t="str">
        <f>TEXT(DATE(2012,Table1[[#This Row],[MONTH_ID]],10),"mmm")</f>
        <v>Nov</v>
      </c>
      <c r="K2778">
        <v>2003</v>
      </c>
      <c r="L2778" t="s">
        <v>580</v>
      </c>
      <c r="M2778">
        <v>49</v>
      </c>
      <c r="N2778" t="s">
        <v>687</v>
      </c>
      <c r="O2778" t="s">
        <v>354</v>
      </c>
      <c r="P2778" t="s">
        <v>355</v>
      </c>
      <c r="Q2778" t="s">
        <v>356</v>
      </c>
      <c r="S2778" t="s">
        <v>357</v>
      </c>
      <c r="U2778">
        <v>31000</v>
      </c>
      <c r="V2778" t="s">
        <v>55</v>
      </c>
      <c r="W2778" t="s">
        <v>56</v>
      </c>
      <c r="X2778" t="s">
        <v>358</v>
      </c>
      <c r="Y2778" t="s">
        <v>359</v>
      </c>
      <c r="Z2778" t="s">
        <v>50</v>
      </c>
    </row>
    <row r="2779" spans="1:26" x14ac:dyDescent="0.3">
      <c r="A2779">
        <v>10186</v>
      </c>
      <c r="B2779">
        <v>28</v>
      </c>
      <c r="C2779">
        <v>52.14</v>
      </c>
      <c r="D2779">
        <v>4</v>
      </c>
      <c r="E2779">
        <v>1459.92</v>
      </c>
      <c r="F2779" s="1">
        <v>37939</v>
      </c>
      <c r="G2779" t="s">
        <v>39</v>
      </c>
      <c r="H2779">
        <v>4</v>
      </c>
      <c r="I2779">
        <v>11</v>
      </c>
      <c r="J2779" t="str">
        <f>TEXT(DATE(2012,Table1[[#This Row],[MONTH_ID]],10),"mmm")</f>
        <v>Nov</v>
      </c>
      <c r="K2779">
        <v>2003</v>
      </c>
      <c r="L2779" t="s">
        <v>580</v>
      </c>
      <c r="M2779">
        <v>49</v>
      </c>
      <c r="N2779" t="s">
        <v>687</v>
      </c>
      <c r="O2779" t="s">
        <v>360</v>
      </c>
      <c r="P2779" t="s">
        <v>361</v>
      </c>
      <c r="Q2779" t="s">
        <v>362</v>
      </c>
      <c r="S2779" t="s">
        <v>346</v>
      </c>
      <c r="U2779" t="s">
        <v>363</v>
      </c>
      <c r="V2779" t="s">
        <v>184</v>
      </c>
      <c r="W2779" t="s">
        <v>56</v>
      </c>
      <c r="X2779" t="s">
        <v>364</v>
      </c>
      <c r="Y2779" t="s">
        <v>365</v>
      </c>
      <c r="Z2779" t="s">
        <v>50</v>
      </c>
    </row>
    <row r="2780" spans="1:26" x14ac:dyDescent="0.3">
      <c r="A2780">
        <v>10197</v>
      </c>
      <c r="B2780">
        <v>29</v>
      </c>
      <c r="C2780">
        <v>41.71</v>
      </c>
      <c r="D2780">
        <v>1</v>
      </c>
      <c r="E2780">
        <v>1209.5899999999999</v>
      </c>
      <c r="F2780" s="1">
        <v>37951</v>
      </c>
      <c r="G2780" t="s">
        <v>39</v>
      </c>
      <c r="H2780">
        <v>4</v>
      </c>
      <c r="I2780">
        <v>11</v>
      </c>
      <c r="J2780" t="str">
        <f>TEXT(DATE(2012,Table1[[#This Row],[MONTH_ID]],10),"mmm")</f>
        <v>Nov</v>
      </c>
      <c r="K2780">
        <v>2003</v>
      </c>
      <c r="L2780" t="s">
        <v>580</v>
      </c>
      <c r="M2780">
        <v>49</v>
      </c>
      <c r="N2780" t="s">
        <v>687</v>
      </c>
      <c r="O2780" t="s">
        <v>366</v>
      </c>
      <c r="P2780" t="s">
        <v>367</v>
      </c>
      <c r="Q2780" t="s">
        <v>368</v>
      </c>
      <c r="S2780" t="s">
        <v>369</v>
      </c>
      <c r="U2780">
        <v>8022</v>
      </c>
      <c r="V2780" t="s">
        <v>192</v>
      </c>
      <c r="W2780" t="s">
        <v>56</v>
      </c>
      <c r="X2780" t="s">
        <v>370</v>
      </c>
      <c r="Y2780" t="s">
        <v>371</v>
      </c>
      <c r="Z2780" t="s">
        <v>50</v>
      </c>
    </row>
    <row r="2781" spans="1:26" x14ac:dyDescent="0.3">
      <c r="A2781">
        <v>10209</v>
      </c>
      <c r="B2781">
        <v>48</v>
      </c>
      <c r="C2781">
        <v>44.69</v>
      </c>
      <c r="D2781">
        <v>3</v>
      </c>
      <c r="E2781">
        <v>2145.12</v>
      </c>
      <c r="F2781" s="1">
        <v>37995</v>
      </c>
      <c r="G2781" t="s">
        <v>39</v>
      </c>
      <c r="H2781">
        <v>1</v>
      </c>
      <c r="I2781">
        <v>1</v>
      </c>
      <c r="J2781" t="str">
        <f>TEXT(DATE(2012,Table1[[#This Row],[MONTH_ID]],10),"mmm")</f>
        <v>Jan</v>
      </c>
      <c r="K2781">
        <v>2004</v>
      </c>
      <c r="L2781" t="s">
        <v>580</v>
      </c>
      <c r="M2781">
        <v>49</v>
      </c>
      <c r="N2781" t="s">
        <v>687</v>
      </c>
      <c r="O2781" t="s">
        <v>372</v>
      </c>
      <c r="P2781">
        <v>2155554369</v>
      </c>
      <c r="Q2781" t="s">
        <v>373</v>
      </c>
      <c r="S2781" t="s">
        <v>374</v>
      </c>
      <c r="T2781" t="s">
        <v>69</v>
      </c>
      <c r="V2781" t="s">
        <v>46</v>
      </c>
      <c r="W2781" t="s">
        <v>47</v>
      </c>
      <c r="X2781" t="s">
        <v>375</v>
      </c>
      <c r="Y2781" t="s">
        <v>117</v>
      </c>
      <c r="Z2781" t="s">
        <v>50</v>
      </c>
    </row>
    <row r="2782" spans="1:26" x14ac:dyDescent="0.3">
      <c r="A2782">
        <v>10222</v>
      </c>
      <c r="B2782">
        <v>31</v>
      </c>
      <c r="C2782">
        <v>45.69</v>
      </c>
      <c r="D2782">
        <v>7</v>
      </c>
      <c r="E2782">
        <v>1416.39</v>
      </c>
      <c r="F2782" s="1">
        <v>38036</v>
      </c>
      <c r="G2782" t="s">
        <v>39</v>
      </c>
      <c r="H2782">
        <v>1</v>
      </c>
      <c r="I2782">
        <v>2</v>
      </c>
      <c r="J2782" t="str">
        <f>TEXT(DATE(2012,Table1[[#This Row],[MONTH_ID]],10),"mmm")</f>
        <v>Feb</v>
      </c>
      <c r="K2782">
        <v>2004</v>
      </c>
      <c r="L2782" t="s">
        <v>580</v>
      </c>
      <c r="M2782">
        <v>49</v>
      </c>
      <c r="N2782" t="s">
        <v>687</v>
      </c>
      <c r="O2782" t="s">
        <v>376</v>
      </c>
      <c r="P2782">
        <v>7605558146</v>
      </c>
      <c r="Q2782" t="s">
        <v>377</v>
      </c>
      <c r="S2782" t="s">
        <v>378</v>
      </c>
      <c r="T2782" t="s">
        <v>69</v>
      </c>
      <c r="U2782">
        <v>91217</v>
      </c>
      <c r="V2782" t="s">
        <v>46</v>
      </c>
      <c r="W2782" t="s">
        <v>47</v>
      </c>
      <c r="X2782" t="s">
        <v>251</v>
      </c>
      <c r="Y2782" t="s">
        <v>290</v>
      </c>
      <c r="Z2782" t="s">
        <v>50</v>
      </c>
    </row>
    <row r="2783" spans="1:26" x14ac:dyDescent="0.3">
      <c r="A2783">
        <v>10249</v>
      </c>
      <c r="B2783">
        <v>32</v>
      </c>
      <c r="C2783">
        <v>57.61</v>
      </c>
      <c r="D2783">
        <v>3</v>
      </c>
      <c r="E2783">
        <v>1843.52</v>
      </c>
      <c r="F2783" s="1">
        <v>38115</v>
      </c>
      <c r="G2783" t="s">
        <v>39</v>
      </c>
      <c r="H2783">
        <v>2</v>
      </c>
      <c r="I2783">
        <v>5</v>
      </c>
      <c r="J2783" t="str">
        <f>TEXT(DATE(2012,Table1[[#This Row],[MONTH_ID]],10),"mmm")</f>
        <v>May</v>
      </c>
      <c r="K2783">
        <v>2004</v>
      </c>
      <c r="L2783" t="s">
        <v>580</v>
      </c>
      <c r="M2783">
        <v>49</v>
      </c>
      <c r="N2783" t="s">
        <v>687</v>
      </c>
      <c r="O2783" t="s">
        <v>253</v>
      </c>
      <c r="P2783">
        <v>6175555555</v>
      </c>
      <c r="Q2783" t="s">
        <v>254</v>
      </c>
      <c r="S2783" t="s">
        <v>136</v>
      </c>
      <c r="T2783" t="s">
        <v>137</v>
      </c>
      <c r="U2783">
        <v>51247</v>
      </c>
      <c r="V2783" t="s">
        <v>46</v>
      </c>
      <c r="W2783" t="s">
        <v>47</v>
      </c>
      <c r="X2783" t="s">
        <v>255</v>
      </c>
      <c r="Y2783" t="s">
        <v>157</v>
      </c>
      <c r="Z2783" t="s">
        <v>50</v>
      </c>
    </row>
    <row r="2784" spans="1:26" x14ac:dyDescent="0.3">
      <c r="A2784">
        <v>10262</v>
      </c>
      <c r="B2784">
        <v>21</v>
      </c>
      <c r="C2784">
        <v>57.11</v>
      </c>
      <c r="D2784">
        <v>12</v>
      </c>
      <c r="E2784">
        <v>1199.31</v>
      </c>
      <c r="F2784" s="1">
        <v>38162</v>
      </c>
      <c r="G2784" t="s">
        <v>353</v>
      </c>
      <c r="H2784">
        <v>2</v>
      </c>
      <c r="I2784">
        <v>6</v>
      </c>
      <c r="J2784" t="str">
        <f>TEXT(DATE(2012,Table1[[#This Row],[MONTH_ID]],10),"mmm")</f>
        <v>Jun</v>
      </c>
      <c r="K2784">
        <v>2004</v>
      </c>
      <c r="L2784" t="s">
        <v>580</v>
      </c>
      <c r="M2784">
        <v>49</v>
      </c>
      <c r="N2784" t="s">
        <v>687</v>
      </c>
      <c r="O2784" t="s">
        <v>188</v>
      </c>
      <c r="P2784" t="s">
        <v>189</v>
      </c>
      <c r="Q2784" t="s">
        <v>190</v>
      </c>
      <c r="S2784" t="s">
        <v>191</v>
      </c>
      <c r="U2784">
        <v>28034</v>
      </c>
      <c r="V2784" t="s">
        <v>192</v>
      </c>
      <c r="W2784" t="s">
        <v>56</v>
      </c>
      <c r="X2784" t="s">
        <v>193</v>
      </c>
      <c r="Y2784" t="s">
        <v>194</v>
      </c>
      <c r="Z2784" t="s">
        <v>50</v>
      </c>
    </row>
    <row r="2785" spans="1:26" x14ac:dyDescent="0.3">
      <c r="A2785">
        <v>10274</v>
      </c>
      <c r="B2785">
        <v>32</v>
      </c>
      <c r="C2785">
        <v>58.6</v>
      </c>
      <c r="D2785">
        <v>4</v>
      </c>
      <c r="E2785">
        <v>1875.2</v>
      </c>
      <c r="F2785" s="1">
        <v>38189</v>
      </c>
      <c r="G2785" t="s">
        <v>39</v>
      </c>
      <c r="H2785">
        <v>3</v>
      </c>
      <c r="I2785">
        <v>7</v>
      </c>
      <c r="J2785" t="str">
        <f>TEXT(DATE(2012,Table1[[#This Row],[MONTH_ID]],10),"mmm")</f>
        <v>Jul</v>
      </c>
      <c r="K2785">
        <v>2004</v>
      </c>
      <c r="L2785" t="s">
        <v>580</v>
      </c>
      <c r="M2785">
        <v>49</v>
      </c>
      <c r="N2785" t="s">
        <v>687</v>
      </c>
      <c r="O2785" t="s">
        <v>295</v>
      </c>
      <c r="P2785">
        <v>6175558555</v>
      </c>
      <c r="Q2785" t="s">
        <v>296</v>
      </c>
      <c r="S2785" t="s">
        <v>297</v>
      </c>
      <c r="T2785" t="s">
        <v>137</v>
      </c>
      <c r="U2785">
        <v>58339</v>
      </c>
      <c r="V2785" t="s">
        <v>46</v>
      </c>
      <c r="W2785" t="s">
        <v>47</v>
      </c>
      <c r="X2785" t="s">
        <v>289</v>
      </c>
      <c r="Y2785" t="s">
        <v>298</v>
      </c>
      <c r="Z2785" t="s">
        <v>50</v>
      </c>
    </row>
    <row r="2786" spans="1:26" x14ac:dyDescent="0.3">
      <c r="A2786">
        <v>10283</v>
      </c>
      <c r="B2786">
        <v>43</v>
      </c>
      <c r="C2786">
        <v>57.61</v>
      </c>
      <c r="D2786">
        <v>1</v>
      </c>
      <c r="E2786">
        <v>2477.23</v>
      </c>
      <c r="F2786" s="1">
        <v>38219</v>
      </c>
      <c r="G2786" t="s">
        <v>39</v>
      </c>
      <c r="H2786">
        <v>3</v>
      </c>
      <c r="I2786">
        <v>8</v>
      </c>
      <c r="J2786" t="str">
        <f>TEXT(DATE(2012,Table1[[#This Row],[MONTH_ID]],10),"mmm")</f>
        <v>Aug</v>
      </c>
      <c r="K2786">
        <v>2004</v>
      </c>
      <c r="L2786" t="s">
        <v>580</v>
      </c>
      <c r="M2786">
        <v>49</v>
      </c>
      <c r="N2786" t="s">
        <v>687</v>
      </c>
      <c r="O2786" t="s">
        <v>387</v>
      </c>
      <c r="P2786" t="s">
        <v>388</v>
      </c>
      <c r="Q2786" t="s">
        <v>389</v>
      </c>
      <c r="S2786" t="s">
        <v>390</v>
      </c>
      <c r="T2786" t="s">
        <v>243</v>
      </c>
      <c r="U2786" t="s">
        <v>391</v>
      </c>
      <c r="V2786" t="s">
        <v>245</v>
      </c>
      <c r="W2786" t="s">
        <v>47</v>
      </c>
      <c r="X2786" t="s">
        <v>392</v>
      </c>
      <c r="Y2786" t="s">
        <v>186</v>
      </c>
      <c r="Z2786" t="s">
        <v>50</v>
      </c>
    </row>
    <row r="2787" spans="1:26" x14ac:dyDescent="0.3">
      <c r="A2787">
        <v>10296</v>
      </c>
      <c r="B2787">
        <v>21</v>
      </c>
      <c r="C2787">
        <v>45.19</v>
      </c>
      <c r="D2787">
        <v>10</v>
      </c>
      <c r="E2787">
        <v>948.99</v>
      </c>
      <c r="F2787" s="1">
        <v>38245</v>
      </c>
      <c r="G2787" t="s">
        <v>39</v>
      </c>
      <c r="H2787">
        <v>3</v>
      </c>
      <c r="I2787">
        <v>9</v>
      </c>
      <c r="J2787" t="str">
        <f>TEXT(DATE(2012,Table1[[#This Row],[MONTH_ID]],10),"mmm")</f>
        <v>Sep</v>
      </c>
      <c r="K2787">
        <v>2004</v>
      </c>
      <c r="L2787" t="s">
        <v>580</v>
      </c>
      <c r="M2787">
        <v>49</v>
      </c>
      <c r="N2787" t="s">
        <v>687</v>
      </c>
      <c r="O2787" t="s">
        <v>586</v>
      </c>
      <c r="P2787" t="s">
        <v>587</v>
      </c>
      <c r="Q2787" t="s">
        <v>588</v>
      </c>
      <c r="S2787" t="s">
        <v>589</v>
      </c>
      <c r="U2787">
        <v>80686</v>
      </c>
      <c r="V2787" t="s">
        <v>457</v>
      </c>
      <c r="W2787" t="s">
        <v>56</v>
      </c>
      <c r="X2787" t="s">
        <v>590</v>
      </c>
      <c r="Y2787" t="s">
        <v>117</v>
      </c>
      <c r="Z2787" t="s">
        <v>50</v>
      </c>
    </row>
    <row r="2788" spans="1:26" x14ac:dyDescent="0.3">
      <c r="A2788">
        <v>10307</v>
      </c>
      <c r="B2788">
        <v>34</v>
      </c>
      <c r="C2788">
        <v>53.63</v>
      </c>
      <c r="D2788">
        <v>4</v>
      </c>
      <c r="E2788">
        <v>1823.42</v>
      </c>
      <c r="F2788" s="1">
        <v>38274</v>
      </c>
      <c r="G2788" t="s">
        <v>39</v>
      </c>
      <c r="H2788">
        <v>4</v>
      </c>
      <c r="I2788">
        <v>10</v>
      </c>
      <c r="J2788" t="str">
        <f>TEXT(DATE(2012,Table1[[#This Row],[MONTH_ID]],10),"mmm")</f>
        <v>Oct</v>
      </c>
      <c r="K2788">
        <v>2004</v>
      </c>
      <c r="L2788" t="s">
        <v>580</v>
      </c>
      <c r="M2788">
        <v>49</v>
      </c>
      <c r="N2788" t="s">
        <v>687</v>
      </c>
      <c r="O2788" t="s">
        <v>228</v>
      </c>
      <c r="P2788">
        <v>2155554695</v>
      </c>
      <c r="Q2788" t="s">
        <v>229</v>
      </c>
      <c r="S2788" t="s">
        <v>230</v>
      </c>
      <c r="T2788" t="s">
        <v>156</v>
      </c>
      <c r="U2788">
        <v>71270</v>
      </c>
      <c r="V2788" t="s">
        <v>46</v>
      </c>
      <c r="W2788" t="s">
        <v>47</v>
      </c>
      <c r="X2788" t="s">
        <v>231</v>
      </c>
      <c r="Y2788" t="s">
        <v>232</v>
      </c>
      <c r="Z2788" t="s">
        <v>50</v>
      </c>
    </row>
    <row r="2789" spans="1:26" x14ac:dyDescent="0.3">
      <c r="A2789">
        <v>10316</v>
      </c>
      <c r="B2789">
        <v>34</v>
      </c>
      <c r="C2789">
        <v>43.7</v>
      </c>
      <c r="D2789">
        <v>12</v>
      </c>
      <c r="E2789">
        <v>1485.8</v>
      </c>
      <c r="F2789" s="1">
        <v>38292</v>
      </c>
      <c r="G2789" t="s">
        <v>39</v>
      </c>
      <c r="H2789">
        <v>4</v>
      </c>
      <c r="I2789">
        <v>11</v>
      </c>
      <c r="J2789" t="str">
        <f>TEXT(DATE(2012,Table1[[#This Row],[MONTH_ID]],10),"mmm")</f>
        <v>Nov</v>
      </c>
      <c r="K2789">
        <v>2004</v>
      </c>
      <c r="L2789" t="s">
        <v>580</v>
      </c>
      <c r="M2789">
        <v>49</v>
      </c>
      <c r="N2789" t="s">
        <v>687</v>
      </c>
      <c r="O2789" t="s">
        <v>397</v>
      </c>
      <c r="P2789" t="s">
        <v>398</v>
      </c>
      <c r="Q2789" t="s">
        <v>399</v>
      </c>
      <c r="S2789" t="s">
        <v>400</v>
      </c>
      <c r="T2789" t="s">
        <v>401</v>
      </c>
      <c r="U2789" t="s">
        <v>402</v>
      </c>
      <c r="V2789" t="s">
        <v>184</v>
      </c>
      <c r="W2789" t="s">
        <v>56</v>
      </c>
      <c r="X2789" t="s">
        <v>403</v>
      </c>
      <c r="Y2789" t="s">
        <v>404</v>
      </c>
      <c r="Z2789" t="s">
        <v>50</v>
      </c>
    </row>
    <row r="2790" spans="1:26" x14ac:dyDescent="0.3">
      <c r="A2790">
        <v>10329</v>
      </c>
      <c r="B2790">
        <v>44</v>
      </c>
      <c r="C2790">
        <v>86.13</v>
      </c>
      <c r="D2790">
        <v>8</v>
      </c>
      <c r="E2790">
        <v>3789.72</v>
      </c>
      <c r="F2790" s="1">
        <v>38306</v>
      </c>
      <c r="G2790" t="s">
        <v>39</v>
      </c>
      <c r="H2790">
        <v>4</v>
      </c>
      <c r="I2790">
        <v>11</v>
      </c>
      <c r="J2790" t="str">
        <f>TEXT(DATE(2012,Table1[[#This Row],[MONTH_ID]],10),"mmm")</f>
        <v>Nov</v>
      </c>
      <c r="K2790">
        <v>2004</v>
      </c>
      <c r="L2790" t="s">
        <v>580</v>
      </c>
      <c r="M2790">
        <v>49</v>
      </c>
      <c r="N2790" t="s">
        <v>687</v>
      </c>
      <c r="O2790" t="s">
        <v>42</v>
      </c>
      <c r="P2790">
        <v>2125557818</v>
      </c>
      <c r="Q2790" t="s">
        <v>43</v>
      </c>
      <c r="S2790" t="s">
        <v>44</v>
      </c>
      <c r="T2790" t="s">
        <v>45</v>
      </c>
      <c r="U2790">
        <v>10022</v>
      </c>
      <c r="V2790" t="s">
        <v>46</v>
      </c>
      <c r="W2790" t="s">
        <v>47</v>
      </c>
      <c r="X2790" t="s">
        <v>48</v>
      </c>
      <c r="Y2790" t="s">
        <v>49</v>
      </c>
      <c r="Z2790" t="s">
        <v>65</v>
      </c>
    </row>
    <row r="2791" spans="1:26" x14ac:dyDescent="0.3">
      <c r="A2791">
        <v>10339</v>
      </c>
      <c r="B2791">
        <v>27</v>
      </c>
      <c r="C2791">
        <v>76.31</v>
      </c>
      <c r="D2791">
        <v>6</v>
      </c>
      <c r="E2791">
        <v>2060.37</v>
      </c>
      <c r="F2791" s="1">
        <v>38314</v>
      </c>
      <c r="G2791" t="s">
        <v>39</v>
      </c>
      <c r="H2791">
        <v>4</v>
      </c>
      <c r="I2791">
        <v>11</v>
      </c>
      <c r="J2791" t="str">
        <f>TEXT(DATE(2012,Table1[[#This Row],[MONTH_ID]],10),"mmm")</f>
        <v>Nov</v>
      </c>
      <c r="K2791">
        <v>2004</v>
      </c>
      <c r="L2791" t="s">
        <v>580</v>
      </c>
      <c r="M2791">
        <v>49</v>
      </c>
      <c r="N2791" t="s">
        <v>687</v>
      </c>
      <c r="O2791" t="s">
        <v>260</v>
      </c>
      <c r="P2791" t="s">
        <v>261</v>
      </c>
      <c r="Q2791" t="s">
        <v>262</v>
      </c>
      <c r="S2791" t="s">
        <v>263</v>
      </c>
      <c r="T2791" t="s">
        <v>264</v>
      </c>
      <c r="U2791" t="s">
        <v>265</v>
      </c>
      <c r="V2791" t="s">
        <v>214</v>
      </c>
      <c r="W2791" t="s">
        <v>214</v>
      </c>
      <c r="X2791" t="s">
        <v>266</v>
      </c>
      <c r="Y2791" t="s">
        <v>267</v>
      </c>
      <c r="Z2791" t="s">
        <v>50</v>
      </c>
    </row>
    <row r="2792" spans="1:26" x14ac:dyDescent="0.3">
      <c r="A2792">
        <v>10352</v>
      </c>
      <c r="B2792">
        <v>49</v>
      </c>
      <c r="C2792">
        <v>52.64</v>
      </c>
      <c r="D2792">
        <v>4</v>
      </c>
      <c r="E2792">
        <v>2579.36</v>
      </c>
      <c r="F2792" s="1">
        <v>38324</v>
      </c>
      <c r="G2792" t="s">
        <v>39</v>
      </c>
      <c r="H2792">
        <v>4</v>
      </c>
      <c r="I2792">
        <v>12</v>
      </c>
      <c r="J2792" t="str">
        <f>TEXT(DATE(2012,Table1[[#This Row],[MONTH_ID]],10),"mmm")</f>
        <v>Dec</v>
      </c>
      <c r="K2792">
        <v>2004</v>
      </c>
      <c r="L2792" t="s">
        <v>580</v>
      </c>
      <c r="M2792">
        <v>49</v>
      </c>
      <c r="N2792" t="s">
        <v>687</v>
      </c>
      <c r="O2792" t="s">
        <v>614</v>
      </c>
      <c r="P2792">
        <v>6175558428</v>
      </c>
      <c r="Q2792" t="s">
        <v>615</v>
      </c>
      <c r="S2792" t="s">
        <v>297</v>
      </c>
      <c r="T2792" t="s">
        <v>137</v>
      </c>
      <c r="U2792">
        <v>58339</v>
      </c>
      <c r="V2792" t="s">
        <v>46</v>
      </c>
      <c r="W2792" t="s">
        <v>47</v>
      </c>
      <c r="X2792" t="s">
        <v>543</v>
      </c>
      <c r="Y2792" t="s">
        <v>259</v>
      </c>
      <c r="Z2792" t="s">
        <v>50</v>
      </c>
    </row>
    <row r="2793" spans="1:26" x14ac:dyDescent="0.3">
      <c r="A2793">
        <v>10361</v>
      </c>
      <c r="B2793">
        <v>23</v>
      </c>
      <c r="C2793">
        <v>95.2</v>
      </c>
      <c r="D2793">
        <v>12</v>
      </c>
      <c r="E2793">
        <v>2189.6</v>
      </c>
      <c r="F2793" s="1">
        <v>38338</v>
      </c>
      <c r="G2793" t="s">
        <v>39</v>
      </c>
      <c r="H2793">
        <v>4</v>
      </c>
      <c r="I2793">
        <v>12</v>
      </c>
      <c r="J2793" t="str">
        <f>TEXT(DATE(2012,Table1[[#This Row],[MONTH_ID]],10),"mmm")</f>
        <v>Dec</v>
      </c>
      <c r="K2793">
        <v>2004</v>
      </c>
      <c r="L2793" t="s">
        <v>580</v>
      </c>
      <c r="M2793">
        <v>49</v>
      </c>
      <c r="N2793" t="s">
        <v>687</v>
      </c>
      <c r="O2793" t="s">
        <v>166</v>
      </c>
      <c r="P2793" t="s">
        <v>167</v>
      </c>
      <c r="Q2793" t="s">
        <v>168</v>
      </c>
      <c r="R2793" t="s">
        <v>169</v>
      </c>
      <c r="S2793" t="s">
        <v>170</v>
      </c>
      <c r="T2793" t="s">
        <v>171</v>
      </c>
      <c r="U2793">
        <v>2067</v>
      </c>
      <c r="V2793" t="s">
        <v>109</v>
      </c>
      <c r="W2793" t="s">
        <v>110</v>
      </c>
      <c r="X2793" t="s">
        <v>172</v>
      </c>
      <c r="Y2793" t="s">
        <v>173</v>
      </c>
      <c r="Z2793" t="s">
        <v>50</v>
      </c>
    </row>
    <row r="2794" spans="1:26" x14ac:dyDescent="0.3">
      <c r="A2794">
        <v>10373</v>
      </c>
      <c r="B2794">
        <v>25</v>
      </c>
      <c r="C2794">
        <v>64.97</v>
      </c>
      <c r="D2794">
        <v>9</v>
      </c>
      <c r="E2794">
        <v>1624.25</v>
      </c>
      <c r="F2794" s="1">
        <v>38383</v>
      </c>
      <c r="G2794" t="s">
        <v>39</v>
      </c>
      <c r="H2794">
        <v>1</v>
      </c>
      <c r="I2794">
        <v>1</v>
      </c>
      <c r="J2794" t="str">
        <f>TEXT(DATE(2012,Table1[[#This Row],[MONTH_ID]],10),"mmm")</f>
        <v>Jan</v>
      </c>
      <c r="K2794">
        <v>2005</v>
      </c>
      <c r="L2794" t="s">
        <v>580</v>
      </c>
      <c r="M2794">
        <v>49</v>
      </c>
      <c r="N2794" t="s">
        <v>687</v>
      </c>
      <c r="O2794" t="s">
        <v>405</v>
      </c>
      <c r="P2794" t="s">
        <v>406</v>
      </c>
      <c r="Q2794" t="s">
        <v>407</v>
      </c>
      <c r="S2794" t="s">
        <v>408</v>
      </c>
      <c r="U2794">
        <v>90110</v>
      </c>
      <c r="V2794" t="s">
        <v>144</v>
      </c>
      <c r="W2794" t="s">
        <v>56</v>
      </c>
      <c r="X2794" t="s">
        <v>409</v>
      </c>
      <c r="Y2794" t="s">
        <v>410</v>
      </c>
      <c r="Z2794" t="s">
        <v>50</v>
      </c>
    </row>
    <row r="2795" spans="1:26" x14ac:dyDescent="0.3">
      <c r="A2795">
        <v>10386</v>
      </c>
      <c r="B2795">
        <v>50</v>
      </c>
      <c r="C2795">
        <v>87.15</v>
      </c>
      <c r="D2795">
        <v>16</v>
      </c>
      <c r="E2795">
        <v>4357.5</v>
      </c>
      <c r="F2795" s="1">
        <v>38412</v>
      </c>
      <c r="G2795" t="s">
        <v>422</v>
      </c>
      <c r="H2795">
        <v>1</v>
      </c>
      <c r="I2795">
        <v>3</v>
      </c>
      <c r="J2795" t="str">
        <f>TEXT(DATE(2012,Table1[[#This Row],[MONTH_ID]],10),"mmm")</f>
        <v>Mar</v>
      </c>
      <c r="K2795">
        <v>2005</v>
      </c>
      <c r="L2795" t="s">
        <v>580</v>
      </c>
      <c r="M2795">
        <v>49</v>
      </c>
      <c r="N2795" t="s">
        <v>687</v>
      </c>
      <c r="O2795" t="s">
        <v>188</v>
      </c>
      <c r="P2795" t="s">
        <v>189</v>
      </c>
      <c r="Q2795" t="s">
        <v>190</v>
      </c>
      <c r="S2795" t="s">
        <v>191</v>
      </c>
      <c r="U2795">
        <v>28034</v>
      </c>
      <c r="V2795" t="s">
        <v>192</v>
      </c>
      <c r="W2795" t="s">
        <v>56</v>
      </c>
      <c r="X2795" t="s">
        <v>193</v>
      </c>
      <c r="Y2795" t="s">
        <v>194</v>
      </c>
      <c r="Z2795" t="s">
        <v>65</v>
      </c>
    </row>
    <row r="2796" spans="1:26" x14ac:dyDescent="0.3">
      <c r="A2796">
        <v>10398</v>
      </c>
      <c r="B2796">
        <v>34</v>
      </c>
      <c r="C2796">
        <v>40.22</v>
      </c>
      <c r="D2796">
        <v>1</v>
      </c>
      <c r="E2796">
        <v>1367.48</v>
      </c>
      <c r="F2796" s="1">
        <v>38441</v>
      </c>
      <c r="G2796" t="s">
        <v>39</v>
      </c>
      <c r="H2796">
        <v>1</v>
      </c>
      <c r="I2796">
        <v>3</v>
      </c>
      <c r="J2796" t="str">
        <f>TEXT(DATE(2012,Table1[[#This Row],[MONTH_ID]],10),"mmm")</f>
        <v>Mar</v>
      </c>
      <c r="K2796">
        <v>2005</v>
      </c>
      <c r="L2796" t="s">
        <v>580</v>
      </c>
      <c r="M2796">
        <v>49</v>
      </c>
      <c r="N2796" t="s">
        <v>687</v>
      </c>
      <c r="O2796" t="s">
        <v>51</v>
      </c>
      <c r="P2796" t="s">
        <v>52</v>
      </c>
      <c r="Q2796" t="s">
        <v>53</v>
      </c>
      <c r="S2796" t="s">
        <v>54</v>
      </c>
      <c r="U2796">
        <v>51100</v>
      </c>
      <c r="V2796" t="s">
        <v>55</v>
      </c>
      <c r="W2796" t="s">
        <v>56</v>
      </c>
      <c r="X2796" t="s">
        <v>57</v>
      </c>
      <c r="Y2796" t="s">
        <v>58</v>
      </c>
      <c r="Z2796" t="s">
        <v>50</v>
      </c>
    </row>
    <row r="2797" spans="1:26" x14ac:dyDescent="0.3">
      <c r="A2797">
        <v>10400</v>
      </c>
      <c r="B2797">
        <v>20</v>
      </c>
      <c r="C2797">
        <v>56.12</v>
      </c>
      <c r="D2797">
        <v>4</v>
      </c>
      <c r="E2797">
        <v>1122.4000000000001</v>
      </c>
      <c r="F2797" s="1">
        <v>38443</v>
      </c>
      <c r="G2797" t="s">
        <v>39</v>
      </c>
      <c r="H2797">
        <v>2</v>
      </c>
      <c r="I2797">
        <v>4</v>
      </c>
      <c r="J2797" t="str">
        <f>TEXT(DATE(2012,Table1[[#This Row],[MONTH_ID]],10),"mmm")</f>
        <v>Apr</v>
      </c>
      <c r="K2797">
        <v>2005</v>
      </c>
      <c r="L2797" t="s">
        <v>580</v>
      </c>
      <c r="M2797">
        <v>49</v>
      </c>
      <c r="N2797" t="s">
        <v>687</v>
      </c>
      <c r="O2797" t="s">
        <v>411</v>
      </c>
      <c r="P2797">
        <v>4085553659</v>
      </c>
      <c r="Q2797" t="s">
        <v>412</v>
      </c>
      <c r="S2797" t="s">
        <v>413</v>
      </c>
      <c r="T2797" t="s">
        <v>69</v>
      </c>
      <c r="U2797">
        <v>94217</v>
      </c>
      <c r="V2797" t="s">
        <v>46</v>
      </c>
      <c r="W2797" t="s">
        <v>47</v>
      </c>
      <c r="X2797" t="s">
        <v>116</v>
      </c>
      <c r="Y2797" t="s">
        <v>414</v>
      </c>
      <c r="Z2797" t="s">
        <v>50</v>
      </c>
    </row>
    <row r="2798" spans="1:26" x14ac:dyDescent="0.3">
      <c r="A2798">
        <v>10415</v>
      </c>
      <c r="B2798">
        <v>42</v>
      </c>
      <c r="C2798">
        <v>57.61</v>
      </c>
      <c r="D2798">
        <v>3</v>
      </c>
      <c r="E2798">
        <v>2419.62</v>
      </c>
      <c r="F2798" s="1">
        <v>38481</v>
      </c>
      <c r="G2798" t="s">
        <v>187</v>
      </c>
      <c r="H2798">
        <v>2</v>
      </c>
      <c r="I2798">
        <v>5</v>
      </c>
      <c r="J2798" t="str">
        <f>TEXT(DATE(2012,Table1[[#This Row],[MONTH_ID]],10),"mmm")</f>
        <v>May</v>
      </c>
      <c r="K2798">
        <v>2005</v>
      </c>
      <c r="L2798" t="s">
        <v>580</v>
      </c>
      <c r="M2798">
        <v>49</v>
      </c>
      <c r="N2798" t="s">
        <v>687</v>
      </c>
      <c r="O2798" t="s">
        <v>572</v>
      </c>
      <c r="P2798" t="s">
        <v>573</v>
      </c>
      <c r="Q2798" t="s">
        <v>574</v>
      </c>
      <c r="S2798" t="s">
        <v>575</v>
      </c>
      <c r="T2798" t="s">
        <v>108</v>
      </c>
      <c r="U2798">
        <v>3150</v>
      </c>
      <c r="V2798" t="s">
        <v>109</v>
      </c>
      <c r="W2798" t="s">
        <v>110</v>
      </c>
      <c r="X2798" t="s">
        <v>576</v>
      </c>
      <c r="Y2798" t="s">
        <v>577</v>
      </c>
      <c r="Z2798" t="s">
        <v>50</v>
      </c>
    </row>
    <row r="2799" spans="1:26" x14ac:dyDescent="0.3">
      <c r="A2799">
        <v>10105</v>
      </c>
      <c r="B2799">
        <v>25</v>
      </c>
      <c r="C2799">
        <v>56.78</v>
      </c>
      <c r="D2799">
        <v>8</v>
      </c>
      <c r="E2799">
        <v>1419.5</v>
      </c>
      <c r="F2799" s="1">
        <v>37663</v>
      </c>
      <c r="G2799" t="s">
        <v>39</v>
      </c>
      <c r="H2799">
        <v>1</v>
      </c>
      <c r="I2799">
        <v>2</v>
      </c>
      <c r="J2799" t="str">
        <f>TEXT(DATE(2012,Table1[[#This Row],[MONTH_ID]],10),"mmm")</f>
        <v>Feb</v>
      </c>
      <c r="K2799">
        <v>2003</v>
      </c>
      <c r="L2799" t="s">
        <v>612</v>
      </c>
      <c r="M2799">
        <v>54</v>
      </c>
      <c r="N2799" t="s">
        <v>688</v>
      </c>
      <c r="O2799" t="s">
        <v>336</v>
      </c>
      <c r="P2799" t="s">
        <v>337</v>
      </c>
      <c r="Q2799" t="s">
        <v>338</v>
      </c>
      <c r="S2799" t="s">
        <v>339</v>
      </c>
      <c r="U2799">
        <v>1734</v>
      </c>
      <c r="V2799" t="s">
        <v>340</v>
      </c>
      <c r="W2799" t="s">
        <v>56</v>
      </c>
      <c r="X2799" t="s">
        <v>341</v>
      </c>
      <c r="Y2799" t="s">
        <v>342</v>
      </c>
      <c r="Z2799" t="s">
        <v>50</v>
      </c>
    </row>
    <row r="2800" spans="1:26" x14ac:dyDescent="0.3">
      <c r="A2800">
        <v>10117</v>
      </c>
      <c r="B2800">
        <v>50</v>
      </c>
      <c r="C2800">
        <v>43.68</v>
      </c>
      <c r="D2800">
        <v>2</v>
      </c>
      <c r="E2800">
        <v>2184</v>
      </c>
      <c r="F2800" s="1">
        <v>37727</v>
      </c>
      <c r="G2800" t="s">
        <v>39</v>
      </c>
      <c r="H2800">
        <v>2</v>
      </c>
      <c r="I2800">
        <v>4</v>
      </c>
      <c r="J2800" t="str">
        <f>TEXT(DATE(2012,Table1[[#This Row],[MONTH_ID]],10),"mmm")</f>
        <v>Apr</v>
      </c>
      <c r="K2800">
        <v>2003</v>
      </c>
      <c r="L2800" t="s">
        <v>612</v>
      </c>
      <c r="M2800">
        <v>54</v>
      </c>
      <c r="N2800" t="s">
        <v>688</v>
      </c>
      <c r="O2800" t="s">
        <v>210</v>
      </c>
      <c r="P2800" t="s">
        <v>211</v>
      </c>
      <c r="Q2800" t="s">
        <v>212</v>
      </c>
      <c r="S2800" t="s">
        <v>213</v>
      </c>
      <c r="U2800">
        <v>79903</v>
      </c>
      <c r="V2800" t="s">
        <v>213</v>
      </c>
      <c r="W2800" t="s">
        <v>214</v>
      </c>
      <c r="X2800" t="s">
        <v>215</v>
      </c>
      <c r="Y2800" t="s">
        <v>216</v>
      </c>
      <c r="Z2800" t="s">
        <v>50</v>
      </c>
    </row>
    <row r="2801" spans="1:26" x14ac:dyDescent="0.3">
      <c r="A2801">
        <v>10129</v>
      </c>
      <c r="B2801">
        <v>32</v>
      </c>
      <c r="C2801">
        <v>64.97</v>
      </c>
      <c r="D2801">
        <v>8</v>
      </c>
      <c r="E2801">
        <v>2079.04</v>
      </c>
      <c r="F2801" s="1">
        <v>37784</v>
      </c>
      <c r="G2801" t="s">
        <v>39</v>
      </c>
      <c r="H2801">
        <v>2</v>
      </c>
      <c r="I2801">
        <v>6</v>
      </c>
      <c r="J2801" t="str">
        <f>TEXT(DATE(2012,Table1[[#This Row],[MONTH_ID]],10),"mmm")</f>
        <v>Jun</v>
      </c>
      <c r="K2801">
        <v>2003</v>
      </c>
      <c r="L2801" t="s">
        <v>612</v>
      </c>
      <c r="M2801">
        <v>54</v>
      </c>
      <c r="N2801" t="s">
        <v>688</v>
      </c>
      <c r="O2801" t="s">
        <v>343</v>
      </c>
      <c r="P2801" t="s">
        <v>344</v>
      </c>
      <c r="Q2801" t="s">
        <v>345</v>
      </c>
      <c r="S2801" t="s">
        <v>346</v>
      </c>
      <c r="U2801" t="s">
        <v>347</v>
      </c>
      <c r="V2801" t="s">
        <v>184</v>
      </c>
      <c r="W2801" t="s">
        <v>56</v>
      </c>
      <c r="X2801" t="s">
        <v>75</v>
      </c>
      <c r="Y2801" t="s">
        <v>348</v>
      </c>
      <c r="Z2801" t="s">
        <v>50</v>
      </c>
    </row>
    <row r="2802" spans="1:26" x14ac:dyDescent="0.3">
      <c r="A2802">
        <v>10142</v>
      </c>
      <c r="B2802">
        <v>39</v>
      </c>
      <c r="C2802">
        <v>44.23</v>
      </c>
      <c r="D2802">
        <v>5</v>
      </c>
      <c r="E2802">
        <v>1724.97</v>
      </c>
      <c r="F2802" s="1">
        <v>37841</v>
      </c>
      <c r="G2802" t="s">
        <v>39</v>
      </c>
      <c r="H2802">
        <v>3</v>
      </c>
      <c r="I2802">
        <v>8</v>
      </c>
      <c r="J2802" t="str">
        <f>TEXT(DATE(2012,Table1[[#This Row],[MONTH_ID]],10),"mmm")</f>
        <v>Aug</v>
      </c>
      <c r="K2802">
        <v>2003</v>
      </c>
      <c r="L2802" t="s">
        <v>612</v>
      </c>
      <c r="M2802">
        <v>54</v>
      </c>
      <c r="N2802" t="s">
        <v>688</v>
      </c>
      <c r="O2802" t="s">
        <v>286</v>
      </c>
      <c r="P2802">
        <v>4155551450</v>
      </c>
      <c r="Q2802" t="s">
        <v>287</v>
      </c>
      <c r="S2802" t="s">
        <v>288</v>
      </c>
      <c r="T2802" t="s">
        <v>69</v>
      </c>
      <c r="U2802">
        <v>97562</v>
      </c>
      <c r="V2802" t="s">
        <v>46</v>
      </c>
      <c r="W2802" t="s">
        <v>47</v>
      </c>
      <c r="X2802" t="s">
        <v>289</v>
      </c>
      <c r="Y2802" t="s">
        <v>290</v>
      </c>
      <c r="Z2802" t="s">
        <v>50</v>
      </c>
    </row>
    <row r="2803" spans="1:26" x14ac:dyDescent="0.3">
      <c r="A2803">
        <v>10153</v>
      </c>
      <c r="B2803">
        <v>50</v>
      </c>
      <c r="C2803">
        <v>60.06</v>
      </c>
      <c r="D2803">
        <v>4</v>
      </c>
      <c r="E2803">
        <v>3003</v>
      </c>
      <c r="F2803" s="1">
        <v>37892</v>
      </c>
      <c r="G2803" t="s">
        <v>39</v>
      </c>
      <c r="H2803">
        <v>3</v>
      </c>
      <c r="I2803">
        <v>9</v>
      </c>
      <c r="J2803" t="str">
        <f>TEXT(DATE(2012,Table1[[#This Row],[MONTH_ID]],10),"mmm")</f>
        <v>Sep</v>
      </c>
      <c r="K2803">
        <v>2003</v>
      </c>
      <c r="L2803" t="s">
        <v>612</v>
      </c>
      <c r="M2803">
        <v>54</v>
      </c>
      <c r="N2803" t="s">
        <v>688</v>
      </c>
      <c r="O2803" t="s">
        <v>188</v>
      </c>
      <c r="P2803" t="s">
        <v>189</v>
      </c>
      <c r="Q2803" t="s">
        <v>190</v>
      </c>
      <c r="S2803" t="s">
        <v>191</v>
      </c>
      <c r="U2803">
        <v>28034</v>
      </c>
      <c r="V2803" t="s">
        <v>192</v>
      </c>
      <c r="W2803" t="s">
        <v>56</v>
      </c>
      <c r="X2803" t="s">
        <v>193</v>
      </c>
      <c r="Y2803" t="s">
        <v>194</v>
      </c>
      <c r="Z2803" t="s">
        <v>65</v>
      </c>
    </row>
    <row r="2804" spans="1:26" x14ac:dyDescent="0.3">
      <c r="A2804">
        <v>10167</v>
      </c>
      <c r="B2804">
        <v>38</v>
      </c>
      <c r="C2804">
        <v>48.59</v>
      </c>
      <c r="D2804">
        <v>15</v>
      </c>
      <c r="E2804">
        <v>1846.42</v>
      </c>
      <c r="F2804" s="1">
        <v>37917</v>
      </c>
      <c r="G2804" t="s">
        <v>353</v>
      </c>
      <c r="H2804">
        <v>4</v>
      </c>
      <c r="I2804">
        <v>10</v>
      </c>
      <c r="J2804" t="str">
        <f>TEXT(DATE(2012,Table1[[#This Row],[MONTH_ID]],10),"mmm")</f>
        <v>Oct</v>
      </c>
      <c r="K2804">
        <v>2003</v>
      </c>
      <c r="L2804" t="s">
        <v>612</v>
      </c>
      <c r="M2804">
        <v>54</v>
      </c>
      <c r="N2804" t="s">
        <v>688</v>
      </c>
      <c r="O2804" t="s">
        <v>275</v>
      </c>
      <c r="P2804" t="s">
        <v>276</v>
      </c>
      <c r="Q2804" t="s">
        <v>277</v>
      </c>
      <c r="S2804" t="s">
        <v>278</v>
      </c>
      <c r="U2804" t="s">
        <v>279</v>
      </c>
      <c r="V2804" t="s">
        <v>202</v>
      </c>
      <c r="W2804" t="s">
        <v>56</v>
      </c>
      <c r="X2804" t="s">
        <v>280</v>
      </c>
      <c r="Y2804" t="s">
        <v>220</v>
      </c>
      <c r="Z2804" t="s">
        <v>50</v>
      </c>
    </row>
    <row r="2805" spans="1:26" x14ac:dyDescent="0.3">
      <c r="A2805">
        <v>10177</v>
      </c>
      <c r="B2805">
        <v>40</v>
      </c>
      <c r="C2805">
        <v>50.23</v>
      </c>
      <c r="D2805">
        <v>6</v>
      </c>
      <c r="E2805">
        <v>2009.2</v>
      </c>
      <c r="F2805" s="1">
        <v>37932</v>
      </c>
      <c r="G2805" t="s">
        <v>39</v>
      </c>
      <c r="H2805">
        <v>4</v>
      </c>
      <c r="I2805">
        <v>11</v>
      </c>
      <c r="J2805" t="str">
        <f>TEXT(DATE(2012,Table1[[#This Row],[MONTH_ID]],10),"mmm")</f>
        <v>Nov</v>
      </c>
      <c r="K2805">
        <v>2003</v>
      </c>
      <c r="L2805" t="s">
        <v>612</v>
      </c>
      <c r="M2805">
        <v>54</v>
      </c>
      <c r="N2805" t="s">
        <v>688</v>
      </c>
      <c r="O2805" t="s">
        <v>501</v>
      </c>
      <c r="P2805" t="s">
        <v>502</v>
      </c>
      <c r="Q2805" t="s">
        <v>503</v>
      </c>
      <c r="S2805" t="s">
        <v>191</v>
      </c>
      <c r="U2805">
        <v>28023</v>
      </c>
      <c r="V2805" t="s">
        <v>192</v>
      </c>
      <c r="W2805" t="s">
        <v>56</v>
      </c>
      <c r="X2805" t="s">
        <v>504</v>
      </c>
      <c r="Y2805" t="s">
        <v>505</v>
      </c>
      <c r="Z2805" t="s">
        <v>50</v>
      </c>
    </row>
    <row r="2806" spans="1:26" x14ac:dyDescent="0.3">
      <c r="A2806">
        <v>10185</v>
      </c>
      <c r="B2806">
        <v>28</v>
      </c>
      <c r="C2806">
        <v>64.430000000000007</v>
      </c>
      <c r="D2806">
        <v>6</v>
      </c>
      <c r="E2806">
        <v>1804.04</v>
      </c>
      <c r="F2806" s="1">
        <v>37939</v>
      </c>
      <c r="G2806" t="s">
        <v>39</v>
      </c>
      <c r="H2806">
        <v>4</v>
      </c>
      <c r="I2806">
        <v>11</v>
      </c>
      <c r="J2806" t="str">
        <f>TEXT(DATE(2012,Table1[[#This Row],[MONTH_ID]],10),"mmm")</f>
        <v>Nov</v>
      </c>
      <c r="K2806">
        <v>2003</v>
      </c>
      <c r="L2806" t="s">
        <v>612</v>
      </c>
      <c r="M2806">
        <v>54</v>
      </c>
      <c r="N2806" t="s">
        <v>688</v>
      </c>
      <c r="O2806" t="s">
        <v>349</v>
      </c>
      <c r="P2806">
        <v>5085559555</v>
      </c>
      <c r="Q2806" t="s">
        <v>350</v>
      </c>
      <c r="S2806" t="s">
        <v>176</v>
      </c>
      <c r="T2806" t="s">
        <v>137</v>
      </c>
      <c r="U2806">
        <v>50553</v>
      </c>
      <c r="V2806" t="s">
        <v>46</v>
      </c>
      <c r="W2806" t="s">
        <v>47</v>
      </c>
      <c r="X2806" t="s">
        <v>351</v>
      </c>
      <c r="Y2806" t="s">
        <v>352</v>
      </c>
      <c r="Z2806" t="s">
        <v>50</v>
      </c>
    </row>
    <row r="2807" spans="1:26" x14ac:dyDescent="0.3">
      <c r="A2807">
        <v>10197</v>
      </c>
      <c r="B2807">
        <v>42</v>
      </c>
      <c r="C2807">
        <v>50.23</v>
      </c>
      <c r="D2807">
        <v>12</v>
      </c>
      <c r="E2807">
        <v>2109.66</v>
      </c>
      <c r="F2807" s="1">
        <v>37951</v>
      </c>
      <c r="G2807" t="s">
        <v>39</v>
      </c>
      <c r="H2807">
        <v>4</v>
      </c>
      <c r="I2807">
        <v>11</v>
      </c>
      <c r="J2807" t="str">
        <f>TEXT(DATE(2012,Table1[[#This Row],[MONTH_ID]],10),"mmm")</f>
        <v>Nov</v>
      </c>
      <c r="K2807">
        <v>2003</v>
      </c>
      <c r="L2807" t="s">
        <v>612</v>
      </c>
      <c r="M2807">
        <v>54</v>
      </c>
      <c r="N2807" t="s">
        <v>688</v>
      </c>
      <c r="O2807" t="s">
        <v>366</v>
      </c>
      <c r="P2807" t="s">
        <v>367</v>
      </c>
      <c r="Q2807" t="s">
        <v>368</v>
      </c>
      <c r="S2807" t="s">
        <v>369</v>
      </c>
      <c r="U2807">
        <v>8022</v>
      </c>
      <c r="V2807" t="s">
        <v>192</v>
      </c>
      <c r="W2807" t="s">
        <v>56</v>
      </c>
      <c r="X2807" t="s">
        <v>370</v>
      </c>
      <c r="Y2807" t="s">
        <v>371</v>
      </c>
      <c r="Z2807" t="s">
        <v>50</v>
      </c>
    </row>
    <row r="2808" spans="1:26" x14ac:dyDescent="0.3">
      <c r="A2808">
        <v>10208</v>
      </c>
      <c r="B2808">
        <v>42</v>
      </c>
      <c r="C2808">
        <v>63.88</v>
      </c>
      <c r="D2808">
        <v>6</v>
      </c>
      <c r="E2808">
        <v>2682.96</v>
      </c>
      <c r="F2808" s="1">
        <v>37988</v>
      </c>
      <c r="G2808" t="s">
        <v>39</v>
      </c>
      <c r="H2808">
        <v>1</v>
      </c>
      <c r="I2808">
        <v>1</v>
      </c>
      <c r="J2808" t="str">
        <f>TEXT(DATE(2012,Table1[[#This Row],[MONTH_ID]],10),"mmm")</f>
        <v>Jan</v>
      </c>
      <c r="K2808">
        <v>2004</v>
      </c>
      <c r="L2808" t="s">
        <v>612</v>
      </c>
      <c r="M2808">
        <v>54</v>
      </c>
      <c r="N2808" t="s">
        <v>688</v>
      </c>
      <c r="O2808" t="s">
        <v>233</v>
      </c>
      <c r="P2808" t="s">
        <v>234</v>
      </c>
      <c r="Q2808" t="s">
        <v>235</v>
      </c>
      <c r="S2808" t="s">
        <v>236</v>
      </c>
      <c r="U2808">
        <v>69004</v>
      </c>
      <c r="V2808" t="s">
        <v>55</v>
      </c>
      <c r="W2808" t="s">
        <v>56</v>
      </c>
      <c r="X2808" t="s">
        <v>237</v>
      </c>
      <c r="Y2808" t="s">
        <v>238</v>
      </c>
      <c r="Z2808" t="s">
        <v>50</v>
      </c>
    </row>
    <row r="2809" spans="1:26" x14ac:dyDescent="0.3">
      <c r="A2809">
        <v>10222</v>
      </c>
      <c r="B2809">
        <v>36</v>
      </c>
      <c r="C2809">
        <v>63.34</v>
      </c>
      <c r="D2809">
        <v>18</v>
      </c>
      <c r="E2809">
        <v>2280.2399999999998</v>
      </c>
      <c r="F2809" s="1">
        <v>38036</v>
      </c>
      <c r="G2809" t="s">
        <v>39</v>
      </c>
      <c r="H2809">
        <v>1</v>
      </c>
      <c r="I2809">
        <v>2</v>
      </c>
      <c r="J2809" t="str">
        <f>TEXT(DATE(2012,Table1[[#This Row],[MONTH_ID]],10),"mmm")</f>
        <v>Feb</v>
      </c>
      <c r="K2809">
        <v>2004</v>
      </c>
      <c r="L2809" t="s">
        <v>612</v>
      </c>
      <c r="M2809">
        <v>54</v>
      </c>
      <c r="N2809" t="s">
        <v>688</v>
      </c>
      <c r="O2809" t="s">
        <v>376</v>
      </c>
      <c r="P2809">
        <v>7605558146</v>
      </c>
      <c r="Q2809" t="s">
        <v>377</v>
      </c>
      <c r="S2809" t="s">
        <v>378</v>
      </c>
      <c r="T2809" t="s">
        <v>69</v>
      </c>
      <c r="U2809">
        <v>91217</v>
      </c>
      <c r="V2809" t="s">
        <v>46</v>
      </c>
      <c r="W2809" t="s">
        <v>47</v>
      </c>
      <c r="X2809" t="s">
        <v>251</v>
      </c>
      <c r="Y2809" t="s">
        <v>290</v>
      </c>
      <c r="Z2809" t="s">
        <v>50</v>
      </c>
    </row>
    <row r="2810" spans="1:26" x14ac:dyDescent="0.3">
      <c r="A2810">
        <v>10232</v>
      </c>
      <c r="B2810">
        <v>24</v>
      </c>
      <c r="C2810">
        <v>49.69</v>
      </c>
      <c r="D2810">
        <v>3</v>
      </c>
      <c r="E2810">
        <v>1192.56</v>
      </c>
      <c r="F2810" s="1">
        <v>38066</v>
      </c>
      <c r="G2810" t="s">
        <v>39</v>
      </c>
      <c r="H2810">
        <v>1</v>
      </c>
      <c r="I2810">
        <v>3</v>
      </c>
      <c r="J2810" t="str">
        <f>TEXT(DATE(2012,Table1[[#This Row],[MONTH_ID]],10),"mmm")</f>
        <v>Mar</v>
      </c>
      <c r="K2810">
        <v>2004</v>
      </c>
      <c r="L2810" t="s">
        <v>612</v>
      </c>
      <c r="M2810">
        <v>54</v>
      </c>
      <c r="N2810" t="s">
        <v>688</v>
      </c>
      <c r="O2810" t="s">
        <v>397</v>
      </c>
      <c r="P2810" t="s">
        <v>398</v>
      </c>
      <c r="Q2810" t="s">
        <v>399</v>
      </c>
      <c r="S2810" t="s">
        <v>400</v>
      </c>
      <c r="T2810" t="s">
        <v>401</v>
      </c>
      <c r="U2810" t="s">
        <v>402</v>
      </c>
      <c r="V2810" t="s">
        <v>184</v>
      </c>
      <c r="W2810" t="s">
        <v>56</v>
      </c>
      <c r="X2810" t="s">
        <v>403</v>
      </c>
      <c r="Y2810" t="s">
        <v>404</v>
      </c>
      <c r="Z2810" t="s">
        <v>50</v>
      </c>
    </row>
    <row r="2811" spans="1:26" x14ac:dyDescent="0.3">
      <c r="A2811">
        <v>10248</v>
      </c>
      <c r="B2811">
        <v>23</v>
      </c>
      <c r="C2811">
        <v>65.52</v>
      </c>
      <c r="D2811">
        <v>9</v>
      </c>
      <c r="E2811">
        <v>1506.96</v>
      </c>
      <c r="F2811" s="1">
        <v>38114</v>
      </c>
      <c r="G2811" t="s">
        <v>353</v>
      </c>
      <c r="H2811">
        <v>2</v>
      </c>
      <c r="I2811">
        <v>5</v>
      </c>
      <c r="J2811" t="str">
        <f>TEXT(DATE(2012,Table1[[#This Row],[MONTH_ID]],10),"mmm")</f>
        <v>May</v>
      </c>
      <c r="K2811">
        <v>2004</v>
      </c>
      <c r="L2811" t="s">
        <v>612</v>
      </c>
      <c r="M2811">
        <v>54</v>
      </c>
      <c r="N2811" t="s">
        <v>688</v>
      </c>
      <c r="O2811" t="s">
        <v>42</v>
      </c>
      <c r="P2811">
        <v>2125557818</v>
      </c>
      <c r="Q2811" t="s">
        <v>43</v>
      </c>
      <c r="S2811" t="s">
        <v>44</v>
      </c>
      <c r="T2811" t="s">
        <v>45</v>
      </c>
      <c r="U2811">
        <v>10022</v>
      </c>
      <c r="V2811" t="s">
        <v>46</v>
      </c>
      <c r="W2811" t="s">
        <v>47</v>
      </c>
      <c r="X2811" t="s">
        <v>48</v>
      </c>
      <c r="Y2811" t="s">
        <v>49</v>
      </c>
      <c r="Z2811" t="s">
        <v>50</v>
      </c>
    </row>
    <row r="2812" spans="1:26" x14ac:dyDescent="0.3">
      <c r="A2812">
        <v>10261</v>
      </c>
      <c r="B2812">
        <v>29</v>
      </c>
      <c r="C2812">
        <v>50.78</v>
      </c>
      <c r="D2812">
        <v>7</v>
      </c>
      <c r="E2812">
        <v>1472.62</v>
      </c>
      <c r="F2812" s="1">
        <v>38155</v>
      </c>
      <c r="G2812" t="s">
        <v>39</v>
      </c>
      <c r="H2812">
        <v>2</v>
      </c>
      <c r="I2812">
        <v>6</v>
      </c>
      <c r="J2812" t="str">
        <f>TEXT(DATE(2012,Table1[[#This Row],[MONTH_ID]],10),"mmm")</f>
        <v>Jun</v>
      </c>
      <c r="K2812">
        <v>2004</v>
      </c>
      <c r="L2812" t="s">
        <v>612</v>
      </c>
      <c r="M2812">
        <v>54</v>
      </c>
      <c r="N2812" t="s">
        <v>688</v>
      </c>
      <c r="O2812" t="s">
        <v>306</v>
      </c>
      <c r="P2812" t="s">
        <v>307</v>
      </c>
      <c r="Q2812" t="s">
        <v>308</v>
      </c>
      <c r="S2812" t="s">
        <v>309</v>
      </c>
      <c r="T2812" t="s">
        <v>310</v>
      </c>
      <c r="U2812" t="s">
        <v>311</v>
      </c>
      <c r="V2812" t="s">
        <v>245</v>
      </c>
      <c r="W2812" t="s">
        <v>47</v>
      </c>
      <c r="X2812" t="s">
        <v>312</v>
      </c>
      <c r="Y2812" t="s">
        <v>313</v>
      </c>
      <c r="Z2812" t="s">
        <v>50</v>
      </c>
    </row>
    <row r="2813" spans="1:26" x14ac:dyDescent="0.3">
      <c r="A2813">
        <v>10273</v>
      </c>
      <c r="B2813">
        <v>37</v>
      </c>
      <c r="C2813">
        <v>45.86</v>
      </c>
      <c r="D2813">
        <v>10</v>
      </c>
      <c r="E2813">
        <v>1696.82</v>
      </c>
      <c r="F2813" s="1">
        <v>38189</v>
      </c>
      <c r="G2813" t="s">
        <v>39</v>
      </c>
      <c r="H2813">
        <v>3</v>
      </c>
      <c r="I2813">
        <v>7</v>
      </c>
      <c r="J2813" t="str">
        <f>TEXT(DATE(2012,Table1[[#This Row],[MONTH_ID]],10),"mmm")</f>
        <v>Jul</v>
      </c>
      <c r="K2813">
        <v>2004</v>
      </c>
      <c r="L2813" t="s">
        <v>612</v>
      </c>
      <c r="M2813">
        <v>54</v>
      </c>
      <c r="N2813" t="s">
        <v>688</v>
      </c>
      <c r="O2813" t="s">
        <v>379</v>
      </c>
      <c r="P2813" t="s">
        <v>380</v>
      </c>
      <c r="Q2813" t="s">
        <v>381</v>
      </c>
      <c r="S2813" t="s">
        <v>382</v>
      </c>
      <c r="U2813" t="s">
        <v>383</v>
      </c>
      <c r="V2813" t="s">
        <v>384</v>
      </c>
      <c r="W2813" t="s">
        <v>56</v>
      </c>
      <c r="X2813" t="s">
        <v>385</v>
      </c>
      <c r="Y2813" t="s">
        <v>386</v>
      </c>
      <c r="Z2813" t="s">
        <v>50</v>
      </c>
    </row>
    <row r="2814" spans="1:26" x14ac:dyDescent="0.3">
      <c r="A2814">
        <v>10283</v>
      </c>
      <c r="B2814">
        <v>33</v>
      </c>
      <c r="C2814">
        <v>51.32</v>
      </c>
      <c r="D2814">
        <v>12</v>
      </c>
      <c r="E2814">
        <v>1693.56</v>
      </c>
      <c r="F2814" s="1">
        <v>38219</v>
      </c>
      <c r="G2814" t="s">
        <v>39</v>
      </c>
      <c r="H2814">
        <v>3</v>
      </c>
      <c r="I2814">
        <v>8</v>
      </c>
      <c r="J2814" t="str">
        <f>TEXT(DATE(2012,Table1[[#This Row],[MONTH_ID]],10),"mmm")</f>
        <v>Aug</v>
      </c>
      <c r="K2814">
        <v>2004</v>
      </c>
      <c r="L2814" t="s">
        <v>612</v>
      </c>
      <c r="M2814">
        <v>54</v>
      </c>
      <c r="N2814" t="s">
        <v>688</v>
      </c>
      <c r="O2814" t="s">
        <v>387</v>
      </c>
      <c r="P2814" t="s">
        <v>388</v>
      </c>
      <c r="Q2814" t="s">
        <v>389</v>
      </c>
      <c r="S2814" t="s">
        <v>390</v>
      </c>
      <c r="T2814" t="s">
        <v>243</v>
      </c>
      <c r="U2814" t="s">
        <v>391</v>
      </c>
      <c r="V2814" t="s">
        <v>245</v>
      </c>
      <c r="W2814" t="s">
        <v>47</v>
      </c>
      <c r="X2814" t="s">
        <v>392</v>
      </c>
      <c r="Y2814" t="s">
        <v>186</v>
      </c>
      <c r="Z2814" t="s">
        <v>50</v>
      </c>
    </row>
    <row r="2815" spans="1:26" x14ac:dyDescent="0.3">
      <c r="A2815">
        <v>10293</v>
      </c>
      <c r="B2815">
        <v>32</v>
      </c>
      <c r="C2815">
        <v>60.06</v>
      </c>
      <c r="D2815">
        <v>1</v>
      </c>
      <c r="E2815">
        <v>1921.92</v>
      </c>
      <c r="F2815" s="1">
        <v>38239</v>
      </c>
      <c r="G2815" t="s">
        <v>39</v>
      </c>
      <c r="H2815">
        <v>3</v>
      </c>
      <c r="I2815">
        <v>9</v>
      </c>
      <c r="J2815" t="str">
        <f>TEXT(DATE(2012,Table1[[#This Row],[MONTH_ID]],10),"mmm")</f>
        <v>Sep</v>
      </c>
      <c r="K2815">
        <v>2004</v>
      </c>
      <c r="L2815" t="s">
        <v>612</v>
      </c>
      <c r="M2815">
        <v>54</v>
      </c>
      <c r="N2815" t="s">
        <v>688</v>
      </c>
      <c r="O2815" t="s">
        <v>268</v>
      </c>
      <c r="P2815" t="s">
        <v>269</v>
      </c>
      <c r="Q2815" t="s">
        <v>270</v>
      </c>
      <c r="S2815" t="s">
        <v>271</v>
      </c>
      <c r="U2815">
        <v>10100</v>
      </c>
      <c r="V2815" t="s">
        <v>272</v>
      </c>
      <c r="W2815" t="s">
        <v>56</v>
      </c>
      <c r="X2815" t="s">
        <v>273</v>
      </c>
      <c r="Y2815" t="s">
        <v>274</v>
      </c>
      <c r="Z2815" t="s">
        <v>50</v>
      </c>
    </row>
    <row r="2816" spans="1:26" x14ac:dyDescent="0.3">
      <c r="A2816">
        <v>10306</v>
      </c>
      <c r="B2816">
        <v>35</v>
      </c>
      <c r="C2816">
        <v>59.51</v>
      </c>
      <c r="D2816">
        <v>6</v>
      </c>
      <c r="E2816">
        <v>2082.85</v>
      </c>
      <c r="F2816" s="1">
        <v>38274</v>
      </c>
      <c r="G2816" t="s">
        <v>39</v>
      </c>
      <c r="H2816">
        <v>4</v>
      </c>
      <c r="I2816">
        <v>10</v>
      </c>
      <c r="J2816" t="str">
        <f>TEXT(DATE(2012,Table1[[#This Row],[MONTH_ID]],10),"mmm")</f>
        <v>Oct</v>
      </c>
      <c r="K2816">
        <v>2004</v>
      </c>
      <c r="L2816" t="s">
        <v>612</v>
      </c>
      <c r="M2816">
        <v>54</v>
      </c>
      <c r="N2816" t="s">
        <v>688</v>
      </c>
      <c r="O2816" t="s">
        <v>506</v>
      </c>
      <c r="P2816" t="s">
        <v>507</v>
      </c>
      <c r="Q2816" t="s">
        <v>508</v>
      </c>
      <c r="S2816" t="s">
        <v>509</v>
      </c>
      <c r="U2816" t="s">
        <v>510</v>
      </c>
      <c r="V2816" t="s">
        <v>184</v>
      </c>
      <c r="W2816" t="s">
        <v>56</v>
      </c>
      <c r="X2816" t="s">
        <v>511</v>
      </c>
      <c r="Y2816" t="s">
        <v>108</v>
      </c>
      <c r="Z2816" t="s">
        <v>50</v>
      </c>
    </row>
    <row r="2817" spans="1:26" x14ac:dyDescent="0.3">
      <c r="A2817">
        <v>10315</v>
      </c>
      <c r="B2817">
        <v>40</v>
      </c>
      <c r="C2817">
        <v>55.69</v>
      </c>
      <c r="D2817">
        <v>5</v>
      </c>
      <c r="E2817">
        <v>2227.6</v>
      </c>
      <c r="F2817" s="1">
        <v>38289</v>
      </c>
      <c r="G2817" t="s">
        <v>39</v>
      </c>
      <c r="H2817">
        <v>4</v>
      </c>
      <c r="I2817">
        <v>10</v>
      </c>
      <c r="J2817" t="str">
        <f>TEXT(DATE(2012,Table1[[#This Row],[MONTH_ID]],10),"mmm")</f>
        <v>Oct</v>
      </c>
      <c r="K2817">
        <v>2004</v>
      </c>
      <c r="L2817" t="s">
        <v>612</v>
      </c>
      <c r="M2817">
        <v>54</v>
      </c>
      <c r="N2817" t="s">
        <v>688</v>
      </c>
      <c r="O2817" t="s">
        <v>128</v>
      </c>
      <c r="P2817" t="s">
        <v>129</v>
      </c>
      <c r="Q2817" t="s">
        <v>130</v>
      </c>
      <c r="S2817" t="s">
        <v>131</v>
      </c>
      <c r="U2817">
        <v>44000</v>
      </c>
      <c r="V2817" t="s">
        <v>55</v>
      </c>
      <c r="W2817" t="s">
        <v>56</v>
      </c>
      <c r="X2817" t="s">
        <v>132</v>
      </c>
      <c r="Y2817" t="s">
        <v>133</v>
      </c>
      <c r="Z2817" t="s">
        <v>50</v>
      </c>
    </row>
    <row r="2818" spans="1:26" x14ac:dyDescent="0.3">
      <c r="A2818">
        <v>10327</v>
      </c>
      <c r="B2818">
        <v>37</v>
      </c>
      <c r="C2818">
        <v>86.74</v>
      </c>
      <c r="D2818">
        <v>4</v>
      </c>
      <c r="E2818">
        <v>3209.38</v>
      </c>
      <c r="F2818" s="1">
        <v>38301</v>
      </c>
      <c r="G2818" t="s">
        <v>422</v>
      </c>
      <c r="H2818">
        <v>4</v>
      </c>
      <c r="I2818">
        <v>11</v>
      </c>
      <c r="J2818" t="str">
        <f>TEXT(DATE(2012,Table1[[#This Row],[MONTH_ID]],10),"mmm")</f>
        <v>Nov</v>
      </c>
      <c r="K2818">
        <v>2004</v>
      </c>
      <c r="L2818" t="s">
        <v>612</v>
      </c>
      <c r="M2818">
        <v>54</v>
      </c>
      <c r="N2818" t="s">
        <v>688</v>
      </c>
      <c r="O2818" t="s">
        <v>336</v>
      </c>
      <c r="P2818" t="s">
        <v>337</v>
      </c>
      <c r="Q2818" t="s">
        <v>338</v>
      </c>
      <c r="S2818" t="s">
        <v>339</v>
      </c>
      <c r="U2818">
        <v>1734</v>
      </c>
      <c r="V2818" t="s">
        <v>340</v>
      </c>
      <c r="W2818" t="s">
        <v>56</v>
      </c>
      <c r="X2818" t="s">
        <v>341</v>
      </c>
      <c r="Y2818" t="s">
        <v>342</v>
      </c>
      <c r="Z2818" t="s">
        <v>65</v>
      </c>
    </row>
    <row r="2819" spans="1:26" x14ac:dyDescent="0.3">
      <c r="A2819">
        <v>10337</v>
      </c>
      <c r="B2819">
        <v>42</v>
      </c>
      <c r="C2819">
        <v>97.16</v>
      </c>
      <c r="D2819">
        <v>5</v>
      </c>
      <c r="E2819">
        <v>4080.72</v>
      </c>
      <c r="F2819" s="1">
        <v>38312</v>
      </c>
      <c r="G2819" t="s">
        <v>39</v>
      </c>
      <c r="H2819">
        <v>4</v>
      </c>
      <c r="I2819">
        <v>11</v>
      </c>
      <c r="J2819" t="str">
        <f>TEXT(DATE(2012,Table1[[#This Row],[MONTH_ID]],10),"mmm")</f>
        <v>Nov</v>
      </c>
      <c r="K2819">
        <v>2004</v>
      </c>
      <c r="L2819" t="s">
        <v>612</v>
      </c>
      <c r="M2819">
        <v>54</v>
      </c>
      <c r="N2819" t="s">
        <v>688</v>
      </c>
      <c r="O2819" t="s">
        <v>217</v>
      </c>
      <c r="P2819">
        <v>2125558493</v>
      </c>
      <c r="Q2819" t="s">
        <v>218</v>
      </c>
      <c r="R2819" t="s">
        <v>219</v>
      </c>
      <c r="S2819" t="s">
        <v>44</v>
      </c>
      <c r="T2819" t="s">
        <v>45</v>
      </c>
      <c r="U2819">
        <v>10022</v>
      </c>
      <c r="V2819" t="s">
        <v>46</v>
      </c>
      <c r="W2819" t="s">
        <v>47</v>
      </c>
      <c r="X2819" t="s">
        <v>138</v>
      </c>
      <c r="Y2819" t="s">
        <v>220</v>
      </c>
      <c r="Z2819" t="s">
        <v>65</v>
      </c>
    </row>
    <row r="2820" spans="1:26" x14ac:dyDescent="0.3">
      <c r="A2820">
        <v>10350</v>
      </c>
      <c r="B2820">
        <v>20</v>
      </c>
      <c r="C2820">
        <v>100</v>
      </c>
      <c r="D2820">
        <v>15</v>
      </c>
      <c r="E2820">
        <v>2244.4</v>
      </c>
      <c r="F2820" s="1">
        <v>38323</v>
      </c>
      <c r="G2820" t="s">
        <v>39</v>
      </c>
      <c r="H2820">
        <v>4</v>
      </c>
      <c r="I2820">
        <v>12</v>
      </c>
      <c r="J2820" t="str">
        <f>TEXT(DATE(2012,Table1[[#This Row],[MONTH_ID]],10),"mmm")</f>
        <v>Dec</v>
      </c>
      <c r="K2820">
        <v>2004</v>
      </c>
      <c r="L2820" t="s">
        <v>612</v>
      </c>
      <c r="M2820">
        <v>54</v>
      </c>
      <c r="N2820" t="s">
        <v>688</v>
      </c>
      <c r="O2820" t="s">
        <v>188</v>
      </c>
      <c r="P2820" t="s">
        <v>189</v>
      </c>
      <c r="Q2820" t="s">
        <v>190</v>
      </c>
      <c r="S2820" t="s">
        <v>191</v>
      </c>
      <c r="U2820">
        <v>28034</v>
      </c>
      <c r="V2820" t="s">
        <v>192</v>
      </c>
      <c r="W2820" t="s">
        <v>56</v>
      </c>
      <c r="X2820" t="s">
        <v>193</v>
      </c>
      <c r="Y2820" t="s">
        <v>194</v>
      </c>
      <c r="Z2820" t="s">
        <v>50</v>
      </c>
    </row>
    <row r="2821" spans="1:26" x14ac:dyDescent="0.3">
      <c r="A2821">
        <v>10373</v>
      </c>
      <c r="B2821">
        <v>29</v>
      </c>
      <c r="C2821">
        <v>100</v>
      </c>
      <c r="D2821">
        <v>1</v>
      </c>
      <c r="E2821">
        <v>3978.51</v>
      </c>
      <c r="F2821" s="1">
        <v>38383</v>
      </c>
      <c r="G2821" t="s">
        <v>39</v>
      </c>
      <c r="H2821">
        <v>1</v>
      </c>
      <c r="I2821">
        <v>1</v>
      </c>
      <c r="J2821" t="str">
        <f>TEXT(DATE(2012,Table1[[#This Row],[MONTH_ID]],10),"mmm")</f>
        <v>Jan</v>
      </c>
      <c r="K2821">
        <v>2005</v>
      </c>
      <c r="L2821" t="s">
        <v>612</v>
      </c>
      <c r="M2821">
        <v>54</v>
      </c>
      <c r="N2821" t="s">
        <v>688</v>
      </c>
      <c r="O2821" t="s">
        <v>405</v>
      </c>
      <c r="P2821" t="s">
        <v>406</v>
      </c>
      <c r="Q2821" t="s">
        <v>407</v>
      </c>
      <c r="S2821" t="s">
        <v>408</v>
      </c>
      <c r="U2821">
        <v>90110</v>
      </c>
      <c r="V2821" t="s">
        <v>144</v>
      </c>
      <c r="W2821" t="s">
        <v>56</v>
      </c>
      <c r="X2821" t="s">
        <v>409</v>
      </c>
      <c r="Y2821" t="s">
        <v>410</v>
      </c>
      <c r="Z2821" t="s">
        <v>65</v>
      </c>
    </row>
    <row r="2822" spans="1:26" x14ac:dyDescent="0.3">
      <c r="A2822">
        <v>10386</v>
      </c>
      <c r="B2822">
        <v>43</v>
      </c>
      <c r="C2822">
        <v>100</v>
      </c>
      <c r="D2822">
        <v>4</v>
      </c>
      <c r="E2822">
        <v>5417.57</v>
      </c>
      <c r="F2822" s="1">
        <v>38412</v>
      </c>
      <c r="G2822" t="s">
        <v>422</v>
      </c>
      <c r="H2822">
        <v>1</v>
      </c>
      <c r="I2822">
        <v>3</v>
      </c>
      <c r="J2822" t="str">
        <f>TEXT(DATE(2012,Table1[[#This Row],[MONTH_ID]],10),"mmm")</f>
        <v>Mar</v>
      </c>
      <c r="K2822">
        <v>2005</v>
      </c>
      <c r="L2822" t="s">
        <v>612</v>
      </c>
      <c r="M2822">
        <v>54</v>
      </c>
      <c r="N2822" t="s">
        <v>688</v>
      </c>
      <c r="O2822" t="s">
        <v>188</v>
      </c>
      <c r="P2822" t="s">
        <v>189</v>
      </c>
      <c r="Q2822" t="s">
        <v>190</v>
      </c>
      <c r="S2822" t="s">
        <v>191</v>
      </c>
      <c r="U2822">
        <v>28034</v>
      </c>
      <c r="V2822" t="s">
        <v>192</v>
      </c>
      <c r="W2822" t="s">
        <v>56</v>
      </c>
      <c r="X2822" t="s">
        <v>193</v>
      </c>
      <c r="Y2822" t="s">
        <v>194</v>
      </c>
      <c r="Z2822" t="s">
        <v>65</v>
      </c>
    </row>
    <row r="2823" spans="1:26" x14ac:dyDescent="0.3">
      <c r="A2823">
        <v>10397</v>
      </c>
      <c r="B2823">
        <v>34</v>
      </c>
      <c r="C2823">
        <v>62.24</v>
      </c>
      <c r="D2823">
        <v>1</v>
      </c>
      <c r="E2823">
        <v>2116.16</v>
      </c>
      <c r="F2823" s="1">
        <v>38439</v>
      </c>
      <c r="G2823" t="s">
        <v>39</v>
      </c>
      <c r="H2823">
        <v>1</v>
      </c>
      <c r="I2823">
        <v>3</v>
      </c>
      <c r="J2823" t="str">
        <f>TEXT(DATE(2012,Table1[[#This Row],[MONTH_ID]],10),"mmm")</f>
        <v>Mar</v>
      </c>
      <c r="K2823">
        <v>2005</v>
      </c>
      <c r="L2823" t="s">
        <v>612</v>
      </c>
      <c r="M2823">
        <v>54</v>
      </c>
      <c r="N2823" t="s">
        <v>688</v>
      </c>
      <c r="O2823" t="s">
        <v>354</v>
      </c>
      <c r="P2823" t="s">
        <v>355</v>
      </c>
      <c r="Q2823" t="s">
        <v>356</v>
      </c>
      <c r="S2823" t="s">
        <v>357</v>
      </c>
      <c r="U2823">
        <v>31000</v>
      </c>
      <c r="V2823" t="s">
        <v>55</v>
      </c>
      <c r="W2823" t="s">
        <v>56</v>
      </c>
      <c r="X2823" t="s">
        <v>358</v>
      </c>
      <c r="Y2823" t="s">
        <v>359</v>
      </c>
      <c r="Z2823" t="s">
        <v>50</v>
      </c>
    </row>
    <row r="2824" spans="1:26" x14ac:dyDescent="0.3">
      <c r="A2824">
        <v>10414</v>
      </c>
      <c r="B2824">
        <v>47</v>
      </c>
      <c r="C2824">
        <v>65.52</v>
      </c>
      <c r="D2824">
        <v>9</v>
      </c>
      <c r="E2824">
        <v>3079.44</v>
      </c>
      <c r="F2824" s="1">
        <v>38478</v>
      </c>
      <c r="G2824" t="s">
        <v>415</v>
      </c>
      <c r="H2824">
        <v>2</v>
      </c>
      <c r="I2824">
        <v>5</v>
      </c>
      <c r="J2824" t="str">
        <f>TEXT(DATE(2012,Table1[[#This Row],[MONTH_ID]],10),"mmm")</f>
        <v>May</v>
      </c>
      <c r="K2824">
        <v>2005</v>
      </c>
      <c r="L2824" t="s">
        <v>612</v>
      </c>
      <c r="M2824">
        <v>54</v>
      </c>
      <c r="N2824" t="s">
        <v>688</v>
      </c>
      <c r="O2824" t="s">
        <v>393</v>
      </c>
      <c r="P2824">
        <v>6175559555</v>
      </c>
      <c r="Q2824" t="s">
        <v>394</v>
      </c>
      <c r="S2824" t="s">
        <v>395</v>
      </c>
      <c r="T2824" t="s">
        <v>137</v>
      </c>
      <c r="U2824">
        <v>51003</v>
      </c>
      <c r="V2824" t="s">
        <v>46</v>
      </c>
      <c r="W2824" t="s">
        <v>47</v>
      </c>
      <c r="X2824" t="s">
        <v>396</v>
      </c>
      <c r="Y2824" t="s">
        <v>80</v>
      </c>
      <c r="Z2824" t="s">
        <v>65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01F18-615B-434A-81F1-81649F7F06E7}">
  <dimension ref="A1"/>
  <sheetViews>
    <sheetView showGridLines="0" showRowColHeaders="0" tabSelected="1" topLeftCell="M1" zoomScale="76" workbookViewId="0">
      <selection activeCell="Z52" sqref="Z52"/>
    </sheetView>
  </sheetViews>
  <sheetFormatPr defaultRowHeight="14.4" x14ac:dyDescent="0.3"/>
  <sheetData/>
  <pageMargins left="0.7" right="0.7" top="0.75" bottom="0.75" header="0.3" footer="0.3"/>
  <pageSetup orientation="portrait" r:id="rId1"/>
  <drawing r:id="rId2"/>
  <legacyDrawing r:id="rId3"/>
  <picture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E6B8F-0BFB-42E5-A3AC-304FF7FD2A2A}">
  <dimension ref="A1:V40"/>
  <sheetViews>
    <sheetView topLeftCell="P1" zoomScale="92" workbookViewId="0">
      <selection activeCell="AB10" sqref="AB10"/>
    </sheetView>
  </sheetViews>
  <sheetFormatPr defaultRowHeight="14.4" x14ac:dyDescent="0.3"/>
  <cols>
    <col min="1" max="1" width="12.5546875" bestFit="1" customWidth="1"/>
    <col min="2" max="2" width="15.77734375" bestFit="1" customWidth="1"/>
    <col min="3" max="3" width="11.5546875" bestFit="1" customWidth="1"/>
    <col min="4" max="5" width="10.109375" bestFit="1" customWidth="1"/>
    <col min="6" max="6" width="9" bestFit="1" customWidth="1"/>
    <col min="7" max="7" width="15.77734375" bestFit="1" customWidth="1"/>
    <col min="8" max="8" width="11.6640625" bestFit="1" customWidth="1"/>
    <col min="9" max="9" width="12" bestFit="1" customWidth="1"/>
    <col min="20" max="20" width="15.5546875" bestFit="1" customWidth="1"/>
    <col min="21" max="21" width="12.5546875" bestFit="1" customWidth="1"/>
  </cols>
  <sheetData>
    <row r="1" spans="1:22" x14ac:dyDescent="0.3">
      <c r="V1" t="s">
        <v>716</v>
      </c>
    </row>
    <row r="2" spans="1:22" x14ac:dyDescent="0.3">
      <c r="A2" s="5" t="s">
        <v>689</v>
      </c>
      <c r="B2" s="5" t="s">
        <v>696</v>
      </c>
      <c r="T2" s="5" t="s">
        <v>698</v>
      </c>
      <c r="U2" t="s">
        <v>689</v>
      </c>
    </row>
    <row r="3" spans="1:22" x14ac:dyDescent="0.3">
      <c r="A3" s="5" t="s">
        <v>690</v>
      </c>
      <c r="B3" t="s">
        <v>195</v>
      </c>
      <c r="C3" t="s">
        <v>40</v>
      </c>
      <c r="D3" t="s">
        <v>580</v>
      </c>
      <c r="E3" t="s">
        <v>612</v>
      </c>
      <c r="F3" t="s">
        <v>619</v>
      </c>
      <c r="G3" t="s">
        <v>518</v>
      </c>
      <c r="H3" t="s">
        <v>564</v>
      </c>
      <c r="T3" s="6" t="s">
        <v>195</v>
      </c>
      <c r="U3" s="15">
        <v>0.39068679990090516</v>
      </c>
    </row>
    <row r="4" spans="1:22" x14ac:dyDescent="0.3">
      <c r="A4" s="6" t="s">
        <v>563</v>
      </c>
      <c r="B4" s="13">
        <v>303070.55999999994</v>
      </c>
      <c r="C4" s="13">
        <v>81113.88</v>
      </c>
      <c r="D4" s="13">
        <v>46715.810000000005</v>
      </c>
      <c r="E4" s="13">
        <v>61287.399999999994</v>
      </c>
      <c r="F4" s="13">
        <v>19026.580000000002</v>
      </c>
      <c r="G4" s="13">
        <v>78530.63</v>
      </c>
      <c r="H4" s="13">
        <v>196129.57999999996</v>
      </c>
      <c r="T4" s="6" t="s">
        <v>40</v>
      </c>
      <c r="U4" s="15">
        <v>0.11625949264534</v>
      </c>
    </row>
    <row r="5" spans="1:22" x14ac:dyDescent="0.3">
      <c r="A5" s="6" t="s">
        <v>700</v>
      </c>
      <c r="B5" s="13">
        <v>299647.79999999993</v>
      </c>
      <c r="C5" s="13">
        <v>122801.68000000001</v>
      </c>
      <c r="D5" s="13">
        <v>107905.65000000001</v>
      </c>
      <c r="E5" s="13">
        <v>68247.960000000006</v>
      </c>
      <c r="F5" s="13">
        <v>16507.949999999997</v>
      </c>
      <c r="G5" s="13">
        <v>68211.070000000007</v>
      </c>
      <c r="H5" s="13">
        <v>127119.79000000004</v>
      </c>
      <c r="T5" s="6" t="s">
        <v>580</v>
      </c>
      <c r="U5" s="15">
        <v>9.7183259201301012E-2</v>
      </c>
    </row>
    <row r="6" spans="1:22" x14ac:dyDescent="0.3">
      <c r="A6" s="6" t="s">
        <v>701</v>
      </c>
      <c r="B6" s="13">
        <v>277560.53999999992</v>
      </c>
      <c r="C6" s="13">
        <v>60469.979999999989</v>
      </c>
      <c r="D6" s="13">
        <v>79735.05</v>
      </c>
      <c r="E6" s="13">
        <v>74341.94</v>
      </c>
      <c r="F6" s="13">
        <v>22581.269999999997</v>
      </c>
      <c r="G6" s="13">
        <v>61877.340000000004</v>
      </c>
      <c r="H6" s="13">
        <v>177935.26999999996</v>
      </c>
      <c r="T6" s="6" t="s">
        <v>612</v>
      </c>
      <c r="U6" s="15">
        <v>7.1211358526434509E-2</v>
      </c>
    </row>
    <row r="7" spans="1:22" x14ac:dyDescent="0.3">
      <c r="A7" s="6" t="s">
        <v>702</v>
      </c>
      <c r="B7" s="13">
        <v>263252.00000000006</v>
      </c>
      <c r="C7" s="13">
        <v>119606.87999999998</v>
      </c>
      <c r="D7" s="13">
        <v>103359.76999999996</v>
      </c>
      <c r="E7" s="13">
        <v>33683.449999999997</v>
      </c>
      <c r="F7" s="13">
        <v>4756.47</v>
      </c>
      <c r="G7" s="13">
        <v>28790.76</v>
      </c>
      <c r="H7" s="13">
        <v>115941.63000000003</v>
      </c>
      <c r="T7" s="6" t="s">
        <v>619</v>
      </c>
      <c r="U7" s="15">
        <v>2.2550766442436476E-2</v>
      </c>
    </row>
    <row r="8" spans="1:22" x14ac:dyDescent="0.3">
      <c r="A8" s="6" t="s">
        <v>703</v>
      </c>
      <c r="B8" s="13">
        <v>365946.75000000006</v>
      </c>
      <c r="C8" s="13">
        <v>108335.96999999999</v>
      </c>
      <c r="D8" s="13">
        <v>74929.050000000017</v>
      </c>
      <c r="E8" s="13">
        <v>56156.3</v>
      </c>
      <c r="F8" s="13">
        <v>20457.34</v>
      </c>
      <c r="G8" s="13">
        <v>151270.15000000005</v>
      </c>
      <c r="H8" s="13">
        <v>146877</v>
      </c>
      <c r="T8" s="6" t="s">
        <v>518</v>
      </c>
      <c r="U8" s="15">
        <v>0.11241219593207617</v>
      </c>
    </row>
    <row r="9" spans="1:22" x14ac:dyDescent="0.3">
      <c r="A9" s="6" t="s">
        <v>704</v>
      </c>
      <c r="B9" s="13">
        <v>137419.98000000001</v>
      </c>
      <c r="C9" s="13">
        <v>49879.420000000006</v>
      </c>
      <c r="D9" s="13">
        <v>68765.929999999993</v>
      </c>
      <c r="E9" s="13">
        <v>53274.530000000013</v>
      </c>
      <c r="F9" s="13">
        <v>10071.060000000001</v>
      </c>
      <c r="G9" s="13">
        <v>60777.509999999995</v>
      </c>
      <c r="H9" s="13">
        <v>74568.349999999991</v>
      </c>
      <c r="T9" s="6" t="s">
        <v>564</v>
      </c>
      <c r="U9" s="15">
        <v>0.18969612735150668</v>
      </c>
    </row>
    <row r="10" spans="1:22" x14ac:dyDescent="0.3">
      <c r="A10" s="6" t="s">
        <v>705</v>
      </c>
      <c r="B10" s="13">
        <v>245292.94999999995</v>
      </c>
      <c r="C10" s="13">
        <v>60698.23</v>
      </c>
      <c r="D10" s="13">
        <v>40915.32</v>
      </c>
      <c r="E10" s="13">
        <v>22532.619999999995</v>
      </c>
      <c r="F10" s="13">
        <v>10802.2</v>
      </c>
      <c r="G10" s="13">
        <v>64270.07</v>
      </c>
      <c r="H10" s="13">
        <v>70364.58</v>
      </c>
      <c r="T10" s="6" t="s">
        <v>699</v>
      </c>
      <c r="U10" s="15">
        <v>1</v>
      </c>
    </row>
    <row r="11" spans="1:22" x14ac:dyDescent="0.3">
      <c r="A11" s="6" t="s">
        <v>706</v>
      </c>
      <c r="B11" s="13">
        <v>265302.43000000005</v>
      </c>
      <c r="C11" s="13">
        <v>106869.83999999995</v>
      </c>
      <c r="D11" s="13">
        <v>67352.009999999995</v>
      </c>
      <c r="E11" s="13">
        <v>52250.37</v>
      </c>
      <c r="F11" s="13">
        <v>16168.12</v>
      </c>
      <c r="G11" s="13">
        <v>49943.29</v>
      </c>
      <c r="H11" s="13">
        <v>101424.51000000002</v>
      </c>
    </row>
    <row r="12" spans="1:22" x14ac:dyDescent="0.3">
      <c r="A12" s="6" t="s">
        <v>707</v>
      </c>
      <c r="B12" s="13">
        <v>234673.08000000005</v>
      </c>
      <c r="C12" s="13">
        <v>45626.62999999999</v>
      </c>
      <c r="D12" s="13">
        <v>34785.619999999995</v>
      </c>
      <c r="E12" s="13">
        <v>45715.229999999996</v>
      </c>
      <c r="F12" s="13">
        <v>12479.84</v>
      </c>
      <c r="G12" s="13">
        <v>85297.650000000023</v>
      </c>
      <c r="H12" s="13">
        <v>126146.21999999999</v>
      </c>
    </row>
    <row r="13" spans="1:22" x14ac:dyDescent="0.3">
      <c r="A13" s="6" t="s">
        <v>708</v>
      </c>
      <c r="B13" s="13">
        <v>465002.24000000005</v>
      </c>
      <c r="C13" s="13">
        <v>103649.60999999997</v>
      </c>
      <c r="D13" s="13">
        <v>106777.64999999998</v>
      </c>
      <c r="E13" s="13">
        <v>79791.740000000005</v>
      </c>
      <c r="F13" s="13">
        <v>25416.870000000003</v>
      </c>
      <c r="G13" s="13">
        <v>123813.57</v>
      </c>
      <c r="H13" s="13">
        <v>216763.5400000001</v>
      </c>
    </row>
    <row r="14" spans="1:22" x14ac:dyDescent="0.3">
      <c r="A14" s="6" t="s">
        <v>709</v>
      </c>
      <c r="B14" s="13">
        <v>825156.25999999966</v>
      </c>
      <c r="C14" s="13">
        <v>261057.35999999996</v>
      </c>
      <c r="D14" s="13">
        <v>175263.96999999994</v>
      </c>
      <c r="E14" s="13">
        <v>143075.65000000002</v>
      </c>
      <c r="F14" s="13">
        <v>44794.63</v>
      </c>
      <c r="G14" s="13">
        <v>250874.06</v>
      </c>
      <c r="H14" s="13">
        <v>418663.74000000017</v>
      </c>
    </row>
    <row r="15" spans="1:22" x14ac:dyDescent="0.3">
      <c r="A15" s="6" t="s">
        <v>710</v>
      </c>
      <c r="B15" s="13">
        <v>237291.07000000004</v>
      </c>
      <c r="C15" s="13">
        <v>46278.86</v>
      </c>
      <c r="D15" s="13">
        <v>68497.739999999991</v>
      </c>
      <c r="E15" s="13">
        <v>24079.940000000002</v>
      </c>
      <c r="F15" s="13">
        <v>23181.14</v>
      </c>
      <c r="G15" s="13">
        <v>104133.73999999999</v>
      </c>
      <c r="H15" s="13">
        <v>131216.63</v>
      </c>
    </row>
    <row r="27" spans="1:2" x14ac:dyDescent="0.3">
      <c r="A27" s="5" t="s">
        <v>698</v>
      </c>
      <c r="B27" t="s">
        <v>689</v>
      </c>
    </row>
    <row r="28" spans="1:2" x14ac:dyDescent="0.3">
      <c r="A28" s="6" t="s">
        <v>563</v>
      </c>
      <c r="B28" s="7">
        <v>785874.44000000076</v>
      </c>
    </row>
    <row r="29" spans="1:2" x14ac:dyDescent="0.3">
      <c r="A29" s="6" t="s">
        <v>700</v>
      </c>
      <c r="B29" s="7">
        <v>810441.9</v>
      </c>
    </row>
    <row r="30" spans="1:2" x14ac:dyDescent="0.3">
      <c r="A30" s="6" t="s">
        <v>701</v>
      </c>
      <c r="B30" s="7">
        <v>754501.39000000013</v>
      </c>
    </row>
    <row r="31" spans="1:2" x14ac:dyDescent="0.3">
      <c r="A31" s="6" t="s">
        <v>702</v>
      </c>
      <c r="B31" s="7">
        <v>669390.96000000031</v>
      </c>
    </row>
    <row r="32" spans="1:2" x14ac:dyDescent="0.3">
      <c r="A32" s="6" t="s">
        <v>703</v>
      </c>
      <c r="B32" s="7">
        <v>923972.56</v>
      </c>
    </row>
    <row r="33" spans="1:2" x14ac:dyDescent="0.3">
      <c r="A33" s="6" t="s">
        <v>704</v>
      </c>
      <c r="B33" s="7">
        <v>454756.77999999985</v>
      </c>
    </row>
    <row r="34" spans="1:2" x14ac:dyDescent="0.3">
      <c r="A34" s="6" t="s">
        <v>705</v>
      </c>
      <c r="B34" s="7">
        <v>514875.97000000009</v>
      </c>
    </row>
    <row r="35" spans="1:2" x14ac:dyDescent="0.3">
      <c r="A35" s="6" t="s">
        <v>706</v>
      </c>
      <c r="B35" s="7">
        <v>659310.56999999983</v>
      </c>
    </row>
    <row r="36" spans="1:2" x14ac:dyDescent="0.3">
      <c r="A36" s="6" t="s">
        <v>707</v>
      </c>
      <c r="B36" s="7">
        <v>584724.2699999999</v>
      </c>
    </row>
    <row r="37" spans="1:2" x14ac:dyDescent="0.3">
      <c r="A37" s="6" t="s">
        <v>708</v>
      </c>
      <c r="B37" s="7">
        <v>1121215.2199999997</v>
      </c>
    </row>
    <row r="38" spans="1:2" x14ac:dyDescent="0.3">
      <c r="A38" s="6" t="s">
        <v>709</v>
      </c>
      <c r="B38" s="7">
        <v>2118885.67</v>
      </c>
    </row>
    <row r="39" spans="1:2" x14ac:dyDescent="0.3">
      <c r="A39" s="6" t="s">
        <v>710</v>
      </c>
      <c r="B39" s="7">
        <v>634679.11999999976</v>
      </c>
    </row>
    <row r="40" spans="1:2" x14ac:dyDescent="0.3">
      <c r="A40" s="6" t="s">
        <v>699</v>
      </c>
      <c r="B40" s="7">
        <v>10032628.85</v>
      </c>
    </row>
  </sheetData>
  <pageMargins left="0.7" right="0.7" top="0.75" bottom="0.75" header="0.3" footer="0.3"/>
  <pageSetup orientation="portrait" r:id="rId4"/>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6F676-2272-432B-9C5B-AF8C24091451}">
  <dimension ref="A1:Y24"/>
  <sheetViews>
    <sheetView topLeftCell="N1" zoomScale="82" zoomScaleNormal="100" workbookViewId="0">
      <selection activeCell="T17" sqref="T17"/>
    </sheetView>
  </sheetViews>
  <sheetFormatPr defaultRowHeight="14.4" x14ac:dyDescent="0.3"/>
  <cols>
    <col min="1" max="1" width="13" bestFit="1" customWidth="1"/>
    <col min="2" max="2" width="12.5546875" bestFit="1" customWidth="1"/>
    <col min="4" max="6" width="12.5546875" bestFit="1" customWidth="1"/>
    <col min="7" max="7" width="13" bestFit="1" customWidth="1"/>
    <col min="8" max="8" width="12.5546875" bestFit="1" customWidth="1"/>
    <col min="10" max="11" width="12.5546875" bestFit="1" customWidth="1"/>
    <col min="12" max="12" width="12.6640625" customWidth="1"/>
    <col min="13" max="13" width="13" bestFit="1" customWidth="1"/>
    <col min="14" max="14" width="12.5546875" bestFit="1" customWidth="1"/>
    <col min="16" max="17" width="12.5546875" bestFit="1" customWidth="1"/>
    <col min="18" max="18" width="18.5546875" customWidth="1"/>
    <col min="19" max="19" width="24.21875" bestFit="1" customWidth="1"/>
    <col min="20" max="20" width="12.5546875" bestFit="1" customWidth="1"/>
    <col min="21" max="21" width="24.5546875" bestFit="1" customWidth="1"/>
    <col min="23" max="23" width="22.88671875" bestFit="1" customWidth="1"/>
    <col min="24" max="24" width="24.5546875" bestFit="1" customWidth="1"/>
  </cols>
  <sheetData>
    <row r="1" spans="1:25" x14ac:dyDescent="0.3">
      <c r="D1" t="s">
        <v>712</v>
      </c>
      <c r="G1" t="s">
        <v>713</v>
      </c>
      <c r="M1" t="s">
        <v>714</v>
      </c>
      <c r="S1" t="s">
        <v>715</v>
      </c>
    </row>
    <row r="4" spans="1:25" x14ac:dyDescent="0.3">
      <c r="A4" s="5" t="s">
        <v>698</v>
      </c>
      <c r="B4" t="s">
        <v>711</v>
      </c>
      <c r="D4" s="5" t="s">
        <v>698</v>
      </c>
      <c r="E4" t="s">
        <v>689</v>
      </c>
      <c r="G4" s="5" t="s">
        <v>698</v>
      </c>
      <c r="H4" t="s">
        <v>689</v>
      </c>
      <c r="J4" s="5" t="s">
        <v>698</v>
      </c>
      <c r="K4" t="s">
        <v>689</v>
      </c>
      <c r="M4" s="5" t="s">
        <v>698</v>
      </c>
      <c r="N4" t="s">
        <v>689</v>
      </c>
      <c r="P4" s="5" t="s">
        <v>698</v>
      </c>
      <c r="Q4" t="s">
        <v>689</v>
      </c>
      <c r="S4" s="5" t="s">
        <v>698</v>
      </c>
      <c r="T4" t="s">
        <v>689</v>
      </c>
      <c r="U4" t="s">
        <v>711</v>
      </c>
      <c r="W4" s="5" t="s">
        <v>698</v>
      </c>
      <c r="X4" t="s">
        <v>711</v>
      </c>
    </row>
    <row r="5" spans="1:25" x14ac:dyDescent="0.3">
      <c r="A5" s="6" t="s">
        <v>618</v>
      </c>
      <c r="B5" s="7">
        <v>1774</v>
      </c>
      <c r="D5" s="6" t="s">
        <v>618</v>
      </c>
      <c r="E5" s="13">
        <v>288245.42000000004</v>
      </c>
      <c r="F5" s="13">
        <f>GETPIVOTDATA("SALES",$D$4,"PRODUCTCODE","S18_3232")</f>
        <v>288245.42000000004</v>
      </c>
      <c r="G5" s="6" t="s">
        <v>56</v>
      </c>
      <c r="H5" s="13">
        <v>4979272.4099999955</v>
      </c>
      <c r="J5" s="6" t="s">
        <v>56</v>
      </c>
      <c r="K5" s="13">
        <v>4979272.41</v>
      </c>
      <c r="L5" s="13">
        <f>GETPIVOTDATA("SALES",$J$4,"TERRITORY","EMEA")</f>
        <v>4979272.41</v>
      </c>
      <c r="M5" s="6" t="s">
        <v>46</v>
      </c>
      <c r="N5" s="13">
        <v>3627982.83</v>
      </c>
      <c r="P5" s="6" t="s">
        <v>46</v>
      </c>
      <c r="Q5" s="13">
        <v>3627982.830000001</v>
      </c>
      <c r="R5" s="13">
        <f>GETPIVOTDATA("SALES",$P$4,"COUNTRY","USA")</f>
        <v>3627982.830000001</v>
      </c>
      <c r="S5" s="6" t="s">
        <v>188</v>
      </c>
      <c r="T5" s="13">
        <v>912294.11000000022</v>
      </c>
      <c r="U5" s="13">
        <v>9327</v>
      </c>
      <c r="W5" s="6" t="s">
        <v>188</v>
      </c>
      <c r="X5" s="17">
        <v>9327</v>
      </c>
      <c r="Y5" s="18">
        <f>GETPIVOTDATA("QUANTITYORDERED",$W$4,"CUSTOMERNAME","Euro Shopping Channel")</f>
        <v>9327</v>
      </c>
    </row>
    <row r="6" spans="1:25" x14ac:dyDescent="0.3">
      <c r="D6" s="8" t="s">
        <v>563</v>
      </c>
      <c r="E6" s="13">
        <v>17922.059999999998</v>
      </c>
      <c r="J6" s="8" t="s">
        <v>563</v>
      </c>
      <c r="K6" s="13">
        <v>434478.17000000016</v>
      </c>
      <c r="P6" s="8" t="s">
        <v>563</v>
      </c>
      <c r="Q6" s="13">
        <v>232862.06999999998</v>
      </c>
      <c r="W6" s="8" t="s">
        <v>563</v>
      </c>
      <c r="X6" s="17">
        <v>1055</v>
      </c>
    </row>
    <row r="7" spans="1:25" x14ac:dyDescent="0.3">
      <c r="A7" t="s">
        <v>719</v>
      </c>
      <c r="D7" s="8" t="s">
        <v>700</v>
      </c>
      <c r="E7" s="13">
        <v>20541.439999999999</v>
      </c>
      <c r="J7" s="8" t="s">
        <v>700</v>
      </c>
      <c r="K7" s="13">
        <v>466432.91999999993</v>
      </c>
      <c r="P7" s="8" t="s">
        <v>700</v>
      </c>
      <c r="Q7" s="13">
        <v>248421.79</v>
      </c>
      <c r="W7" s="8" t="s">
        <v>700</v>
      </c>
      <c r="X7" s="17">
        <v>1390</v>
      </c>
    </row>
    <row r="8" spans="1:25" x14ac:dyDescent="0.3">
      <c r="A8" s="5" t="s">
        <v>698</v>
      </c>
      <c r="B8" t="s">
        <v>689</v>
      </c>
      <c r="C8" s="5"/>
      <c r="D8" s="19" t="s">
        <v>701</v>
      </c>
      <c r="E8" s="20">
        <v>15782.54</v>
      </c>
      <c r="F8" s="5"/>
      <c r="G8" s="5" t="s">
        <v>720</v>
      </c>
      <c r="H8" s="5"/>
      <c r="I8" s="5"/>
      <c r="J8" s="8" t="s">
        <v>701</v>
      </c>
      <c r="K8" s="13">
        <v>391114.23999999999</v>
      </c>
      <c r="M8" s="5" t="s">
        <v>698</v>
      </c>
      <c r="N8" t="s">
        <v>689</v>
      </c>
      <c r="P8" s="8" t="s">
        <v>701</v>
      </c>
      <c r="Q8" s="13">
        <v>268806.28000000003</v>
      </c>
      <c r="S8" t="s">
        <v>721</v>
      </c>
      <c r="W8" s="8" t="s">
        <v>701</v>
      </c>
      <c r="X8" s="17">
        <v>889</v>
      </c>
    </row>
    <row r="9" spans="1:25" x14ac:dyDescent="0.3">
      <c r="A9" s="6">
        <v>2003</v>
      </c>
      <c r="B9" s="13">
        <v>111945.98000000003</v>
      </c>
      <c r="D9" s="8" t="s">
        <v>702</v>
      </c>
      <c r="E9" s="13">
        <v>23581.86</v>
      </c>
      <c r="G9" s="5" t="s">
        <v>698</v>
      </c>
      <c r="H9" t="s">
        <v>689</v>
      </c>
      <c r="I9" s="5"/>
      <c r="J9" s="19" t="s">
        <v>702</v>
      </c>
      <c r="K9" s="20">
        <v>316151.6700000001</v>
      </c>
      <c r="L9" s="5"/>
      <c r="M9" s="6">
        <v>2003</v>
      </c>
      <c r="N9" s="13">
        <v>1305147.8799999997</v>
      </c>
      <c r="O9" s="5"/>
      <c r="P9" s="8" t="s">
        <v>702</v>
      </c>
      <c r="Q9" s="13">
        <v>207625.70000000004</v>
      </c>
      <c r="S9" s="5" t="s">
        <v>698</v>
      </c>
      <c r="T9" t="s">
        <v>689</v>
      </c>
      <c r="U9" t="s">
        <v>711</v>
      </c>
      <c r="W9" s="8" t="s">
        <v>702</v>
      </c>
      <c r="X9" s="17">
        <v>301</v>
      </c>
    </row>
    <row r="10" spans="1:25" x14ac:dyDescent="0.3">
      <c r="A10" s="8" t="s">
        <v>618</v>
      </c>
      <c r="B10" s="13">
        <v>111945.98000000003</v>
      </c>
      <c r="D10" s="8" t="s">
        <v>703</v>
      </c>
      <c r="E10" s="13">
        <v>32339.040000000001</v>
      </c>
      <c r="G10" s="6">
        <v>2003</v>
      </c>
      <c r="H10" s="7">
        <v>1660314.5299999998</v>
      </c>
      <c r="J10" s="8" t="s">
        <v>703</v>
      </c>
      <c r="K10" s="13">
        <v>521779.15999999992</v>
      </c>
      <c r="M10" s="8" t="s">
        <v>46</v>
      </c>
      <c r="N10" s="13">
        <v>1305147.8799999997</v>
      </c>
      <c r="P10" s="8" t="s">
        <v>703</v>
      </c>
      <c r="Q10" s="13">
        <v>300412.73</v>
      </c>
      <c r="S10" s="6">
        <v>2003</v>
      </c>
      <c r="T10" s="13">
        <v>210227.58000000005</v>
      </c>
      <c r="U10" s="13">
        <v>2153</v>
      </c>
      <c r="W10" s="8" t="s">
        <v>703</v>
      </c>
      <c r="X10" s="17">
        <v>1382</v>
      </c>
    </row>
    <row r="11" spans="1:25" x14ac:dyDescent="0.3">
      <c r="A11" s="6">
        <v>2004</v>
      </c>
      <c r="B11" s="13">
        <v>121105.26000000001</v>
      </c>
      <c r="D11" s="8" t="s">
        <v>704</v>
      </c>
      <c r="E11" s="13">
        <v>14268.53</v>
      </c>
      <c r="G11" s="8" t="s">
        <v>56</v>
      </c>
      <c r="H11" s="7">
        <v>1660314.5299999998</v>
      </c>
      <c r="J11" s="8" t="s">
        <v>704</v>
      </c>
      <c r="K11" s="13">
        <v>182577.36000000002</v>
      </c>
      <c r="M11" s="6">
        <v>2004</v>
      </c>
      <c r="N11" s="13">
        <v>1685470.689999999</v>
      </c>
      <c r="P11" s="8" t="s">
        <v>704</v>
      </c>
      <c r="Q11" s="13">
        <v>175897.42000000004</v>
      </c>
      <c r="S11" s="8" t="s">
        <v>188</v>
      </c>
      <c r="T11" s="13">
        <v>210227.58000000005</v>
      </c>
      <c r="U11" s="13">
        <v>2153</v>
      </c>
      <c r="W11" s="8" t="s">
        <v>704</v>
      </c>
      <c r="X11" s="17">
        <v>1048</v>
      </c>
    </row>
    <row r="12" spans="1:25" x14ac:dyDescent="0.3">
      <c r="A12" s="8" t="s">
        <v>618</v>
      </c>
      <c r="B12" s="13">
        <v>121105.26000000001</v>
      </c>
      <c r="D12" s="8" t="s">
        <v>705</v>
      </c>
      <c r="E12" s="13">
        <v>17072.760000000002</v>
      </c>
      <c r="G12" s="6">
        <v>2004</v>
      </c>
      <c r="H12" s="7">
        <v>2389128.8899999978</v>
      </c>
      <c r="J12" s="8" t="s">
        <v>705</v>
      </c>
      <c r="K12" s="13">
        <v>224900.58999999997</v>
      </c>
      <c r="M12" s="8" t="s">
        <v>46</v>
      </c>
      <c r="N12" s="13">
        <v>1685470.689999999</v>
      </c>
      <c r="P12" s="8" t="s">
        <v>705</v>
      </c>
      <c r="Q12" s="13">
        <v>207946.16000000006</v>
      </c>
      <c r="S12" s="6">
        <v>2004</v>
      </c>
      <c r="T12" s="13">
        <v>375268.36</v>
      </c>
      <c r="U12" s="13">
        <v>3912</v>
      </c>
      <c r="W12" s="8" t="s">
        <v>706</v>
      </c>
      <c r="X12" s="17">
        <v>236</v>
      </c>
    </row>
    <row r="13" spans="1:25" x14ac:dyDescent="0.3">
      <c r="A13" s="6">
        <v>2005</v>
      </c>
      <c r="B13" s="13">
        <v>55194.18</v>
      </c>
      <c r="D13" s="8" t="s">
        <v>706</v>
      </c>
      <c r="E13" s="13">
        <v>21281.49</v>
      </c>
      <c r="G13" s="8" t="s">
        <v>56</v>
      </c>
      <c r="H13" s="7">
        <v>2389128.8899999978</v>
      </c>
      <c r="J13" s="8" t="s">
        <v>706</v>
      </c>
      <c r="K13" s="13">
        <v>214871.24000000005</v>
      </c>
      <c r="M13" s="6">
        <v>2005</v>
      </c>
      <c r="N13" s="13">
        <v>637364.26000000013</v>
      </c>
      <c r="P13" s="8" t="s">
        <v>706</v>
      </c>
      <c r="Q13" s="13">
        <v>397979.10000000003</v>
      </c>
      <c r="S13" s="8" t="s">
        <v>188</v>
      </c>
      <c r="T13" s="13">
        <v>375268.36</v>
      </c>
      <c r="U13" s="13">
        <v>3912</v>
      </c>
      <c r="W13" s="8" t="s">
        <v>707</v>
      </c>
      <c r="X13" s="17">
        <v>458</v>
      </c>
    </row>
    <row r="14" spans="1:25" x14ac:dyDescent="0.3">
      <c r="A14" s="8" t="s">
        <v>618</v>
      </c>
      <c r="B14" s="13">
        <v>55194.18</v>
      </c>
      <c r="D14" s="8" t="s">
        <v>707</v>
      </c>
      <c r="E14" s="13">
        <v>11997.76</v>
      </c>
      <c r="G14" s="6">
        <v>2005</v>
      </c>
      <c r="H14" s="7">
        <v>929828.99000000034</v>
      </c>
      <c r="J14" s="8" t="s">
        <v>707</v>
      </c>
      <c r="K14" s="13">
        <v>295591.10999999993</v>
      </c>
      <c r="M14" s="8" t="s">
        <v>46</v>
      </c>
      <c r="N14" s="13">
        <v>637364.26000000013</v>
      </c>
      <c r="P14" s="8" t="s">
        <v>707</v>
      </c>
      <c r="Q14" s="13">
        <v>144178.91</v>
      </c>
      <c r="S14" s="6">
        <v>2005</v>
      </c>
      <c r="T14" s="13">
        <v>326798.17000000004</v>
      </c>
      <c r="U14" s="13">
        <v>3262</v>
      </c>
      <c r="W14" s="8" t="s">
        <v>708</v>
      </c>
      <c r="X14" s="17">
        <v>451</v>
      </c>
    </row>
    <row r="15" spans="1:25" x14ac:dyDescent="0.3">
      <c r="D15" s="8" t="s">
        <v>708</v>
      </c>
      <c r="E15" s="13">
        <v>37731.83</v>
      </c>
      <c r="G15" s="8" t="s">
        <v>56</v>
      </c>
      <c r="H15" s="7">
        <v>929828.99000000034</v>
      </c>
      <c r="J15" s="8" t="s">
        <v>708</v>
      </c>
      <c r="K15" s="13">
        <v>590751.9700000002</v>
      </c>
      <c r="P15" s="8" t="s">
        <v>708</v>
      </c>
      <c r="Q15" s="13">
        <v>416077.16999999993</v>
      </c>
      <c r="S15" s="8" t="s">
        <v>188</v>
      </c>
      <c r="T15" s="13">
        <v>326798.17000000004</v>
      </c>
      <c r="U15" s="13">
        <v>3262</v>
      </c>
      <c r="W15" s="8" t="s">
        <v>709</v>
      </c>
      <c r="X15" s="17">
        <v>170</v>
      </c>
    </row>
    <row r="16" spans="1:25" ht="23.4" x14ac:dyDescent="0.45">
      <c r="A16" s="22">
        <f>(GETPIVOTDATA("SALES",$A$8,"YEAR_ID",2004)/GETPIVOTDATA("SALES",$A$8,"YEAR_ID",2003))-1</f>
        <v>8.1818748650018369E-2</v>
      </c>
      <c r="D16" s="8" t="s">
        <v>709</v>
      </c>
      <c r="E16" s="13">
        <v>53109.34</v>
      </c>
      <c r="J16" s="8" t="s">
        <v>709</v>
      </c>
      <c r="K16" s="13">
        <v>1068956.0399999996</v>
      </c>
      <c r="M16" s="23">
        <f>(GETPIVOTDATA("SALES",$M$8,"YEAR_ID",2004)/GETPIVOTDATA("SALES",$M$8,"YEAR_ID",2003))-1</f>
        <v>0.2914020823448753</v>
      </c>
      <c r="P16" s="8" t="s">
        <v>709</v>
      </c>
      <c r="Q16" s="13">
        <v>741331.68000000052</v>
      </c>
      <c r="W16" s="8" t="s">
        <v>710</v>
      </c>
      <c r="X16" s="17">
        <v>1947</v>
      </c>
    </row>
    <row r="17" spans="3:20" ht="23.4" x14ac:dyDescent="0.45">
      <c r="D17" s="8" t="s">
        <v>710</v>
      </c>
      <c r="E17" s="13">
        <v>22616.77</v>
      </c>
      <c r="G17" s="23">
        <f>(GETPIVOTDATA("SALES",$G$9,"YEAR_ID",2004)/GETPIVOTDATA("SALES",$G$9,"YEAR_ID",2003))-1</f>
        <v>0.43896162253064075</v>
      </c>
      <c r="J17" s="8" t="s">
        <v>710</v>
      </c>
      <c r="K17" s="13">
        <v>271667.94000000006</v>
      </c>
      <c r="P17" s="8" t="s">
        <v>710</v>
      </c>
      <c r="Q17" s="13">
        <v>286443.81999999995</v>
      </c>
      <c r="T17" s="23">
        <f>(GETPIVOTDATA("Sum of QUANTITYORDERED",$S$9,"YEAR_ID",2004)/GETPIVOTDATA("Sum of QUANTITYORDERED",$S$9,"YEAR_ID",2003))-1</f>
        <v>0.81699953553181603</v>
      </c>
    </row>
    <row r="23" spans="3:20" x14ac:dyDescent="0.3">
      <c r="E23" s="7"/>
    </row>
    <row r="24" spans="3:20" x14ac:dyDescent="0.3">
      <c r="C24" s="21" t="s">
        <v>722</v>
      </c>
      <c r="D24" s="21" t="s">
        <v>723</v>
      </c>
    </row>
  </sheetData>
  <pageMargins left="0.7" right="0.7" top="0.75" bottom="0.75" header="0.3" footer="0.3"/>
  <pageSetup orientation="portrait" r:id="rId13"/>
  <drawing r:id="rId1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FB576-B497-4582-989F-6519CBCFFB79}">
  <dimension ref="A2:C13"/>
  <sheetViews>
    <sheetView topLeftCell="C1" workbookViewId="0">
      <selection activeCell="L17" sqref="L17"/>
    </sheetView>
  </sheetViews>
  <sheetFormatPr defaultRowHeight="14.4" x14ac:dyDescent="0.3"/>
  <cols>
    <col min="1" max="1" width="23.33203125" bestFit="1" customWidth="1"/>
    <col min="2" max="2" width="24.5546875" bestFit="1" customWidth="1"/>
    <col min="3" max="3" width="12.5546875" bestFit="1" customWidth="1"/>
  </cols>
  <sheetData>
    <row r="2" spans="1:3" x14ac:dyDescent="0.3">
      <c r="A2" s="5" t="s">
        <v>698</v>
      </c>
      <c r="B2" t="s">
        <v>711</v>
      </c>
      <c r="C2" t="s">
        <v>689</v>
      </c>
    </row>
    <row r="3" spans="1:3" x14ac:dyDescent="0.3">
      <c r="A3" s="6" t="s">
        <v>188</v>
      </c>
      <c r="B3" s="7">
        <v>9327</v>
      </c>
      <c r="C3" s="13">
        <v>912294.11000000022</v>
      </c>
    </row>
    <row r="4" spans="1:3" x14ac:dyDescent="0.3">
      <c r="A4" s="6" t="s">
        <v>286</v>
      </c>
      <c r="B4" s="7">
        <v>6366</v>
      </c>
      <c r="C4" s="13">
        <v>654858.06000000006</v>
      </c>
    </row>
    <row r="5" spans="1:3" x14ac:dyDescent="0.3">
      <c r="A5" s="6" t="s">
        <v>103</v>
      </c>
      <c r="B5" s="7">
        <v>1926</v>
      </c>
      <c r="C5" s="13">
        <v>200995.40999999997</v>
      </c>
    </row>
    <row r="6" spans="1:3" x14ac:dyDescent="0.3">
      <c r="A6" s="6" t="s">
        <v>489</v>
      </c>
      <c r="B6" s="7">
        <v>1775</v>
      </c>
      <c r="C6" s="13">
        <v>197736.93999999997</v>
      </c>
    </row>
    <row r="7" spans="1:3" x14ac:dyDescent="0.3">
      <c r="A7" s="6" t="s">
        <v>128</v>
      </c>
      <c r="B7" s="7">
        <v>1832</v>
      </c>
      <c r="C7" s="13">
        <v>180124.9</v>
      </c>
    </row>
    <row r="8" spans="1:3" x14ac:dyDescent="0.3">
      <c r="A8" s="6" t="s">
        <v>42</v>
      </c>
      <c r="B8" s="7">
        <v>1631</v>
      </c>
      <c r="C8" s="13">
        <v>164069.44000000003</v>
      </c>
    </row>
    <row r="9" spans="1:3" x14ac:dyDescent="0.3">
      <c r="A9" s="6" t="s">
        <v>411</v>
      </c>
      <c r="B9" s="7">
        <v>1656</v>
      </c>
      <c r="C9" s="13">
        <v>160010.26999999996</v>
      </c>
    </row>
    <row r="10" spans="1:3" x14ac:dyDescent="0.3">
      <c r="A10" s="6" t="s">
        <v>506</v>
      </c>
      <c r="B10" s="7">
        <v>1778</v>
      </c>
      <c r="C10" s="13">
        <v>157807.80999999997</v>
      </c>
    </row>
    <row r="11" spans="1:3" x14ac:dyDescent="0.3">
      <c r="A11" s="6" t="s">
        <v>166</v>
      </c>
      <c r="B11" s="7">
        <v>1601</v>
      </c>
      <c r="C11" s="13">
        <v>151570.98000000004</v>
      </c>
    </row>
    <row r="12" spans="1:3" x14ac:dyDescent="0.3">
      <c r="A12" s="6" t="s">
        <v>566</v>
      </c>
      <c r="B12" s="7">
        <v>1650</v>
      </c>
      <c r="C12" s="13">
        <v>137955.72000000003</v>
      </c>
    </row>
    <row r="13" spans="1:3" x14ac:dyDescent="0.3">
      <c r="A13" s="6" t="s">
        <v>699</v>
      </c>
      <c r="B13" s="7">
        <v>29542</v>
      </c>
      <c r="C13" s="13">
        <v>2917423.64</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519EF-10AE-4B65-AB9E-9E0A22E6DE47}">
  <dimension ref="A3:B23"/>
  <sheetViews>
    <sheetView showGridLines="0" zoomScale="109" zoomScaleNormal="100" workbookViewId="0">
      <selection activeCell="H18" sqref="H18"/>
    </sheetView>
  </sheetViews>
  <sheetFormatPr defaultRowHeight="14.4" x14ac:dyDescent="0.3"/>
  <cols>
    <col min="1" max="1" width="15.33203125" bestFit="1" customWidth="1"/>
    <col min="2" max="2" width="9.6640625" bestFit="1" customWidth="1"/>
    <col min="3" max="3" width="11.33203125" bestFit="1" customWidth="1"/>
    <col min="4" max="6" width="10" bestFit="1" customWidth="1"/>
    <col min="7" max="7" width="15.44140625" bestFit="1" customWidth="1"/>
    <col min="8" max="8" width="11.44140625" bestFit="1" customWidth="1"/>
    <col min="9" max="9" width="12" bestFit="1" customWidth="1"/>
  </cols>
  <sheetData>
    <row r="3" spans="1:2" x14ac:dyDescent="0.3">
      <c r="A3" s="5" t="s">
        <v>691</v>
      </c>
      <c r="B3" t="s">
        <v>692</v>
      </c>
    </row>
    <row r="4" spans="1:2" x14ac:dyDescent="0.3">
      <c r="A4" s="6" t="s">
        <v>438</v>
      </c>
      <c r="B4" s="13">
        <v>137177.01</v>
      </c>
    </row>
    <row r="5" spans="1:2" x14ac:dyDescent="0.3">
      <c r="A5" s="8" t="s">
        <v>195</v>
      </c>
      <c r="B5" s="13">
        <v>137177.01</v>
      </c>
    </row>
    <row r="6" spans="1:2" x14ac:dyDescent="0.3">
      <c r="A6" s="6" t="s">
        <v>581</v>
      </c>
      <c r="B6" s="13">
        <v>139421.97</v>
      </c>
    </row>
    <row r="7" spans="1:2" x14ac:dyDescent="0.3">
      <c r="A7" s="8" t="s">
        <v>580</v>
      </c>
      <c r="B7" s="13">
        <v>139421.97</v>
      </c>
    </row>
    <row r="8" spans="1:2" x14ac:dyDescent="0.3">
      <c r="A8" s="6" t="s">
        <v>520</v>
      </c>
      <c r="B8" s="13">
        <v>140006.16</v>
      </c>
    </row>
    <row r="9" spans="1:2" x14ac:dyDescent="0.3">
      <c r="A9" s="8" t="s">
        <v>40</v>
      </c>
      <c r="B9" s="13">
        <v>140006.16</v>
      </c>
    </row>
    <row r="10" spans="1:2" x14ac:dyDescent="0.3">
      <c r="A10" s="6" t="s">
        <v>656</v>
      </c>
      <c r="B10" s="13">
        <v>140626.9</v>
      </c>
    </row>
    <row r="11" spans="1:2" x14ac:dyDescent="0.3">
      <c r="A11" s="8" t="s">
        <v>195</v>
      </c>
      <c r="B11" s="13">
        <v>140626.9</v>
      </c>
    </row>
    <row r="12" spans="1:2" x14ac:dyDescent="0.3">
      <c r="A12" s="6" t="s">
        <v>531</v>
      </c>
      <c r="B12" s="13">
        <v>145332.04</v>
      </c>
    </row>
    <row r="13" spans="1:2" x14ac:dyDescent="0.3">
      <c r="A13" s="8" t="s">
        <v>195</v>
      </c>
      <c r="B13" s="13">
        <v>145332.04</v>
      </c>
    </row>
    <row r="14" spans="1:2" x14ac:dyDescent="0.3">
      <c r="A14" s="6" t="s">
        <v>601</v>
      </c>
      <c r="B14" s="13">
        <v>154623.94999999998</v>
      </c>
    </row>
    <row r="15" spans="1:2" x14ac:dyDescent="0.3">
      <c r="A15" s="8" t="s">
        <v>195</v>
      </c>
      <c r="B15" s="13">
        <v>154623.94999999998</v>
      </c>
    </row>
    <row r="16" spans="1:2" x14ac:dyDescent="0.3">
      <c r="A16" s="6" t="s">
        <v>488</v>
      </c>
      <c r="B16" s="13">
        <v>168585.32</v>
      </c>
    </row>
    <row r="17" spans="1:2" x14ac:dyDescent="0.3">
      <c r="A17" s="8" t="s">
        <v>195</v>
      </c>
      <c r="B17" s="13">
        <v>168585.32</v>
      </c>
    </row>
    <row r="18" spans="1:2" x14ac:dyDescent="0.3">
      <c r="A18" s="6" t="s">
        <v>334</v>
      </c>
      <c r="B18" s="13">
        <v>170401.07000000004</v>
      </c>
    </row>
    <row r="19" spans="1:2" x14ac:dyDescent="0.3">
      <c r="A19" s="8" t="s">
        <v>40</v>
      </c>
      <c r="B19" s="13">
        <v>170401.07000000004</v>
      </c>
    </row>
    <row r="20" spans="1:2" x14ac:dyDescent="0.3">
      <c r="A20" s="6" t="s">
        <v>196</v>
      </c>
      <c r="B20" s="13">
        <v>191073.03</v>
      </c>
    </row>
    <row r="21" spans="1:2" x14ac:dyDescent="0.3">
      <c r="A21" s="8" t="s">
        <v>195</v>
      </c>
      <c r="B21" s="13">
        <v>191073.03</v>
      </c>
    </row>
    <row r="22" spans="1:2" x14ac:dyDescent="0.3">
      <c r="A22" s="6" t="s">
        <v>618</v>
      </c>
      <c r="B22" s="13">
        <v>288245.41999999993</v>
      </c>
    </row>
    <row r="23" spans="1:2" x14ac:dyDescent="0.3">
      <c r="A23" s="8" t="s">
        <v>195</v>
      </c>
      <c r="B23" s="13">
        <v>288245.41999999993</v>
      </c>
    </row>
  </sheetData>
  <conditionalFormatting sqref="B1:B3 B113:B1048576">
    <cfRule type="colorScale" priority="1">
      <colorScale>
        <cfvo type="min"/>
        <cfvo type="max"/>
        <color rgb="FFFF7128"/>
        <color rgb="FFFFEF9C"/>
      </colorScale>
    </cfRule>
  </conditionalFormatting>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37040-87BF-48B9-957A-4545B16872EC}">
  <dimension ref="A3:B8"/>
  <sheetViews>
    <sheetView workbookViewId="0">
      <selection activeCell="A3" sqref="A3"/>
    </sheetView>
  </sheetViews>
  <sheetFormatPr defaultRowHeight="14.4" x14ac:dyDescent="0.3"/>
  <cols>
    <col min="1" max="1" width="14.88671875" bestFit="1" customWidth="1"/>
    <col min="2" max="2" width="24.5546875" bestFit="1" customWidth="1"/>
  </cols>
  <sheetData>
    <row r="3" spans="1:2" x14ac:dyDescent="0.3">
      <c r="A3" s="5" t="s">
        <v>691</v>
      </c>
      <c r="B3" t="s">
        <v>711</v>
      </c>
    </row>
    <row r="4" spans="1:2" x14ac:dyDescent="0.3">
      <c r="A4" s="6" t="s">
        <v>195</v>
      </c>
      <c r="B4" s="7">
        <v>33992</v>
      </c>
    </row>
    <row r="5" spans="1:2" x14ac:dyDescent="0.3">
      <c r="A5" s="6" t="s">
        <v>564</v>
      </c>
      <c r="B5" s="7">
        <v>21069</v>
      </c>
    </row>
    <row r="6" spans="1:2" x14ac:dyDescent="0.3">
      <c r="A6" s="6" t="s">
        <v>40</v>
      </c>
      <c r="B6" s="7">
        <v>11663</v>
      </c>
    </row>
    <row r="7" spans="1:2" x14ac:dyDescent="0.3">
      <c r="A7" s="6" t="s">
        <v>518</v>
      </c>
      <c r="B7" s="7">
        <v>10777</v>
      </c>
    </row>
    <row r="8" spans="1:2" x14ac:dyDescent="0.3">
      <c r="A8" s="6" t="s">
        <v>580</v>
      </c>
      <c r="B8" s="7">
        <v>10727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F25AB-81F4-472D-BC55-31AB3C37A4E1}">
  <dimension ref="A1:P23"/>
  <sheetViews>
    <sheetView zoomScale="98" workbookViewId="0">
      <selection activeCell="N15" sqref="N15"/>
    </sheetView>
  </sheetViews>
  <sheetFormatPr defaultRowHeight="14.4" x14ac:dyDescent="0.3"/>
  <cols>
    <col min="1" max="1" width="13.44140625" bestFit="1" customWidth="1"/>
    <col min="2" max="2" width="8.5546875" bestFit="1" customWidth="1"/>
    <col min="3" max="3" width="12.77734375" bestFit="1" customWidth="1"/>
    <col min="4" max="5" width="12.88671875" bestFit="1" customWidth="1"/>
    <col min="15" max="15" width="13.44140625" bestFit="1" customWidth="1"/>
    <col min="16" max="16" width="15.77734375" bestFit="1" customWidth="1"/>
    <col min="17" max="17" width="8.6640625" bestFit="1" customWidth="1"/>
    <col min="18" max="18" width="9.6640625" bestFit="1" customWidth="1"/>
    <col min="19" max="19" width="7.88671875" bestFit="1" customWidth="1"/>
    <col min="20" max="20" width="8.77734375" bestFit="1" customWidth="1"/>
    <col min="21" max="21" width="8" bestFit="1" customWidth="1"/>
    <col min="22" max="22" width="11" bestFit="1" customWidth="1"/>
  </cols>
  <sheetData>
    <row r="1" spans="1:16" x14ac:dyDescent="0.3">
      <c r="O1" t="s">
        <v>11</v>
      </c>
    </row>
    <row r="2" spans="1:16" x14ac:dyDescent="0.3">
      <c r="A2" s="9" t="s">
        <v>695</v>
      </c>
      <c r="B2" s="10" t="s">
        <v>697</v>
      </c>
      <c r="C2" s="10" t="s">
        <v>689</v>
      </c>
    </row>
    <row r="3" spans="1:16" x14ac:dyDescent="0.3">
      <c r="A3" s="11" t="s">
        <v>110</v>
      </c>
      <c r="B3" s="12">
        <v>221</v>
      </c>
      <c r="C3" s="14">
        <v>746121.82999999984</v>
      </c>
      <c r="O3" s="5" t="s">
        <v>698</v>
      </c>
      <c r="P3" t="s">
        <v>717</v>
      </c>
    </row>
    <row r="4" spans="1:16" x14ac:dyDescent="0.3">
      <c r="A4" s="16" t="s">
        <v>187</v>
      </c>
      <c r="B4" s="12">
        <v>5</v>
      </c>
      <c r="C4" s="14">
        <v>14378.09</v>
      </c>
      <c r="O4" s="6" t="s">
        <v>110</v>
      </c>
      <c r="P4" s="7">
        <v>221</v>
      </c>
    </row>
    <row r="5" spans="1:16" x14ac:dyDescent="0.3">
      <c r="A5" s="16" t="s">
        <v>314</v>
      </c>
      <c r="B5" s="12">
        <v>13</v>
      </c>
      <c r="C5" s="14">
        <v>43971.43</v>
      </c>
      <c r="O5" s="8" t="s">
        <v>187</v>
      </c>
      <c r="P5" s="7">
        <v>5</v>
      </c>
    </row>
    <row r="6" spans="1:16" x14ac:dyDescent="0.3">
      <c r="A6" s="16" t="s">
        <v>39</v>
      </c>
      <c r="B6" s="12">
        <v>203</v>
      </c>
      <c r="C6" s="14">
        <v>687772.31000000017</v>
      </c>
      <c r="O6" s="8" t="s">
        <v>314</v>
      </c>
      <c r="P6" s="7">
        <v>13</v>
      </c>
    </row>
    <row r="7" spans="1:16" x14ac:dyDescent="0.3">
      <c r="A7" s="11" t="s">
        <v>56</v>
      </c>
      <c r="B7" s="12">
        <v>1407</v>
      </c>
      <c r="C7" s="14">
        <v>4979272.4099999983</v>
      </c>
      <c r="O7" s="8" t="s">
        <v>39</v>
      </c>
      <c r="P7" s="7">
        <v>203</v>
      </c>
    </row>
    <row r="8" spans="1:16" x14ac:dyDescent="0.3">
      <c r="A8" s="16" t="s">
        <v>353</v>
      </c>
      <c r="B8" s="12">
        <v>46</v>
      </c>
      <c r="C8" s="14">
        <v>149129.82</v>
      </c>
      <c r="O8" s="6" t="s">
        <v>56</v>
      </c>
      <c r="P8" s="7">
        <v>1407</v>
      </c>
    </row>
    <row r="9" spans="1:16" x14ac:dyDescent="0.3">
      <c r="A9" s="16" t="s">
        <v>187</v>
      </c>
      <c r="B9" s="12">
        <v>9</v>
      </c>
      <c r="C9" s="14">
        <v>57834.770000000004</v>
      </c>
      <c r="O9" s="8" t="s">
        <v>353</v>
      </c>
      <c r="P9" s="7">
        <v>46</v>
      </c>
    </row>
    <row r="10" spans="1:16" x14ac:dyDescent="0.3">
      <c r="A10" s="16" t="s">
        <v>314</v>
      </c>
      <c r="B10" s="12">
        <v>24</v>
      </c>
      <c r="C10" s="14">
        <v>87329.98000000001</v>
      </c>
      <c r="O10" s="8" t="s">
        <v>187</v>
      </c>
      <c r="P10" s="7">
        <v>9</v>
      </c>
    </row>
    <row r="11" spans="1:16" x14ac:dyDescent="0.3">
      <c r="A11" s="16" t="s">
        <v>415</v>
      </c>
      <c r="B11" s="12">
        <v>6</v>
      </c>
      <c r="C11" s="14">
        <v>26260.210000000003</v>
      </c>
      <c r="O11" s="8" t="s">
        <v>314</v>
      </c>
      <c r="P11" s="7">
        <v>24</v>
      </c>
    </row>
    <row r="12" spans="1:16" x14ac:dyDescent="0.3">
      <c r="A12" s="16" t="s">
        <v>422</v>
      </c>
      <c r="B12" s="12">
        <v>34</v>
      </c>
      <c r="C12" s="14">
        <v>106444.92000000001</v>
      </c>
      <c r="O12" s="8" t="s">
        <v>415</v>
      </c>
      <c r="P12" s="7">
        <v>6</v>
      </c>
    </row>
    <row r="13" spans="1:16" x14ac:dyDescent="0.3">
      <c r="A13" s="16" t="s">
        <v>39</v>
      </c>
      <c r="B13" s="12">
        <v>1288</v>
      </c>
      <c r="C13" s="14">
        <v>4552272.7099999934</v>
      </c>
      <c r="O13" s="8" t="s">
        <v>422</v>
      </c>
      <c r="P13" s="7">
        <v>34</v>
      </c>
    </row>
    <row r="14" spans="1:16" x14ac:dyDescent="0.3">
      <c r="A14" s="11" t="s">
        <v>214</v>
      </c>
      <c r="B14" s="12">
        <v>121</v>
      </c>
      <c r="C14" s="14">
        <v>455173.2200000002</v>
      </c>
      <c r="O14" s="8" t="s">
        <v>39</v>
      </c>
      <c r="P14" s="7">
        <v>1288</v>
      </c>
    </row>
    <row r="15" spans="1:16" x14ac:dyDescent="0.3">
      <c r="A15" s="16" t="s">
        <v>39</v>
      </c>
      <c r="B15" s="12">
        <v>121</v>
      </c>
      <c r="C15" s="14">
        <v>455173.2200000002</v>
      </c>
      <c r="O15" s="6" t="s">
        <v>214</v>
      </c>
      <c r="P15" s="7">
        <v>121</v>
      </c>
    </row>
    <row r="16" spans="1:16" x14ac:dyDescent="0.3">
      <c r="A16" s="11" t="s">
        <v>47</v>
      </c>
      <c r="B16" s="12">
        <v>1074</v>
      </c>
      <c r="C16" s="14">
        <v>3852061.3899999983</v>
      </c>
      <c r="O16" s="8" t="s">
        <v>39</v>
      </c>
      <c r="P16" s="7">
        <v>121</v>
      </c>
    </row>
    <row r="17" spans="1:16" x14ac:dyDescent="0.3">
      <c r="A17" s="16" t="s">
        <v>353</v>
      </c>
      <c r="B17" s="12">
        <v>14</v>
      </c>
      <c r="C17" s="14">
        <v>45357.659999999996</v>
      </c>
      <c r="O17" s="6" t="s">
        <v>47</v>
      </c>
      <c r="P17" s="7">
        <v>1074</v>
      </c>
    </row>
    <row r="18" spans="1:16" x14ac:dyDescent="0.3">
      <c r="A18" s="16" t="s">
        <v>314</v>
      </c>
      <c r="B18" s="12">
        <v>4</v>
      </c>
      <c r="C18" s="14">
        <v>13428.55</v>
      </c>
      <c r="O18" s="8" t="s">
        <v>353</v>
      </c>
      <c r="P18" s="7">
        <v>14</v>
      </c>
    </row>
    <row r="19" spans="1:16" x14ac:dyDescent="0.3">
      <c r="A19" s="16" t="s">
        <v>415</v>
      </c>
      <c r="B19" s="12">
        <v>38</v>
      </c>
      <c r="C19" s="14">
        <v>152718.97999999998</v>
      </c>
      <c r="O19" s="8" t="s">
        <v>314</v>
      </c>
      <c r="P19" s="7">
        <v>4</v>
      </c>
    </row>
    <row r="20" spans="1:16" x14ac:dyDescent="0.3">
      <c r="A20" s="16" t="s">
        <v>422</v>
      </c>
      <c r="B20" s="12">
        <v>13</v>
      </c>
      <c r="C20" s="14">
        <v>44273.359999999993</v>
      </c>
      <c r="O20" s="8" t="s">
        <v>415</v>
      </c>
      <c r="P20" s="7">
        <v>38</v>
      </c>
    </row>
    <row r="21" spans="1:16" x14ac:dyDescent="0.3">
      <c r="A21" s="16" t="s">
        <v>39</v>
      </c>
      <c r="B21" s="12">
        <v>1005</v>
      </c>
      <c r="C21" s="14">
        <v>3596282.8399999989</v>
      </c>
      <c r="O21" s="8" t="s">
        <v>422</v>
      </c>
      <c r="P21" s="7">
        <v>13</v>
      </c>
    </row>
    <row r="22" spans="1:16" x14ac:dyDescent="0.3">
      <c r="O22" s="8" t="s">
        <v>39</v>
      </c>
      <c r="P22" s="7">
        <v>1005</v>
      </c>
    </row>
    <row r="23" spans="1:16" x14ac:dyDescent="0.3">
      <c r="O23" s="6" t="s">
        <v>699</v>
      </c>
      <c r="P23" s="7">
        <v>2823</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F12-FA45-40F8-9838-8710E26D9097}">
  <dimension ref="A2:Q16"/>
  <sheetViews>
    <sheetView workbookViewId="0">
      <selection activeCell="Q15" sqref="Q15"/>
    </sheetView>
  </sheetViews>
  <sheetFormatPr defaultRowHeight="14.4" x14ac:dyDescent="0.3"/>
  <cols>
    <col min="1" max="1" width="10" bestFit="1" customWidth="1"/>
    <col min="2" max="2" width="11.88671875" bestFit="1" customWidth="1"/>
    <col min="13" max="13" width="10" bestFit="1" customWidth="1"/>
    <col min="14" max="14" width="11.88671875" bestFit="1" customWidth="1"/>
    <col min="15" max="15" width="10.44140625" bestFit="1" customWidth="1"/>
    <col min="16" max="16" width="11.21875" bestFit="1" customWidth="1"/>
    <col min="17" max="17" width="12.5546875" bestFit="1" customWidth="1"/>
  </cols>
  <sheetData>
    <row r="2" spans="1:17" x14ac:dyDescent="0.3">
      <c r="O2" t="s">
        <v>718</v>
      </c>
    </row>
    <row r="3" spans="1:17" x14ac:dyDescent="0.3">
      <c r="A3" s="5" t="s">
        <v>694</v>
      </c>
      <c r="B3" t="s">
        <v>693</v>
      </c>
      <c r="M3" s="5" t="s">
        <v>694</v>
      </c>
      <c r="N3" t="s">
        <v>693</v>
      </c>
    </row>
    <row r="4" spans="1:17" x14ac:dyDescent="0.3">
      <c r="A4" s="6" t="s">
        <v>46</v>
      </c>
      <c r="B4" s="13">
        <v>3627982.83</v>
      </c>
      <c r="M4" s="6">
        <v>2004</v>
      </c>
      <c r="N4" s="13">
        <v>4724162.6000000006</v>
      </c>
    </row>
    <row r="5" spans="1:17" x14ac:dyDescent="0.3">
      <c r="A5" s="6" t="s">
        <v>192</v>
      </c>
      <c r="B5" s="13">
        <v>1215686.9200000009</v>
      </c>
      <c r="M5" s="8" t="s">
        <v>563</v>
      </c>
      <c r="N5" s="13">
        <v>316577.4200000001</v>
      </c>
    </row>
    <row r="6" spans="1:17" x14ac:dyDescent="0.3">
      <c r="A6" s="6" t="s">
        <v>55</v>
      </c>
      <c r="B6" s="13">
        <v>1110916.5199999993</v>
      </c>
      <c r="M6" s="8" t="s">
        <v>700</v>
      </c>
      <c r="N6" s="13">
        <v>311419.52999999991</v>
      </c>
    </row>
    <row r="7" spans="1:17" x14ac:dyDescent="0.3">
      <c r="A7" s="6" t="s">
        <v>109</v>
      </c>
      <c r="B7" s="13">
        <v>630623.10000000009</v>
      </c>
      <c r="M7" s="8" t="s">
        <v>701</v>
      </c>
      <c r="N7" s="13">
        <v>205733.72999999992</v>
      </c>
      <c r="O7" s="13">
        <f>GETPIVOTDATA("SALES",$M$3,"YEAR_ID",2004)</f>
        <v>4724162.6000000006</v>
      </c>
    </row>
    <row r="8" spans="1:17" x14ac:dyDescent="0.3">
      <c r="A8" s="6" t="s">
        <v>184</v>
      </c>
      <c r="B8" s="13">
        <v>478880.46000000008</v>
      </c>
      <c r="M8" s="8" t="s">
        <v>702</v>
      </c>
      <c r="N8" s="13">
        <v>206148.12000000008</v>
      </c>
    </row>
    <row r="9" spans="1:17" x14ac:dyDescent="0.3">
      <c r="A9" s="6" t="s">
        <v>272</v>
      </c>
      <c r="B9" s="13">
        <v>374674.30999999976</v>
      </c>
      <c r="M9" s="8" t="s">
        <v>703</v>
      </c>
      <c r="N9" s="13">
        <v>273438.39000000007</v>
      </c>
    </row>
    <row r="10" spans="1:17" x14ac:dyDescent="0.3">
      <c r="A10" s="6" t="s">
        <v>144</v>
      </c>
      <c r="B10" s="13">
        <v>329581.91000000009</v>
      </c>
      <c r="M10" s="8" t="s">
        <v>704</v>
      </c>
      <c r="N10" s="13">
        <v>286674.21999999997</v>
      </c>
      <c r="P10" s="5" t="s">
        <v>694</v>
      </c>
      <c r="Q10" t="s">
        <v>689</v>
      </c>
    </row>
    <row r="11" spans="1:17" x14ac:dyDescent="0.3">
      <c r="A11" s="6" t="s">
        <v>92</v>
      </c>
      <c r="B11" s="13">
        <v>307463.70000000013</v>
      </c>
      <c r="M11" s="8" t="s">
        <v>705</v>
      </c>
      <c r="N11" s="13">
        <v>327144.08999999979</v>
      </c>
      <c r="P11" s="6">
        <v>2003</v>
      </c>
      <c r="Q11" s="13">
        <v>3516979.540000001</v>
      </c>
    </row>
    <row r="12" spans="1:17" x14ac:dyDescent="0.3">
      <c r="A12" s="6" t="s">
        <v>213</v>
      </c>
      <c r="B12" s="13">
        <v>288488.41000000003</v>
      </c>
      <c r="M12" s="8" t="s">
        <v>706</v>
      </c>
      <c r="N12" s="13">
        <v>461501.27000000008</v>
      </c>
      <c r="P12" s="6">
        <v>2004</v>
      </c>
      <c r="Q12" s="13">
        <v>4724162.5999999968</v>
      </c>
    </row>
    <row r="13" spans="1:17" x14ac:dyDescent="0.3">
      <c r="A13" s="6" t="s">
        <v>340</v>
      </c>
      <c r="B13" s="13">
        <v>245637.15</v>
      </c>
      <c r="M13" s="8" t="s">
        <v>707</v>
      </c>
      <c r="N13" s="13">
        <v>320750.91000000003</v>
      </c>
      <c r="P13" s="6">
        <v>2005</v>
      </c>
      <c r="Q13" s="13">
        <v>1791486.71</v>
      </c>
    </row>
    <row r="14" spans="1:17" x14ac:dyDescent="0.3">
      <c r="M14" s="8" t="s">
        <v>708</v>
      </c>
      <c r="N14" s="13">
        <v>552924.25</v>
      </c>
    </row>
    <row r="15" spans="1:17" ht="23.4" x14ac:dyDescent="0.45">
      <c r="M15" s="8" t="s">
        <v>709</v>
      </c>
      <c r="N15" s="13">
        <v>1089048.0100000005</v>
      </c>
      <c r="P15" s="23">
        <f>(GETPIVOTDATA("SALES",$P$10,"YEAR_ID",2004)/GETPIVOTDATA("SALES",$P$10,"YEAR_ID",2003))-1</f>
        <v>0.3432442657883632</v>
      </c>
    </row>
    <row r="16" spans="1:17" x14ac:dyDescent="0.3">
      <c r="M16" s="8" t="s">
        <v>710</v>
      </c>
      <c r="N16" s="13">
        <v>372802.65999999992</v>
      </c>
    </row>
  </sheetData>
  <pageMargins left="0.7" right="0.7" top="0.75" bottom="0.75" header="0.3" footer="0.3"/>
  <pageSetup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 Project</vt:lpstr>
      <vt:lpstr>Input Data</vt:lpstr>
      <vt:lpstr>DASHBOARD</vt:lpstr>
      <vt:lpstr>Monthly Sales</vt:lpstr>
      <vt:lpstr>KPI</vt:lpstr>
      <vt:lpstr>TOP 10 Customer</vt:lpstr>
      <vt:lpstr>Top 10 PRODUCT</vt:lpstr>
      <vt:lpstr>Most 5 Sold</vt:lpstr>
      <vt:lpstr>Territory With Highest Sales</vt:lpstr>
      <vt:lpstr> Top 10 Country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AMLAN</cp:lastModifiedBy>
  <cp:revision/>
  <dcterms:created xsi:type="dcterms:W3CDTF">2023-03-13T07:06:44Z</dcterms:created>
  <dcterms:modified xsi:type="dcterms:W3CDTF">2023-04-24T05:23:29Z</dcterms:modified>
  <cp:category/>
  <cp:contentStatus/>
</cp:coreProperties>
</file>